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FINAL SHEETS\Attendence_Sheets\"/>
    </mc:Choice>
  </mc:AlternateContent>
  <xr:revisionPtr revIDLastSave="0" documentId="13_ncr:1_{45804BE6-91B1-49BD-BA74-E4D864CA2D3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ECA" sheetId="2" r:id="rId1"/>
    <sheet name="CECA" sheetId="3" r:id="rId2"/>
    <sheet name="Sheldon Elementary" sheetId="5" r:id="rId3"/>
    <sheet name="SLE" sheetId="6" r:id="rId4"/>
    <sheet name="GE" sheetId="7" r:id="rId5"/>
    <sheet name="CE" sheetId="8" r:id="rId6"/>
    <sheet name="KMS" sheetId="9" r:id="rId7"/>
    <sheet name="NMS" sheetId="10" r:id="rId8"/>
    <sheet name="ME" sheetId="11" r:id="rId9"/>
    <sheet name="9TH CAMP" sheetId="12" r:id="rId10"/>
    <sheet name="KHS" sheetId="13" r:id="rId11"/>
    <sheet name="ECHS" sheetId="14" r:id="rId12"/>
    <sheet name="KASE" sheetId="15" r:id="rId13"/>
  </sheets>
  <definedNames>
    <definedName name="_xlnm._FilterDatabase" localSheetId="9" hidden="1">'9TH CAMP'!$A$6:$I$215</definedName>
    <definedName name="_xlnm._FilterDatabase" localSheetId="5" hidden="1">CE!$A$6:$I$215</definedName>
    <definedName name="_xlnm._FilterDatabase" localSheetId="1" hidden="1">CECA!$A$6:$I$215</definedName>
    <definedName name="_xlnm._FilterDatabase" localSheetId="11" hidden="1">ECHS!$A$6:$I$215</definedName>
    <definedName name="_xlnm._FilterDatabase" localSheetId="4" hidden="1">GE!$A$6:$I$215</definedName>
    <definedName name="_xlnm._FilterDatabase" localSheetId="10" hidden="1">KHS!$A$6:$I$215</definedName>
    <definedName name="_xlnm._FilterDatabase" localSheetId="6" hidden="1">KMS!$A$6:$I$215</definedName>
    <definedName name="_xlnm._FilterDatabase" localSheetId="8" hidden="1">ME!$A$6:$I$215</definedName>
    <definedName name="_xlnm._FilterDatabase" localSheetId="7" hidden="1">NMS!$A$6:$I$215</definedName>
    <definedName name="_xlnm._FilterDatabase" localSheetId="0" hidden="1">SECA!$A$6:$I$215</definedName>
    <definedName name="_xlnm._FilterDatabase" localSheetId="2" hidden="1">'Sheldon Elementary'!$A$6:$F$215</definedName>
    <definedName name="_xlnm._FilterDatabase" localSheetId="3" hidden="1">SLE!$A$6:$I$215</definedName>
  </definedNames>
  <calcPr calcId="181029"/>
</workbook>
</file>

<file path=xl/calcChain.xml><?xml version="1.0" encoding="utf-8"?>
<calcChain xmlns="http://schemas.openxmlformats.org/spreadsheetml/2006/main">
  <c r="D212" i="15" l="1"/>
  <c r="D211" i="15"/>
  <c r="D210" i="15"/>
  <c r="D209" i="15"/>
  <c r="D208" i="15"/>
  <c r="D207" i="15"/>
  <c r="D206" i="15"/>
  <c r="D205" i="15"/>
  <c r="D204" i="15"/>
  <c r="D203" i="15"/>
  <c r="D202" i="15"/>
  <c r="D201" i="15"/>
  <c r="D200" i="15"/>
  <c r="D199" i="15"/>
  <c r="D198" i="15"/>
  <c r="D197" i="15"/>
  <c r="D196" i="15"/>
  <c r="D195" i="15"/>
  <c r="D194" i="15"/>
  <c r="D193" i="15"/>
  <c r="D192" i="15"/>
  <c r="D191" i="15"/>
  <c r="D190" i="15"/>
  <c r="D189" i="15"/>
  <c r="D188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D165" i="15"/>
  <c r="D164" i="15"/>
  <c r="D163" i="15"/>
  <c r="D162" i="15"/>
  <c r="D161" i="15"/>
  <c r="D160" i="15"/>
  <c r="D159" i="15"/>
  <c r="D158" i="15"/>
  <c r="D157" i="15"/>
  <c r="D156" i="15"/>
  <c r="D155" i="15"/>
  <c r="D154" i="15"/>
  <c r="D153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D128" i="15"/>
  <c r="D127" i="15"/>
  <c r="D126" i="15"/>
  <c r="D125" i="15"/>
  <c r="D124" i="15"/>
  <c r="D123" i="15"/>
  <c r="D122" i="15"/>
  <c r="D121" i="15"/>
  <c r="D120" i="15"/>
  <c r="D119" i="15"/>
  <c r="D118" i="15"/>
  <c r="D117" i="15"/>
  <c r="D116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J40" i="15"/>
  <c r="D40" i="15"/>
  <c r="J39" i="15"/>
  <c r="D39" i="15"/>
  <c r="J38" i="15"/>
  <c r="D38" i="15"/>
  <c r="J37" i="15"/>
  <c r="D37" i="15"/>
  <c r="J36" i="15"/>
  <c r="D36" i="15"/>
  <c r="J35" i="15"/>
  <c r="D35" i="15"/>
  <c r="J34" i="15"/>
  <c r="D34" i="15"/>
  <c r="J33" i="15"/>
  <c r="D33" i="15"/>
  <c r="J32" i="15"/>
  <c r="D32" i="15"/>
  <c r="J31" i="15"/>
  <c r="D31" i="15"/>
  <c r="J30" i="15"/>
  <c r="D30" i="15"/>
  <c r="J29" i="15"/>
  <c r="D29" i="15"/>
  <c r="J28" i="15"/>
  <c r="D28" i="15"/>
  <c r="J27" i="15"/>
  <c r="D27" i="15"/>
  <c r="J26" i="15"/>
  <c r="D26" i="15"/>
  <c r="J25" i="15"/>
  <c r="D25" i="15"/>
  <c r="J24" i="15"/>
  <c r="D24" i="15"/>
  <c r="J23" i="15"/>
  <c r="D23" i="15"/>
  <c r="J22" i="15"/>
  <c r="D22" i="15"/>
  <c r="J21" i="15"/>
  <c r="D21" i="15"/>
  <c r="J20" i="15"/>
  <c r="D20" i="15"/>
  <c r="J19" i="15"/>
  <c r="D19" i="15"/>
  <c r="J18" i="15"/>
  <c r="D18" i="15"/>
  <c r="J17" i="15"/>
  <c r="D17" i="15"/>
  <c r="J16" i="15"/>
  <c r="D16" i="15"/>
  <c r="J15" i="15"/>
  <c r="D15" i="15"/>
  <c r="J14" i="15"/>
  <c r="D14" i="15"/>
  <c r="J13" i="15"/>
  <c r="D13" i="15"/>
  <c r="J12" i="15"/>
  <c r="D12" i="15"/>
  <c r="J11" i="15"/>
  <c r="D11" i="15"/>
  <c r="J10" i="15"/>
  <c r="D10" i="15"/>
  <c r="J9" i="15"/>
  <c r="D9" i="15"/>
  <c r="J8" i="15"/>
  <c r="D8" i="15"/>
  <c r="J7" i="15"/>
  <c r="D7" i="15"/>
  <c r="J6" i="15"/>
  <c r="D6" i="15"/>
  <c r="J5" i="15"/>
  <c r="D5" i="15"/>
  <c r="J4" i="15"/>
  <c r="D4" i="15"/>
  <c r="J215" i="14"/>
  <c r="K215" i="14" s="1"/>
  <c r="I215" i="14"/>
  <c r="H215" i="14"/>
  <c r="J214" i="14"/>
  <c r="K214" i="14" s="1"/>
  <c r="I214" i="14"/>
  <c r="H214" i="14"/>
  <c r="J213" i="14"/>
  <c r="K213" i="14" s="1"/>
  <c r="I213" i="14"/>
  <c r="H213" i="14"/>
  <c r="J212" i="14"/>
  <c r="K212" i="14" s="1"/>
  <c r="I212" i="14"/>
  <c r="H212" i="14"/>
  <c r="J211" i="14"/>
  <c r="K211" i="14" s="1"/>
  <c r="I211" i="14"/>
  <c r="H211" i="14"/>
  <c r="K210" i="14"/>
  <c r="J210" i="14"/>
  <c r="I210" i="14"/>
  <c r="H210" i="14"/>
  <c r="J209" i="14"/>
  <c r="K209" i="14" s="1"/>
  <c r="I209" i="14"/>
  <c r="H209" i="14"/>
  <c r="J208" i="14"/>
  <c r="K208" i="14" s="1"/>
  <c r="I208" i="14"/>
  <c r="H208" i="14"/>
  <c r="J207" i="14"/>
  <c r="K207" i="14" s="1"/>
  <c r="I207" i="14"/>
  <c r="H207" i="14"/>
  <c r="K206" i="14"/>
  <c r="J206" i="14"/>
  <c r="I206" i="14"/>
  <c r="H206" i="14"/>
  <c r="J205" i="14"/>
  <c r="K205" i="14" s="1"/>
  <c r="I205" i="14"/>
  <c r="H205" i="14"/>
  <c r="K204" i="14"/>
  <c r="J204" i="14"/>
  <c r="I204" i="14"/>
  <c r="H204" i="14"/>
  <c r="J203" i="14"/>
  <c r="K203" i="14" s="1"/>
  <c r="I203" i="14"/>
  <c r="H203" i="14"/>
  <c r="J202" i="14"/>
  <c r="K202" i="14" s="1"/>
  <c r="I202" i="14"/>
  <c r="H202" i="14"/>
  <c r="J201" i="14"/>
  <c r="K201" i="14" s="1"/>
  <c r="I201" i="14"/>
  <c r="H201" i="14"/>
  <c r="K200" i="14"/>
  <c r="J200" i="14"/>
  <c r="I200" i="14"/>
  <c r="H200" i="14"/>
  <c r="J199" i="14"/>
  <c r="K199" i="14" s="1"/>
  <c r="I199" i="14"/>
  <c r="H199" i="14"/>
  <c r="K198" i="14"/>
  <c r="J198" i="14"/>
  <c r="I198" i="14"/>
  <c r="H198" i="14"/>
  <c r="J197" i="14"/>
  <c r="K197" i="14" s="1"/>
  <c r="I197" i="14"/>
  <c r="H197" i="14"/>
  <c r="J196" i="14"/>
  <c r="K196" i="14" s="1"/>
  <c r="I196" i="14"/>
  <c r="H196" i="14"/>
  <c r="J195" i="14"/>
  <c r="K195" i="14" s="1"/>
  <c r="I195" i="14"/>
  <c r="H195" i="14"/>
  <c r="K194" i="14"/>
  <c r="J194" i="14"/>
  <c r="I194" i="14"/>
  <c r="H194" i="14"/>
  <c r="J193" i="14"/>
  <c r="K193" i="14" s="1"/>
  <c r="I193" i="14"/>
  <c r="H193" i="14"/>
  <c r="J192" i="14"/>
  <c r="K192" i="14" s="1"/>
  <c r="I192" i="14"/>
  <c r="H192" i="14"/>
  <c r="J191" i="14"/>
  <c r="K191" i="14" s="1"/>
  <c r="I191" i="14"/>
  <c r="H191" i="14"/>
  <c r="K190" i="14"/>
  <c r="J190" i="14"/>
  <c r="I190" i="14"/>
  <c r="H190" i="14"/>
  <c r="J189" i="14"/>
  <c r="K189" i="14" s="1"/>
  <c r="H189" i="14"/>
  <c r="I189" i="14" s="1"/>
  <c r="J188" i="14"/>
  <c r="K188" i="14" s="1"/>
  <c r="I188" i="14"/>
  <c r="H188" i="14"/>
  <c r="J187" i="14"/>
  <c r="K187" i="14" s="1"/>
  <c r="H187" i="14"/>
  <c r="I187" i="14" s="1"/>
  <c r="K186" i="14"/>
  <c r="J186" i="14"/>
  <c r="I186" i="14"/>
  <c r="H186" i="14"/>
  <c r="J185" i="14"/>
  <c r="K185" i="14" s="1"/>
  <c r="H185" i="14"/>
  <c r="I185" i="14" s="1"/>
  <c r="K184" i="14"/>
  <c r="J184" i="14"/>
  <c r="I184" i="14"/>
  <c r="H184" i="14"/>
  <c r="J183" i="14"/>
  <c r="K183" i="14" s="1"/>
  <c r="H183" i="14"/>
  <c r="I183" i="14" s="1"/>
  <c r="K182" i="14"/>
  <c r="J182" i="14"/>
  <c r="I182" i="14"/>
  <c r="H182" i="14"/>
  <c r="J181" i="14"/>
  <c r="K181" i="14" s="1"/>
  <c r="H181" i="14"/>
  <c r="I181" i="14" s="1"/>
  <c r="J180" i="14"/>
  <c r="K180" i="14" s="1"/>
  <c r="I180" i="14"/>
  <c r="H180" i="14"/>
  <c r="J179" i="14"/>
  <c r="K179" i="14" s="1"/>
  <c r="H179" i="14"/>
  <c r="I179" i="14" s="1"/>
  <c r="K178" i="14"/>
  <c r="J178" i="14"/>
  <c r="I178" i="14"/>
  <c r="H178" i="14"/>
  <c r="J177" i="14"/>
  <c r="K177" i="14" s="1"/>
  <c r="H177" i="14"/>
  <c r="I177" i="14" s="1"/>
  <c r="K176" i="14"/>
  <c r="J176" i="14"/>
  <c r="I176" i="14"/>
  <c r="H176" i="14"/>
  <c r="J175" i="14"/>
  <c r="K175" i="14" s="1"/>
  <c r="H175" i="14"/>
  <c r="I175" i="14" s="1"/>
  <c r="K174" i="14"/>
  <c r="J174" i="14"/>
  <c r="I174" i="14"/>
  <c r="H174" i="14"/>
  <c r="J173" i="14"/>
  <c r="K173" i="14" s="1"/>
  <c r="H173" i="14"/>
  <c r="I173" i="14" s="1"/>
  <c r="J172" i="14"/>
  <c r="K172" i="14" s="1"/>
  <c r="I172" i="14"/>
  <c r="H172" i="14"/>
  <c r="J171" i="14"/>
  <c r="K171" i="14" s="1"/>
  <c r="H171" i="14"/>
  <c r="I171" i="14" s="1"/>
  <c r="K170" i="14"/>
  <c r="J170" i="14"/>
  <c r="I170" i="14"/>
  <c r="H170" i="14"/>
  <c r="J169" i="14"/>
  <c r="K169" i="14" s="1"/>
  <c r="H169" i="14"/>
  <c r="I169" i="14" s="1"/>
  <c r="J168" i="14"/>
  <c r="K168" i="14" s="1"/>
  <c r="I168" i="14"/>
  <c r="H168" i="14"/>
  <c r="J167" i="14"/>
  <c r="K167" i="14" s="1"/>
  <c r="H167" i="14"/>
  <c r="I167" i="14" s="1"/>
  <c r="K166" i="14"/>
  <c r="J166" i="14"/>
  <c r="I166" i="14"/>
  <c r="H166" i="14"/>
  <c r="J165" i="14"/>
  <c r="K165" i="14" s="1"/>
  <c r="H165" i="14"/>
  <c r="I165" i="14" s="1"/>
  <c r="J164" i="14"/>
  <c r="K164" i="14" s="1"/>
  <c r="I164" i="14"/>
  <c r="H164" i="14"/>
  <c r="J163" i="14"/>
  <c r="K163" i="14" s="1"/>
  <c r="H163" i="14"/>
  <c r="I163" i="14" s="1"/>
  <c r="K162" i="14"/>
  <c r="J162" i="14"/>
  <c r="I162" i="14"/>
  <c r="H162" i="14"/>
  <c r="J161" i="14"/>
  <c r="K161" i="14" s="1"/>
  <c r="H161" i="14"/>
  <c r="I161" i="14" s="1"/>
  <c r="J160" i="14"/>
  <c r="K160" i="14" s="1"/>
  <c r="I160" i="14"/>
  <c r="H160" i="14"/>
  <c r="J159" i="14"/>
  <c r="K159" i="14" s="1"/>
  <c r="H159" i="14"/>
  <c r="I159" i="14" s="1"/>
  <c r="K158" i="14"/>
  <c r="J158" i="14"/>
  <c r="I158" i="14"/>
  <c r="H158" i="14"/>
  <c r="J157" i="14"/>
  <c r="K157" i="14" s="1"/>
  <c r="H157" i="14"/>
  <c r="I157" i="14" s="1"/>
  <c r="J156" i="14"/>
  <c r="K156" i="14" s="1"/>
  <c r="I156" i="14"/>
  <c r="H156" i="14"/>
  <c r="J155" i="14"/>
  <c r="K155" i="14" s="1"/>
  <c r="H155" i="14"/>
  <c r="I155" i="14" s="1"/>
  <c r="J154" i="14"/>
  <c r="K154" i="14" s="1"/>
  <c r="I154" i="14"/>
  <c r="H154" i="14"/>
  <c r="J153" i="14"/>
  <c r="K153" i="14" s="1"/>
  <c r="H153" i="14"/>
  <c r="I153" i="14" s="1"/>
  <c r="K152" i="14"/>
  <c r="J152" i="14"/>
  <c r="I152" i="14"/>
  <c r="H152" i="14"/>
  <c r="J151" i="14"/>
  <c r="K151" i="14" s="1"/>
  <c r="H151" i="14"/>
  <c r="I151" i="14" s="1"/>
  <c r="K150" i="14"/>
  <c r="J150" i="14"/>
  <c r="I150" i="14"/>
  <c r="H150" i="14"/>
  <c r="J149" i="14"/>
  <c r="K149" i="14" s="1"/>
  <c r="H149" i="14"/>
  <c r="I149" i="14" s="1"/>
  <c r="J148" i="14"/>
  <c r="K148" i="14" s="1"/>
  <c r="I148" i="14"/>
  <c r="H148" i="14"/>
  <c r="J147" i="14"/>
  <c r="K147" i="14" s="1"/>
  <c r="H147" i="14"/>
  <c r="I147" i="14" s="1"/>
  <c r="J146" i="14"/>
  <c r="K146" i="14" s="1"/>
  <c r="I146" i="14"/>
  <c r="H146" i="14"/>
  <c r="J145" i="14"/>
  <c r="K145" i="14" s="1"/>
  <c r="H145" i="14"/>
  <c r="I145" i="14" s="1"/>
  <c r="J144" i="14"/>
  <c r="K144" i="14" s="1"/>
  <c r="I144" i="14"/>
  <c r="H144" i="14"/>
  <c r="J143" i="14"/>
  <c r="K143" i="14" s="1"/>
  <c r="H143" i="14"/>
  <c r="I143" i="14" s="1"/>
  <c r="K142" i="14"/>
  <c r="J142" i="14"/>
  <c r="I142" i="14"/>
  <c r="H142" i="14"/>
  <c r="J141" i="14"/>
  <c r="K141" i="14" s="1"/>
  <c r="H141" i="14"/>
  <c r="I141" i="14" s="1"/>
  <c r="J140" i="14"/>
  <c r="K140" i="14" s="1"/>
  <c r="I140" i="14"/>
  <c r="H140" i="14"/>
  <c r="J139" i="14"/>
  <c r="K139" i="14" s="1"/>
  <c r="H139" i="14"/>
  <c r="I139" i="14" s="1"/>
  <c r="K138" i="14"/>
  <c r="J138" i="14"/>
  <c r="I138" i="14"/>
  <c r="H138" i="14"/>
  <c r="J137" i="14"/>
  <c r="K137" i="14" s="1"/>
  <c r="H137" i="14"/>
  <c r="I137" i="14" s="1"/>
  <c r="K136" i="14"/>
  <c r="J136" i="14"/>
  <c r="I136" i="14"/>
  <c r="H136" i="14"/>
  <c r="J135" i="14"/>
  <c r="K135" i="14" s="1"/>
  <c r="H135" i="14"/>
  <c r="I135" i="14" s="1"/>
  <c r="K134" i="14"/>
  <c r="J134" i="14"/>
  <c r="I134" i="14"/>
  <c r="H134" i="14"/>
  <c r="J133" i="14"/>
  <c r="K133" i="14" s="1"/>
  <c r="H133" i="14"/>
  <c r="I133" i="14" s="1"/>
  <c r="J132" i="14"/>
  <c r="K132" i="14" s="1"/>
  <c r="I132" i="14"/>
  <c r="H132" i="14"/>
  <c r="J131" i="14"/>
  <c r="K131" i="14" s="1"/>
  <c r="H131" i="14"/>
  <c r="I131" i="14" s="1"/>
  <c r="J130" i="14"/>
  <c r="K130" i="14" s="1"/>
  <c r="I130" i="14"/>
  <c r="H130" i="14"/>
  <c r="J129" i="14"/>
  <c r="K129" i="14" s="1"/>
  <c r="H129" i="14"/>
  <c r="I129" i="14" s="1"/>
  <c r="K128" i="14"/>
  <c r="J128" i="14"/>
  <c r="I128" i="14"/>
  <c r="H128" i="14"/>
  <c r="J127" i="14"/>
  <c r="K127" i="14" s="1"/>
  <c r="H127" i="14"/>
  <c r="I127" i="14" s="1"/>
  <c r="K126" i="14"/>
  <c r="J126" i="14"/>
  <c r="I126" i="14"/>
  <c r="H126" i="14"/>
  <c r="J125" i="14"/>
  <c r="K125" i="14" s="1"/>
  <c r="H125" i="14"/>
  <c r="I125" i="14" s="1"/>
  <c r="J124" i="14"/>
  <c r="K124" i="14" s="1"/>
  <c r="I124" i="14"/>
  <c r="H124" i="14"/>
  <c r="J123" i="14"/>
  <c r="K123" i="14" s="1"/>
  <c r="H123" i="14"/>
  <c r="I123" i="14" s="1"/>
  <c r="K122" i="14"/>
  <c r="J122" i="14"/>
  <c r="I122" i="14"/>
  <c r="H122" i="14"/>
  <c r="J121" i="14"/>
  <c r="K121" i="14" s="1"/>
  <c r="H121" i="14"/>
  <c r="I121" i="14" s="1"/>
  <c r="J120" i="14"/>
  <c r="K120" i="14" s="1"/>
  <c r="I120" i="14"/>
  <c r="H120" i="14"/>
  <c r="J119" i="14"/>
  <c r="K119" i="14" s="1"/>
  <c r="H119" i="14"/>
  <c r="I119" i="14" s="1"/>
  <c r="J118" i="14"/>
  <c r="I118" i="14"/>
  <c r="H118" i="14"/>
  <c r="K118" i="14" s="1"/>
  <c r="J117" i="14"/>
  <c r="K117" i="14" s="1"/>
  <c r="H117" i="14"/>
  <c r="I117" i="14" s="1"/>
  <c r="J116" i="14"/>
  <c r="K116" i="14" s="1"/>
  <c r="I116" i="14"/>
  <c r="H116" i="14"/>
  <c r="J115" i="14"/>
  <c r="H115" i="14"/>
  <c r="I115" i="14" s="1"/>
  <c r="J114" i="14"/>
  <c r="K114" i="14" s="1"/>
  <c r="H114" i="14"/>
  <c r="I114" i="14" s="1"/>
  <c r="J113" i="14"/>
  <c r="K113" i="14" s="1"/>
  <c r="H113" i="14"/>
  <c r="I113" i="14" s="1"/>
  <c r="J112" i="14"/>
  <c r="K112" i="14" s="1"/>
  <c r="I112" i="14"/>
  <c r="H112" i="14"/>
  <c r="J111" i="14"/>
  <c r="H111" i="14"/>
  <c r="I111" i="14" s="1"/>
  <c r="J110" i="14"/>
  <c r="I110" i="14"/>
  <c r="H110" i="14"/>
  <c r="K110" i="14" s="1"/>
  <c r="J109" i="14"/>
  <c r="H109" i="14"/>
  <c r="I109" i="14" s="1"/>
  <c r="J108" i="14"/>
  <c r="K108" i="14" s="1"/>
  <c r="I108" i="14"/>
  <c r="H108" i="14"/>
  <c r="J107" i="14"/>
  <c r="H107" i="14"/>
  <c r="I107" i="14" s="1"/>
  <c r="J106" i="14"/>
  <c r="K106" i="14" s="1"/>
  <c r="H106" i="14"/>
  <c r="I106" i="14" s="1"/>
  <c r="J105" i="14"/>
  <c r="K105" i="14" s="1"/>
  <c r="H105" i="14"/>
  <c r="I105" i="14" s="1"/>
  <c r="K104" i="14"/>
  <c r="J104" i="14"/>
  <c r="I104" i="14"/>
  <c r="H104" i="14"/>
  <c r="J103" i="14"/>
  <c r="H103" i="14"/>
  <c r="I103" i="14" s="1"/>
  <c r="J102" i="14"/>
  <c r="I102" i="14"/>
  <c r="H102" i="14"/>
  <c r="K102" i="14" s="1"/>
  <c r="J101" i="14"/>
  <c r="H101" i="14"/>
  <c r="I101" i="14" s="1"/>
  <c r="J100" i="14"/>
  <c r="K100" i="14" s="1"/>
  <c r="I100" i="14"/>
  <c r="H100" i="14"/>
  <c r="J99" i="14"/>
  <c r="K99" i="14" s="1"/>
  <c r="H99" i="14"/>
  <c r="I99" i="14" s="1"/>
  <c r="K98" i="14"/>
  <c r="J98" i="14"/>
  <c r="H98" i="14"/>
  <c r="I98" i="14" s="1"/>
  <c r="J97" i="14"/>
  <c r="K97" i="14" s="1"/>
  <c r="H97" i="14"/>
  <c r="I97" i="14" s="1"/>
  <c r="K96" i="14"/>
  <c r="J96" i="14"/>
  <c r="I96" i="14"/>
  <c r="H96" i="14"/>
  <c r="J95" i="14"/>
  <c r="K95" i="14" s="1"/>
  <c r="H95" i="14"/>
  <c r="I95" i="14" s="1"/>
  <c r="J94" i="14"/>
  <c r="H94" i="14"/>
  <c r="I94" i="14" s="1"/>
  <c r="K93" i="14"/>
  <c r="J93" i="14"/>
  <c r="I93" i="14"/>
  <c r="H93" i="14"/>
  <c r="J92" i="14"/>
  <c r="K92" i="14" s="1"/>
  <c r="I92" i="14"/>
  <c r="H92" i="14"/>
  <c r="K91" i="14"/>
  <c r="J91" i="14"/>
  <c r="I91" i="14"/>
  <c r="H91" i="14"/>
  <c r="J90" i="14"/>
  <c r="I90" i="14"/>
  <c r="H90" i="14"/>
  <c r="K89" i="14"/>
  <c r="J89" i="14"/>
  <c r="I89" i="14"/>
  <c r="H89" i="14"/>
  <c r="J88" i="14"/>
  <c r="K88" i="14" s="1"/>
  <c r="H88" i="14"/>
  <c r="I88" i="14" s="1"/>
  <c r="K87" i="14"/>
  <c r="J87" i="14"/>
  <c r="I87" i="14"/>
  <c r="H87" i="14"/>
  <c r="J86" i="14"/>
  <c r="K86" i="14" s="1"/>
  <c r="I86" i="14"/>
  <c r="H86" i="14"/>
  <c r="K85" i="14"/>
  <c r="J85" i="14"/>
  <c r="I85" i="14"/>
  <c r="H85" i="14"/>
  <c r="J84" i="14"/>
  <c r="I84" i="14"/>
  <c r="H84" i="14"/>
  <c r="K83" i="14"/>
  <c r="J83" i="14"/>
  <c r="I83" i="14"/>
  <c r="H83" i="14"/>
  <c r="J82" i="14"/>
  <c r="H82" i="14"/>
  <c r="I82" i="14" s="1"/>
  <c r="K81" i="14"/>
  <c r="J81" i="14"/>
  <c r="I81" i="14"/>
  <c r="H81" i="14"/>
  <c r="J80" i="14"/>
  <c r="H80" i="14"/>
  <c r="I80" i="14" s="1"/>
  <c r="K79" i="14"/>
  <c r="J79" i="14"/>
  <c r="I79" i="14"/>
  <c r="H79" i="14"/>
  <c r="J78" i="14"/>
  <c r="H78" i="14"/>
  <c r="I78" i="14" s="1"/>
  <c r="K77" i="14"/>
  <c r="J77" i="14"/>
  <c r="I77" i="14"/>
  <c r="H77" i="14"/>
  <c r="J76" i="14"/>
  <c r="K76" i="14" s="1"/>
  <c r="I76" i="14"/>
  <c r="H76" i="14"/>
  <c r="K75" i="14"/>
  <c r="J75" i="14"/>
  <c r="I75" i="14"/>
  <c r="H75" i="14"/>
  <c r="J74" i="14"/>
  <c r="K74" i="14" s="1"/>
  <c r="I74" i="14"/>
  <c r="H74" i="14"/>
  <c r="K73" i="14"/>
  <c r="J73" i="14"/>
  <c r="I73" i="14"/>
  <c r="H73" i="14"/>
  <c r="J72" i="14"/>
  <c r="H72" i="14"/>
  <c r="I72" i="14" s="1"/>
  <c r="K71" i="14"/>
  <c r="J71" i="14"/>
  <c r="I71" i="14"/>
  <c r="H71" i="14"/>
  <c r="J70" i="14"/>
  <c r="K70" i="14" s="1"/>
  <c r="I70" i="14"/>
  <c r="H70" i="14"/>
  <c r="K69" i="14"/>
  <c r="J69" i="14"/>
  <c r="I69" i="14"/>
  <c r="H69" i="14"/>
  <c r="J68" i="14"/>
  <c r="H68" i="14"/>
  <c r="I68" i="14" s="1"/>
  <c r="K67" i="14"/>
  <c r="J67" i="14"/>
  <c r="I67" i="14"/>
  <c r="H67" i="14"/>
  <c r="J66" i="14"/>
  <c r="K66" i="14" s="1"/>
  <c r="I66" i="14"/>
  <c r="H66" i="14"/>
  <c r="K65" i="14"/>
  <c r="J65" i="14"/>
  <c r="I65" i="14"/>
  <c r="H65" i="14"/>
  <c r="J64" i="14"/>
  <c r="I64" i="14"/>
  <c r="H64" i="14"/>
  <c r="K63" i="14"/>
  <c r="J63" i="14"/>
  <c r="I63" i="14"/>
  <c r="H63" i="14"/>
  <c r="J62" i="14"/>
  <c r="H62" i="14"/>
  <c r="I62" i="14" s="1"/>
  <c r="K61" i="14"/>
  <c r="J61" i="14"/>
  <c r="I61" i="14"/>
  <c r="H61" i="14"/>
  <c r="J60" i="14"/>
  <c r="K60" i="14" s="1"/>
  <c r="I60" i="14"/>
  <c r="H60" i="14"/>
  <c r="K59" i="14"/>
  <c r="J59" i="14"/>
  <c r="I59" i="14"/>
  <c r="H59" i="14"/>
  <c r="J58" i="14"/>
  <c r="K58" i="14" s="1"/>
  <c r="I58" i="14"/>
  <c r="H58" i="14"/>
  <c r="K57" i="14"/>
  <c r="J57" i="14"/>
  <c r="I57" i="14"/>
  <c r="H57" i="14"/>
  <c r="J56" i="14"/>
  <c r="H56" i="14"/>
  <c r="I56" i="14" s="1"/>
  <c r="K55" i="14"/>
  <c r="J55" i="14"/>
  <c r="I55" i="14"/>
  <c r="H55" i="14"/>
  <c r="J54" i="14"/>
  <c r="K54" i="14" s="1"/>
  <c r="I54" i="14"/>
  <c r="H54" i="14"/>
  <c r="K53" i="14"/>
  <c r="J53" i="14"/>
  <c r="I53" i="14"/>
  <c r="H53" i="14"/>
  <c r="J52" i="14"/>
  <c r="K52" i="14" s="1"/>
  <c r="I52" i="14"/>
  <c r="H52" i="14"/>
  <c r="K51" i="14"/>
  <c r="J51" i="14"/>
  <c r="I51" i="14"/>
  <c r="H51" i="14"/>
  <c r="J50" i="14"/>
  <c r="H50" i="14"/>
  <c r="I50" i="14" s="1"/>
  <c r="K49" i="14"/>
  <c r="J49" i="14"/>
  <c r="I49" i="14"/>
  <c r="H49" i="14"/>
  <c r="J48" i="14"/>
  <c r="I48" i="14"/>
  <c r="H48" i="14"/>
  <c r="K47" i="14"/>
  <c r="J47" i="14"/>
  <c r="I47" i="14"/>
  <c r="H47" i="14"/>
  <c r="J46" i="14"/>
  <c r="H46" i="14"/>
  <c r="I46" i="14" s="1"/>
  <c r="K45" i="14"/>
  <c r="J45" i="14"/>
  <c r="I45" i="14"/>
  <c r="H45" i="14"/>
  <c r="J44" i="14"/>
  <c r="K44" i="14" s="1"/>
  <c r="H44" i="14"/>
  <c r="I44" i="14" s="1"/>
  <c r="K43" i="14"/>
  <c r="J43" i="14"/>
  <c r="I43" i="14"/>
  <c r="H43" i="14"/>
  <c r="J42" i="14"/>
  <c r="K42" i="14" s="1"/>
  <c r="I42" i="14"/>
  <c r="H42" i="14"/>
  <c r="K41" i="14"/>
  <c r="J41" i="14"/>
  <c r="I41" i="14"/>
  <c r="H41" i="14"/>
  <c r="J40" i="14"/>
  <c r="H40" i="14"/>
  <c r="I40" i="14" s="1"/>
  <c r="K39" i="14"/>
  <c r="J39" i="14"/>
  <c r="I39" i="14"/>
  <c r="H39" i="14"/>
  <c r="J38" i="14"/>
  <c r="K38" i="14" s="1"/>
  <c r="I38" i="14"/>
  <c r="H38" i="14"/>
  <c r="K37" i="14"/>
  <c r="J37" i="14"/>
  <c r="I37" i="14"/>
  <c r="H37" i="14"/>
  <c r="J36" i="14"/>
  <c r="K36" i="14" s="1"/>
  <c r="H36" i="14"/>
  <c r="I36" i="14" s="1"/>
  <c r="K35" i="14"/>
  <c r="J35" i="14"/>
  <c r="I35" i="14"/>
  <c r="H35" i="14"/>
  <c r="J34" i="14"/>
  <c r="K34" i="14" s="1"/>
  <c r="I34" i="14"/>
  <c r="H34" i="14"/>
  <c r="K33" i="14"/>
  <c r="J33" i="14"/>
  <c r="I33" i="14"/>
  <c r="H33" i="14"/>
  <c r="J32" i="14"/>
  <c r="H32" i="14"/>
  <c r="I32" i="14" s="1"/>
  <c r="K31" i="14"/>
  <c r="J31" i="14"/>
  <c r="I31" i="14"/>
  <c r="H31" i="14"/>
  <c r="J30" i="14"/>
  <c r="H30" i="14"/>
  <c r="I30" i="14" s="1"/>
  <c r="K29" i="14"/>
  <c r="J29" i="14"/>
  <c r="I29" i="14"/>
  <c r="H29" i="14"/>
  <c r="J28" i="14"/>
  <c r="K28" i="14" s="1"/>
  <c r="H28" i="14"/>
  <c r="I28" i="14" s="1"/>
  <c r="K27" i="14"/>
  <c r="J27" i="14"/>
  <c r="I27" i="14"/>
  <c r="H27" i="14"/>
  <c r="J26" i="14"/>
  <c r="I26" i="14"/>
  <c r="H26" i="14"/>
  <c r="K25" i="14"/>
  <c r="J25" i="14"/>
  <c r="I25" i="14"/>
  <c r="H25" i="14"/>
  <c r="J24" i="14"/>
  <c r="K24" i="14" s="1"/>
  <c r="H24" i="14"/>
  <c r="I24" i="14" s="1"/>
  <c r="K23" i="14"/>
  <c r="J23" i="14"/>
  <c r="I23" i="14"/>
  <c r="H23" i="14"/>
  <c r="J22" i="14"/>
  <c r="K22" i="14" s="1"/>
  <c r="I22" i="14"/>
  <c r="H22" i="14"/>
  <c r="K21" i="14"/>
  <c r="J21" i="14"/>
  <c r="I21" i="14"/>
  <c r="H21" i="14"/>
  <c r="J20" i="14"/>
  <c r="H20" i="14"/>
  <c r="I20" i="14" s="1"/>
  <c r="K19" i="14"/>
  <c r="J19" i="14"/>
  <c r="I19" i="14"/>
  <c r="H19" i="14"/>
  <c r="J18" i="14"/>
  <c r="K18" i="14" s="1"/>
  <c r="I18" i="14"/>
  <c r="H18" i="14"/>
  <c r="K17" i="14"/>
  <c r="J17" i="14"/>
  <c r="I17" i="14"/>
  <c r="H17" i="14"/>
  <c r="J16" i="14"/>
  <c r="I16" i="14"/>
  <c r="H16" i="14"/>
  <c r="K15" i="14"/>
  <c r="J15" i="14"/>
  <c r="I15" i="14"/>
  <c r="H15" i="14"/>
  <c r="J14" i="14"/>
  <c r="H14" i="14"/>
  <c r="I14" i="14" s="1"/>
  <c r="K13" i="14"/>
  <c r="J13" i="14"/>
  <c r="I13" i="14"/>
  <c r="H13" i="14"/>
  <c r="J12" i="14"/>
  <c r="K12" i="14" s="1"/>
  <c r="I12" i="14"/>
  <c r="H12" i="14"/>
  <c r="K11" i="14"/>
  <c r="J11" i="14"/>
  <c r="I11" i="14"/>
  <c r="H11" i="14"/>
  <c r="J10" i="14"/>
  <c r="I10" i="14"/>
  <c r="H10" i="14"/>
  <c r="K9" i="14"/>
  <c r="J9" i="14"/>
  <c r="I9" i="14"/>
  <c r="H9" i="14"/>
  <c r="J8" i="14"/>
  <c r="H8" i="14"/>
  <c r="I8" i="14" s="1"/>
  <c r="K7" i="14"/>
  <c r="H7" i="14"/>
  <c r="I7" i="14" s="1"/>
  <c r="K215" i="13"/>
  <c r="J215" i="13"/>
  <c r="I215" i="13"/>
  <c r="H215" i="13"/>
  <c r="J214" i="13"/>
  <c r="K214" i="13" s="1"/>
  <c r="I214" i="13"/>
  <c r="H214" i="13"/>
  <c r="J213" i="13"/>
  <c r="K213" i="13" s="1"/>
  <c r="I213" i="13"/>
  <c r="H213" i="13"/>
  <c r="J212" i="13"/>
  <c r="K212" i="13" s="1"/>
  <c r="I212" i="13"/>
  <c r="H212" i="13"/>
  <c r="J211" i="13"/>
  <c r="K211" i="13" s="1"/>
  <c r="H211" i="13"/>
  <c r="I211" i="13" s="1"/>
  <c r="J210" i="13"/>
  <c r="K210" i="13" s="1"/>
  <c r="I210" i="13"/>
  <c r="H210" i="13"/>
  <c r="J209" i="13"/>
  <c r="H209" i="13"/>
  <c r="J208" i="13"/>
  <c r="K208" i="13" s="1"/>
  <c r="I208" i="13"/>
  <c r="H208" i="13"/>
  <c r="J207" i="13"/>
  <c r="K207" i="13" s="1"/>
  <c r="H207" i="13"/>
  <c r="I207" i="13" s="1"/>
  <c r="J206" i="13"/>
  <c r="K206" i="13" s="1"/>
  <c r="I206" i="13"/>
  <c r="H206" i="13"/>
  <c r="K205" i="13"/>
  <c r="J205" i="13"/>
  <c r="I205" i="13"/>
  <c r="H205" i="13"/>
  <c r="J204" i="13"/>
  <c r="K204" i="13" s="1"/>
  <c r="I204" i="13"/>
  <c r="H204" i="13"/>
  <c r="J203" i="13"/>
  <c r="K203" i="13" s="1"/>
  <c r="H203" i="13"/>
  <c r="I203" i="13" s="1"/>
  <c r="J202" i="13"/>
  <c r="K202" i="13" s="1"/>
  <c r="I202" i="13"/>
  <c r="H202" i="13"/>
  <c r="K201" i="13"/>
  <c r="J201" i="13"/>
  <c r="I201" i="13"/>
  <c r="H201" i="13"/>
  <c r="J200" i="13"/>
  <c r="K200" i="13" s="1"/>
  <c r="I200" i="13"/>
  <c r="H200" i="13"/>
  <c r="J199" i="13"/>
  <c r="H199" i="13"/>
  <c r="J198" i="13"/>
  <c r="K198" i="13" s="1"/>
  <c r="I198" i="13"/>
  <c r="H198" i="13"/>
  <c r="J197" i="13"/>
  <c r="K197" i="13" s="1"/>
  <c r="I197" i="13"/>
  <c r="H197" i="13"/>
  <c r="J196" i="13"/>
  <c r="K196" i="13" s="1"/>
  <c r="I196" i="13"/>
  <c r="H196" i="13"/>
  <c r="J195" i="13"/>
  <c r="K195" i="13" s="1"/>
  <c r="I195" i="13"/>
  <c r="H195" i="13"/>
  <c r="J194" i="13"/>
  <c r="K194" i="13" s="1"/>
  <c r="I194" i="13"/>
  <c r="H194" i="13"/>
  <c r="K193" i="13"/>
  <c r="J193" i="13"/>
  <c r="H193" i="13"/>
  <c r="I193" i="13" s="1"/>
  <c r="J192" i="13"/>
  <c r="K192" i="13" s="1"/>
  <c r="I192" i="13"/>
  <c r="H192" i="13"/>
  <c r="J191" i="13"/>
  <c r="K191" i="13" s="1"/>
  <c r="H191" i="13"/>
  <c r="I191" i="13" s="1"/>
  <c r="J190" i="13"/>
  <c r="K190" i="13" s="1"/>
  <c r="I190" i="13"/>
  <c r="H190" i="13"/>
  <c r="K189" i="13"/>
  <c r="J189" i="13"/>
  <c r="I189" i="13"/>
  <c r="H189" i="13"/>
  <c r="J188" i="13"/>
  <c r="K188" i="13" s="1"/>
  <c r="I188" i="13"/>
  <c r="H188" i="13"/>
  <c r="K187" i="13"/>
  <c r="J187" i="13"/>
  <c r="H187" i="13"/>
  <c r="I187" i="13" s="1"/>
  <c r="J186" i="13"/>
  <c r="K186" i="13" s="1"/>
  <c r="I186" i="13"/>
  <c r="H186" i="13"/>
  <c r="K185" i="13"/>
  <c r="J185" i="13"/>
  <c r="I185" i="13"/>
  <c r="H185" i="13"/>
  <c r="J184" i="13"/>
  <c r="K184" i="13" s="1"/>
  <c r="I184" i="13"/>
  <c r="H184" i="13"/>
  <c r="J183" i="13"/>
  <c r="I183" i="13"/>
  <c r="H183" i="13"/>
  <c r="J182" i="13"/>
  <c r="K182" i="13" s="1"/>
  <c r="I182" i="13"/>
  <c r="H182" i="13"/>
  <c r="J181" i="13"/>
  <c r="H181" i="13"/>
  <c r="I181" i="13" s="1"/>
  <c r="J180" i="13"/>
  <c r="K180" i="13" s="1"/>
  <c r="I180" i="13"/>
  <c r="H180" i="13"/>
  <c r="J179" i="13"/>
  <c r="K179" i="13" s="1"/>
  <c r="I179" i="13"/>
  <c r="H179" i="13"/>
  <c r="J178" i="13"/>
  <c r="K178" i="13" s="1"/>
  <c r="I178" i="13"/>
  <c r="H178" i="13"/>
  <c r="K177" i="13"/>
  <c r="J177" i="13"/>
  <c r="H177" i="13"/>
  <c r="I177" i="13" s="1"/>
  <c r="J176" i="13"/>
  <c r="K176" i="13" s="1"/>
  <c r="I176" i="13"/>
  <c r="H176" i="13"/>
  <c r="J175" i="13"/>
  <c r="K175" i="13" s="1"/>
  <c r="H175" i="13"/>
  <c r="I175" i="13" s="1"/>
  <c r="J174" i="13"/>
  <c r="K174" i="13" s="1"/>
  <c r="I174" i="13"/>
  <c r="H174" i="13"/>
  <c r="K173" i="13"/>
  <c r="J173" i="13"/>
  <c r="I173" i="13"/>
  <c r="H173" i="13"/>
  <c r="J172" i="13"/>
  <c r="K172" i="13" s="1"/>
  <c r="I172" i="13"/>
  <c r="H172" i="13"/>
  <c r="J171" i="13"/>
  <c r="K171" i="13" s="1"/>
  <c r="H171" i="13"/>
  <c r="I171" i="13" s="1"/>
  <c r="J170" i="13"/>
  <c r="K170" i="13" s="1"/>
  <c r="I170" i="13"/>
  <c r="H170" i="13"/>
  <c r="J169" i="13"/>
  <c r="K169" i="13" s="1"/>
  <c r="I169" i="13"/>
  <c r="H169" i="13"/>
  <c r="J168" i="13"/>
  <c r="K168" i="13" s="1"/>
  <c r="I168" i="13"/>
  <c r="H168" i="13"/>
  <c r="J167" i="13"/>
  <c r="K167" i="13" s="1"/>
  <c r="I167" i="13"/>
  <c r="H167" i="13"/>
  <c r="J166" i="13"/>
  <c r="K166" i="13" s="1"/>
  <c r="I166" i="13"/>
  <c r="H166" i="13"/>
  <c r="J165" i="13"/>
  <c r="H165" i="13"/>
  <c r="I165" i="13" s="1"/>
  <c r="J164" i="13"/>
  <c r="K164" i="13" s="1"/>
  <c r="I164" i="13"/>
  <c r="H164" i="13"/>
  <c r="J163" i="13"/>
  <c r="H163" i="13"/>
  <c r="I163" i="13" s="1"/>
  <c r="J162" i="13"/>
  <c r="K162" i="13" s="1"/>
  <c r="I162" i="13"/>
  <c r="H162" i="13"/>
  <c r="K161" i="13"/>
  <c r="J161" i="13"/>
  <c r="H161" i="13"/>
  <c r="I161" i="13" s="1"/>
  <c r="J160" i="13"/>
  <c r="K160" i="13" s="1"/>
  <c r="I160" i="13"/>
  <c r="H160" i="13"/>
  <c r="J159" i="13"/>
  <c r="K159" i="13" s="1"/>
  <c r="H159" i="13"/>
  <c r="I159" i="13" s="1"/>
  <c r="J158" i="13"/>
  <c r="K158" i="13" s="1"/>
  <c r="I158" i="13"/>
  <c r="H158" i="13"/>
  <c r="K157" i="13"/>
  <c r="J157" i="13"/>
  <c r="I157" i="13"/>
  <c r="H157" i="13"/>
  <c r="J156" i="13"/>
  <c r="K156" i="13" s="1"/>
  <c r="I156" i="13"/>
  <c r="H156" i="13"/>
  <c r="J155" i="13"/>
  <c r="H155" i="13"/>
  <c r="J154" i="13"/>
  <c r="K154" i="13" s="1"/>
  <c r="I154" i="13"/>
  <c r="H154" i="13"/>
  <c r="J153" i="13"/>
  <c r="K153" i="13" s="1"/>
  <c r="I153" i="13"/>
  <c r="H153" i="13"/>
  <c r="J152" i="13"/>
  <c r="K152" i="13" s="1"/>
  <c r="I152" i="13"/>
  <c r="H152" i="13"/>
  <c r="K151" i="13"/>
  <c r="J151" i="13"/>
  <c r="I151" i="13"/>
  <c r="H151" i="13"/>
  <c r="J150" i="13"/>
  <c r="K150" i="13" s="1"/>
  <c r="I150" i="13"/>
  <c r="H150" i="13"/>
  <c r="J149" i="13"/>
  <c r="K149" i="13" s="1"/>
  <c r="I149" i="13"/>
  <c r="H149" i="13"/>
  <c r="J148" i="13"/>
  <c r="K148" i="13" s="1"/>
  <c r="I148" i="13"/>
  <c r="H148" i="13"/>
  <c r="J147" i="13"/>
  <c r="K147" i="13" s="1"/>
  <c r="H147" i="13"/>
  <c r="I147" i="13" s="1"/>
  <c r="J146" i="13"/>
  <c r="K146" i="13" s="1"/>
  <c r="I146" i="13"/>
  <c r="H146" i="13"/>
  <c r="J145" i="13"/>
  <c r="H145" i="13"/>
  <c r="J144" i="13"/>
  <c r="K144" i="13" s="1"/>
  <c r="I144" i="13"/>
  <c r="H144" i="13"/>
  <c r="J143" i="13"/>
  <c r="K143" i="13" s="1"/>
  <c r="H143" i="13"/>
  <c r="I143" i="13" s="1"/>
  <c r="J142" i="13"/>
  <c r="K142" i="13" s="1"/>
  <c r="I142" i="13"/>
  <c r="H142" i="13"/>
  <c r="K141" i="13"/>
  <c r="J141" i="13"/>
  <c r="I141" i="13"/>
  <c r="H141" i="13"/>
  <c r="J140" i="13"/>
  <c r="K140" i="13" s="1"/>
  <c r="H140" i="13"/>
  <c r="I140" i="13" s="1"/>
  <c r="J139" i="13"/>
  <c r="K139" i="13" s="1"/>
  <c r="I139" i="13"/>
  <c r="H139" i="13"/>
  <c r="J138" i="13"/>
  <c r="K138" i="13" s="1"/>
  <c r="H138" i="13"/>
  <c r="I138" i="13" s="1"/>
  <c r="J137" i="13"/>
  <c r="K137" i="13" s="1"/>
  <c r="I137" i="13"/>
  <c r="H137" i="13"/>
  <c r="J136" i="13"/>
  <c r="K136" i="13" s="1"/>
  <c r="H136" i="13"/>
  <c r="I136" i="13" s="1"/>
  <c r="K135" i="13"/>
  <c r="J135" i="13"/>
  <c r="H135" i="13"/>
  <c r="I135" i="13" s="1"/>
  <c r="J134" i="13"/>
  <c r="K134" i="13" s="1"/>
  <c r="H134" i="13"/>
  <c r="I134" i="13" s="1"/>
  <c r="K133" i="13"/>
  <c r="J133" i="13"/>
  <c r="I133" i="13"/>
  <c r="H133" i="13"/>
  <c r="J132" i="13"/>
  <c r="K132" i="13" s="1"/>
  <c r="H132" i="13"/>
  <c r="I132" i="13" s="1"/>
  <c r="K131" i="13"/>
  <c r="J131" i="13"/>
  <c r="I131" i="13"/>
  <c r="H131" i="13"/>
  <c r="J130" i="13"/>
  <c r="K130" i="13" s="1"/>
  <c r="H130" i="13"/>
  <c r="I130" i="13" s="1"/>
  <c r="J129" i="13"/>
  <c r="H129" i="13"/>
  <c r="I129" i="13" s="1"/>
  <c r="J128" i="13"/>
  <c r="K128" i="13" s="1"/>
  <c r="H128" i="13"/>
  <c r="I128" i="13" s="1"/>
  <c r="J127" i="13"/>
  <c r="H127" i="13"/>
  <c r="J126" i="13"/>
  <c r="K126" i="13" s="1"/>
  <c r="H126" i="13"/>
  <c r="I126" i="13" s="1"/>
  <c r="K125" i="13"/>
  <c r="J125" i="13"/>
  <c r="I125" i="13"/>
  <c r="H125" i="13"/>
  <c r="J124" i="13"/>
  <c r="K124" i="13" s="1"/>
  <c r="H124" i="13"/>
  <c r="I124" i="13" s="1"/>
  <c r="K123" i="13"/>
  <c r="J123" i="13"/>
  <c r="I123" i="13"/>
  <c r="H123" i="13"/>
  <c r="J122" i="13"/>
  <c r="K122" i="13" s="1"/>
  <c r="H122" i="13"/>
  <c r="I122" i="13" s="1"/>
  <c r="J121" i="13"/>
  <c r="K121" i="13" s="1"/>
  <c r="I121" i="13"/>
  <c r="H121" i="13"/>
  <c r="J120" i="13"/>
  <c r="K120" i="13" s="1"/>
  <c r="H120" i="13"/>
  <c r="I120" i="13" s="1"/>
  <c r="J119" i="13"/>
  <c r="H119" i="13"/>
  <c r="J118" i="13"/>
  <c r="K118" i="13" s="1"/>
  <c r="H118" i="13"/>
  <c r="I118" i="13" s="1"/>
  <c r="K117" i="13"/>
  <c r="J117" i="13"/>
  <c r="I117" i="13"/>
  <c r="H117" i="13"/>
  <c r="J116" i="13"/>
  <c r="K116" i="13" s="1"/>
  <c r="H116" i="13"/>
  <c r="I116" i="13" s="1"/>
  <c r="K115" i="13"/>
  <c r="J115" i="13"/>
  <c r="I115" i="13"/>
  <c r="H115" i="13"/>
  <c r="J114" i="13"/>
  <c r="K114" i="13" s="1"/>
  <c r="H114" i="13"/>
  <c r="I114" i="13" s="1"/>
  <c r="J113" i="13"/>
  <c r="H113" i="13"/>
  <c r="I113" i="13" s="1"/>
  <c r="J112" i="13"/>
  <c r="K112" i="13" s="1"/>
  <c r="H112" i="13"/>
  <c r="I112" i="13" s="1"/>
  <c r="K111" i="13"/>
  <c r="J111" i="13"/>
  <c r="H111" i="13"/>
  <c r="I111" i="13" s="1"/>
  <c r="J110" i="13"/>
  <c r="K110" i="13" s="1"/>
  <c r="H110" i="13"/>
  <c r="I110" i="13" s="1"/>
  <c r="K109" i="13"/>
  <c r="J109" i="13"/>
  <c r="I109" i="13"/>
  <c r="H109" i="13"/>
  <c r="J108" i="13"/>
  <c r="K108" i="13" s="1"/>
  <c r="H108" i="13"/>
  <c r="I108" i="13" s="1"/>
  <c r="J107" i="13"/>
  <c r="K107" i="13" s="1"/>
  <c r="I107" i="13"/>
  <c r="H107" i="13"/>
  <c r="J106" i="13"/>
  <c r="K106" i="13" s="1"/>
  <c r="H106" i="13"/>
  <c r="I106" i="13" s="1"/>
  <c r="J105" i="13"/>
  <c r="K105" i="13" s="1"/>
  <c r="I105" i="13"/>
  <c r="H105" i="13"/>
  <c r="J104" i="13"/>
  <c r="K104" i="13" s="1"/>
  <c r="H104" i="13"/>
  <c r="I104" i="13" s="1"/>
  <c r="K103" i="13"/>
  <c r="J103" i="13"/>
  <c r="H103" i="13"/>
  <c r="I103" i="13" s="1"/>
  <c r="J102" i="13"/>
  <c r="K102" i="13" s="1"/>
  <c r="H102" i="13"/>
  <c r="I102" i="13" s="1"/>
  <c r="K101" i="13"/>
  <c r="J101" i="13"/>
  <c r="I101" i="13"/>
  <c r="H101" i="13"/>
  <c r="J100" i="13"/>
  <c r="K100" i="13" s="1"/>
  <c r="H100" i="13"/>
  <c r="I100" i="13" s="1"/>
  <c r="K99" i="13"/>
  <c r="J99" i="13"/>
  <c r="I99" i="13"/>
  <c r="H99" i="13"/>
  <c r="J98" i="13"/>
  <c r="K98" i="13" s="1"/>
  <c r="H98" i="13"/>
  <c r="I98" i="13" s="1"/>
  <c r="J97" i="13"/>
  <c r="K97" i="13" s="1"/>
  <c r="H97" i="13"/>
  <c r="I97" i="13" s="1"/>
  <c r="J96" i="13"/>
  <c r="K96" i="13" s="1"/>
  <c r="H96" i="13"/>
  <c r="I96" i="13" s="1"/>
  <c r="K95" i="13"/>
  <c r="J95" i="13"/>
  <c r="H95" i="13"/>
  <c r="I95" i="13" s="1"/>
  <c r="J94" i="13"/>
  <c r="K94" i="13" s="1"/>
  <c r="H94" i="13"/>
  <c r="I94" i="13" s="1"/>
  <c r="K93" i="13"/>
  <c r="J93" i="13"/>
  <c r="I93" i="13"/>
  <c r="H93" i="13"/>
  <c r="J92" i="13"/>
  <c r="K92" i="13" s="1"/>
  <c r="H92" i="13"/>
  <c r="I92" i="13" s="1"/>
  <c r="K91" i="13"/>
  <c r="J91" i="13"/>
  <c r="I91" i="13"/>
  <c r="H91" i="13"/>
  <c r="J90" i="13"/>
  <c r="K90" i="13" s="1"/>
  <c r="H90" i="13"/>
  <c r="I90" i="13" s="1"/>
  <c r="J89" i="13"/>
  <c r="H89" i="13"/>
  <c r="I89" i="13" s="1"/>
  <c r="J88" i="13"/>
  <c r="K88" i="13" s="1"/>
  <c r="H88" i="13"/>
  <c r="I88" i="13" s="1"/>
  <c r="J87" i="13"/>
  <c r="H87" i="13"/>
  <c r="J86" i="13"/>
  <c r="K86" i="13" s="1"/>
  <c r="H86" i="13"/>
  <c r="I86" i="13" s="1"/>
  <c r="K85" i="13"/>
  <c r="J85" i="13"/>
  <c r="I85" i="13"/>
  <c r="H85" i="13"/>
  <c r="J84" i="13"/>
  <c r="K84" i="13" s="1"/>
  <c r="H84" i="13"/>
  <c r="I84" i="13" s="1"/>
  <c r="K83" i="13"/>
  <c r="J83" i="13"/>
  <c r="I83" i="13"/>
  <c r="H83" i="13"/>
  <c r="J82" i="13"/>
  <c r="K82" i="13" s="1"/>
  <c r="H82" i="13"/>
  <c r="I82" i="13" s="1"/>
  <c r="J81" i="13"/>
  <c r="H81" i="13"/>
  <c r="I81" i="13" s="1"/>
  <c r="J80" i="13"/>
  <c r="K80" i="13" s="1"/>
  <c r="H80" i="13"/>
  <c r="I80" i="13" s="1"/>
  <c r="K79" i="13"/>
  <c r="J79" i="13"/>
  <c r="H79" i="13"/>
  <c r="I79" i="13" s="1"/>
  <c r="J78" i="13"/>
  <c r="K78" i="13" s="1"/>
  <c r="H78" i="13"/>
  <c r="I78" i="13" s="1"/>
  <c r="K77" i="13"/>
  <c r="J77" i="13"/>
  <c r="I77" i="13"/>
  <c r="H77" i="13"/>
  <c r="J76" i="13"/>
  <c r="K76" i="13" s="1"/>
  <c r="H76" i="13"/>
  <c r="I76" i="13" s="1"/>
  <c r="J75" i="13"/>
  <c r="K75" i="13" s="1"/>
  <c r="I75" i="13"/>
  <c r="H75" i="13"/>
  <c r="J74" i="13"/>
  <c r="K74" i="13" s="1"/>
  <c r="H74" i="13"/>
  <c r="I74" i="13" s="1"/>
  <c r="J73" i="13"/>
  <c r="K73" i="13" s="1"/>
  <c r="I73" i="13"/>
  <c r="H73" i="13"/>
  <c r="J72" i="13"/>
  <c r="K72" i="13" s="1"/>
  <c r="H72" i="13"/>
  <c r="I72" i="13" s="1"/>
  <c r="K71" i="13"/>
  <c r="J71" i="13"/>
  <c r="H71" i="13"/>
  <c r="I71" i="13" s="1"/>
  <c r="J70" i="13"/>
  <c r="K70" i="13" s="1"/>
  <c r="H70" i="13"/>
  <c r="I70" i="13" s="1"/>
  <c r="K69" i="13"/>
  <c r="J69" i="13"/>
  <c r="I69" i="13"/>
  <c r="H69" i="13"/>
  <c r="J68" i="13"/>
  <c r="K68" i="13" s="1"/>
  <c r="H68" i="13"/>
  <c r="I68" i="13" s="1"/>
  <c r="K67" i="13"/>
  <c r="J67" i="13"/>
  <c r="I67" i="13"/>
  <c r="H67" i="13"/>
  <c r="J66" i="13"/>
  <c r="K66" i="13" s="1"/>
  <c r="H66" i="13"/>
  <c r="I66" i="13" s="1"/>
  <c r="J65" i="13"/>
  <c r="K65" i="13" s="1"/>
  <c r="H65" i="13"/>
  <c r="I65" i="13" s="1"/>
  <c r="J64" i="13"/>
  <c r="K64" i="13" s="1"/>
  <c r="H64" i="13"/>
  <c r="I64" i="13" s="1"/>
  <c r="K63" i="13"/>
  <c r="J63" i="13"/>
  <c r="H63" i="13"/>
  <c r="I63" i="13" s="1"/>
  <c r="J62" i="13"/>
  <c r="K62" i="13" s="1"/>
  <c r="H62" i="13"/>
  <c r="I62" i="13" s="1"/>
  <c r="K61" i="13"/>
  <c r="J61" i="13"/>
  <c r="I61" i="13"/>
  <c r="H61" i="13"/>
  <c r="J60" i="13"/>
  <c r="K60" i="13" s="1"/>
  <c r="H60" i="13"/>
  <c r="I60" i="13" s="1"/>
  <c r="K59" i="13"/>
  <c r="J59" i="13"/>
  <c r="I59" i="13"/>
  <c r="H59" i="13"/>
  <c r="J58" i="13"/>
  <c r="K58" i="13" s="1"/>
  <c r="H58" i="13"/>
  <c r="I58" i="13" s="1"/>
  <c r="J57" i="13"/>
  <c r="K57" i="13" s="1"/>
  <c r="H57" i="13"/>
  <c r="I57" i="13" s="1"/>
  <c r="J56" i="13"/>
  <c r="K56" i="13" s="1"/>
  <c r="H56" i="13"/>
  <c r="I56" i="13" s="1"/>
  <c r="J55" i="13"/>
  <c r="H55" i="13"/>
  <c r="J54" i="13"/>
  <c r="K54" i="13" s="1"/>
  <c r="H54" i="13"/>
  <c r="I54" i="13" s="1"/>
  <c r="K53" i="13"/>
  <c r="J53" i="13"/>
  <c r="I53" i="13"/>
  <c r="H53" i="13"/>
  <c r="J52" i="13"/>
  <c r="K52" i="13" s="1"/>
  <c r="H52" i="13"/>
  <c r="I52" i="13" s="1"/>
  <c r="J51" i="13"/>
  <c r="K51" i="13" s="1"/>
  <c r="I51" i="13"/>
  <c r="H51" i="13"/>
  <c r="J50" i="13"/>
  <c r="K50" i="13" s="1"/>
  <c r="H50" i="13"/>
  <c r="I50" i="13" s="1"/>
  <c r="J49" i="13"/>
  <c r="H49" i="13"/>
  <c r="I49" i="13" s="1"/>
  <c r="J48" i="13"/>
  <c r="K48" i="13" s="1"/>
  <c r="H48" i="13"/>
  <c r="I48" i="13" s="1"/>
  <c r="K47" i="13"/>
  <c r="J47" i="13"/>
  <c r="H47" i="13"/>
  <c r="I47" i="13" s="1"/>
  <c r="J46" i="13"/>
  <c r="K46" i="13" s="1"/>
  <c r="H46" i="13"/>
  <c r="I46" i="13" s="1"/>
  <c r="K45" i="13"/>
  <c r="J45" i="13"/>
  <c r="I45" i="13"/>
  <c r="H45" i="13"/>
  <c r="J44" i="13"/>
  <c r="K44" i="13" s="1"/>
  <c r="H44" i="13"/>
  <c r="I44" i="13" s="1"/>
  <c r="J43" i="13"/>
  <c r="K43" i="13" s="1"/>
  <c r="I43" i="13"/>
  <c r="H43" i="13"/>
  <c r="J42" i="13"/>
  <c r="K42" i="13" s="1"/>
  <c r="H42" i="13"/>
  <c r="I42" i="13" s="1"/>
  <c r="J41" i="13"/>
  <c r="K41" i="13" s="1"/>
  <c r="I41" i="13"/>
  <c r="H41" i="13"/>
  <c r="J40" i="13"/>
  <c r="K40" i="13" s="1"/>
  <c r="H40" i="13"/>
  <c r="I40" i="13" s="1"/>
  <c r="K39" i="13"/>
  <c r="J39" i="13"/>
  <c r="H39" i="13"/>
  <c r="I39" i="13" s="1"/>
  <c r="J38" i="13"/>
  <c r="K38" i="13" s="1"/>
  <c r="H38" i="13"/>
  <c r="I38" i="13" s="1"/>
  <c r="K37" i="13"/>
  <c r="J37" i="13"/>
  <c r="I37" i="13"/>
  <c r="H37" i="13"/>
  <c r="J36" i="13"/>
  <c r="K36" i="13" s="1"/>
  <c r="H36" i="13"/>
  <c r="I36" i="13" s="1"/>
  <c r="K35" i="13"/>
  <c r="J35" i="13"/>
  <c r="I35" i="13"/>
  <c r="H35" i="13"/>
  <c r="J34" i="13"/>
  <c r="K34" i="13" s="1"/>
  <c r="H34" i="13"/>
  <c r="I34" i="13" s="1"/>
  <c r="J33" i="13"/>
  <c r="K33" i="13" s="1"/>
  <c r="H33" i="13"/>
  <c r="I33" i="13" s="1"/>
  <c r="J32" i="13"/>
  <c r="K32" i="13" s="1"/>
  <c r="H32" i="13"/>
  <c r="I32" i="13" s="1"/>
  <c r="J31" i="13"/>
  <c r="H31" i="13"/>
  <c r="J30" i="13"/>
  <c r="K30" i="13" s="1"/>
  <c r="H30" i="13"/>
  <c r="I30" i="13" s="1"/>
  <c r="K29" i="13"/>
  <c r="J29" i="13"/>
  <c r="I29" i="13"/>
  <c r="H29" i="13"/>
  <c r="J28" i="13"/>
  <c r="K28" i="13" s="1"/>
  <c r="H28" i="13"/>
  <c r="I28" i="13" s="1"/>
  <c r="K27" i="13"/>
  <c r="J27" i="13"/>
  <c r="I27" i="13"/>
  <c r="H27" i="13"/>
  <c r="J26" i="13"/>
  <c r="K26" i="13" s="1"/>
  <c r="H26" i="13"/>
  <c r="I26" i="13" s="1"/>
  <c r="J25" i="13"/>
  <c r="I25" i="13"/>
  <c r="H25" i="13"/>
  <c r="J24" i="13"/>
  <c r="K24" i="13" s="1"/>
  <c r="H24" i="13"/>
  <c r="I24" i="13" s="1"/>
  <c r="J23" i="13"/>
  <c r="H23" i="13"/>
  <c r="J22" i="13"/>
  <c r="K22" i="13" s="1"/>
  <c r="H22" i="13"/>
  <c r="I22" i="13" s="1"/>
  <c r="K21" i="13"/>
  <c r="J21" i="13"/>
  <c r="I21" i="13"/>
  <c r="H21" i="13"/>
  <c r="J20" i="13"/>
  <c r="K20" i="13" s="1"/>
  <c r="H20" i="13"/>
  <c r="I20" i="13" s="1"/>
  <c r="J19" i="13"/>
  <c r="K19" i="13" s="1"/>
  <c r="I19" i="13"/>
  <c r="H19" i="13"/>
  <c r="J18" i="13"/>
  <c r="K18" i="13" s="1"/>
  <c r="H18" i="13"/>
  <c r="I18" i="13" s="1"/>
  <c r="J17" i="13"/>
  <c r="I17" i="13"/>
  <c r="H17" i="13"/>
  <c r="J16" i="13"/>
  <c r="K16" i="13" s="1"/>
  <c r="H16" i="13"/>
  <c r="I16" i="13" s="1"/>
  <c r="J15" i="13"/>
  <c r="H15" i="13"/>
  <c r="I15" i="13" s="1"/>
  <c r="J14" i="13"/>
  <c r="K14" i="13" s="1"/>
  <c r="H14" i="13"/>
  <c r="I14" i="13" s="1"/>
  <c r="K13" i="13"/>
  <c r="J13" i="13"/>
  <c r="I13" i="13"/>
  <c r="H13" i="13"/>
  <c r="J12" i="13"/>
  <c r="K12" i="13" s="1"/>
  <c r="H12" i="13"/>
  <c r="I12" i="13" s="1"/>
  <c r="J11" i="13"/>
  <c r="K11" i="13" s="1"/>
  <c r="I11" i="13"/>
  <c r="H11" i="13"/>
  <c r="J10" i="13"/>
  <c r="K10" i="13" s="1"/>
  <c r="H10" i="13"/>
  <c r="I10" i="13" s="1"/>
  <c r="J9" i="13"/>
  <c r="K9" i="13" s="1"/>
  <c r="I9" i="13"/>
  <c r="H9" i="13"/>
  <c r="J8" i="13"/>
  <c r="K8" i="13" s="1"/>
  <c r="H8" i="13"/>
  <c r="I8" i="13" s="1"/>
  <c r="K7" i="13"/>
  <c r="I7" i="13"/>
  <c r="H7" i="13"/>
  <c r="J215" i="12"/>
  <c r="H215" i="12"/>
  <c r="K214" i="12"/>
  <c r="J214" i="12"/>
  <c r="I214" i="12"/>
  <c r="H214" i="12"/>
  <c r="J213" i="12"/>
  <c r="H213" i="12"/>
  <c r="K212" i="12"/>
  <c r="J212" i="12"/>
  <c r="I212" i="12"/>
  <c r="H212" i="12"/>
  <c r="J211" i="12"/>
  <c r="H211" i="12"/>
  <c r="J210" i="12"/>
  <c r="K210" i="12" s="1"/>
  <c r="I210" i="12"/>
  <c r="H210" i="12"/>
  <c r="J209" i="12"/>
  <c r="H209" i="12"/>
  <c r="K208" i="12"/>
  <c r="J208" i="12"/>
  <c r="I208" i="12"/>
  <c r="H208" i="12"/>
  <c r="J207" i="12"/>
  <c r="H207" i="12"/>
  <c r="K206" i="12"/>
  <c r="J206" i="12"/>
  <c r="I206" i="12"/>
  <c r="H206" i="12"/>
  <c r="J205" i="12"/>
  <c r="H205" i="12"/>
  <c r="K204" i="12"/>
  <c r="J204" i="12"/>
  <c r="I204" i="12"/>
  <c r="H204" i="12"/>
  <c r="J203" i="12"/>
  <c r="H203" i="12"/>
  <c r="J202" i="12"/>
  <c r="K202" i="12" s="1"/>
  <c r="I202" i="12"/>
  <c r="H202" i="12"/>
  <c r="J201" i="12"/>
  <c r="H201" i="12"/>
  <c r="K200" i="12"/>
  <c r="J200" i="12"/>
  <c r="I200" i="12"/>
  <c r="H200" i="12"/>
  <c r="J199" i="12"/>
  <c r="H199" i="12"/>
  <c r="K198" i="12"/>
  <c r="J198" i="12"/>
  <c r="I198" i="12"/>
  <c r="H198" i="12"/>
  <c r="J197" i="12"/>
  <c r="H197" i="12"/>
  <c r="J196" i="12"/>
  <c r="K196" i="12" s="1"/>
  <c r="I196" i="12"/>
  <c r="H196" i="12"/>
  <c r="J195" i="12"/>
  <c r="H195" i="12"/>
  <c r="J194" i="12"/>
  <c r="K194" i="12" s="1"/>
  <c r="I194" i="12"/>
  <c r="H194" i="12"/>
  <c r="J193" i="12"/>
  <c r="H193" i="12"/>
  <c r="K192" i="12"/>
  <c r="J192" i="12"/>
  <c r="I192" i="12"/>
  <c r="H192" i="12"/>
  <c r="J191" i="12"/>
  <c r="H191" i="12"/>
  <c r="K190" i="12"/>
  <c r="J190" i="12"/>
  <c r="I190" i="12"/>
  <c r="H190" i="12"/>
  <c r="J189" i="12"/>
  <c r="H189" i="12"/>
  <c r="K188" i="12"/>
  <c r="J188" i="12"/>
  <c r="I188" i="12"/>
  <c r="H188" i="12"/>
  <c r="J187" i="12"/>
  <c r="H187" i="12"/>
  <c r="J186" i="12"/>
  <c r="K186" i="12" s="1"/>
  <c r="I186" i="12"/>
  <c r="H186" i="12"/>
  <c r="J185" i="12"/>
  <c r="H185" i="12"/>
  <c r="K184" i="12"/>
  <c r="J184" i="12"/>
  <c r="I184" i="12"/>
  <c r="H184" i="12"/>
  <c r="J183" i="12"/>
  <c r="H183" i="12"/>
  <c r="K182" i="12"/>
  <c r="J182" i="12"/>
  <c r="I182" i="12"/>
  <c r="H182" i="12"/>
  <c r="J181" i="12"/>
  <c r="H181" i="12"/>
  <c r="K180" i="12"/>
  <c r="J180" i="12"/>
  <c r="I180" i="12"/>
  <c r="H180" i="12"/>
  <c r="J179" i="12"/>
  <c r="H179" i="12"/>
  <c r="J178" i="12"/>
  <c r="K178" i="12" s="1"/>
  <c r="I178" i="12"/>
  <c r="H178" i="12"/>
  <c r="J177" i="12"/>
  <c r="H177" i="12"/>
  <c r="K176" i="12"/>
  <c r="J176" i="12"/>
  <c r="I176" i="12"/>
  <c r="H176" i="12"/>
  <c r="J175" i="12"/>
  <c r="H175" i="12"/>
  <c r="K174" i="12"/>
  <c r="J174" i="12"/>
  <c r="I174" i="12"/>
  <c r="H174" i="12"/>
  <c r="J173" i="12"/>
  <c r="H173" i="12"/>
  <c r="J172" i="12"/>
  <c r="K172" i="12" s="1"/>
  <c r="I172" i="12"/>
  <c r="H172" i="12"/>
  <c r="J171" i="12"/>
  <c r="H171" i="12"/>
  <c r="J170" i="12"/>
  <c r="K170" i="12" s="1"/>
  <c r="I170" i="12"/>
  <c r="H170" i="12"/>
  <c r="J169" i="12"/>
  <c r="H169" i="12"/>
  <c r="K168" i="12"/>
  <c r="J168" i="12"/>
  <c r="I168" i="12"/>
  <c r="H168" i="12"/>
  <c r="J167" i="12"/>
  <c r="H167" i="12"/>
  <c r="K166" i="12"/>
  <c r="J166" i="12"/>
  <c r="I166" i="12"/>
  <c r="H166" i="12"/>
  <c r="J165" i="12"/>
  <c r="H165" i="12"/>
  <c r="K164" i="12"/>
  <c r="J164" i="12"/>
  <c r="I164" i="12"/>
  <c r="H164" i="12"/>
  <c r="J163" i="12"/>
  <c r="H163" i="12"/>
  <c r="J162" i="12"/>
  <c r="K162" i="12" s="1"/>
  <c r="I162" i="12"/>
  <c r="H162" i="12"/>
  <c r="J161" i="12"/>
  <c r="H161" i="12"/>
  <c r="K160" i="12"/>
  <c r="J160" i="12"/>
  <c r="I160" i="12"/>
  <c r="H160" i="12"/>
  <c r="J159" i="12"/>
  <c r="H159" i="12"/>
  <c r="K158" i="12"/>
  <c r="J158" i="12"/>
  <c r="I158" i="12"/>
  <c r="H158" i="12"/>
  <c r="J157" i="12"/>
  <c r="H157" i="12"/>
  <c r="J156" i="12"/>
  <c r="K156" i="12" s="1"/>
  <c r="I156" i="12"/>
  <c r="H156" i="12"/>
  <c r="J155" i="12"/>
  <c r="H155" i="12"/>
  <c r="J154" i="12"/>
  <c r="K154" i="12" s="1"/>
  <c r="I154" i="12"/>
  <c r="H154" i="12"/>
  <c r="J153" i="12"/>
  <c r="H153" i="12"/>
  <c r="K152" i="12"/>
  <c r="J152" i="12"/>
  <c r="I152" i="12"/>
  <c r="H152" i="12"/>
  <c r="J151" i="12"/>
  <c r="H151" i="12"/>
  <c r="K150" i="12"/>
  <c r="J150" i="12"/>
  <c r="I150" i="12"/>
  <c r="H150" i="12"/>
  <c r="J149" i="12"/>
  <c r="H149" i="12"/>
  <c r="K148" i="12"/>
  <c r="J148" i="12"/>
  <c r="I148" i="12"/>
  <c r="H148" i="12"/>
  <c r="J147" i="12"/>
  <c r="H147" i="12"/>
  <c r="J146" i="12"/>
  <c r="K146" i="12" s="1"/>
  <c r="I146" i="12"/>
  <c r="H146" i="12"/>
  <c r="J145" i="12"/>
  <c r="H145" i="12"/>
  <c r="K144" i="12"/>
  <c r="J144" i="12"/>
  <c r="I144" i="12"/>
  <c r="H144" i="12"/>
  <c r="J143" i="12"/>
  <c r="H143" i="12"/>
  <c r="K142" i="12"/>
  <c r="J142" i="12"/>
  <c r="I142" i="12"/>
  <c r="H142" i="12"/>
  <c r="J141" i="12"/>
  <c r="H141" i="12"/>
  <c r="K140" i="12"/>
  <c r="J140" i="12"/>
  <c r="I140" i="12"/>
  <c r="H140" i="12"/>
  <c r="J139" i="12"/>
  <c r="H139" i="12"/>
  <c r="J138" i="12"/>
  <c r="K138" i="12" s="1"/>
  <c r="H138" i="12"/>
  <c r="I138" i="12" s="1"/>
  <c r="J137" i="12"/>
  <c r="H137" i="12"/>
  <c r="K136" i="12"/>
  <c r="J136" i="12"/>
  <c r="H136" i="12"/>
  <c r="I136" i="12" s="1"/>
  <c r="J135" i="12"/>
  <c r="H135" i="12"/>
  <c r="K134" i="12"/>
  <c r="J134" i="12"/>
  <c r="I134" i="12"/>
  <c r="H134" i="12"/>
  <c r="J133" i="12"/>
  <c r="H133" i="12"/>
  <c r="K132" i="12"/>
  <c r="J132" i="12"/>
  <c r="I132" i="12"/>
  <c r="H132" i="12"/>
  <c r="J131" i="12"/>
  <c r="H131" i="12"/>
  <c r="J130" i="12"/>
  <c r="K130" i="12" s="1"/>
  <c r="I130" i="12"/>
  <c r="H130" i="12"/>
  <c r="J129" i="12"/>
  <c r="H129" i="12"/>
  <c r="J128" i="12"/>
  <c r="H128" i="12"/>
  <c r="J127" i="12"/>
  <c r="H127" i="12"/>
  <c r="K126" i="12"/>
  <c r="J126" i="12"/>
  <c r="I126" i="12"/>
  <c r="H126" i="12"/>
  <c r="J125" i="12"/>
  <c r="H125" i="12"/>
  <c r="K124" i="12"/>
  <c r="J124" i="12"/>
  <c r="I124" i="12"/>
  <c r="H124" i="12"/>
  <c r="J123" i="12"/>
  <c r="H123" i="12"/>
  <c r="J122" i="12"/>
  <c r="H122" i="12"/>
  <c r="I122" i="12" s="1"/>
  <c r="J121" i="12"/>
  <c r="H121" i="12"/>
  <c r="J120" i="12"/>
  <c r="H120" i="12"/>
  <c r="I120" i="12" s="1"/>
  <c r="J119" i="12"/>
  <c r="H119" i="12"/>
  <c r="K118" i="12"/>
  <c r="J118" i="12"/>
  <c r="I118" i="12"/>
  <c r="H118" i="12"/>
  <c r="J117" i="12"/>
  <c r="H117" i="12"/>
  <c r="J116" i="12"/>
  <c r="K116" i="12" s="1"/>
  <c r="I116" i="12"/>
  <c r="H116" i="12"/>
  <c r="J115" i="12"/>
  <c r="H115" i="12"/>
  <c r="J114" i="12"/>
  <c r="K114" i="12" s="1"/>
  <c r="I114" i="12"/>
  <c r="H114" i="12"/>
  <c r="J113" i="12"/>
  <c r="H113" i="12"/>
  <c r="K112" i="12"/>
  <c r="J112" i="12"/>
  <c r="H112" i="12"/>
  <c r="I112" i="12" s="1"/>
  <c r="J111" i="12"/>
  <c r="H111" i="12"/>
  <c r="K110" i="12"/>
  <c r="J110" i="12"/>
  <c r="I110" i="12"/>
  <c r="H110" i="12"/>
  <c r="J109" i="12"/>
  <c r="H109" i="12"/>
  <c r="K108" i="12"/>
  <c r="J108" i="12"/>
  <c r="I108" i="12"/>
  <c r="H108" i="12"/>
  <c r="J107" i="12"/>
  <c r="H107" i="12"/>
  <c r="J106" i="12"/>
  <c r="K106" i="12" s="1"/>
  <c r="H106" i="12"/>
  <c r="I106" i="12" s="1"/>
  <c r="J105" i="12"/>
  <c r="H105" i="12"/>
  <c r="K104" i="12"/>
  <c r="J104" i="12"/>
  <c r="H104" i="12"/>
  <c r="I104" i="12" s="1"/>
  <c r="J103" i="12"/>
  <c r="H103" i="12"/>
  <c r="K102" i="12"/>
  <c r="J102" i="12"/>
  <c r="I102" i="12"/>
  <c r="H102" i="12"/>
  <c r="J101" i="12"/>
  <c r="H101" i="12"/>
  <c r="K100" i="12"/>
  <c r="J100" i="12"/>
  <c r="I100" i="12"/>
  <c r="H100" i="12"/>
  <c r="J99" i="12"/>
  <c r="H99" i="12"/>
  <c r="J98" i="12"/>
  <c r="H98" i="12"/>
  <c r="I98" i="12" s="1"/>
  <c r="J97" i="12"/>
  <c r="H97" i="12"/>
  <c r="J96" i="12"/>
  <c r="H96" i="12"/>
  <c r="J95" i="12"/>
  <c r="H95" i="12"/>
  <c r="K94" i="12"/>
  <c r="J94" i="12"/>
  <c r="I94" i="12"/>
  <c r="H94" i="12"/>
  <c r="J93" i="12"/>
  <c r="H93" i="12"/>
  <c r="K92" i="12"/>
  <c r="J92" i="12"/>
  <c r="I92" i="12"/>
  <c r="H92" i="12"/>
  <c r="J91" i="12"/>
  <c r="H91" i="12"/>
  <c r="J90" i="12"/>
  <c r="H90" i="12"/>
  <c r="I90" i="12" s="1"/>
  <c r="J89" i="12"/>
  <c r="H89" i="12"/>
  <c r="J88" i="12"/>
  <c r="H88" i="12"/>
  <c r="I88" i="12" s="1"/>
  <c r="J87" i="12"/>
  <c r="H87" i="12"/>
  <c r="K86" i="12"/>
  <c r="J86" i="12"/>
  <c r="I86" i="12"/>
  <c r="H86" i="12"/>
  <c r="J85" i="12"/>
  <c r="H85" i="12"/>
  <c r="J84" i="12"/>
  <c r="K84" i="12" s="1"/>
  <c r="I84" i="12"/>
  <c r="H84" i="12"/>
  <c r="J83" i="12"/>
  <c r="H83" i="12"/>
  <c r="J82" i="12"/>
  <c r="K82" i="12" s="1"/>
  <c r="I82" i="12"/>
  <c r="H82" i="12"/>
  <c r="J81" i="12"/>
  <c r="H81" i="12"/>
  <c r="K80" i="12"/>
  <c r="J80" i="12"/>
  <c r="H80" i="12"/>
  <c r="I80" i="12" s="1"/>
  <c r="J79" i="12"/>
  <c r="H79" i="12"/>
  <c r="K78" i="12"/>
  <c r="J78" i="12"/>
  <c r="I78" i="12"/>
  <c r="H78" i="12"/>
  <c r="J77" i="12"/>
  <c r="H77" i="12"/>
  <c r="K76" i="12"/>
  <c r="J76" i="12"/>
  <c r="I76" i="12"/>
  <c r="H76" i="12"/>
  <c r="J75" i="12"/>
  <c r="H75" i="12"/>
  <c r="J74" i="12"/>
  <c r="K74" i="12" s="1"/>
  <c r="H74" i="12"/>
  <c r="I74" i="12" s="1"/>
  <c r="J73" i="12"/>
  <c r="H73" i="12"/>
  <c r="J72" i="12"/>
  <c r="H72" i="12"/>
  <c r="J71" i="12"/>
  <c r="H71" i="12"/>
  <c r="K70" i="12"/>
  <c r="J70" i="12"/>
  <c r="I70" i="12"/>
  <c r="H70" i="12"/>
  <c r="J69" i="12"/>
  <c r="H69" i="12"/>
  <c r="K68" i="12"/>
  <c r="J68" i="12"/>
  <c r="I68" i="12"/>
  <c r="H68" i="12"/>
  <c r="J67" i="12"/>
  <c r="H67" i="12"/>
  <c r="J66" i="12"/>
  <c r="K66" i="12" s="1"/>
  <c r="I66" i="12"/>
  <c r="H66" i="12"/>
  <c r="J65" i="12"/>
  <c r="H65" i="12"/>
  <c r="J64" i="12"/>
  <c r="H64" i="12"/>
  <c r="J63" i="12"/>
  <c r="H63" i="12"/>
  <c r="K62" i="12"/>
  <c r="J62" i="12"/>
  <c r="I62" i="12"/>
  <c r="H62" i="12"/>
  <c r="J61" i="12"/>
  <c r="H61" i="12"/>
  <c r="K60" i="12"/>
  <c r="J60" i="12"/>
  <c r="I60" i="12"/>
  <c r="H60" i="12"/>
  <c r="J59" i="12"/>
  <c r="H59" i="12"/>
  <c r="J58" i="12"/>
  <c r="H58" i="12"/>
  <c r="I58" i="12" s="1"/>
  <c r="J57" i="12"/>
  <c r="H57" i="12"/>
  <c r="J56" i="12"/>
  <c r="H56" i="12"/>
  <c r="I56" i="12" s="1"/>
  <c r="J55" i="12"/>
  <c r="H55" i="12"/>
  <c r="K54" i="12"/>
  <c r="J54" i="12"/>
  <c r="I54" i="12"/>
  <c r="H54" i="12"/>
  <c r="J53" i="12"/>
  <c r="H53" i="12"/>
  <c r="J52" i="12"/>
  <c r="K52" i="12" s="1"/>
  <c r="I52" i="12"/>
  <c r="H52" i="12"/>
  <c r="J51" i="12"/>
  <c r="H51" i="12"/>
  <c r="J50" i="12"/>
  <c r="K50" i="12" s="1"/>
  <c r="I50" i="12"/>
  <c r="H50" i="12"/>
  <c r="J49" i="12"/>
  <c r="H49" i="12"/>
  <c r="K48" i="12"/>
  <c r="J48" i="12"/>
  <c r="H48" i="12"/>
  <c r="I48" i="12" s="1"/>
  <c r="J47" i="12"/>
  <c r="H47" i="12"/>
  <c r="K46" i="12"/>
  <c r="J46" i="12"/>
  <c r="I46" i="12"/>
  <c r="H46" i="12"/>
  <c r="J45" i="12"/>
  <c r="H45" i="12"/>
  <c r="K44" i="12"/>
  <c r="J44" i="12"/>
  <c r="I44" i="12"/>
  <c r="H44" i="12"/>
  <c r="J43" i="12"/>
  <c r="H43" i="12"/>
  <c r="J42" i="12"/>
  <c r="K42" i="12" s="1"/>
  <c r="H42" i="12"/>
  <c r="I42" i="12" s="1"/>
  <c r="J41" i="12"/>
  <c r="H41" i="12"/>
  <c r="K40" i="12"/>
  <c r="J40" i="12"/>
  <c r="H40" i="12"/>
  <c r="I40" i="12" s="1"/>
  <c r="J39" i="12"/>
  <c r="H39" i="12"/>
  <c r="K38" i="12"/>
  <c r="J38" i="12"/>
  <c r="I38" i="12"/>
  <c r="H38" i="12"/>
  <c r="J37" i="12"/>
  <c r="H37" i="12"/>
  <c r="K36" i="12"/>
  <c r="J36" i="12"/>
  <c r="I36" i="12"/>
  <c r="H36" i="12"/>
  <c r="J35" i="12"/>
  <c r="H35" i="12"/>
  <c r="J34" i="12"/>
  <c r="H34" i="12"/>
  <c r="I34" i="12" s="1"/>
  <c r="J33" i="12"/>
  <c r="H33" i="12"/>
  <c r="J32" i="12"/>
  <c r="H32" i="12"/>
  <c r="J31" i="12"/>
  <c r="H31" i="12"/>
  <c r="K30" i="12"/>
  <c r="J30" i="12"/>
  <c r="I30" i="12"/>
  <c r="H30" i="12"/>
  <c r="J29" i="12"/>
  <c r="H29" i="12"/>
  <c r="K28" i="12"/>
  <c r="J28" i="12"/>
  <c r="I28" i="12"/>
  <c r="H28" i="12"/>
  <c r="J27" i="12"/>
  <c r="H27" i="12"/>
  <c r="J26" i="12"/>
  <c r="H26" i="12"/>
  <c r="I26" i="12" s="1"/>
  <c r="J25" i="12"/>
  <c r="H25" i="12"/>
  <c r="J24" i="12"/>
  <c r="H24" i="12"/>
  <c r="I24" i="12" s="1"/>
  <c r="J23" i="12"/>
  <c r="H23" i="12"/>
  <c r="K22" i="12"/>
  <c r="J22" i="12"/>
  <c r="I22" i="12"/>
  <c r="H22" i="12"/>
  <c r="J21" i="12"/>
  <c r="H21" i="12"/>
  <c r="J20" i="12"/>
  <c r="K20" i="12" s="1"/>
  <c r="I20" i="12"/>
  <c r="H20" i="12"/>
  <c r="J19" i="12"/>
  <c r="H19" i="12"/>
  <c r="J18" i="12"/>
  <c r="K18" i="12" s="1"/>
  <c r="I18" i="12"/>
  <c r="H18" i="12"/>
  <c r="J17" i="12"/>
  <c r="H17" i="12"/>
  <c r="K16" i="12"/>
  <c r="J16" i="12"/>
  <c r="H16" i="12"/>
  <c r="I16" i="12" s="1"/>
  <c r="J15" i="12"/>
  <c r="H15" i="12"/>
  <c r="K14" i="12"/>
  <c r="J14" i="12"/>
  <c r="I14" i="12"/>
  <c r="H14" i="12"/>
  <c r="J13" i="12"/>
  <c r="H13" i="12"/>
  <c r="K12" i="12"/>
  <c r="J12" i="12"/>
  <c r="I12" i="12"/>
  <c r="H12" i="12"/>
  <c r="J11" i="12"/>
  <c r="H11" i="12"/>
  <c r="J10" i="12"/>
  <c r="K10" i="12" s="1"/>
  <c r="H10" i="12"/>
  <c r="I10" i="12" s="1"/>
  <c r="J9" i="12"/>
  <c r="H9" i="12"/>
  <c r="J8" i="12"/>
  <c r="H8" i="12"/>
  <c r="K7" i="12"/>
  <c r="I7" i="12"/>
  <c r="H7" i="12"/>
  <c r="K215" i="11"/>
  <c r="J215" i="11"/>
  <c r="I215" i="11"/>
  <c r="H215" i="11"/>
  <c r="J214" i="11"/>
  <c r="I214" i="11"/>
  <c r="H214" i="11"/>
  <c r="K214" i="11" s="1"/>
  <c r="K213" i="11"/>
  <c r="J213" i="11"/>
  <c r="I213" i="11"/>
  <c r="H213" i="11"/>
  <c r="J212" i="11"/>
  <c r="I212" i="11"/>
  <c r="H212" i="11"/>
  <c r="K212" i="11" s="1"/>
  <c r="J211" i="11"/>
  <c r="K211" i="11" s="1"/>
  <c r="I211" i="11"/>
  <c r="H211" i="11"/>
  <c r="J210" i="11"/>
  <c r="H210" i="11"/>
  <c r="K209" i="11"/>
  <c r="J209" i="11"/>
  <c r="I209" i="11"/>
  <c r="H209" i="11"/>
  <c r="J208" i="11"/>
  <c r="H208" i="11"/>
  <c r="K208" i="11" s="1"/>
  <c r="J207" i="11"/>
  <c r="K207" i="11" s="1"/>
  <c r="H207" i="11"/>
  <c r="I207" i="11" s="1"/>
  <c r="J206" i="11"/>
  <c r="H206" i="11"/>
  <c r="J205" i="11"/>
  <c r="K205" i="11" s="1"/>
  <c r="I205" i="11"/>
  <c r="H205" i="11"/>
  <c r="J204" i="11"/>
  <c r="I204" i="11"/>
  <c r="H204" i="11"/>
  <c r="K204" i="11" s="1"/>
  <c r="J203" i="11"/>
  <c r="I203" i="11"/>
  <c r="H203" i="11"/>
  <c r="K203" i="11" s="1"/>
  <c r="J202" i="11"/>
  <c r="I202" i="11"/>
  <c r="H202" i="11"/>
  <c r="K202" i="11" s="1"/>
  <c r="J201" i="11"/>
  <c r="K201" i="11" s="1"/>
  <c r="I201" i="11"/>
  <c r="H201" i="11"/>
  <c r="J200" i="11"/>
  <c r="H200" i="11"/>
  <c r="J199" i="11"/>
  <c r="I199" i="11"/>
  <c r="H199" i="11"/>
  <c r="K199" i="11" s="1"/>
  <c r="J198" i="11"/>
  <c r="I198" i="11"/>
  <c r="H198" i="11"/>
  <c r="K198" i="11" s="1"/>
  <c r="J197" i="11"/>
  <c r="H197" i="11"/>
  <c r="J196" i="11"/>
  <c r="H196" i="11"/>
  <c r="J195" i="11"/>
  <c r="K195" i="11" s="1"/>
  <c r="I195" i="11"/>
  <c r="H195" i="11"/>
  <c r="J194" i="11"/>
  <c r="H194" i="11"/>
  <c r="K193" i="11"/>
  <c r="J193" i="11"/>
  <c r="I193" i="11"/>
  <c r="H193" i="11"/>
  <c r="J192" i="11"/>
  <c r="I192" i="11"/>
  <c r="H192" i="11"/>
  <c r="J191" i="11"/>
  <c r="H191" i="11"/>
  <c r="I191" i="11" s="1"/>
  <c r="J190" i="11"/>
  <c r="H190" i="11"/>
  <c r="I190" i="11" s="1"/>
  <c r="K189" i="11"/>
  <c r="J189" i="11"/>
  <c r="I189" i="11"/>
  <c r="H189" i="11"/>
  <c r="J188" i="11"/>
  <c r="K188" i="11" s="1"/>
  <c r="I188" i="11"/>
  <c r="H188" i="11"/>
  <c r="J187" i="11"/>
  <c r="I187" i="11"/>
  <c r="H187" i="11"/>
  <c r="J186" i="11"/>
  <c r="I186" i="11"/>
  <c r="H186" i="11"/>
  <c r="J185" i="11"/>
  <c r="H185" i="11"/>
  <c r="I185" i="11" s="1"/>
  <c r="J184" i="11"/>
  <c r="H184" i="11"/>
  <c r="I184" i="11" s="1"/>
  <c r="J183" i="11"/>
  <c r="H183" i="11"/>
  <c r="J182" i="11"/>
  <c r="K182" i="11" s="1"/>
  <c r="I182" i="11"/>
  <c r="H182" i="11"/>
  <c r="K181" i="11"/>
  <c r="J181" i="11"/>
  <c r="H181" i="11"/>
  <c r="I181" i="11" s="1"/>
  <c r="J180" i="11"/>
  <c r="I180" i="11"/>
  <c r="H180" i="11"/>
  <c r="J179" i="11"/>
  <c r="K179" i="11" s="1"/>
  <c r="I179" i="11"/>
  <c r="H179" i="11"/>
  <c r="J178" i="11"/>
  <c r="K178" i="11" s="1"/>
  <c r="I178" i="11"/>
  <c r="H178" i="11"/>
  <c r="K177" i="11"/>
  <c r="J177" i="11"/>
  <c r="I177" i="11"/>
  <c r="H177" i="11"/>
  <c r="J176" i="11"/>
  <c r="H176" i="11"/>
  <c r="I176" i="11" s="1"/>
  <c r="J175" i="11"/>
  <c r="K175" i="11" s="1"/>
  <c r="H175" i="11"/>
  <c r="I175" i="11" s="1"/>
  <c r="J174" i="11"/>
  <c r="H174" i="11"/>
  <c r="I174" i="11" s="1"/>
  <c r="K173" i="11"/>
  <c r="J173" i="11"/>
  <c r="I173" i="11"/>
  <c r="H173" i="11"/>
  <c r="J172" i="11"/>
  <c r="K172" i="11" s="1"/>
  <c r="I172" i="11"/>
  <c r="H172" i="11"/>
  <c r="J171" i="11"/>
  <c r="K171" i="11" s="1"/>
  <c r="I171" i="11"/>
  <c r="H171" i="11"/>
  <c r="J170" i="11"/>
  <c r="K170" i="11" s="1"/>
  <c r="I170" i="11"/>
  <c r="H170" i="11"/>
  <c r="J169" i="11"/>
  <c r="H169" i="11"/>
  <c r="I169" i="11" s="1"/>
  <c r="J168" i="11"/>
  <c r="K168" i="11" s="1"/>
  <c r="H168" i="11"/>
  <c r="I168" i="11" s="1"/>
  <c r="J167" i="11"/>
  <c r="I167" i="11"/>
  <c r="H167" i="11"/>
  <c r="K167" i="11" s="1"/>
  <c r="J166" i="11"/>
  <c r="K166" i="11" s="1"/>
  <c r="I166" i="11"/>
  <c r="H166" i="11"/>
  <c r="K165" i="11"/>
  <c r="J165" i="11"/>
  <c r="H165" i="11"/>
  <c r="I165" i="11" s="1"/>
  <c r="J164" i="11"/>
  <c r="K164" i="11" s="1"/>
  <c r="I164" i="11"/>
  <c r="H164" i="11"/>
  <c r="J163" i="11"/>
  <c r="K163" i="11" s="1"/>
  <c r="I163" i="11"/>
  <c r="H163" i="11"/>
  <c r="J162" i="11"/>
  <c r="H162" i="11"/>
  <c r="I162" i="11" s="1"/>
  <c r="K161" i="11"/>
  <c r="J161" i="11"/>
  <c r="I161" i="11"/>
  <c r="H161" i="11"/>
  <c r="J160" i="11"/>
  <c r="I160" i="11"/>
  <c r="H160" i="11"/>
  <c r="K159" i="11"/>
  <c r="J159" i="11"/>
  <c r="H159" i="11"/>
  <c r="I159" i="11" s="1"/>
  <c r="J158" i="11"/>
  <c r="H158" i="11"/>
  <c r="I158" i="11" s="1"/>
  <c r="K157" i="11"/>
  <c r="J157" i="11"/>
  <c r="I157" i="11"/>
  <c r="H157" i="11"/>
  <c r="J156" i="11"/>
  <c r="K156" i="11" s="1"/>
  <c r="I156" i="11"/>
  <c r="H156" i="11"/>
  <c r="J155" i="11"/>
  <c r="K155" i="11" s="1"/>
  <c r="I155" i="11"/>
  <c r="H155" i="11"/>
  <c r="J154" i="11"/>
  <c r="K154" i="11" s="1"/>
  <c r="I154" i="11"/>
  <c r="H154" i="11"/>
  <c r="J153" i="11"/>
  <c r="K153" i="11" s="1"/>
  <c r="H153" i="11"/>
  <c r="I153" i="11" s="1"/>
  <c r="J152" i="11"/>
  <c r="K152" i="11" s="1"/>
  <c r="H152" i="11"/>
  <c r="I152" i="11" s="1"/>
  <c r="J151" i="11"/>
  <c r="I151" i="11"/>
  <c r="H151" i="11"/>
  <c r="K151" i="11" s="1"/>
  <c r="J150" i="11"/>
  <c r="K150" i="11" s="1"/>
  <c r="I150" i="11"/>
  <c r="H150" i="11"/>
  <c r="K149" i="11"/>
  <c r="J149" i="11"/>
  <c r="H149" i="11"/>
  <c r="I149" i="11" s="1"/>
  <c r="J148" i="11"/>
  <c r="H148" i="11"/>
  <c r="I148" i="11" s="1"/>
  <c r="J147" i="11"/>
  <c r="K147" i="11" s="1"/>
  <c r="I147" i="11"/>
  <c r="H147" i="11"/>
  <c r="J146" i="11"/>
  <c r="I146" i="11"/>
  <c r="H146" i="11"/>
  <c r="K145" i="11"/>
  <c r="J145" i="11"/>
  <c r="I145" i="11"/>
  <c r="H145" i="11"/>
  <c r="J144" i="11"/>
  <c r="H144" i="11"/>
  <c r="I144" i="11" s="1"/>
  <c r="J143" i="11"/>
  <c r="H143" i="11"/>
  <c r="J142" i="11"/>
  <c r="H142" i="11"/>
  <c r="I142" i="11" s="1"/>
  <c r="K141" i="11"/>
  <c r="J141" i="11"/>
  <c r="I141" i="11"/>
  <c r="H141" i="11"/>
  <c r="J140" i="11"/>
  <c r="K140" i="11" s="1"/>
  <c r="I140" i="11"/>
  <c r="H140" i="11"/>
  <c r="J139" i="11"/>
  <c r="H139" i="11"/>
  <c r="I139" i="11" s="1"/>
  <c r="J138" i="11"/>
  <c r="I138" i="11"/>
  <c r="H138" i="11"/>
  <c r="J137" i="11"/>
  <c r="K137" i="11" s="1"/>
  <c r="I137" i="11"/>
  <c r="H137" i="11"/>
  <c r="J136" i="11"/>
  <c r="H136" i="11"/>
  <c r="I136" i="11" s="1"/>
  <c r="J135" i="11"/>
  <c r="H135" i="11"/>
  <c r="J134" i="11"/>
  <c r="K134" i="11" s="1"/>
  <c r="I134" i="11"/>
  <c r="H134" i="11"/>
  <c r="J133" i="11"/>
  <c r="H133" i="11"/>
  <c r="I133" i="11" s="1"/>
  <c r="J132" i="11"/>
  <c r="H132" i="11"/>
  <c r="I132" i="11" s="1"/>
  <c r="J131" i="11"/>
  <c r="K131" i="11" s="1"/>
  <c r="I131" i="11"/>
  <c r="H131" i="11"/>
  <c r="J130" i="11"/>
  <c r="K130" i="11" s="1"/>
  <c r="I130" i="11"/>
  <c r="H130" i="11"/>
  <c r="K129" i="11"/>
  <c r="J129" i="11"/>
  <c r="I129" i="11"/>
  <c r="H129" i="11"/>
  <c r="J128" i="11"/>
  <c r="I128" i="11"/>
  <c r="H128" i="11"/>
  <c r="J127" i="11"/>
  <c r="K127" i="11" s="1"/>
  <c r="H127" i="11"/>
  <c r="I127" i="11" s="1"/>
  <c r="J126" i="11"/>
  <c r="H126" i="11"/>
  <c r="I126" i="11" s="1"/>
  <c r="J125" i="11"/>
  <c r="K125" i="11" s="1"/>
  <c r="I125" i="11"/>
  <c r="H125" i="11"/>
  <c r="J124" i="11"/>
  <c r="K124" i="11" s="1"/>
  <c r="I124" i="11"/>
  <c r="H124" i="11"/>
  <c r="K123" i="11"/>
  <c r="J123" i="11"/>
  <c r="I123" i="11"/>
  <c r="H123" i="11"/>
  <c r="J122" i="11"/>
  <c r="I122" i="11"/>
  <c r="H122" i="11"/>
  <c r="J121" i="11"/>
  <c r="K121" i="11" s="1"/>
  <c r="I121" i="11"/>
  <c r="H121" i="11"/>
  <c r="J120" i="11"/>
  <c r="K120" i="11" s="1"/>
  <c r="H120" i="11"/>
  <c r="I120" i="11" s="1"/>
  <c r="J119" i="11"/>
  <c r="I119" i="11"/>
  <c r="H119" i="11"/>
  <c r="K119" i="11" s="1"/>
  <c r="J118" i="11"/>
  <c r="K118" i="11" s="1"/>
  <c r="I118" i="11"/>
  <c r="H118" i="11"/>
  <c r="K117" i="11"/>
  <c r="J117" i="11"/>
  <c r="H117" i="11"/>
  <c r="I117" i="11" s="1"/>
  <c r="J116" i="11"/>
  <c r="K116" i="11" s="1"/>
  <c r="I116" i="11"/>
  <c r="H116" i="11"/>
  <c r="J115" i="11"/>
  <c r="K115" i="11" s="1"/>
  <c r="I115" i="11"/>
  <c r="H115" i="11"/>
  <c r="J114" i="11"/>
  <c r="H114" i="11"/>
  <c r="I114" i="11" s="1"/>
  <c r="K113" i="11"/>
  <c r="J113" i="11"/>
  <c r="I113" i="11"/>
  <c r="H113" i="11"/>
  <c r="J112" i="11"/>
  <c r="I112" i="11"/>
  <c r="H112" i="11"/>
  <c r="J111" i="11"/>
  <c r="H111" i="11"/>
  <c r="I111" i="11" s="1"/>
  <c r="J110" i="11"/>
  <c r="H110" i="11"/>
  <c r="I110" i="11" s="1"/>
  <c r="K109" i="11"/>
  <c r="J109" i="11"/>
  <c r="I109" i="11"/>
  <c r="H109" i="11"/>
  <c r="J108" i="11"/>
  <c r="K108" i="11" s="1"/>
  <c r="I108" i="11"/>
  <c r="H108" i="11"/>
  <c r="J107" i="11"/>
  <c r="K107" i="11" s="1"/>
  <c r="I107" i="11"/>
  <c r="H107" i="11"/>
  <c r="J106" i="11"/>
  <c r="I106" i="11"/>
  <c r="H106" i="11"/>
  <c r="J105" i="11"/>
  <c r="K105" i="11" s="1"/>
  <c r="H105" i="11"/>
  <c r="I105" i="11" s="1"/>
  <c r="J104" i="11"/>
  <c r="K104" i="11" s="1"/>
  <c r="H104" i="11"/>
  <c r="I104" i="11" s="1"/>
  <c r="J103" i="11"/>
  <c r="H103" i="11"/>
  <c r="K103" i="11" s="1"/>
  <c r="J102" i="11"/>
  <c r="K102" i="11" s="1"/>
  <c r="I102" i="11"/>
  <c r="H102" i="11"/>
  <c r="J101" i="11"/>
  <c r="H101" i="11"/>
  <c r="J100" i="11"/>
  <c r="K100" i="11" s="1"/>
  <c r="H100" i="11"/>
  <c r="I100" i="11" s="1"/>
  <c r="J99" i="11"/>
  <c r="K99" i="11" s="1"/>
  <c r="I99" i="11"/>
  <c r="H99" i="11"/>
  <c r="J98" i="11"/>
  <c r="H98" i="11"/>
  <c r="I98" i="11" s="1"/>
  <c r="K97" i="11"/>
  <c r="J97" i="11"/>
  <c r="I97" i="11"/>
  <c r="H97" i="11"/>
  <c r="J96" i="11"/>
  <c r="H96" i="11"/>
  <c r="I96" i="11" s="1"/>
  <c r="J95" i="11"/>
  <c r="K95" i="11" s="1"/>
  <c r="H95" i="11"/>
  <c r="I95" i="11" s="1"/>
  <c r="J94" i="11"/>
  <c r="H94" i="11"/>
  <c r="I94" i="11" s="1"/>
  <c r="K93" i="11"/>
  <c r="J93" i="11"/>
  <c r="I93" i="11"/>
  <c r="H93" i="11"/>
  <c r="J92" i="11"/>
  <c r="K92" i="11" s="1"/>
  <c r="I92" i="11"/>
  <c r="H92" i="11"/>
  <c r="K91" i="11"/>
  <c r="J91" i="11"/>
  <c r="H91" i="11"/>
  <c r="I91" i="11" s="1"/>
  <c r="J90" i="11"/>
  <c r="I90" i="11"/>
  <c r="H90" i="11"/>
  <c r="J89" i="11"/>
  <c r="I89" i="11"/>
  <c r="H89" i="11"/>
  <c r="J88" i="11"/>
  <c r="H88" i="11"/>
  <c r="I88" i="11" s="1"/>
  <c r="J87" i="11"/>
  <c r="H87" i="11"/>
  <c r="K87" i="11" s="1"/>
  <c r="J86" i="11"/>
  <c r="K86" i="11" s="1"/>
  <c r="I86" i="11"/>
  <c r="H86" i="11"/>
  <c r="J85" i="11"/>
  <c r="H85" i="11"/>
  <c r="J84" i="11"/>
  <c r="K84" i="11" s="1"/>
  <c r="I84" i="11"/>
  <c r="H84" i="11"/>
  <c r="J83" i="11"/>
  <c r="K83" i="11" s="1"/>
  <c r="I83" i="11"/>
  <c r="H83" i="11"/>
  <c r="J82" i="11"/>
  <c r="K82" i="11" s="1"/>
  <c r="H82" i="11"/>
  <c r="I82" i="11" s="1"/>
  <c r="K81" i="11"/>
  <c r="J81" i="11"/>
  <c r="I81" i="11"/>
  <c r="H81" i="11"/>
  <c r="J80" i="11"/>
  <c r="I80" i="11"/>
  <c r="H80" i="11"/>
  <c r="K79" i="11"/>
  <c r="J79" i="11"/>
  <c r="H79" i="11"/>
  <c r="I79" i="11" s="1"/>
  <c r="J78" i="11"/>
  <c r="H78" i="11"/>
  <c r="I78" i="11" s="1"/>
  <c r="J77" i="11"/>
  <c r="K77" i="11" s="1"/>
  <c r="I77" i="11"/>
  <c r="H77" i="11"/>
  <c r="J76" i="11"/>
  <c r="K76" i="11" s="1"/>
  <c r="I76" i="11"/>
  <c r="H76" i="11"/>
  <c r="J75" i="11"/>
  <c r="H75" i="11"/>
  <c r="J74" i="11"/>
  <c r="I74" i="11"/>
  <c r="H74" i="11"/>
  <c r="J73" i="11"/>
  <c r="K73" i="11" s="1"/>
  <c r="I73" i="11"/>
  <c r="H73" i="11"/>
  <c r="J72" i="11"/>
  <c r="H72" i="11"/>
  <c r="I72" i="11" s="1"/>
  <c r="J71" i="11"/>
  <c r="I71" i="11"/>
  <c r="H71" i="11"/>
  <c r="K71" i="11" s="1"/>
  <c r="J70" i="11"/>
  <c r="K70" i="11" s="1"/>
  <c r="I70" i="11"/>
  <c r="H70" i="11"/>
  <c r="J69" i="11"/>
  <c r="H69" i="11"/>
  <c r="J68" i="11"/>
  <c r="H68" i="11"/>
  <c r="I68" i="11" s="1"/>
  <c r="J67" i="11"/>
  <c r="K67" i="11" s="1"/>
  <c r="I67" i="11"/>
  <c r="H67" i="11"/>
  <c r="J66" i="11"/>
  <c r="H66" i="11"/>
  <c r="I66" i="11" s="1"/>
  <c r="K65" i="11"/>
  <c r="J65" i="11"/>
  <c r="I65" i="11"/>
  <c r="H65" i="11"/>
  <c r="J64" i="11"/>
  <c r="I64" i="11"/>
  <c r="H64" i="11"/>
  <c r="K63" i="11"/>
  <c r="J63" i="11"/>
  <c r="H63" i="11"/>
  <c r="I63" i="11" s="1"/>
  <c r="J62" i="11"/>
  <c r="H62" i="11"/>
  <c r="I62" i="11" s="1"/>
  <c r="J61" i="11"/>
  <c r="K61" i="11" s="1"/>
  <c r="I61" i="11"/>
  <c r="H61" i="11"/>
  <c r="J60" i="11"/>
  <c r="K60" i="11" s="1"/>
  <c r="I60" i="11"/>
  <c r="H60" i="11"/>
  <c r="J59" i="11"/>
  <c r="H59" i="11"/>
  <c r="I59" i="11" s="1"/>
  <c r="J58" i="11"/>
  <c r="K58" i="11" s="1"/>
  <c r="I58" i="11"/>
  <c r="H58" i="11"/>
  <c r="J57" i="11"/>
  <c r="H57" i="11"/>
  <c r="I57" i="11" s="1"/>
  <c r="J56" i="11"/>
  <c r="K56" i="11" s="1"/>
  <c r="H56" i="11"/>
  <c r="I56" i="11" s="1"/>
  <c r="J55" i="11"/>
  <c r="H55" i="11"/>
  <c r="J54" i="11"/>
  <c r="K54" i="11" s="1"/>
  <c r="I54" i="11"/>
  <c r="H54" i="11"/>
  <c r="K53" i="11"/>
  <c r="J53" i="11"/>
  <c r="H53" i="11"/>
  <c r="I53" i="11" s="1"/>
  <c r="J52" i="11"/>
  <c r="I52" i="11"/>
  <c r="H52" i="11"/>
  <c r="J51" i="11"/>
  <c r="K51" i="11" s="1"/>
  <c r="I51" i="11"/>
  <c r="H51" i="11"/>
  <c r="J50" i="11"/>
  <c r="K50" i="11" s="1"/>
  <c r="I50" i="11"/>
  <c r="H50" i="11"/>
  <c r="K49" i="11"/>
  <c r="J49" i="11"/>
  <c r="I49" i="11"/>
  <c r="H49" i="11"/>
  <c r="J48" i="11"/>
  <c r="I48" i="11"/>
  <c r="H48" i="11"/>
  <c r="J47" i="11"/>
  <c r="K47" i="11" s="1"/>
  <c r="H47" i="11"/>
  <c r="I47" i="11" s="1"/>
  <c r="J46" i="11"/>
  <c r="H46" i="11"/>
  <c r="I46" i="11" s="1"/>
  <c r="K45" i="11"/>
  <c r="J45" i="11"/>
  <c r="I45" i="11"/>
  <c r="H45" i="11"/>
  <c r="J44" i="11"/>
  <c r="K44" i="11" s="1"/>
  <c r="I44" i="11"/>
  <c r="H44" i="11"/>
  <c r="J43" i="11"/>
  <c r="K43" i="11" s="1"/>
  <c r="H43" i="11"/>
  <c r="I43" i="11" s="1"/>
  <c r="J42" i="11"/>
  <c r="K42" i="11" s="1"/>
  <c r="I42" i="11"/>
  <c r="H42" i="11"/>
  <c r="J41" i="11"/>
  <c r="I41" i="11"/>
  <c r="H41" i="11"/>
  <c r="J40" i="11"/>
  <c r="H40" i="11"/>
  <c r="I40" i="11" s="1"/>
  <c r="J39" i="11"/>
  <c r="I39" i="11"/>
  <c r="H39" i="11"/>
  <c r="K39" i="11" s="1"/>
  <c r="J38" i="11"/>
  <c r="K38" i="11" s="1"/>
  <c r="I38" i="11"/>
  <c r="H38" i="11"/>
  <c r="K37" i="11"/>
  <c r="J37" i="11"/>
  <c r="H37" i="11"/>
  <c r="I37" i="11" s="1"/>
  <c r="J36" i="11"/>
  <c r="K36" i="11" s="1"/>
  <c r="I36" i="11"/>
  <c r="H36" i="11"/>
  <c r="J35" i="11"/>
  <c r="K35" i="11" s="1"/>
  <c r="I35" i="11"/>
  <c r="H35" i="11"/>
  <c r="J34" i="11"/>
  <c r="K34" i="11" s="1"/>
  <c r="H34" i="11"/>
  <c r="I34" i="11" s="1"/>
  <c r="K33" i="11"/>
  <c r="J33" i="11"/>
  <c r="I33" i="11"/>
  <c r="H33" i="11"/>
  <c r="J32" i="11"/>
  <c r="K32" i="11" s="1"/>
  <c r="I32" i="11"/>
  <c r="H32" i="11"/>
  <c r="K31" i="11"/>
  <c r="J31" i="11"/>
  <c r="I31" i="11"/>
  <c r="H31" i="11"/>
  <c r="J30" i="11"/>
  <c r="K30" i="11" s="1"/>
  <c r="I30" i="11"/>
  <c r="H30" i="11"/>
  <c r="K29" i="11"/>
  <c r="J29" i="11"/>
  <c r="I29" i="11"/>
  <c r="H29" i="11"/>
  <c r="J28" i="11"/>
  <c r="K28" i="11" s="1"/>
  <c r="I28" i="11"/>
  <c r="H28" i="11"/>
  <c r="K27" i="11"/>
  <c r="J27" i="11"/>
  <c r="I27" i="11"/>
  <c r="H27" i="11"/>
  <c r="J26" i="11"/>
  <c r="H26" i="11"/>
  <c r="I26" i="11" s="1"/>
  <c r="K25" i="11"/>
  <c r="J25" i="11"/>
  <c r="I25" i="11"/>
  <c r="H25" i="11"/>
  <c r="J24" i="11"/>
  <c r="H24" i="11"/>
  <c r="I24" i="11" s="1"/>
  <c r="K23" i="11"/>
  <c r="J23" i="11"/>
  <c r="I23" i="11"/>
  <c r="H23" i="11"/>
  <c r="J22" i="11"/>
  <c r="K22" i="11" s="1"/>
  <c r="I22" i="11"/>
  <c r="H22" i="11"/>
  <c r="K21" i="11"/>
  <c r="J21" i="11"/>
  <c r="I21" i="11"/>
  <c r="H21" i="11"/>
  <c r="J20" i="11"/>
  <c r="I20" i="11"/>
  <c r="H20" i="11"/>
  <c r="K19" i="11"/>
  <c r="J19" i="11"/>
  <c r="I19" i="11"/>
  <c r="H19" i="11"/>
  <c r="J18" i="11"/>
  <c r="K18" i="11" s="1"/>
  <c r="H18" i="11"/>
  <c r="I18" i="11" s="1"/>
  <c r="K17" i="11"/>
  <c r="J17" i="11"/>
  <c r="I17" i="11"/>
  <c r="H17" i="11"/>
  <c r="J16" i="11"/>
  <c r="K16" i="11" s="1"/>
  <c r="I16" i="11"/>
  <c r="H16" i="11"/>
  <c r="K15" i="11"/>
  <c r="J15" i="11"/>
  <c r="I15" i="11"/>
  <c r="H15" i="11"/>
  <c r="J14" i="11"/>
  <c r="H14" i="11"/>
  <c r="I14" i="11" s="1"/>
  <c r="K13" i="11"/>
  <c r="J13" i="11"/>
  <c r="I13" i="11"/>
  <c r="H13" i="11"/>
  <c r="J12" i="11"/>
  <c r="H12" i="11"/>
  <c r="I12" i="11" s="1"/>
  <c r="K11" i="11"/>
  <c r="J11" i="11"/>
  <c r="I11" i="11"/>
  <c r="H11" i="11"/>
  <c r="J10" i="11"/>
  <c r="H10" i="11"/>
  <c r="I10" i="11" s="1"/>
  <c r="K9" i="11"/>
  <c r="J9" i="11"/>
  <c r="I9" i="11"/>
  <c r="H9" i="11"/>
  <c r="J8" i="11"/>
  <c r="H8" i="11"/>
  <c r="I8" i="11" s="1"/>
  <c r="H7" i="11"/>
  <c r="I7" i="11" s="1"/>
  <c r="K215" i="10"/>
  <c r="J215" i="10"/>
  <c r="I215" i="10"/>
  <c r="H215" i="10"/>
  <c r="J214" i="10"/>
  <c r="K214" i="10" s="1"/>
  <c r="I214" i="10"/>
  <c r="H214" i="10"/>
  <c r="J213" i="10"/>
  <c r="H213" i="10"/>
  <c r="I213" i="10" s="1"/>
  <c r="J212" i="10"/>
  <c r="K212" i="10" s="1"/>
  <c r="I212" i="10"/>
  <c r="H212" i="10"/>
  <c r="J211" i="10"/>
  <c r="K211" i="10" s="1"/>
  <c r="I211" i="10"/>
  <c r="H211" i="10"/>
  <c r="J210" i="10"/>
  <c r="K210" i="10" s="1"/>
  <c r="I210" i="10"/>
  <c r="H210" i="10"/>
  <c r="J209" i="10"/>
  <c r="H209" i="10"/>
  <c r="J208" i="10"/>
  <c r="K208" i="10" s="1"/>
  <c r="I208" i="10"/>
  <c r="H208" i="10"/>
  <c r="J207" i="10"/>
  <c r="K207" i="10" s="1"/>
  <c r="I207" i="10"/>
  <c r="H207" i="10"/>
  <c r="K206" i="10"/>
  <c r="J206" i="10"/>
  <c r="I206" i="10"/>
  <c r="H206" i="10"/>
  <c r="J205" i="10"/>
  <c r="K205" i="10" s="1"/>
  <c r="H205" i="10"/>
  <c r="I205" i="10" s="1"/>
  <c r="K204" i="10"/>
  <c r="J204" i="10"/>
  <c r="I204" i="10"/>
  <c r="H204" i="10"/>
  <c r="J203" i="10"/>
  <c r="K203" i="10" s="1"/>
  <c r="I203" i="10"/>
  <c r="H203" i="10"/>
  <c r="K202" i="10"/>
  <c r="J202" i="10"/>
  <c r="I202" i="10"/>
  <c r="H202" i="10"/>
  <c r="J201" i="10"/>
  <c r="K201" i="10" s="1"/>
  <c r="H201" i="10"/>
  <c r="I201" i="10" s="1"/>
  <c r="K200" i="10"/>
  <c r="J200" i="10"/>
  <c r="I200" i="10"/>
  <c r="H200" i="10"/>
  <c r="J199" i="10"/>
  <c r="I199" i="10"/>
  <c r="H199" i="10"/>
  <c r="K198" i="10"/>
  <c r="J198" i="10"/>
  <c r="I198" i="10"/>
  <c r="H198" i="10"/>
  <c r="J197" i="10"/>
  <c r="K197" i="10" s="1"/>
  <c r="H197" i="10"/>
  <c r="I197" i="10" s="1"/>
  <c r="K196" i="10"/>
  <c r="J196" i="10"/>
  <c r="I196" i="10"/>
  <c r="H196" i="10"/>
  <c r="J195" i="10"/>
  <c r="I195" i="10"/>
  <c r="H195" i="10"/>
  <c r="K194" i="10"/>
  <c r="J194" i="10"/>
  <c r="I194" i="10"/>
  <c r="H194" i="10"/>
  <c r="J193" i="10"/>
  <c r="H193" i="10"/>
  <c r="I193" i="10" s="1"/>
  <c r="K192" i="10"/>
  <c r="J192" i="10"/>
  <c r="I192" i="10"/>
  <c r="H192" i="10"/>
  <c r="J191" i="10"/>
  <c r="K191" i="10" s="1"/>
  <c r="I191" i="10"/>
  <c r="H191" i="10"/>
  <c r="K190" i="10"/>
  <c r="J190" i="10"/>
  <c r="I190" i="10"/>
  <c r="H190" i="10"/>
  <c r="J189" i="10"/>
  <c r="K189" i="10" s="1"/>
  <c r="H189" i="10"/>
  <c r="I189" i="10" s="1"/>
  <c r="K188" i="10"/>
  <c r="J188" i="10"/>
  <c r="I188" i="10"/>
  <c r="H188" i="10"/>
  <c r="J187" i="10"/>
  <c r="K187" i="10" s="1"/>
  <c r="I187" i="10"/>
  <c r="H187" i="10"/>
  <c r="K186" i="10"/>
  <c r="J186" i="10"/>
  <c r="I186" i="10"/>
  <c r="H186" i="10"/>
  <c r="J185" i="10"/>
  <c r="H185" i="10"/>
  <c r="I185" i="10" s="1"/>
  <c r="K184" i="10"/>
  <c r="J184" i="10"/>
  <c r="I184" i="10"/>
  <c r="H184" i="10"/>
  <c r="J183" i="10"/>
  <c r="K183" i="10" s="1"/>
  <c r="I183" i="10"/>
  <c r="H183" i="10"/>
  <c r="K182" i="10"/>
  <c r="J182" i="10"/>
  <c r="I182" i="10"/>
  <c r="H182" i="10"/>
  <c r="J181" i="10"/>
  <c r="H181" i="10"/>
  <c r="I181" i="10" s="1"/>
  <c r="K180" i="10"/>
  <c r="J180" i="10"/>
  <c r="I180" i="10"/>
  <c r="H180" i="10"/>
  <c r="J179" i="10"/>
  <c r="I179" i="10"/>
  <c r="H179" i="10"/>
  <c r="K178" i="10"/>
  <c r="J178" i="10"/>
  <c r="I178" i="10"/>
  <c r="H178" i="10"/>
  <c r="J177" i="10"/>
  <c r="H177" i="10"/>
  <c r="I177" i="10" s="1"/>
  <c r="K176" i="10"/>
  <c r="J176" i="10"/>
  <c r="I176" i="10"/>
  <c r="H176" i="10"/>
  <c r="J175" i="10"/>
  <c r="K175" i="10" s="1"/>
  <c r="I175" i="10"/>
  <c r="H175" i="10"/>
  <c r="K174" i="10"/>
  <c r="J174" i="10"/>
  <c r="I174" i="10"/>
  <c r="H174" i="10"/>
  <c r="J173" i="10"/>
  <c r="K173" i="10" s="1"/>
  <c r="H173" i="10"/>
  <c r="I173" i="10" s="1"/>
  <c r="K172" i="10"/>
  <c r="J172" i="10"/>
  <c r="I172" i="10"/>
  <c r="H172" i="10"/>
  <c r="J171" i="10"/>
  <c r="K171" i="10" s="1"/>
  <c r="I171" i="10"/>
  <c r="H171" i="10"/>
  <c r="K170" i="10"/>
  <c r="J170" i="10"/>
  <c r="I170" i="10"/>
  <c r="H170" i="10"/>
  <c r="J169" i="10"/>
  <c r="H169" i="10"/>
  <c r="I169" i="10" s="1"/>
  <c r="K168" i="10"/>
  <c r="J168" i="10"/>
  <c r="I168" i="10"/>
  <c r="H168" i="10"/>
  <c r="J167" i="10"/>
  <c r="K167" i="10" s="1"/>
  <c r="I167" i="10"/>
  <c r="H167" i="10"/>
  <c r="K166" i="10"/>
  <c r="J166" i="10"/>
  <c r="I166" i="10"/>
  <c r="H166" i="10"/>
  <c r="J165" i="10"/>
  <c r="I165" i="10"/>
  <c r="H165" i="10"/>
  <c r="K164" i="10"/>
  <c r="J164" i="10"/>
  <c r="I164" i="10"/>
  <c r="H164" i="10"/>
  <c r="J163" i="10"/>
  <c r="H163" i="10"/>
  <c r="I163" i="10" s="1"/>
  <c r="K162" i="10"/>
  <c r="J162" i="10"/>
  <c r="I162" i="10"/>
  <c r="H162" i="10"/>
  <c r="J161" i="10"/>
  <c r="H161" i="10"/>
  <c r="I161" i="10" s="1"/>
  <c r="K160" i="10"/>
  <c r="J160" i="10"/>
  <c r="I160" i="10"/>
  <c r="H160" i="10"/>
  <c r="J159" i="10"/>
  <c r="K159" i="10" s="1"/>
  <c r="I159" i="10"/>
  <c r="H159" i="10"/>
  <c r="K158" i="10"/>
  <c r="J158" i="10"/>
  <c r="I158" i="10"/>
  <c r="H158" i="10"/>
  <c r="J157" i="10"/>
  <c r="K157" i="10" s="1"/>
  <c r="H157" i="10"/>
  <c r="I157" i="10" s="1"/>
  <c r="K156" i="10"/>
  <c r="J156" i="10"/>
  <c r="I156" i="10"/>
  <c r="H156" i="10"/>
  <c r="J155" i="10"/>
  <c r="K155" i="10" s="1"/>
  <c r="I155" i="10"/>
  <c r="H155" i="10"/>
  <c r="K154" i="10"/>
  <c r="J154" i="10"/>
  <c r="I154" i="10"/>
  <c r="H154" i="10"/>
  <c r="J153" i="10"/>
  <c r="H153" i="10"/>
  <c r="I153" i="10" s="1"/>
  <c r="K152" i="10"/>
  <c r="J152" i="10"/>
  <c r="I152" i="10"/>
  <c r="H152" i="10"/>
  <c r="J151" i="10"/>
  <c r="H151" i="10"/>
  <c r="I151" i="10" s="1"/>
  <c r="K150" i="10"/>
  <c r="J150" i="10"/>
  <c r="I150" i="10"/>
  <c r="H150" i="10"/>
  <c r="J149" i="10"/>
  <c r="K149" i="10" s="1"/>
  <c r="H149" i="10"/>
  <c r="I149" i="10" s="1"/>
  <c r="K148" i="10"/>
  <c r="J148" i="10"/>
  <c r="I148" i="10"/>
  <c r="H148" i="10"/>
  <c r="J147" i="10"/>
  <c r="I147" i="10"/>
  <c r="H147" i="10"/>
  <c r="K146" i="10"/>
  <c r="J146" i="10"/>
  <c r="I146" i="10"/>
  <c r="H146" i="10"/>
  <c r="J145" i="10"/>
  <c r="H145" i="10"/>
  <c r="I145" i="10" s="1"/>
  <c r="K144" i="10"/>
  <c r="J144" i="10"/>
  <c r="I144" i="10"/>
  <c r="H144" i="10"/>
  <c r="J143" i="10"/>
  <c r="K143" i="10" s="1"/>
  <c r="I143" i="10"/>
  <c r="H143" i="10"/>
  <c r="K142" i="10"/>
  <c r="J142" i="10"/>
  <c r="I142" i="10"/>
  <c r="H142" i="10"/>
  <c r="J141" i="10"/>
  <c r="K141" i="10" s="1"/>
  <c r="H141" i="10"/>
  <c r="I141" i="10" s="1"/>
  <c r="K140" i="10"/>
  <c r="J140" i="10"/>
  <c r="I140" i="10"/>
  <c r="H140" i="10"/>
  <c r="J139" i="10"/>
  <c r="K139" i="10" s="1"/>
  <c r="I139" i="10"/>
  <c r="H139" i="10"/>
  <c r="K138" i="10"/>
  <c r="J138" i="10"/>
  <c r="I138" i="10"/>
  <c r="H138" i="10"/>
  <c r="J137" i="10"/>
  <c r="K137" i="10" s="1"/>
  <c r="H137" i="10"/>
  <c r="I137" i="10" s="1"/>
  <c r="K136" i="10"/>
  <c r="J136" i="10"/>
  <c r="I136" i="10"/>
  <c r="H136" i="10"/>
  <c r="J135" i="10"/>
  <c r="I135" i="10"/>
  <c r="H135" i="10"/>
  <c r="K134" i="10"/>
  <c r="J134" i="10"/>
  <c r="I134" i="10"/>
  <c r="H134" i="10"/>
  <c r="J133" i="10"/>
  <c r="H133" i="10"/>
  <c r="I133" i="10" s="1"/>
  <c r="K132" i="10"/>
  <c r="J132" i="10"/>
  <c r="I132" i="10"/>
  <c r="H132" i="10"/>
  <c r="J131" i="10"/>
  <c r="I131" i="10"/>
  <c r="H131" i="10"/>
  <c r="K130" i="10"/>
  <c r="J130" i="10"/>
  <c r="I130" i="10"/>
  <c r="H130" i="10"/>
  <c r="J129" i="10"/>
  <c r="H129" i="10"/>
  <c r="I129" i="10" s="1"/>
  <c r="K128" i="10"/>
  <c r="J128" i="10"/>
  <c r="I128" i="10"/>
  <c r="H128" i="10"/>
  <c r="J127" i="10"/>
  <c r="K127" i="10" s="1"/>
  <c r="I127" i="10"/>
  <c r="H127" i="10"/>
  <c r="K126" i="10"/>
  <c r="J126" i="10"/>
  <c r="I126" i="10"/>
  <c r="H126" i="10"/>
  <c r="J125" i="10"/>
  <c r="H125" i="10"/>
  <c r="I125" i="10" s="1"/>
  <c r="K124" i="10"/>
  <c r="J124" i="10"/>
  <c r="I124" i="10"/>
  <c r="H124" i="10"/>
  <c r="J123" i="10"/>
  <c r="K123" i="10" s="1"/>
  <c r="I123" i="10"/>
  <c r="H123" i="10"/>
  <c r="K122" i="10"/>
  <c r="J122" i="10"/>
  <c r="I122" i="10"/>
  <c r="H122" i="10"/>
  <c r="J121" i="10"/>
  <c r="K121" i="10" s="1"/>
  <c r="H121" i="10"/>
  <c r="I121" i="10" s="1"/>
  <c r="K120" i="10"/>
  <c r="J120" i="10"/>
  <c r="I120" i="10"/>
  <c r="H120" i="10"/>
  <c r="J119" i="10"/>
  <c r="K119" i="10" s="1"/>
  <c r="I119" i="10"/>
  <c r="H119" i="10"/>
  <c r="K118" i="10"/>
  <c r="J118" i="10"/>
  <c r="I118" i="10"/>
  <c r="H118" i="10"/>
  <c r="J117" i="10"/>
  <c r="H117" i="10"/>
  <c r="I117" i="10" s="1"/>
  <c r="K116" i="10"/>
  <c r="J116" i="10"/>
  <c r="I116" i="10"/>
  <c r="H116" i="10"/>
  <c r="J115" i="10"/>
  <c r="I115" i="10"/>
  <c r="H115" i="10"/>
  <c r="K114" i="10"/>
  <c r="J114" i="10"/>
  <c r="I114" i="10"/>
  <c r="H114" i="10"/>
  <c r="J113" i="10"/>
  <c r="K113" i="10" s="1"/>
  <c r="H113" i="10"/>
  <c r="I113" i="10" s="1"/>
  <c r="K112" i="10"/>
  <c r="J112" i="10"/>
  <c r="I112" i="10"/>
  <c r="H112" i="10"/>
  <c r="J111" i="10"/>
  <c r="K111" i="10" s="1"/>
  <c r="I111" i="10"/>
  <c r="H111" i="10"/>
  <c r="K110" i="10"/>
  <c r="J110" i="10"/>
  <c r="I110" i="10"/>
  <c r="H110" i="10"/>
  <c r="J109" i="10"/>
  <c r="H109" i="10"/>
  <c r="I109" i="10" s="1"/>
  <c r="K108" i="10"/>
  <c r="J108" i="10"/>
  <c r="I108" i="10"/>
  <c r="H108" i="10"/>
  <c r="J107" i="10"/>
  <c r="K107" i="10" s="1"/>
  <c r="I107" i="10"/>
  <c r="H107" i="10"/>
  <c r="K106" i="10"/>
  <c r="J106" i="10"/>
  <c r="I106" i="10"/>
  <c r="H106" i="10"/>
  <c r="J105" i="10"/>
  <c r="K105" i="10" s="1"/>
  <c r="H105" i="10"/>
  <c r="I105" i="10" s="1"/>
  <c r="K104" i="10"/>
  <c r="J104" i="10"/>
  <c r="I104" i="10"/>
  <c r="H104" i="10"/>
  <c r="J103" i="10"/>
  <c r="K103" i="10" s="1"/>
  <c r="I103" i="10"/>
  <c r="H103" i="10"/>
  <c r="K102" i="10"/>
  <c r="J102" i="10"/>
  <c r="I102" i="10"/>
  <c r="H102" i="10"/>
  <c r="J101" i="10"/>
  <c r="K101" i="10" s="1"/>
  <c r="H101" i="10"/>
  <c r="I101" i="10" s="1"/>
  <c r="K100" i="10"/>
  <c r="J100" i="10"/>
  <c r="I100" i="10"/>
  <c r="H100" i="10"/>
  <c r="J99" i="10"/>
  <c r="I99" i="10"/>
  <c r="H99" i="10"/>
  <c r="K98" i="10"/>
  <c r="J98" i="10"/>
  <c r="I98" i="10"/>
  <c r="H98" i="10"/>
  <c r="J97" i="10"/>
  <c r="K97" i="10" s="1"/>
  <c r="H97" i="10"/>
  <c r="I97" i="10" s="1"/>
  <c r="K96" i="10"/>
  <c r="J96" i="10"/>
  <c r="I96" i="10"/>
  <c r="H96" i="10"/>
  <c r="J95" i="10"/>
  <c r="K95" i="10" s="1"/>
  <c r="I95" i="10"/>
  <c r="H95" i="10"/>
  <c r="K94" i="10"/>
  <c r="J94" i="10"/>
  <c r="I94" i="10"/>
  <c r="H94" i="10"/>
  <c r="J93" i="10"/>
  <c r="H93" i="10"/>
  <c r="I93" i="10" s="1"/>
  <c r="K92" i="10"/>
  <c r="J92" i="10"/>
  <c r="I92" i="10"/>
  <c r="H92" i="10"/>
  <c r="J91" i="10"/>
  <c r="K91" i="10" s="1"/>
  <c r="I91" i="10"/>
  <c r="H91" i="10"/>
  <c r="K90" i="10"/>
  <c r="J90" i="10"/>
  <c r="I90" i="10"/>
  <c r="H90" i="10"/>
  <c r="J89" i="10"/>
  <c r="H89" i="10"/>
  <c r="I89" i="10" s="1"/>
  <c r="K88" i="10"/>
  <c r="J88" i="10"/>
  <c r="I88" i="10"/>
  <c r="H88" i="10"/>
  <c r="J87" i="10"/>
  <c r="I87" i="10"/>
  <c r="H87" i="10"/>
  <c r="K86" i="10"/>
  <c r="J86" i="10"/>
  <c r="I86" i="10"/>
  <c r="H86" i="10"/>
  <c r="J85" i="10"/>
  <c r="H85" i="10"/>
  <c r="I85" i="10" s="1"/>
  <c r="K84" i="10"/>
  <c r="J84" i="10"/>
  <c r="I84" i="10"/>
  <c r="H84" i="10"/>
  <c r="J83" i="10"/>
  <c r="I83" i="10"/>
  <c r="H83" i="10"/>
  <c r="K82" i="10"/>
  <c r="J82" i="10"/>
  <c r="I82" i="10"/>
  <c r="H82" i="10"/>
  <c r="J81" i="10"/>
  <c r="K81" i="10" s="1"/>
  <c r="H81" i="10"/>
  <c r="I81" i="10" s="1"/>
  <c r="K80" i="10"/>
  <c r="J80" i="10"/>
  <c r="I80" i="10"/>
  <c r="H80" i="10"/>
  <c r="J79" i="10"/>
  <c r="K79" i="10" s="1"/>
  <c r="I79" i="10"/>
  <c r="H79" i="10"/>
  <c r="K78" i="10"/>
  <c r="J78" i="10"/>
  <c r="I78" i="10"/>
  <c r="H78" i="10"/>
  <c r="J77" i="10"/>
  <c r="K77" i="10" s="1"/>
  <c r="H77" i="10"/>
  <c r="I77" i="10" s="1"/>
  <c r="K76" i="10"/>
  <c r="J76" i="10"/>
  <c r="I76" i="10"/>
  <c r="H76" i="10"/>
  <c r="J75" i="10"/>
  <c r="K75" i="10" s="1"/>
  <c r="I75" i="10"/>
  <c r="H75" i="10"/>
  <c r="K74" i="10"/>
  <c r="J74" i="10"/>
  <c r="I74" i="10"/>
  <c r="H74" i="10"/>
  <c r="J73" i="10"/>
  <c r="K73" i="10" s="1"/>
  <c r="H73" i="10"/>
  <c r="I73" i="10" s="1"/>
  <c r="K72" i="10"/>
  <c r="J72" i="10"/>
  <c r="I72" i="10"/>
  <c r="H72" i="10"/>
  <c r="J71" i="10"/>
  <c r="I71" i="10"/>
  <c r="H71" i="10"/>
  <c r="K70" i="10"/>
  <c r="J70" i="10"/>
  <c r="I70" i="10"/>
  <c r="H70" i="10"/>
  <c r="J69" i="10"/>
  <c r="K69" i="10" s="1"/>
  <c r="H69" i="10"/>
  <c r="I69" i="10" s="1"/>
  <c r="K68" i="10"/>
  <c r="J68" i="10"/>
  <c r="I68" i="10"/>
  <c r="H68" i="10"/>
  <c r="J67" i="10"/>
  <c r="I67" i="10"/>
  <c r="H67" i="10"/>
  <c r="K66" i="10"/>
  <c r="J66" i="10"/>
  <c r="I66" i="10"/>
  <c r="H66" i="10"/>
  <c r="J65" i="10"/>
  <c r="H65" i="10"/>
  <c r="I65" i="10" s="1"/>
  <c r="K64" i="10"/>
  <c r="J64" i="10"/>
  <c r="I64" i="10"/>
  <c r="H64" i="10"/>
  <c r="J63" i="10"/>
  <c r="K63" i="10" s="1"/>
  <c r="I63" i="10"/>
  <c r="H63" i="10"/>
  <c r="K62" i="10"/>
  <c r="J62" i="10"/>
  <c r="I62" i="10"/>
  <c r="H62" i="10"/>
  <c r="J61" i="10"/>
  <c r="H61" i="10"/>
  <c r="I61" i="10" s="1"/>
  <c r="K60" i="10"/>
  <c r="J60" i="10"/>
  <c r="I60" i="10"/>
  <c r="H60" i="10"/>
  <c r="J59" i="10"/>
  <c r="K59" i="10" s="1"/>
  <c r="I59" i="10"/>
  <c r="H59" i="10"/>
  <c r="K58" i="10"/>
  <c r="J58" i="10"/>
  <c r="I58" i="10"/>
  <c r="H58" i="10"/>
  <c r="J57" i="10"/>
  <c r="H57" i="10"/>
  <c r="I57" i="10" s="1"/>
  <c r="K56" i="10"/>
  <c r="J56" i="10"/>
  <c r="I56" i="10"/>
  <c r="H56" i="10"/>
  <c r="J55" i="10"/>
  <c r="K55" i="10" s="1"/>
  <c r="I55" i="10"/>
  <c r="H55" i="10"/>
  <c r="K54" i="10"/>
  <c r="J54" i="10"/>
  <c r="I54" i="10"/>
  <c r="H54" i="10"/>
  <c r="J53" i="10"/>
  <c r="H53" i="10"/>
  <c r="I53" i="10" s="1"/>
  <c r="K52" i="10"/>
  <c r="J52" i="10"/>
  <c r="I52" i="10"/>
  <c r="H52" i="10"/>
  <c r="J51" i="10"/>
  <c r="H51" i="10"/>
  <c r="I51" i="10" s="1"/>
  <c r="K50" i="10"/>
  <c r="J50" i="10"/>
  <c r="I50" i="10"/>
  <c r="H50" i="10"/>
  <c r="J49" i="10"/>
  <c r="K49" i="10" s="1"/>
  <c r="H49" i="10"/>
  <c r="I49" i="10" s="1"/>
  <c r="K48" i="10"/>
  <c r="J48" i="10"/>
  <c r="I48" i="10"/>
  <c r="H48" i="10"/>
  <c r="J47" i="10"/>
  <c r="K47" i="10" s="1"/>
  <c r="I47" i="10"/>
  <c r="H47" i="10"/>
  <c r="K46" i="10"/>
  <c r="J46" i="10"/>
  <c r="I46" i="10"/>
  <c r="H46" i="10"/>
  <c r="J45" i="10"/>
  <c r="H45" i="10"/>
  <c r="I45" i="10" s="1"/>
  <c r="K44" i="10"/>
  <c r="J44" i="10"/>
  <c r="I44" i="10"/>
  <c r="H44" i="10"/>
  <c r="J43" i="10"/>
  <c r="K43" i="10" s="1"/>
  <c r="I43" i="10"/>
  <c r="H43" i="10"/>
  <c r="K42" i="10"/>
  <c r="J42" i="10"/>
  <c r="I42" i="10"/>
  <c r="H42" i="10"/>
  <c r="J41" i="10"/>
  <c r="H41" i="10"/>
  <c r="I41" i="10" s="1"/>
  <c r="K40" i="10"/>
  <c r="J40" i="10"/>
  <c r="I40" i="10"/>
  <c r="H40" i="10"/>
  <c r="J39" i="10"/>
  <c r="H39" i="10"/>
  <c r="I39" i="10" s="1"/>
  <c r="K38" i="10"/>
  <c r="J38" i="10"/>
  <c r="I38" i="10"/>
  <c r="H38" i="10"/>
  <c r="J37" i="10"/>
  <c r="K37" i="10" s="1"/>
  <c r="I37" i="10"/>
  <c r="H37" i="10"/>
  <c r="K36" i="10"/>
  <c r="J36" i="10"/>
  <c r="I36" i="10"/>
  <c r="H36" i="10"/>
  <c r="J35" i="10"/>
  <c r="I35" i="10"/>
  <c r="H35" i="10"/>
  <c r="K34" i="10"/>
  <c r="J34" i="10"/>
  <c r="I34" i="10"/>
  <c r="H34" i="10"/>
  <c r="J33" i="10"/>
  <c r="K33" i="10" s="1"/>
  <c r="H33" i="10"/>
  <c r="I33" i="10" s="1"/>
  <c r="K32" i="10"/>
  <c r="J32" i="10"/>
  <c r="I32" i="10"/>
  <c r="H32" i="10"/>
  <c r="J31" i="10"/>
  <c r="K31" i="10" s="1"/>
  <c r="I31" i="10"/>
  <c r="H31" i="10"/>
  <c r="K30" i="10"/>
  <c r="J30" i="10"/>
  <c r="I30" i="10"/>
  <c r="H30" i="10"/>
  <c r="J29" i="10"/>
  <c r="K29" i="10" s="1"/>
  <c r="H29" i="10"/>
  <c r="I29" i="10" s="1"/>
  <c r="K28" i="10"/>
  <c r="J28" i="10"/>
  <c r="I28" i="10"/>
  <c r="H28" i="10"/>
  <c r="J27" i="10"/>
  <c r="K27" i="10" s="1"/>
  <c r="I27" i="10"/>
  <c r="H27" i="10"/>
  <c r="K26" i="10"/>
  <c r="J26" i="10"/>
  <c r="I26" i="10"/>
  <c r="H26" i="10"/>
  <c r="J25" i="10"/>
  <c r="K25" i="10" s="1"/>
  <c r="I25" i="10"/>
  <c r="H25" i="10"/>
  <c r="K24" i="10"/>
  <c r="J24" i="10"/>
  <c r="I24" i="10"/>
  <c r="H24" i="10"/>
  <c r="J23" i="10"/>
  <c r="I23" i="10"/>
  <c r="H23" i="10"/>
  <c r="K22" i="10"/>
  <c r="J22" i="10"/>
  <c r="I22" i="10"/>
  <c r="H22" i="10"/>
  <c r="J21" i="10"/>
  <c r="K21" i="10" s="1"/>
  <c r="H21" i="10"/>
  <c r="I21" i="10" s="1"/>
  <c r="K20" i="10"/>
  <c r="J20" i="10"/>
  <c r="I20" i="10"/>
  <c r="H20" i="10"/>
  <c r="J19" i="10"/>
  <c r="I19" i="10"/>
  <c r="H19" i="10"/>
  <c r="K18" i="10"/>
  <c r="J18" i="10"/>
  <c r="I18" i="10"/>
  <c r="H18" i="10"/>
  <c r="J17" i="10"/>
  <c r="K17" i="10" s="1"/>
  <c r="H17" i="10"/>
  <c r="I17" i="10" s="1"/>
  <c r="K16" i="10"/>
  <c r="J16" i="10"/>
  <c r="I16" i="10"/>
  <c r="H16" i="10"/>
  <c r="J15" i="10"/>
  <c r="K15" i="10" s="1"/>
  <c r="I15" i="10"/>
  <c r="H15" i="10"/>
  <c r="K14" i="10"/>
  <c r="J14" i="10"/>
  <c r="I14" i="10"/>
  <c r="H14" i="10"/>
  <c r="J13" i="10"/>
  <c r="K13" i="10" s="1"/>
  <c r="H13" i="10"/>
  <c r="I13" i="10" s="1"/>
  <c r="K12" i="10"/>
  <c r="J12" i="10"/>
  <c r="I12" i="10"/>
  <c r="H12" i="10"/>
  <c r="J11" i="10"/>
  <c r="K11" i="10" s="1"/>
  <c r="I11" i="10"/>
  <c r="H11" i="10"/>
  <c r="K10" i="10"/>
  <c r="J10" i="10"/>
  <c r="I10" i="10"/>
  <c r="H10" i="10"/>
  <c r="J9" i="10"/>
  <c r="H9" i="10"/>
  <c r="I9" i="10" s="1"/>
  <c r="K8" i="10"/>
  <c r="J8" i="10"/>
  <c r="I8" i="10"/>
  <c r="H8" i="10"/>
  <c r="H7" i="10"/>
  <c r="J215" i="9"/>
  <c r="K215" i="9" s="1"/>
  <c r="I215" i="9"/>
  <c r="H215" i="9"/>
  <c r="K214" i="9"/>
  <c r="J214" i="9"/>
  <c r="I214" i="9"/>
  <c r="H214" i="9"/>
  <c r="J213" i="9"/>
  <c r="K213" i="9" s="1"/>
  <c r="I213" i="9"/>
  <c r="H213" i="9"/>
  <c r="J212" i="9"/>
  <c r="K212" i="9" s="1"/>
  <c r="I212" i="9"/>
  <c r="H212" i="9"/>
  <c r="J211" i="9"/>
  <c r="K211" i="9" s="1"/>
  <c r="I211" i="9"/>
  <c r="H211" i="9"/>
  <c r="J210" i="9"/>
  <c r="H210" i="9"/>
  <c r="J209" i="9"/>
  <c r="K209" i="9" s="1"/>
  <c r="I209" i="9"/>
  <c r="H209" i="9"/>
  <c r="J208" i="9"/>
  <c r="K208" i="9" s="1"/>
  <c r="H208" i="9"/>
  <c r="I208" i="9" s="1"/>
  <c r="J207" i="9"/>
  <c r="K207" i="9" s="1"/>
  <c r="I207" i="9"/>
  <c r="H207" i="9"/>
  <c r="K206" i="9"/>
  <c r="J206" i="9"/>
  <c r="I206" i="9"/>
  <c r="H206" i="9"/>
  <c r="J205" i="9"/>
  <c r="K205" i="9" s="1"/>
  <c r="I205" i="9"/>
  <c r="H205" i="9"/>
  <c r="K204" i="9"/>
  <c r="J204" i="9"/>
  <c r="H204" i="9"/>
  <c r="I204" i="9" s="1"/>
  <c r="J203" i="9"/>
  <c r="K203" i="9" s="1"/>
  <c r="I203" i="9"/>
  <c r="H203" i="9"/>
  <c r="K202" i="9"/>
  <c r="J202" i="9"/>
  <c r="I202" i="9"/>
  <c r="H202" i="9"/>
  <c r="J201" i="9"/>
  <c r="K201" i="9" s="1"/>
  <c r="I201" i="9"/>
  <c r="H201" i="9"/>
  <c r="J200" i="9"/>
  <c r="K200" i="9" s="1"/>
  <c r="H200" i="9"/>
  <c r="I200" i="9" s="1"/>
  <c r="J199" i="9"/>
  <c r="K199" i="9" s="1"/>
  <c r="I199" i="9"/>
  <c r="H199" i="9"/>
  <c r="K198" i="9"/>
  <c r="J198" i="9"/>
  <c r="I198" i="9"/>
  <c r="H198" i="9"/>
  <c r="J197" i="9"/>
  <c r="K197" i="9" s="1"/>
  <c r="I197" i="9"/>
  <c r="H197" i="9"/>
  <c r="J196" i="9"/>
  <c r="I196" i="9"/>
  <c r="H196" i="9"/>
  <c r="J195" i="9"/>
  <c r="K195" i="9" s="1"/>
  <c r="I195" i="9"/>
  <c r="H195" i="9"/>
  <c r="J194" i="9"/>
  <c r="H194" i="9"/>
  <c r="J193" i="9"/>
  <c r="K193" i="9" s="1"/>
  <c r="I193" i="9"/>
  <c r="H193" i="9"/>
  <c r="J192" i="9"/>
  <c r="K192" i="9" s="1"/>
  <c r="H192" i="9"/>
  <c r="I192" i="9" s="1"/>
  <c r="J191" i="9"/>
  <c r="K191" i="9" s="1"/>
  <c r="I191" i="9"/>
  <c r="H191" i="9"/>
  <c r="K190" i="9"/>
  <c r="J190" i="9"/>
  <c r="I190" i="9"/>
  <c r="H190" i="9"/>
  <c r="J189" i="9"/>
  <c r="K189" i="9" s="1"/>
  <c r="I189" i="9"/>
  <c r="H189" i="9"/>
  <c r="J188" i="9"/>
  <c r="K188" i="9" s="1"/>
  <c r="H188" i="9"/>
  <c r="I188" i="9" s="1"/>
  <c r="J187" i="9"/>
  <c r="K187" i="9" s="1"/>
  <c r="I187" i="9"/>
  <c r="H187" i="9"/>
  <c r="K186" i="9"/>
  <c r="J186" i="9"/>
  <c r="I186" i="9"/>
  <c r="H186" i="9"/>
  <c r="J185" i="9"/>
  <c r="K185" i="9" s="1"/>
  <c r="I185" i="9"/>
  <c r="H185" i="9"/>
  <c r="J184" i="9"/>
  <c r="H184" i="9"/>
  <c r="I184" i="9" s="1"/>
  <c r="J183" i="9"/>
  <c r="K183" i="9" s="1"/>
  <c r="I183" i="9"/>
  <c r="H183" i="9"/>
  <c r="K182" i="9"/>
  <c r="J182" i="9"/>
  <c r="I182" i="9"/>
  <c r="H182" i="9"/>
  <c r="J181" i="9"/>
  <c r="K181" i="9" s="1"/>
  <c r="I181" i="9"/>
  <c r="H181" i="9"/>
  <c r="J180" i="9"/>
  <c r="K180" i="9" s="1"/>
  <c r="I180" i="9"/>
  <c r="H180" i="9"/>
  <c r="J179" i="9"/>
  <c r="K179" i="9" s="1"/>
  <c r="I179" i="9"/>
  <c r="H179" i="9"/>
  <c r="J178" i="9"/>
  <c r="H178" i="9"/>
  <c r="K178" i="9" s="1"/>
  <c r="J177" i="9"/>
  <c r="K177" i="9" s="1"/>
  <c r="I177" i="9"/>
  <c r="H177" i="9"/>
  <c r="J176" i="9"/>
  <c r="K176" i="9" s="1"/>
  <c r="H176" i="9"/>
  <c r="I176" i="9" s="1"/>
  <c r="J175" i="9"/>
  <c r="K175" i="9" s="1"/>
  <c r="I175" i="9"/>
  <c r="H175" i="9"/>
  <c r="K174" i="9"/>
  <c r="J174" i="9"/>
  <c r="I174" i="9"/>
  <c r="H174" i="9"/>
  <c r="J173" i="9"/>
  <c r="K173" i="9" s="1"/>
  <c r="I173" i="9"/>
  <c r="H173" i="9"/>
  <c r="J172" i="9"/>
  <c r="H172" i="9"/>
  <c r="I172" i="9" s="1"/>
  <c r="J171" i="9"/>
  <c r="K171" i="9" s="1"/>
  <c r="I171" i="9"/>
  <c r="H171" i="9"/>
  <c r="J170" i="9"/>
  <c r="K170" i="9" s="1"/>
  <c r="I170" i="9"/>
  <c r="H170" i="9"/>
  <c r="J169" i="9"/>
  <c r="K169" i="9" s="1"/>
  <c r="I169" i="9"/>
  <c r="H169" i="9"/>
  <c r="J168" i="9"/>
  <c r="I168" i="9"/>
  <c r="H168" i="9"/>
  <c r="K168" i="9" s="1"/>
  <c r="J167" i="9"/>
  <c r="K167" i="9" s="1"/>
  <c r="I167" i="9"/>
  <c r="H167" i="9"/>
  <c r="K166" i="9"/>
  <c r="J166" i="9"/>
  <c r="H166" i="9"/>
  <c r="I166" i="9" s="1"/>
  <c r="J165" i="9"/>
  <c r="K165" i="9" s="1"/>
  <c r="I165" i="9"/>
  <c r="H165" i="9"/>
  <c r="J164" i="9"/>
  <c r="I164" i="9"/>
  <c r="H164" i="9"/>
  <c r="J163" i="9"/>
  <c r="K163" i="9" s="1"/>
  <c r="I163" i="9"/>
  <c r="H163" i="9"/>
  <c r="J162" i="9"/>
  <c r="H162" i="9"/>
  <c r="J161" i="9"/>
  <c r="K161" i="9" s="1"/>
  <c r="I161" i="9"/>
  <c r="H161" i="9"/>
  <c r="J160" i="9"/>
  <c r="K160" i="9" s="1"/>
  <c r="H160" i="9"/>
  <c r="I160" i="9" s="1"/>
  <c r="J159" i="9"/>
  <c r="K159" i="9" s="1"/>
  <c r="I159" i="9"/>
  <c r="H159" i="9"/>
  <c r="K158" i="9"/>
  <c r="J158" i="9"/>
  <c r="I158" i="9"/>
  <c r="H158" i="9"/>
  <c r="J157" i="9"/>
  <c r="K157" i="9" s="1"/>
  <c r="I157" i="9"/>
  <c r="H157" i="9"/>
  <c r="K156" i="9"/>
  <c r="J156" i="9"/>
  <c r="H156" i="9"/>
  <c r="I156" i="9" s="1"/>
  <c r="J155" i="9"/>
  <c r="K155" i="9" s="1"/>
  <c r="I155" i="9"/>
  <c r="H155" i="9"/>
  <c r="K154" i="9"/>
  <c r="J154" i="9"/>
  <c r="I154" i="9"/>
  <c r="H154" i="9"/>
  <c r="J153" i="9"/>
  <c r="K153" i="9" s="1"/>
  <c r="I153" i="9"/>
  <c r="H153" i="9"/>
  <c r="J152" i="9"/>
  <c r="K152" i="9" s="1"/>
  <c r="H152" i="9"/>
  <c r="I152" i="9" s="1"/>
  <c r="J151" i="9"/>
  <c r="K151" i="9" s="1"/>
  <c r="I151" i="9"/>
  <c r="H151" i="9"/>
  <c r="K150" i="9"/>
  <c r="J150" i="9"/>
  <c r="I150" i="9"/>
  <c r="H150" i="9"/>
  <c r="J149" i="9"/>
  <c r="K149" i="9" s="1"/>
  <c r="I149" i="9"/>
  <c r="H149" i="9"/>
  <c r="J148" i="9"/>
  <c r="K148" i="9" s="1"/>
  <c r="I148" i="9"/>
  <c r="H148" i="9"/>
  <c r="J147" i="9"/>
  <c r="K147" i="9" s="1"/>
  <c r="I147" i="9"/>
  <c r="H147" i="9"/>
  <c r="J146" i="9"/>
  <c r="H146" i="9"/>
  <c r="J145" i="9"/>
  <c r="K145" i="9" s="1"/>
  <c r="I145" i="9"/>
  <c r="H145" i="9"/>
  <c r="J144" i="9"/>
  <c r="K144" i="9" s="1"/>
  <c r="H144" i="9"/>
  <c r="I144" i="9" s="1"/>
  <c r="J143" i="9"/>
  <c r="K143" i="9" s="1"/>
  <c r="I143" i="9"/>
  <c r="H143" i="9"/>
  <c r="K142" i="9"/>
  <c r="J142" i="9"/>
  <c r="I142" i="9"/>
  <c r="H142" i="9"/>
  <c r="J141" i="9"/>
  <c r="K141" i="9" s="1"/>
  <c r="I141" i="9"/>
  <c r="H141" i="9"/>
  <c r="K140" i="9"/>
  <c r="J140" i="9"/>
  <c r="H140" i="9"/>
  <c r="I140" i="9" s="1"/>
  <c r="J139" i="9"/>
  <c r="K139" i="9" s="1"/>
  <c r="I139" i="9"/>
  <c r="H139" i="9"/>
  <c r="K138" i="9"/>
  <c r="J138" i="9"/>
  <c r="I138" i="9"/>
  <c r="H138" i="9"/>
  <c r="J137" i="9"/>
  <c r="K137" i="9" s="1"/>
  <c r="I137" i="9"/>
  <c r="H137" i="9"/>
  <c r="J136" i="9"/>
  <c r="K136" i="9" s="1"/>
  <c r="H136" i="9"/>
  <c r="I136" i="9" s="1"/>
  <c r="J135" i="9"/>
  <c r="K135" i="9" s="1"/>
  <c r="I135" i="9"/>
  <c r="H135" i="9"/>
  <c r="K134" i="9"/>
  <c r="J134" i="9"/>
  <c r="I134" i="9"/>
  <c r="H134" i="9"/>
  <c r="J133" i="9"/>
  <c r="K133" i="9" s="1"/>
  <c r="I133" i="9"/>
  <c r="H133" i="9"/>
  <c r="J132" i="9"/>
  <c r="I132" i="9"/>
  <c r="H132" i="9"/>
  <c r="J131" i="9"/>
  <c r="K131" i="9" s="1"/>
  <c r="I131" i="9"/>
  <c r="H131" i="9"/>
  <c r="J130" i="9"/>
  <c r="H130" i="9"/>
  <c r="J129" i="9"/>
  <c r="K129" i="9" s="1"/>
  <c r="I129" i="9"/>
  <c r="H129" i="9"/>
  <c r="J128" i="9"/>
  <c r="K128" i="9" s="1"/>
  <c r="H128" i="9"/>
  <c r="I128" i="9" s="1"/>
  <c r="J127" i="9"/>
  <c r="K127" i="9" s="1"/>
  <c r="I127" i="9"/>
  <c r="H127" i="9"/>
  <c r="K126" i="9"/>
  <c r="J126" i="9"/>
  <c r="I126" i="9"/>
  <c r="H126" i="9"/>
  <c r="J125" i="9"/>
  <c r="K125" i="9" s="1"/>
  <c r="I125" i="9"/>
  <c r="H125" i="9"/>
  <c r="J124" i="9"/>
  <c r="H124" i="9"/>
  <c r="I124" i="9" s="1"/>
  <c r="J123" i="9"/>
  <c r="K123" i="9" s="1"/>
  <c r="I123" i="9"/>
  <c r="H123" i="9"/>
  <c r="K122" i="9"/>
  <c r="J122" i="9"/>
  <c r="I122" i="9"/>
  <c r="H122" i="9"/>
  <c r="J121" i="9"/>
  <c r="K121" i="9" s="1"/>
  <c r="I121" i="9"/>
  <c r="H121" i="9"/>
  <c r="J120" i="9"/>
  <c r="H120" i="9"/>
  <c r="I120" i="9" s="1"/>
  <c r="J119" i="9"/>
  <c r="K119" i="9" s="1"/>
  <c r="I119" i="9"/>
  <c r="H119" i="9"/>
  <c r="K118" i="9"/>
  <c r="J118" i="9"/>
  <c r="I118" i="9"/>
  <c r="H118" i="9"/>
  <c r="J117" i="9"/>
  <c r="K117" i="9" s="1"/>
  <c r="I117" i="9"/>
  <c r="H117" i="9"/>
  <c r="J116" i="9"/>
  <c r="K116" i="9" s="1"/>
  <c r="I116" i="9"/>
  <c r="H116" i="9"/>
  <c r="J115" i="9"/>
  <c r="K115" i="9" s="1"/>
  <c r="I115" i="9"/>
  <c r="H115" i="9"/>
  <c r="J114" i="9"/>
  <c r="H114" i="9"/>
  <c r="J113" i="9"/>
  <c r="K113" i="9" s="1"/>
  <c r="I113" i="9"/>
  <c r="H113" i="9"/>
  <c r="J112" i="9"/>
  <c r="K112" i="9" s="1"/>
  <c r="H112" i="9"/>
  <c r="I112" i="9" s="1"/>
  <c r="J111" i="9"/>
  <c r="K111" i="9" s="1"/>
  <c r="I111" i="9"/>
  <c r="H111" i="9"/>
  <c r="K110" i="9"/>
  <c r="J110" i="9"/>
  <c r="I110" i="9"/>
  <c r="H110" i="9"/>
  <c r="J109" i="9"/>
  <c r="K109" i="9" s="1"/>
  <c r="I109" i="9"/>
  <c r="H109" i="9"/>
  <c r="K108" i="9"/>
  <c r="J108" i="9"/>
  <c r="H108" i="9"/>
  <c r="I108" i="9" s="1"/>
  <c r="J107" i="9"/>
  <c r="K107" i="9" s="1"/>
  <c r="I107" i="9"/>
  <c r="H107" i="9"/>
  <c r="J106" i="9"/>
  <c r="K106" i="9" s="1"/>
  <c r="I106" i="9"/>
  <c r="H106" i="9"/>
  <c r="J105" i="9"/>
  <c r="K105" i="9" s="1"/>
  <c r="I105" i="9"/>
  <c r="H105" i="9"/>
  <c r="J104" i="9"/>
  <c r="I104" i="9"/>
  <c r="H104" i="9"/>
  <c r="K104" i="9" s="1"/>
  <c r="J103" i="9"/>
  <c r="K103" i="9" s="1"/>
  <c r="I103" i="9"/>
  <c r="H103" i="9"/>
  <c r="J102" i="9"/>
  <c r="H102" i="9"/>
  <c r="I102" i="9" s="1"/>
  <c r="J101" i="9"/>
  <c r="K101" i="9" s="1"/>
  <c r="I101" i="9"/>
  <c r="H101" i="9"/>
  <c r="J100" i="9"/>
  <c r="I100" i="9"/>
  <c r="H100" i="9"/>
  <c r="J99" i="9"/>
  <c r="K99" i="9" s="1"/>
  <c r="I99" i="9"/>
  <c r="H99" i="9"/>
  <c r="J98" i="9"/>
  <c r="H98" i="9"/>
  <c r="J97" i="9"/>
  <c r="K97" i="9" s="1"/>
  <c r="I97" i="9"/>
  <c r="H97" i="9"/>
  <c r="J96" i="9"/>
  <c r="K96" i="9" s="1"/>
  <c r="H96" i="9"/>
  <c r="I96" i="9" s="1"/>
  <c r="J95" i="9"/>
  <c r="K95" i="9" s="1"/>
  <c r="I95" i="9"/>
  <c r="H95" i="9"/>
  <c r="K94" i="9"/>
  <c r="J94" i="9"/>
  <c r="I94" i="9"/>
  <c r="H94" i="9"/>
  <c r="J93" i="9"/>
  <c r="K93" i="9" s="1"/>
  <c r="I93" i="9"/>
  <c r="H93" i="9"/>
  <c r="J92" i="9"/>
  <c r="H92" i="9"/>
  <c r="J91" i="9"/>
  <c r="K91" i="9" s="1"/>
  <c r="I91" i="9"/>
  <c r="H91" i="9"/>
  <c r="K90" i="9"/>
  <c r="J90" i="9"/>
  <c r="I90" i="9"/>
  <c r="H90" i="9"/>
  <c r="J89" i="9"/>
  <c r="K89" i="9" s="1"/>
  <c r="I89" i="9"/>
  <c r="H89" i="9"/>
  <c r="J88" i="9"/>
  <c r="H88" i="9"/>
  <c r="I88" i="9" s="1"/>
  <c r="J87" i="9"/>
  <c r="K87" i="9" s="1"/>
  <c r="I87" i="9"/>
  <c r="H87" i="9"/>
  <c r="K86" i="9"/>
  <c r="J86" i="9"/>
  <c r="I86" i="9"/>
  <c r="H86" i="9"/>
  <c r="J85" i="9"/>
  <c r="K85" i="9" s="1"/>
  <c r="I85" i="9"/>
  <c r="H85" i="9"/>
  <c r="J84" i="9"/>
  <c r="K84" i="9" s="1"/>
  <c r="I84" i="9"/>
  <c r="H84" i="9"/>
  <c r="J83" i="9"/>
  <c r="K83" i="9" s="1"/>
  <c r="I83" i="9"/>
  <c r="H83" i="9"/>
  <c r="J82" i="9"/>
  <c r="H82" i="9"/>
  <c r="J81" i="9"/>
  <c r="K81" i="9" s="1"/>
  <c r="I81" i="9"/>
  <c r="H81" i="9"/>
  <c r="J80" i="9"/>
  <c r="K80" i="9" s="1"/>
  <c r="H80" i="9"/>
  <c r="I80" i="9" s="1"/>
  <c r="J79" i="9"/>
  <c r="K79" i="9" s="1"/>
  <c r="I79" i="9"/>
  <c r="H79" i="9"/>
  <c r="K78" i="9"/>
  <c r="J78" i="9"/>
  <c r="I78" i="9"/>
  <c r="H78" i="9"/>
  <c r="J77" i="9"/>
  <c r="K77" i="9" s="1"/>
  <c r="I77" i="9"/>
  <c r="H77" i="9"/>
  <c r="K76" i="9"/>
  <c r="J76" i="9"/>
  <c r="H76" i="9"/>
  <c r="I76" i="9" s="1"/>
  <c r="J75" i="9"/>
  <c r="K75" i="9" s="1"/>
  <c r="I75" i="9"/>
  <c r="H75" i="9"/>
  <c r="K74" i="9"/>
  <c r="J74" i="9"/>
  <c r="I74" i="9"/>
  <c r="H74" i="9"/>
  <c r="J73" i="9"/>
  <c r="K73" i="9" s="1"/>
  <c r="I73" i="9"/>
  <c r="H73" i="9"/>
  <c r="J72" i="9"/>
  <c r="H72" i="9"/>
  <c r="I72" i="9" s="1"/>
  <c r="J71" i="9"/>
  <c r="K71" i="9" s="1"/>
  <c r="I71" i="9"/>
  <c r="H71" i="9"/>
  <c r="K70" i="9"/>
  <c r="J70" i="9"/>
  <c r="I70" i="9"/>
  <c r="H70" i="9"/>
  <c r="J69" i="9"/>
  <c r="K69" i="9" s="1"/>
  <c r="I69" i="9"/>
  <c r="H69" i="9"/>
  <c r="J68" i="9"/>
  <c r="I68" i="9"/>
  <c r="H68" i="9"/>
  <c r="J67" i="9"/>
  <c r="K67" i="9" s="1"/>
  <c r="I67" i="9"/>
  <c r="H67" i="9"/>
  <c r="J66" i="9"/>
  <c r="H66" i="9"/>
  <c r="J65" i="9"/>
  <c r="K65" i="9" s="1"/>
  <c r="I65" i="9"/>
  <c r="H65" i="9"/>
  <c r="J64" i="9"/>
  <c r="K64" i="9" s="1"/>
  <c r="H64" i="9"/>
  <c r="I64" i="9" s="1"/>
  <c r="J63" i="9"/>
  <c r="K63" i="9" s="1"/>
  <c r="I63" i="9"/>
  <c r="H63" i="9"/>
  <c r="K62" i="9"/>
  <c r="J62" i="9"/>
  <c r="I62" i="9"/>
  <c r="H62" i="9"/>
  <c r="J61" i="9"/>
  <c r="K61" i="9" s="1"/>
  <c r="I61" i="9"/>
  <c r="H61" i="9"/>
  <c r="J60" i="9"/>
  <c r="H60" i="9"/>
  <c r="I60" i="9" s="1"/>
  <c r="J59" i="9"/>
  <c r="K59" i="9" s="1"/>
  <c r="I59" i="9"/>
  <c r="H59" i="9"/>
  <c r="K58" i="9"/>
  <c r="J58" i="9"/>
  <c r="I58" i="9"/>
  <c r="H58" i="9"/>
  <c r="J57" i="9"/>
  <c r="K57" i="9" s="1"/>
  <c r="I57" i="9"/>
  <c r="H57" i="9"/>
  <c r="J56" i="9"/>
  <c r="H56" i="9"/>
  <c r="I56" i="9" s="1"/>
  <c r="J55" i="9"/>
  <c r="K55" i="9" s="1"/>
  <c r="I55" i="9"/>
  <c r="H55" i="9"/>
  <c r="K54" i="9"/>
  <c r="J54" i="9"/>
  <c r="I54" i="9"/>
  <c r="H54" i="9"/>
  <c r="J53" i="9"/>
  <c r="K53" i="9" s="1"/>
  <c r="I53" i="9"/>
  <c r="H53" i="9"/>
  <c r="J52" i="9"/>
  <c r="K52" i="9" s="1"/>
  <c r="I52" i="9"/>
  <c r="H52" i="9"/>
  <c r="J51" i="9"/>
  <c r="K51" i="9" s="1"/>
  <c r="I51" i="9"/>
  <c r="H51" i="9"/>
  <c r="J50" i="9"/>
  <c r="I50" i="9"/>
  <c r="H50" i="9"/>
  <c r="K50" i="9" s="1"/>
  <c r="J49" i="9"/>
  <c r="K49" i="9" s="1"/>
  <c r="I49" i="9"/>
  <c r="H49" i="9"/>
  <c r="J48" i="9"/>
  <c r="K48" i="9" s="1"/>
  <c r="H48" i="9"/>
  <c r="I48" i="9" s="1"/>
  <c r="J47" i="9"/>
  <c r="K47" i="9" s="1"/>
  <c r="I47" i="9"/>
  <c r="H47" i="9"/>
  <c r="K46" i="9"/>
  <c r="J46" i="9"/>
  <c r="I46" i="9"/>
  <c r="H46" i="9"/>
  <c r="J45" i="9"/>
  <c r="K45" i="9" s="1"/>
  <c r="I45" i="9"/>
  <c r="H45" i="9"/>
  <c r="J44" i="9"/>
  <c r="H44" i="9"/>
  <c r="J43" i="9"/>
  <c r="K43" i="9" s="1"/>
  <c r="I43" i="9"/>
  <c r="H43" i="9"/>
  <c r="J42" i="9"/>
  <c r="K42" i="9" s="1"/>
  <c r="I42" i="9"/>
  <c r="H42" i="9"/>
  <c r="J41" i="9"/>
  <c r="K41" i="9" s="1"/>
  <c r="I41" i="9"/>
  <c r="H41" i="9"/>
  <c r="J40" i="9"/>
  <c r="H40" i="9"/>
  <c r="J39" i="9"/>
  <c r="K39" i="9" s="1"/>
  <c r="I39" i="9"/>
  <c r="H39" i="9"/>
  <c r="J38" i="9"/>
  <c r="H38" i="9"/>
  <c r="J37" i="9"/>
  <c r="K37" i="9" s="1"/>
  <c r="I37" i="9"/>
  <c r="H37" i="9"/>
  <c r="J36" i="9"/>
  <c r="I36" i="9"/>
  <c r="H36" i="9"/>
  <c r="J35" i="9"/>
  <c r="K35" i="9" s="1"/>
  <c r="I35" i="9"/>
  <c r="H35" i="9"/>
  <c r="J34" i="9"/>
  <c r="H34" i="9"/>
  <c r="J33" i="9"/>
  <c r="K33" i="9" s="1"/>
  <c r="I33" i="9"/>
  <c r="H33" i="9"/>
  <c r="J32" i="9"/>
  <c r="K32" i="9" s="1"/>
  <c r="H32" i="9"/>
  <c r="I32" i="9" s="1"/>
  <c r="J31" i="9"/>
  <c r="K31" i="9" s="1"/>
  <c r="I31" i="9"/>
  <c r="H31" i="9"/>
  <c r="K30" i="9"/>
  <c r="J30" i="9"/>
  <c r="I30" i="9"/>
  <c r="H30" i="9"/>
  <c r="J29" i="9"/>
  <c r="K29" i="9" s="1"/>
  <c r="I29" i="9"/>
  <c r="H29" i="9"/>
  <c r="J28" i="9"/>
  <c r="H28" i="9"/>
  <c r="J27" i="9"/>
  <c r="K27" i="9" s="1"/>
  <c r="I27" i="9"/>
  <c r="H27" i="9"/>
  <c r="K26" i="9"/>
  <c r="J26" i="9"/>
  <c r="I26" i="9"/>
  <c r="H26" i="9"/>
  <c r="J25" i="9"/>
  <c r="K25" i="9" s="1"/>
  <c r="I25" i="9"/>
  <c r="H25" i="9"/>
  <c r="J24" i="9"/>
  <c r="K24" i="9" s="1"/>
  <c r="H24" i="9"/>
  <c r="I24" i="9" s="1"/>
  <c r="J23" i="9"/>
  <c r="K23" i="9" s="1"/>
  <c r="I23" i="9"/>
  <c r="H23" i="9"/>
  <c r="K22" i="9"/>
  <c r="J22" i="9"/>
  <c r="I22" i="9"/>
  <c r="H22" i="9"/>
  <c r="J21" i="9"/>
  <c r="K21" i="9" s="1"/>
  <c r="I21" i="9"/>
  <c r="H21" i="9"/>
  <c r="J20" i="9"/>
  <c r="K20" i="9" s="1"/>
  <c r="I20" i="9"/>
  <c r="H20" i="9"/>
  <c r="J19" i="9"/>
  <c r="K19" i="9" s="1"/>
  <c r="I19" i="9"/>
  <c r="H19" i="9"/>
  <c r="J18" i="9"/>
  <c r="H18" i="9"/>
  <c r="J17" i="9"/>
  <c r="K17" i="9" s="1"/>
  <c r="I17" i="9"/>
  <c r="H17" i="9"/>
  <c r="J16" i="9"/>
  <c r="K16" i="9" s="1"/>
  <c r="H16" i="9"/>
  <c r="I16" i="9" s="1"/>
  <c r="J15" i="9"/>
  <c r="K15" i="9" s="1"/>
  <c r="I15" i="9"/>
  <c r="H15" i="9"/>
  <c r="K14" i="9"/>
  <c r="J14" i="9"/>
  <c r="I14" i="9"/>
  <c r="H14" i="9"/>
  <c r="J13" i="9"/>
  <c r="K13" i="9" s="1"/>
  <c r="I13" i="9"/>
  <c r="H13" i="9"/>
  <c r="K12" i="9"/>
  <c r="J12" i="9"/>
  <c r="H12" i="9"/>
  <c r="I12" i="9" s="1"/>
  <c r="J11" i="9"/>
  <c r="K11" i="9" s="1"/>
  <c r="I11" i="9"/>
  <c r="H11" i="9"/>
  <c r="K10" i="9"/>
  <c r="J10" i="9"/>
  <c r="I10" i="9"/>
  <c r="H10" i="9"/>
  <c r="J9" i="9"/>
  <c r="K9" i="9" s="1"/>
  <c r="I9" i="9"/>
  <c r="H9" i="9"/>
  <c r="J8" i="9"/>
  <c r="K8" i="9" s="1"/>
  <c r="H8" i="9"/>
  <c r="I8" i="9" s="1"/>
  <c r="I7" i="9"/>
  <c r="H7" i="9"/>
  <c r="K7" i="9" s="1"/>
  <c r="J215" i="8"/>
  <c r="K215" i="8" s="1"/>
  <c r="I215" i="8"/>
  <c r="H215" i="8"/>
  <c r="K214" i="8"/>
  <c r="J214" i="8"/>
  <c r="H214" i="8"/>
  <c r="I214" i="8" s="1"/>
  <c r="J213" i="8"/>
  <c r="K213" i="8" s="1"/>
  <c r="I213" i="8"/>
  <c r="H213" i="8"/>
  <c r="K212" i="8"/>
  <c r="J212" i="8"/>
  <c r="H212" i="8"/>
  <c r="I212" i="8" s="1"/>
  <c r="K211" i="8"/>
  <c r="J211" i="8"/>
  <c r="I211" i="8"/>
  <c r="H211" i="8"/>
  <c r="K210" i="8"/>
  <c r="J210" i="8"/>
  <c r="H210" i="8"/>
  <c r="I210" i="8" s="1"/>
  <c r="J209" i="8"/>
  <c r="K209" i="8" s="1"/>
  <c r="I209" i="8"/>
  <c r="H209" i="8"/>
  <c r="J208" i="8"/>
  <c r="H208" i="8"/>
  <c r="K207" i="8"/>
  <c r="J207" i="8"/>
  <c r="I207" i="8"/>
  <c r="H207" i="8"/>
  <c r="J206" i="8"/>
  <c r="H206" i="8"/>
  <c r="I206" i="8" s="1"/>
  <c r="J205" i="8"/>
  <c r="K205" i="8" s="1"/>
  <c r="I205" i="8"/>
  <c r="H205" i="8"/>
  <c r="J204" i="8"/>
  <c r="H204" i="8"/>
  <c r="K203" i="8"/>
  <c r="J203" i="8"/>
  <c r="I203" i="8"/>
  <c r="H203" i="8"/>
  <c r="J202" i="8"/>
  <c r="H202" i="8"/>
  <c r="J201" i="8"/>
  <c r="K201" i="8" s="1"/>
  <c r="I201" i="8"/>
  <c r="H201" i="8"/>
  <c r="K200" i="8"/>
  <c r="J200" i="8"/>
  <c r="H200" i="8"/>
  <c r="I200" i="8" s="1"/>
  <c r="K199" i="8"/>
  <c r="J199" i="8"/>
  <c r="I199" i="8"/>
  <c r="H199" i="8"/>
  <c r="J198" i="8"/>
  <c r="H198" i="8"/>
  <c r="J197" i="8"/>
  <c r="K197" i="8" s="1"/>
  <c r="I197" i="8"/>
  <c r="H197" i="8"/>
  <c r="K196" i="8"/>
  <c r="J196" i="8"/>
  <c r="H196" i="8"/>
  <c r="I196" i="8" s="1"/>
  <c r="K195" i="8"/>
  <c r="J195" i="8"/>
  <c r="I195" i="8"/>
  <c r="H195" i="8"/>
  <c r="J194" i="8"/>
  <c r="H194" i="8"/>
  <c r="I194" i="8" s="1"/>
  <c r="J193" i="8"/>
  <c r="K193" i="8" s="1"/>
  <c r="I193" i="8"/>
  <c r="H193" i="8"/>
  <c r="K192" i="8"/>
  <c r="J192" i="8"/>
  <c r="H192" i="8"/>
  <c r="I192" i="8" s="1"/>
  <c r="K191" i="8"/>
  <c r="J191" i="8"/>
  <c r="I191" i="8"/>
  <c r="H191" i="8"/>
  <c r="J190" i="8"/>
  <c r="H190" i="8"/>
  <c r="J189" i="8"/>
  <c r="K189" i="8" s="1"/>
  <c r="I189" i="8"/>
  <c r="H189" i="8"/>
  <c r="J188" i="8"/>
  <c r="H188" i="8"/>
  <c r="J187" i="8"/>
  <c r="K187" i="8" s="1"/>
  <c r="I187" i="8"/>
  <c r="H187" i="8"/>
  <c r="J186" i="8"/>
  <c r="H186" i="8"/>
  <c r="K185" i="8"/>
  <c r="J185" i="8"/>
  <c r="I185" i="8"/>
  <c r="H185" i="8"/>
  <c r="K184" i="8"/>
  <c r="J184" i="8"/>
  <c r="H184" i="8"/>
  <c r="I184" i="8" s="1"/>
  <c r="J183" i="8"/>
  <c r="K183" i="8" s="1"/>
  <c r="I183" i="8"/>
  <c r="H183" i="8"/>
  <c r="J182" i="8"/>
  <c r="H182" i="8"/>
  <c r="I182" i="8" s="1"/>
  <c r="J181" i="8"/>
  <c r="K181" i="8" s="1"/>
  <c r="I181" i="8"/>
  <c r="H181" i="8"/>
  <c r="K180" i="8"/>
  <c r="J180" i="8"/>
  <c r="H180" i="8"/>
  <c r="I180" i="8" s="1"/>
  <c r="K179" i="8"/>
  <c r="J179" i="8"/>
  <c r="I179" i="8"/>
  <c r="H179" i="8"/>
  <c r="J178" i="8"/>
  <c r="H178" i="8"/>
  <c r="I178" i="8" s="1"/>
  <c r="J177" i="8"/>
  <c r="K177" i="8" s="1"/>
  <c r="I177" i="8"/>
  <c r="H177" i="8"/>
  <c r="K176" i="8"/>
  <c r="J176" i="8"/>
  <c r="H176" i="8"/>
  <c r="I176" i="8" s="1"/>
  <c r="K175" i="8"/>
  <c r="J175" i="8"/>
  <c r="I175" i="8"/>
  <c r="H175" i="8"/>
  <c r="J174" i="8"/>
  <c r="H174" i="8"/>
  <c r="K173" i="8"/>
  <c r="J173" i="8"/>
  <c r="I173" i="8"/>
  <c r="H173" i="8"/>
  <c r="J172" i="8"/>
  <c r="H172" i="8"/>
  <c r="K171" i="8"/>
  <c r="J171" i="8"/>
  <c r="I171" i="8"/>
  <c r="H171" i="8"/>
  <c r="K170" i="8"/>
  <c r="J170" i="8"/>
  <c r="H170" i="8"/>
  <c r="I170" i="8" s="1"/>
  <c r="J169" i="8"/>
  <c r="K169" i="8" s="1"/>
  <c r="I169" i="8"/>
  <c r="H169" i="8"/>
  <c r="K168" i="8"/>
  <c r="J168" i="8"/>
  <c r="H168" i="8"/>
  <c r="I168" i="8" s="1"/>
  <c r="K167" i="8"/>
  <c r="J167" i="8"/>
  <c r="I167" i="8"/>
  <c r="H167" i="8"/>
  <c r="K166" i="8"/>
  <c r="J166" i="8"/>
  <c r="H166" i="8"/>
  <c r="I166" i="8" s="1"/>
  <c r="J165" i="8"/>
  <c r="K165" i="8" s="1"/>
  <c r="I165" i="8"/>
  <c r="H165" i="8"/>
  <c r="K164" i="8"/>
  <c r="J164" i="8"/>
  <c r="H164" i="8"/>
  <c r="I164" i="8" s="1"/>
  <c r="K163" i="8"/>
  <c r="J163" i="8"/>
  <c r="I163" i="8"/>
  <c r="H163" i="8"/>
  <c r="J162" i="8"/>
  <c r="H162" i="8"/>
  <c r="J161" i="8"/>
  <c r="K161" i="8" s="1"/>
  <c r="I161" i="8"/>
  <c r="H161" i="8"/>
  <c r="J160" i="8"/>
  <c r="H160" i="8"/>
  <c r="I160" i="8" s="1"/>
  <c r="K159" i="8"/>
  <c r="J159" i="8"/>
  <c r="I159" i="8"/>
  <c r="H159" i="8"/>
  <c r="K158" i="8"/>
  <c r="J158" i="8"/>
  <c r="H158" i="8"/>
  <c r="I158" i="8" s="1"/>
  <c r="J157" i="8"/>
  <c r="K157" i="8" s="1"/>
  <c r="I157" i="8"/>
  <c r="H157" i="8"/>
  <c r="J156" i="8"/>
  <c r="H156" i="8"/>
  <c r="J155" i="8"/>
  <c r="K155" i="8" s="1"/>
  <c r="I155" i="8"/>
  <c r="H155" i="8"/>
  <c r="K154" i="8"/>
  <c r="J154" i="8"/>
  <c r="H154" i="8"/>
  <c r="I154" i="8" s="1"/>
  <c r="K153" i="8"/>
  <c r="J153" i="8"/>
  <c r="I153" i="8"/>
  <c r="H153" i="8"/>
  <c r="K152" i="8"/>
  <c r="J152" i="8"/>
  <c r="H152" i="8"/>
  <c r="I152" i="8" s="1"/>
  <c r="J151" i="8"/>
  <c r="K151" i="8" s="1"/>
  <c r="I151" i="8"/>
  <c r="H151" i="8"/>
  <c r="J150" i="8"/>
  <c r="H150" i="8"/>
  <c r="J149" i="8"/>
  <c r="K149" i="8" s="1"/>
  <c r="I149" i="8"/>
  <c r="H149" i="8"/>
  <c r="K148" i="8"/>
  <c r="J148" i="8"/>
  <c r="H148" i="8"/>
  <c r="I148" i="8" s="1"/>
  <c r="K147" i="8"/>
  <c r="J147" i="8"/>
  <c r="I147" i="8"/>
  <c r="H147" i="8"/>
  <c r="J146" i="8"/>
  <c r="H146" i="8"/>
  <c r="J145" i="8"/>
  <c r="K145" i="8" s="1"/>
  <c r="I145" i="8"/>
  <c r="H145" i="8"/>
  <c r="K144" i="8"/>
  <c r="J144" i="8"/>
  <c r="H144" i="8"/>
  <c r="I144" i="8" s="1"/>
  <c r="K143" i="8"/>
  <c r="J143" i="8"/>
  <c r="I143" i="8"/>
  <c r="H143" i="8"/>
  <c r="J142" i="8"/>
  <c r="H142" i="8"/>
  <c r="I142" i="8" s="1"/>
  <c r="K141" i="8"/>
  <c r="J141" i="8"/>
  <c r="I141" i="8"/>
  <c r="H141" i="8"/>
  <c r="J140" i="8"/>
  <c r="H140" i="8"/>
  <c r="K139" i="8"/>
  <c r="J139" i="8"/>
  <c r="I139" i="8"/>
  <c r="H139" i="8"/>
  <c r="J138" i="8"/>
  <c r="H138" i="8"/>
  <c r="J137" i="8"/>
  <c r="K137" i="8" s="1"/>
  <c r="I137" i="8"/>
  <c r="H137" i="8"/>
  <c r="K136" i="8"/>
  <c r="J136" i="8"/>
  <c r="H136" i="8"/>
  <c r="I136" i="8" s="1"/>
  <c r="K135" i="8"/>
  <c r="J135" i="8"/>
  <c r="I135" i="8"/>
  <c r="H135" i="8"/>
  <c r="J134" i="8"/>
  <c r="H134" i="8"/>
  <c r="J133" i="8"/>
  <c r="K133" i="8" s="1"/>
  <c r="I133" i="8"/>
  <c r="H133" i="8"/>
  <c r="K132" i="8"/>
  <c r="J132" i="8"/>
  <c r="H132" i="8"/>
  <c r="I132" i="8" s="1"/>
  <c r="K131" i="8"/>
  <c r="J131" i="8"/>
  <c r="I131" i="8"/>
  <c r="H131" i="8"/>
  <c r="J130" i="8"/>
  <c r="H130" i="8"/>
  <c r="I130" i="8" s="1"/>
  <c r="J129" i="8"/>
  <c r="K129" i="8" s="1"/>
  <c r="I129" i="8"/>
  <c r="H129" i="8"/>
  <c r="J128" i="8"/>
  <c r="H128" i="8"/>
  <c r="K127" i="8"/>
  <c r="J127" i="8"/>
  <c r="I127" i="8"/>
  <c r="H127" i="8"/>
  <c r="K126" i="8"/>
  <c r="J126" i="8"/>
  <c r="H126" i="8"/>
  <c r="I126" i="8" s="1"/>
  <c r="K125" i="8"/>
  <c r="J125" i="8"/>
  <c r="I125" i="8"/>
  <c r="H125" i="8"/>
  <c r="J124" i="8"/>
  <c r="H124" i="8"/>
  <c r="J123" i="8"/>
  <c r="K123" i="8" s="1"/>
  <c r="I123" i="8"/>
  <c r="H123" i="8"/>
  <c r="K122" i="8"/>
  <c r="J122" i="8"/>
  <c r="H122" i="8"/>
  <c r="I122" i="8" s="1"/>
  <c r="K121" i="8"/>
  <c r="J121" i="8"/>
  <c r="I121" i="8"/>
  <c r="H121" i="8"/>
  <c r="K120" i="8"/>
  <c r="J120" i="8"/>
  <c r="H120" i="8"/>
  <c r="I120" i="8" s="1"/>
  <c r="J119" i="8"/>
  <c r="K119" i="8" s="1"/>
  <c r="I119" i="8"/>
  <c r="H119" i="8"/>
  <c r="K118" i="8"/>
  <c r="J118" i="8"/>
  <c r="H118" i="8"/>
  <c r="I118" i="8" s="1"/>
  <c r="J117" i="8"/>
  <c r="K117" i="8" s="1"/>
  <c r="I117" i="8"/>
  <c r="H117" i="8"/>
  <c r="K116" i="8"/>
  <c r="J116" i="8"/>
  <c r="H116" i="8"/>
  <c r="I116" i="8" s="1"/>
  <c r="K115" i="8"/>
  <c r="J115" i="8"/>
  <c r="I115" i="8"/>
  <c r="H115" i="8"/>
  <c r="J114" i="8"/>
  <c r="H114" i="8"/>
  <c r="J113" i="8"/>
  <c r="K113" i="8" s="1"/>
  <c r="I113" i="8"/>
  <c r="H113" i="8"/>
  <c r="J112" i="8"/>
  <c r="H112" i="8"/>
  <c r="I112" i="8" s="1"/>
  <c r="K111" i="8"/>
  <c r="J111" i="8"/>
  <c r="I111" i="8"/>
  <c r="H111" i="8"/>
  <c r="K110" i="8"/>
  <c r="J110" i="8"/>
  <c r="H110" i="8"/>
  <c r="I110" i="8" s="1"/>
  <c r="K109" i="8"/>
  <c r="J109" i="8"/>
  <c r="I109" i="8"/>
  <c r="H109" i="8"/>
  <c r="J108" i="8"/>
  <c r="H108" i="8"/>
  <c r="K107" i="8"/>
  <c r="J107" i="8"/>
  <c r="I107" i="8"/>
  <c r="H107" i="8"/>
  <c r="K106" i="8"/>
  <c r="J106" i="8"/>
  <c r="H106" i="8"/>
  <c r="I106" i="8" s="1"/>
  <c r="K105" i="8"/>
  <c r="J105" i="8"/>
  <c r="I105" i="8"/>
  <c r="H105" i="8"/>
  <c r="K104" i="8"/>
  <c r="J104" i="8"/>
  <c r="H104" i="8"/>
  <c r="I104" i="8" s="1"/>
  <c r="J103" i="8"/>
  <c r="K103" i="8" s="1"/>
  <c r="I103" i="8"/>
  <c r="H103" i="8"/>
  <c r="J102" i="8"/>
  <c r="H102" i="8"/>
  <c r="J101" i="8"/>
  <c r="K101" i="8" s="1"/>
  <c r="I101" i="8"/>
  <c r="H101" i="8"/>
  <c r="K100" i="8"/>
  <c r="J100" i="8"/>
  <c r="H100" i="8"/>
  <c r="I100" i="8" s="1"/>
  <c r="K99" i="8"/>
  <c r="J99" i="8"/>
  <c r="I99" i="8"/>
  <c r="H99" i="8"/>
  <c r="K98" i="8"/>
  <c r="J98" i="8"/>
  <c r="H98" i="8"/>
  <c r="I98" i="8" s="1"/>
  <c r="J97" i="8"/>
  <c r="K97" i="8" s="1"/>
  <c r="I97" i="8"/>
  <c r="H97" i="8"/>
  <c r="J96" i="8"/>
  <c r="H96" i="8"/>
  <c r="K95" i="8"/>
  <c r="J95" i="8"/>
  <c r="I95" i="8"/>
  <c r="H95" i="8"/>
  <c r="K94" i="8"/>
  <c r="J94" i="8"/>
  <c r="H94" i="8"/>
  <c r="I94" i="8" s="1"/>
  <c r="K93" i="8"/>
  <c r="J93" i="8"/>
  <c r="I93" i="8"/>
  <c r="H93" i="8"/>
  <c r="J92" i="8"/>
  <c r="H92" i="8"/>
  <c r="K91" i="8"/>
  <c r="J91" i="8"/>
  <c r="I91" i="8"/>
  <c r="H91" i="8"/>
  <c r="J90" i="8"/>
  <c r="H90" i="8"/>
  <c r="I90" i="8" s="1"/>
  <c r="J89" i="8"/>
  <c r="K89" i="8" s="1"/>
  <c r="I89" i="8"/>
  <c r="H89" i="8"/>
  <c r="K88" i="8"/>
  <c r="J88" i="8"/>
  <c r="H88" i="8"/>
  <c r="I88" i="8" s="1"/>
  <c r="J87" i="8"/>
  <c r="K87" i="8" s="1"/>
  <c r="I87" i="8"/>
  <c r="H87" i="8"/>
  <c r="K86" i="8"/>
  <c r="J86" i="8"/>
  <c r="H86" i="8"/>
  <c r="I86" i="8" s="1"/>
  <c r="J85" i="8"/>
  <c r="K85" i="8" s="1"/>
  <c r="I85" i="8"/>
  <c r="H85" i="8"/>
  <c r="K84" i="8"/>
  <c r="J84" i="8"/>
  <c r="H84" i="8"/>
  <c r="I84" i="8" s="1"/>
  <c r="K83" i="8"/>
  <c r="J83" i="8"/>
  <c r="I83" i="8"/>
  <c r="H83" i="8"/>
  <c r="J82" i="8"/>
  <c r="H82" i="8"/>
  <c r="J81" i="8"/>
  <c r="K81" i="8" s="1"/>
  <c r="I81" i="8"/>
  <c r="H81" i="8"/>
  <c r="J80" i="8"/>
  <c r="H80" i="8"/>
  <c r="I80" i="8" s="1"/>
  <c r="K79" i="8"/>
  <c r="J79" i="8"/>
  <c r="I79" i="8"/>
  <c r="H79" i="8"/>
  <c r="J78" i="8"/>
  <c r="H78" i="8"/>
  <c r="I78" i="8" s="1"/>
  <c r="K77" i="8"/>
  <c r="J77" i="8"/>
  <c r="I77" i="8"/>
  <c r="H77" i="8"/>
  <c r="J76" i="8"/>
  <c r="H76" i="8"/>
  <c r="K75" i="8"/>
  <c r="J75" i="8"/>
  <c r="I75" i="8"/>
  <c r="H75" i="8"/>
  <c r="J74" i="8"/>
  <c r="H74" i="8"/>
  <c r="J73" i="8"/>
  <c r="K73" i="8" s="1"/>
  <c r="I73" i="8"/>
  <c r="H73" i="8"/>
  <c r="K72" i="8"/>
  <c r="J72" i="8"/>
  <c r="H72" i="8"/>
  <c r="I72" i="8" s="1"/>
  <c r="K71" i="8"/>
  <c r="J71" i="8"/>
  <c r="I71" i="8"/>
  <c r="H71" i="8"/>
  <c r="J70" i="8"/>
  <c r="H70" i="8"/>
  <c r="I70" i="8" s="1"/>
  <c r="J69" i="8"/>
  <c r="K69" i="8" s="1"/>
  <c r="I69" i="8"/>
  <c r="H69" i="8"/>
  <c r="K68" i="8"/>
  <c r="J68" i="8"/>
  <c r="H68" i="8"/>
  <c r="I68" i="8" s="1"/>
  <c r="K67" i="8"/>
  <c r="J67" i="8"/>
  <c r="I67" i="8"/>
  <c r="H67" i="8"/>
  <c r="J66" i="8"/>
  <c r="H66" i="8"/>
  <c r="I66" i="8" s="1"/>
  <c r="J65" i="8"/>
  <c r="K65" i="8" s="1"/>
  <c r="I65" i="8"/>
  <c r="H65" i="8"/>
  <c r="K64" i="8"/>
  <c r="J64" i="8"/>
  <c r="H64" i="8"/>
  <c r="I64" i="8" s="1"/>
  <c r="K63" i="8"/>
  <c r="J63" i="8"/>
  <c r="I63" i="8"/>
  <c r="H63" i="8"/>
  <c r="K62" i="8"/>
  <c r="J62" i="8"/>
  <c r="H62" i="8"/>
  <c r="I62" i="8" s="1"/>
  <c r="J61" i="8"/>
  <c r="K61" i="8" s="1"/>
  <c r="I61" i="8"/>
  <c r="H61" i="8"/>
  <c r="J60" i="8"/>
  <c r="H60" i="8"/>
  <c r="K59" i="8"/>
  <c r="J59" i="8"/>
  <c r="I59" i="8"/>
  <c r="H59" i="8"/>
  <c r="J58" i="8"/>
  <c r="H58" i="8"/>
  <c r="K57" i="8"/>
  <c r="J57" i="8"/>
  <c r="I57" i="8"/>
  <c r="H57" i="8"/>
  <c r="K56" i="8"/>
  <c r="J56" i="8"/>
  <c r="H56" i="8"/>
  <c r="I56" i="8" s="1"/>
  <c r="J55" i="8"/>
  <c r="K55" i="8" s="1"/>
  <c r="I55" i="8"/>
  <c r="H55" i="8"/>
  <c r="J54" i="8"/>
  <c r="H54" i="8"/>
  <c r="I54" i="8" s="1"/>
  <c r="J53" i="8"/>
  <c r="K53" i="8" s="1"/>
  <c r="I53" i="8"/>
  <c r="H53" i="8"/>
  <c r="K52" i="8"/>
  <c r="J52" i="8"/>
  <c r="H52" i="8"/>
  <c r="I52" i="8" s="1"/>
  <c r="K51" i="8"/>
  <c r="J51" i="8"/>
  <c r="I51" i="8"/>
  <c r="H51" i="8"/>
  <c r="K50" i="8"/>
  <c r="J50" i="8"/>
  <c r="H50" i="8"/>
  <c r="I50" i="8" s="1"/>
  <c r="J49" i="8"/>
  <c r="K49" i="8" s="1"/>
  <c r="I49" i="8"/>
  <c r="H49" i="8"/>
  <c r="K48" i="8"/>
  <c r="J48" i="8"/>
  <c r="H48" i="8"/>
  <c r="I48" i="8" s="1"/>
  <c r="K47" i="8"/>
  <c r="J47" i="8"/>
  <c r="I47" i="8"/>
  <c r="H47" i="8"/>
  <c r="J46" i="8"/>
  <c r="H46" i="8"/>
  <c r="K45" i="8"/>
  <c r="J45" i="8"/>
  <c r="I45" i="8"/>
  <c r="H45" i="8"/>
  <c r="J44" i="8"/>
  <c r="H44" i="8"/>
  <c r="J43" i="8"/>
  <c r="K43" i="8" s="1"/>
  <c r="I43" i="8"/>
  <c r="H43" i="8"/>
  <c r="J42" i="8"/>
  <c r="H42" i="8"/>
  <c r="I42" i="8" s="1"/>
  <c r="J41" i="8"/>
  <c r="K41" i="8" s="1"/>
  <c r="I41" i="8"/>
  <c r="H41" i="8"/>
  <c r="K40" i="8"/>
  <c r="J40" i="8"/>
  <c r="H40" i="8"/>
  <c r="I40" i="8" s="1"/>
  <c r="K39" i="8"/>
  <c r="J39" i="8"/>
  <c r="I39" i="8"/>
  <c r="H39" i="8"/>
  <c r="K38" i="8"/>
  <c r="J38" i="8"/>
  <c r="H38" i="8"/>
  <c r="I38" i="8" s="1"/>
  <c r="J37" i="8"/>
  <c r="K37" i="8" s="1"/>
  <c r="I37" i="8"/>
  <c r="H37" i="8"/>
  <c r="K36" i="8"/>
  <c r="J36" i="8"/>
  <c r="H36" i="8"/>
  <c r="I36" i="8" s="1"/>
  <c r="K35" i="8"/>
  <c r="J35" i="8"/>
  <c r="I35" i="8"/>
  <c r="H35" i="8"/>
  <c r="J34" i="8"/>
  <c r="H34" i="8"/>
  <c r="J33" i="8"/>
  <c r="K33" i="8" s="1"/>
  <c r="I33" i="8"/>
  <c r="H33" i="8"/>
  <c r="J32" i="8"/>
  <c r="H32" i="8"/>
  <c r="I32" i="8" s="1"/>
  <c r="K31" i="8"/>
  <c r="J31" i="8"/>
  <c r="I31" i="8"/>
  <c r="H31" i="8"/>
  <c r="K30" i="8"/>
  <c r="J30" i="8"/>
  <c r="H30" i="8"/>
  <c r="I30" i="8" s="1"/>
  <c r="J29" i="8"/>
  <c r="K29" i="8" s="1"/>
  <c r="I29" i="8"/>
  <c r="H29" i="8"/>
  <c r="J28" i="8"/>
  <c r="H28" i="8"/>
  <c r="J27" i="8"/>
  <c r="K27" i="8" s="1"/>
  <c r="I27" i="8"/>
  <c r="H27" i="8"/>
  <c r="J26" i="8"/>
  <c r="H26" i="8"/>
  <c r="I26" i="8" s="1"/>
  <c r="K25" i="8"/>
  <c r="J25" i="8"/>
  <c r="I25" i="8"/>
  <c r="H25" i="8"/>
  <c r="K24" i="8"/>
  <c r="J24" i="8"/>
  <c r="H24" i="8"/>
  <c r="I24" i="8" s="1"/>
  <c r="K23" i="8"/>
  <c r="J23" i="8"/>
  <c r="I23" i="8"/>
  <c r="H23" i="8"/>
  <c r="J22" i="8"/>
  <c r="H22" i="8"/>
  <c r="J21" i="8"/>
  <c r="K21" i="8" s="1"/>
  <c r="I21" i="8"/>
  <c r="H21" i="8"/>
  <c r="K20" i="8"/>
  <c r="J20" i="8"/>
  <c r="H20" i="8"/>
  <c r="I20" i="8" s="1"/>
  <c r="K19" i="8"/>
  <c r="J19" i="8"/>
  <c r="I19" i="8"/>
  <c r="H19" i="8"/>
  <c r="K18" i="8"/>
  <c r="J18" i="8"/>
  <c r="H18" i="8"/>
  <c r="I18" i="8" s="1"/>
  <c r="J17" i="8"/>
  <c r="K17" i="8" s="1"/>
  <c r="I17" i="8"/>
  <c r="H17" i="8"/>
  <c r="J16" i="8"/>
  <c r="H16" i="8"/>
  <c r="I16" i="8" s="1"/>
  <c r="K15" i="8"/>
  <c r="J15" i="8"/>
  <c r="I15" i="8"/>
  <c r="H15" i="8"/>
  <c r="K14" i="8"/>
  <c r="J14" i="8"/>
  <c r="H14" i="8"/>
  <c r="I14" i="8" s="1"/>
  <c r="K13" i="8"/>
  <c r="J13" i="8"/>
  <c r="I13" i="8"/>
  <c r="H13" i="8"/>
  <c r="J12" i="8"/>
  <c r="H12" i="8"/>
  <c r="K11" i="8"/>
  <c r="J11" i="8"/>
  <c r="I11" i="8"/>
  <c r="H11" i="8"/>
  <c r="J10" i="8"/>
  <c r="H10" i="8"/>
  <c r="J9" i="8"/>
  <c r="K9" i="8" s="1"/>
  <c r="I9" i="8"/>
  <c r="H9" i="8"/>
  <c r="K8" i="8"/>
  <c r="J8" i="8"/>
  <c r="H8" i="8"/>
  <c r="I8" i="8" s="1"/>
  <c r="K7" i="8"/>
  <c r="H7" i="8"/>
  <c r="I7" i="8" s="1"/>
  <c r="J215" i="7"/>
  <c r="H215" i="7"/>
  <c r="J214" i="7"/>
  <c r="K214" i="7" s="1"/>
  <c r="H214" i="7"/>
  <c r="I214" i="7" s="1"/>
  <c r="J213" i="7"/>
  <c r="H213" i="7"/>
  <c r="J212" i="7"/>
  <c r="K212" i="7" s="1"/>
  <c r="H212" i="7"/>
  <c r="I212" i="7" s="1"/>
  <c r="J211" i="7"/>
  <c r="I211" i="7"/>
  <c r="H211" i="7"/>
  <c r="K211" i="7" s="1"/>
  <c r="K210" i="7"/>
  <c r="J210" i="7"/>
  <c r="H210" i="7"/>
  <c r="I210" i="7" s="1"/>
  <c r="J209" i="7"/>
  <c r="H209" i="7"/>
  <c r="J208" i="7"/>
  <c r="K208" i="7" s="1"/>
  <c r="H208" i="7"/>
  <c r="I208" i="7" s="1"/>
  <c r="K207" i="7"/>
  <c r="J207" i="7"/>
  <c r="I207" i="7"/>
  <c r="H207" i="7"/>
  <c r="J206" i="7"/>
  <c r="H206" i="7"/>
  <c r="I206" i="7" s="1"/>
  <c r="J205" i="7"/>
  <c r="H205" i="7"/>
  <c r="J204" i="7"/>
  <c r="K204" i="7" s="1"/>
  <c r="H204" i="7"/>
  <c r="I204" i="7" s="1"/>
  <c r="K203" i="7"/>
  <c r="J203" i="7"/>
  <c r="I203" i="7"/>
  <c r="H203" i="7"/>
  <c r="J202" i="7"/>
  <c r="H202" i="7"/>
  <c r="K201" i="7"/>
  <c r="J201" i="7"/>
  <c r="H201" i="7"/>
  <c r="I201" i="7" s="1"/>
  <c r="J200" i="7"/>
  <c r="K200" i="7" s="1"/>
  <c r="H200" i="7"/>
  <c r="I200" i="7" s="1"/>
  <c r="J199" i="7"/>
  <c r="I199" i="7"/>
  <c r="H199" i="7"/>
  <c r="K199" i="7" s="1"/>
  <c r="J198" i="7"/>
  <c r="H198" i="7"/>
  <c r="I198" i="7" s="1"/>
  <c r="J197" i="7"/>
  <c r="I197" i="7"/>
  <c r="H197" i="7"/>
  <c r="K197" i="7" s="1"/>
  <c r="J196" i="7"/>
  <c r="K196" i="7" s="1"/>
  <c r="H196" i="7"/>
  <c r="I196" i="7" s="1"/>
  <c r="K195" i="7"/>
  <c r="J195" i="7"/>
  <c r="I195" i="7"/>
  <c r="H195" i="7"/>
  <c r="J194" i="7"/>
  <c r="K194" i="7" s="1"/>
  <c r="H194" i="7"/>
  <c r="I194" i="7" s="1"/>
  <c r="J193" i="7"/>
  <c r="H193" i="7"/>
  <c r="J192" i="7"/>
  <c r="H192" i="7"/>
  <c r="I192" i="7" s="1"/>
  <c r="K191" i="7"/>
  <c r="J191" i="7"/>
  <c r="I191" i="7"/>
  <c r="H191" i="7"/>
  <c r="K190" i="7"/>
  <c r="J190" i="7"/>
  <c r="H190" i="7"/>
  <c r="I190" i="7" s="1"/>
  <c r="K189" i="7"/>
  <c r="J189" i="7"/>
  <c r="H189" i="7"/>
  <c r="I189" i="7" s="1"/>
  <c r="J188" i="7"/>
  <c r="K188" i="7" s="1"/>
  <c r="H188" i="7"/>
  <c r="I188" i="7" s="1"/>
  <c r="K187" i="7"/>
  <c r="J187" i="7"/>
  <c r="I187" i="7"/>
  <c r="H187" i="7"/>
  <c r="J186" i="7"/>
  <c r="H186" i="7"/>
  <c r="J185" i="7"/>
  <c r="H185" i="7"/>
  <c r="J184" i="7"/>
  <c r="K184" i="7" s="1"/>
  <c r="H184" i="7"/>
  <c r="I184" i="7" s="1"/>
  <c r="K183" i="7"/>
  <c r="J183" i="7"/>
  <c r="H183" i="7"/>
  <c r="I183" i="7" s="1"/>
  <c r="J182" i="7"/>
  <c r="H182" i="7"/>
  <c r="I182" i="7" s="1"/>
  <c r="J181" i="7"/>
  <c r="H181" i="7"/>
  <c r="J180" i="7"/>
  <c r="H180" i="7"/>
  <c r="I180" i="7" s="1"/>
  <c r="J179" i="7"/>
  <c r="I179" i="7"/>
  <c r="H179" i="7"/>
  <c r="K179" i="7" s="1"/>
  <c r="J178" i="7"/>
  <c r="K178" i="7" s="1"/>
  <c r="H178" i="7"/>
  <c r="I178" i="7" s="1"/>
  <c r="J177" i="7"/>
  <c r="H177" i="7"/>
  <c r="J176" i="7"/>
  <c r="H176" i="7"/>
  <c r="I176" i="7" s="1"/>
  <c r="J175" i="7"/>
  <c r="H175" i="7"/>
  <c r="I175" i="7" s="1"/>
  <c r="J174" i="7"/>
  <c r="H174" i="7"/>
  <c r="I174" i="7" s="1"/>
  <c r="J173" i="7"/>
  <c r="H173" i="7"/>
  <c r="J172" i="7"/>
  <c r="H172" i="7"/>
  <c r="I172" i="7" s="1"/>
  <c r="J171" i="7"/>
  <c r="I171" i="7"/>
  <c r="H171" i="7"/>
  <c r="K171" i="7" s="1"/>
  <c r="J170" i="7"/>
  <c r="H170" i="7"/>
  <c r="I170" i="7" s="1"/>
  <c r="J169" i="7"/>
  <c r="H169" i="7"/>
  <c r="J168" i="7"/>
  <c r="K168" i="7" s="1"/>
  <c r="H168" i="7"/>
  <c r="I168" i="7" s="1"/>
  <c r="K167" i="7"/>
  <c r="J167" i="7"/>
  <c r="H167" i="7"/>
  <c r="I167" i="7" s="1"/>
  <c r="J166" i="7"/>
  <c r="H166" i="7"/>
  <c r="I166" i="7" s="1"/>
  <c r="J165" i="7"/>
  <c r="H165" i="7"/>
  <c r="J164" i="7"/>
  <c r="H164" i="7"/>
  <c r="I164" i="7" s="1"/>
  <c r="J163" i="7"/>
  <c r="I163" i="7"/>
  <c r="H163" i="7"/>
  <c r="K163" i="7" s="1"/>
  <c r="J162" i="7"/>
  <c r="K162" i="7" s="1"/>
  <c r="H162" i="7"/>
  <c r="I162" i="7" s="1"/>
  <c r="J161" i="7"/>
  <c r="H161" i="7"/>
  <c r="J160" i="7"/>
  <c r="H160" i="7"/>
  <c r="I160" i="7" s="1"/>
  <c r="K159" i="7"/>
  <c r="J159" i="7"/>
  <c r="H159" i="7"/>
  <c r="I159" i="7" s="1"/>
  <c r="J158" i="7"/>
  <c r="H158" i="7"/>
  <c r="I158" i="7" s="1"/>
  <c r="J157" i="7"/>
  <c r="H157" i="7"/>
  <c r="J156" i="7"/>
  <c r="H156" i="7"/>
  <c r="I156" i="7" s="1"/>
  <c r="J155" i="7"/>
  <c r="I155" i="7"/>
  <c r="H155" i="7"/>
  <c r="K155" i="7" s="1"/>
  <c r="J154" i="7"/>
  <c r="H154" i="7"/>
  <c r="I154" i="7" s="1"/>
  <c r="J153" i="7"/>
  <c r="H153" i="7"/>
  <c r="J152" i="7"/>
  <c r="K152" i="7" s="1"/>
  <c r="H152" i="7"/>
  <c r="I152" i="7" s="1"/>
  <c r="K151" i="7"/>
  <c r="J151" i="7"/>
  <c r="H151" i="7"/>
  <c r="I151" i="7" s="1"/>
  <c r="J150" i="7"/>
  <c r="H150" i="7"/>
  <c r="I150" i="7" s="1"/>
  <c r="J149" i="7"/>
  <c r="H149" i="7"/>
  <c r="J148" i="7"/>
  <c r="H148" i="7"/>
  <c r="I148" i="7" s="1"/>
  <c r="J147" i="7"/>
  <c r="I147" i="7"/>
  <c r="H147" i="7"/>
  <c r="K147" i="7" s="1"/>
  <c r="J146" i="7"/>
  <c r="K146" i="7" s="1"/>
  <c r="H146" i="7"/>
  <c r="I146" i="7" s="1"/>
  <c r="J145" i="7"/>
  <c r="H145" i="7"/>
  <c r="J144" i="7"/>
  <c r="H144" i="7"/>
  <c r="I144" i="7" s="1"/>
  <c r="J143" i="7"/>
  <c r="H143" i="7"/>
  <c r="J142" i="7"/>
  <c r="H142" i="7"/>
  <c r="I142" i="7" s="1"/>
  <c r="J141" i="7"/>
  <c r="H141" i="7"/>
  <c r="J140" i="7"/>
  <c r="H140" i="7"/>
  <c r="I140" i="7" s="1"/>
  <c r="J139" i="7"/>
  <c r="I139" i="7"/>
  <c r="H139" i="7"/>
  <c r="K139" i="7" s="1"/>
  <c r="J138" i="7"/>
  <c r="H138" i="7"/>
  <c r="I138" i="7" s="1"/>
  <c r="J137" i="7"/>
  <c r="H137" i="7"/>
  <c r="J136" i="7"/>
  <c r="K136" i="7" s="1"/>
  <c r="H136" i="7"/>
  <c r="I136" i="7" s="1"/>
  <c r="K135" i="7"/>
  <c r="J135" i="7"/>
  <c r="H135" i="7"/>
  <c r="I135" i="7" s="1"/>
  <c r="J134" i="7"/>
  <c r="H134" i="7"/>
  <c r="I134" i="7" s="1"/>
  <c r="J133" i="7"/>
  <c r="H133" i="7"/>
  <c r="J132" i="7"/>
  <c r="H132" i="7"/>
  <c r="I132" i="7" s="1"/>
  <c r="J131" i="7"/>
  <c r="I131" i="7"/>
  <c r="H131" i="7"/>
  <c r="K131" i="7" s="1"/>
  <c r="J130" i="7"/>
  <c r="K130" i="7" s="1"/>
  <c r="H130" i="7"/>
  <c r="I130" i="7" s="1"/>
  <c r="J129" i="7"/>
  <c r="H129" i="7"/>
  <c r="J128" i="7"/>
  <c r="H128" i="7"/>
  <c r="I128" i="7" s="1"/>
  <c r="J127" i="7"/>
  <c r="H127" i="7"/>
  <c r="I127" i="7" s="1"/>
  <c r="J126" i="7"/>
  <c r="H126" i="7"/>
  <c r="I126" i="7" s="1"/>
  <c r="J125" i="7"/>
  <c r="I125" i="7"/>
  <c r="H125" i="7"/>
  <c r="K125" i="7" s="1"/>
  <c r="J124" i="7"/>
  <c r="H124" i="7"/>
  <c r="I124" i="7" s="1"/>
  <c r="J123" i="7"/>
  <c r="I123" i="7"/>
  <c r="H123" i="7"/>
  <c r="J122" i="7"/>
  <c r="H122" i="7"/>
  <c r="I122" i="7" s="1"/>
  <c r="J121" i="7"/>
  <c r="K121" i="7" s="1"/>
  <c r="H121" i="7"/>
  <c r="I121" i="7" s="1"/>
  <c r="J120" i="7"/>
  <c r="K120" i="7" s="1"/>
  <c r="H120" i="7"/>
  <c r="I120" i="7" s="1"/>
  <c r="K119" i="7"/>
  <c r="J119" i="7"/>
  <c r="H119" i="7"/>
  <c r="I119" i="7" s="1"/>
  <c r="J118" i="7"/>
  <c r="H118" i="7"/>
  <c r="I118" i="7" s="1"/>
  <c r="J117" i="7"/>
  <c r="K117" i="7" s="1"/>
  <c r="H117" i="7"/>
  <c r="I117" i="7" s="1"/>
  <c r="J116" i="7"/>
  <c r="H116" i="7"/>
  <c r="I116" i="7" s="1"/>
  <c r="J115" i="7"/>
  <c r="K115" i="7" s="1"/>
  <c r="I115" i="7"/>
  <c r="H115" i="7"/>
  <c r="J114" i="7"/>
  <c r="K114" i="7" s="1"/>
  <c r="H114" i="7"/>
  <c r="I114" i="7" s="1"/>
  <c r="J113" i="7"/>
  <c r="K113" i="7" s="1"/>
  <c r="H113" i="7"/>
  <c r="I113" i="7" s="1"/>
  <c r="J112" i="7"/>
  <c r="H112" i="7"/>
  <c r="I112" i="7" s="1"/>
  <c r="K111" i="7"/>
  <c r="J111" i="7"/>
  <c r="H111" i="7"/>
  <c r="I111" i="7" s="1"/>
  <c r="J110" i="7"/>
  <c r="H110" i="7"/>
  <c r="I110" i="7" s="1"/>
  <c r="J109" i="7"/>
  <c r="I109" i="7"/>
  <c r="H109" i="7"/>
  <c r="K109" i="7" s="1"/>
  <c r="J108" i="7"/>
  <c r="H108" i="7"/>
  <c r="I108" i="7" s="1"/>
  <c r="J107" i="7"/>
  <c r="I107" i="7"/>
  <c r="H107" i="7"/>
  <c r="J106" i="7"/>
  <c r="H106" i="7"/>
  <c r="I106" i="7" s="1"/>
  <c r="J105" i="7"/>
  <c r="K105" i="7" s="1"/>
  <c r="H105" i="7"/>
  <c r="I105" i="7" s="1"/>
  <c r="J104" i="7"/>
  <c r="K104" i="7" s="1"/>
  <c r="H104" i="7"/>
  <c r="I104" i="7" s="1"/>
  <c r="K103" i="7"/>
  <c r="J103" i="7"/>
  <c r="H103" i="7"/>
  <c r="I103" i="7" s="1"/>
  <c r="J102" i="7"/>
  <c r="H102" i="7"/>
  <c r="I102" i="7" s="1"/>
  <c r="J101" i="7"/>
  <c r="H101" i="7"/>
  <c r="I101" i="7" s="1"/>
  <c r="J100" i="7"/>
  <c r="H100" i="7"/>
  <c r="I100" i="7" s="1"/>
  <c r="J99" i="7"/>
  <c r="K99" i="7" s="1"/>
  <c r="I99" i="7"/>
  <c r="H99" i="7"/>
  <c r="J98" i="7"/>
  <c r="K98" i="7" s="1"/>
  <c r="H98" i="7"/>
  <c r="I98" i="7" s="1"/>
  <c r="J97" i="7"/>
  <c r="K97" i="7" s="1"/>
  <c r="H97" i="7"/>
  <c r="I97" i="7" s="1"/>
  <c r="J96" i="7"/>
  <c r="H96" i="7"/>
  <c r="I96" i="7" s="1"/>
  <c r="K95" i="7"/>
  <c r="J95" i="7"/>
  <c r="H95" i="7"/>
  <c r="I95" i="7" s="1"/>
  <c r="J94" i="7"/>
  <c r="H94" i="7"/>
  <c r="I94" i="7" s="1"/>
  <c r="J93" i="7"/>
  <c r="I93" i="7"/>
  <c r="H93" i="7"/>
  <c r="K93" i="7" s="1"/>
  <c r="J92" i="7"/>
  <c r="H92" i="7"/>
  <c r="I92" i="7" s="1"/>
  <c r="J91" i="7"/>
  <c r="I91" i="7"/>
  <c r="H91" i="7"/>
  <c r="J90" i="7"/>
  <c r="H90" i="7"/>
  <c r="I90" i="7" s="1"/>
  <c r="J89" i="7"/>
  <c r="K89" i="7" s="1"/>
  <c r="H89" i="7"/>
  <c r="I89" i="7" s="1"/>
  <c r="J88" i="7"/>
  <c r="K88" i="7" s="1"/>
  <c r="H88" i="7"/>
  <c r="I88" i="7" s="1"/>
  <c r="K87" i="7"/>
  <c r="J87" i="7"/>
  <c r="H87" i="7"/>
  <c r="I87" i="7" s="1"/>
  <c r="J86" i="7"/>
  <c r="H86" i="7"/>
  <c r="I86" i="7" s="1"/>
  <c r="J85" i="7"/>
  <c r="K85" i="7" s="1"/>
  <c r="H85" i="7"/>
  <c r="I85" i="7" s="1"/>
  <c r="J84" i="7"/>
  <c r="H84" i="7"/>
  <c r="I84" i="7" s="1"/>
  <c r="J83" i="7"/>
  <c r="K83" i="7" s="1"/>
  <c r="I83" i="7"/>
  <c r="H83" i="7"/>
  <c r="K82" i="7"/>
  <c r="J82" i="7"/>
  <c r="H82" i="7"/>
  <c r="I82" i="7" s="1"/>
  <c r="J81" i="7"/>
  <c r="H81" i="7"/>
  <c r="K81" i="7" s="1"/>
  <c r="J80" i="7"/>
  <c r="K80" i="7" s="1"/>
  <c r="H80" i="7"/>
  <c r="I80" i="7" s="1"/>
  <c r="J79" i="7"/>
  <c r="K79" i="7" s="1"/>
  <c r="H79" i="7"/>
  <c r="I79" i="7" s="1"/>
  <c r="J78" i="7"/>
  <c r="K78" i="7" s="1"/>
  <c r="H78" i="7"/>
  <c r="I78" i="7" s="1"/>
  <c r="K77" i="7"/>
  <c r="J77" i="7"/>
  <c r="I77" i="7"/>
  <c r="H77" i="7"/>
  <c r="J76" i="7"/>
  <c r="H76" i="7"/>
  <c r="J75" i="7"/>
  <c r="H75" i="7"/>
  <c r="J74" i="7"/>
  <c r="H74" i="7"/>
  <c r="I74" i="7" s="1"/>
  <c r="K73" i="7"/>
  <c r="J73" i="7"/>
  <c r="I73" i="7"/>
  <c r="H73" i="7"/>
  <c r="K72" i="7"/>
  <c r="J72" i="7"/>
  <c r="H72" i="7"/>
  <c r="I72" i="7" s="1"/>
  <c r="J71" i="7"/>
  <c r="H71" i="7"/>
  <c r="I71" i="7" s="1"/>
  <c r="J70" i="7"/>
  <c r="K70" i="7" s="1"/>
  <c r="H70" i="7"/>
  <c r="I70" i="7" s="1"/>
  <c r="K69" i="7"/>
  <c r="J69" i="7"/>
  <c r="I69" i="7"/>
  <c r="H69" i="7"/>
  <c r="J68" i="7"/>
  <c r="H68" i="7"/>
  <c r="J67" i="7"/>
  <c r="K67" i="7" s="1"/>
  <c r="I67" i="7"/>
  <c r="H67" i="7"/>
  <c r="K66" i="7"/>
  <c r="J66" i="7"/>
  <c r="H66" i="7"/>
  <c r="I66" i="7" s="1"/>
  <c r="K65" i="7"/>
  <c r="J65" i="7"/>
  <c r="H65" i="7"/>
  <c r="I65" i="7" s="1"/>
  <c r="J64" i="7"/>
  <c r="K64" i="7" s="1"/>
  <c r="H64" i="7"/>
  <c r="I64" i="7" s="1"/>
  <c r="J63" i="7"/>
  <c r="H63" i="7"/>
  <c r="I63" i="7" s="1"/>
  <c r="J62" i="7"/>
  <c r="H62" i="7"/>
  <c r="I62" i="7" s="1"/>
  <c r="K61" i="7"/>
  <c r="J61" i="7"/>
  <c r="I61" i="7"/>
  <c r="H61" i="7"/>
  <c r="K60" i="7"/>
  <c r="J60" i="7"/>
  <c r="H60" i="7"/>
  <c r="I60" i="7" s="1"/>
  <c r="J59" i="7"/>
  <c r="H59" i="7"/>
  <c r="I59" i="7" s="1"/>
  <c r="J58" i="7"/>
  <c r="K58" i="7" s="1"/>
  <c r="H58" i="7"/>
  <c r="I58" i="7" s="1"/>
  <c r="K57" i="7"/>
  <c r="J57" i="7"/>
  <c r="I57" i="7"/>
  <c r="H57" i="7"/>
  <c r="J56" i="7"/>
  <c r="H56" i="7"/>
  <c r="I56" i="7" s="1"/>
  <c r="J55" i="7"/>
  <c r="K55" i="7" s="1"/>
  <c r="I55" i="7"/>
  <c r="H55" i="7"/>
  <c r="J54" i="7"/>
  <c r="K54" i="7" s="1"/>
  <c r="H54" i="7"/>
  <c r="I54" i="7" s="1"/>
  <c r="J53" i="7"/>
  <c r="H53" i="7"/>
  <c r="I53" i="7" s="1"/>
  <c r="J52" i="7"/>
  <c r="H52" i="7"/>
  <c r="J51" i="7"/>
  <c r="I51" i="7"/>
  <c r="H51" i="7"/>
  <c r="J50" i="7"/>
  <c r="K50" i="7" s="1"/>
  <c r="H50" i="7"/>
  <c r="I50" i="7" s="1"/>
  <c r="J49" i="7"/>
  <c r="H49" i="7"/>
  <c r="J48" i="7"/>
  <c r="H48" i="7"/>
  <c r="J47" i="7"/>
  <c r="K47" i="7" s="1"/>
  <c r="H47" i="7"/>
  <c r="I47" i="7" s="1"/>
  <c r="K46" i="7"/>
  <c r="J46" i="7"/>
  <c r="H46" i="7"/>
  <c r="I46" i="7" s="1"/>
  <c r="K45" i="7"/>
  <c r="J45" i="7"/>
  <c r="I45" i="7"/>
  <c r="H45" i="7"/>
  <c r="J44" i="7"/>
  <c r="K44" i="7" s="1"/>
  <c r="H44" i="7"/>
  <c r="I44" i="7" s="1"/>
  <c r="K43" i="7"/>
  <c r="J43" i="7"/>
  <c r="H43" i="7"/>
  <c r="I43" i="7" s="1"/>
  <c r="J42" i="7"/>
  <c r="K42" i="7" s="1"/>
  <c r="H42" i="7"/>
  <c r="I42" i="7" s="1"/>
  <c r="J41" i="7"/>
  <c r="K41" i="7" s="1"/>
  <c r="I41" i="7"/>
  <c r="H41" i="7"/>
  <c r="J40" i="7"/>
  <c r="H40" i="7"/>
  <c r="K39" i="7"/>
  <c r="J39" i="7"/>
  <c r="I39" i="7"/>
  <c r="H39" i="7"/>
  <c r="J38" i="7"/>
  <c r="K38" i="7" s="1"/>
  <c r="H38" i="7"/>
  <c r="I38" i="7" s="1"/>
  <c r="J37" i="7"/>
  <c r="K37" i="7" s="1"/>
  <c r="I37" i="7"/>
  <c r="H37" i="7"/>
  <c r="J36" i="7"/>
  <c r="K36" i="7" s="1"/>
  <c r="H36" i="7"/>
  <c r="I36" i="7" s="1"/>
  <c r="K35" i="7"/>
  <c r="J35" i="7"/>
  <c r="H35" i="7"/>
  <c r="I35" i="7" s="1"/>
  <c r="J34" i="7"/>
  <c r="K34" i="7" s="1"/>
  <c r="H34" i="7"/>
  <c r="I34" i="7" s="1"/>
  <c r="K33" i="7"/>
  <c r="J33" i="7"/>
  <c r="I33" i="7"/>
  <c r="H33" i="7"/>
  <c r="J32" i="7"/>
  <c r="H32" i="7"/>
  <c r="I32" i="7" s="1"/>
  <c r="K31" i="7"/>
  <c r="J31" i="7"/>
  <c r="I31" i="7"/>
  <c r="H31" i="7"/>
  <c r="J30" i="7"/>
  <c r="K30" i="7" s="1"/>
  <c r="H30" i="7"/>
  <c r="I30" i="7" s="1"/>
  <c r="J29" i="7"/>
  <c r="K29" i="7" s="1"/>
  <c r="I29" i="7"/>
  <c r="H29" i="7"/>
  <c r="J28" i="7"/>
  <c r="K28" i="7" s="1"/>
  <c r="H28" i="7"/>
  <c r="I28" i="7" s="1"/>
  <c r="J27" i="7"/>
  <c r="H27" i="7"/>
  <c r="I27" i="7" s="1"/>
  <c r="J26" i="7"/>
  <c r="K26" i="7" s="1"/>
  <c r="H26" i="7"/>
  <c r="I26" i="7" s="1"/>
  <c r="K25" i="7"/>
  <c r="J25" i="7"/>
  <c r="I25" i="7"/>
  <c r="H25" i="7"/>
  <c r="J24" i="7"/>
  <c r="H24" i="7"/>
  <c r="I24" i="7" s="1"/>
  <c r="K23" i="7"/>
  <c r="J23" i="7"/>
  <c r="I23" i="7"/>
  <c r="H23" i="7"/>
  <c r="J22" i="7"/>
  <c r="K22" i="7" s="1"/>
  <c r="H22" i="7"/>
  <c r="I22" i="7" s="1"/>
  <c r="J21" i="7"/>
  <c r="K21" i="7" s="1"/>
  <c r="I21" i="7"/>
  <c r="H21" i="7"/>
  <c r="J20" i="7"/>
  <c r="K20" i="7" s="1"/>
  <c r="H20" i="7"/>
  <c r="I20" i="7" s="1"/>
  <c r="J19" i="7"/>
  <c r="H19" i="7"/>
  <c r="J18" i="7"/>
  <c r="K18" i="7" s="1"/>
  <c r="H18" i="7"/>
  <c r="I18" i="7" s="1"/>
  <c r="K17" i="7"/>
  <c r="J17" i="7"/>
  <c r="I17" i="7"/>
  <c r="H17" i="7"/>
  <c r="J16" i="7"/>
  <c r="H16" i="7"/>
  <c r="I16" i="7" s="1"/>
  <c r="K15" i="7"/>
  <c r="J15" i="7"/>
  <c r="I15" i="7"/>
  <c r="H15" i="7"/>
  <c r="J14" i="7"/>
  <c r="K14" i="7" s="1"/>
  <c r="H14" i="7"/>
  <c r="I14" i="7" s="1"/>
  <c r="J13" i="7"/>
  <c r="K13" i="7" s="1"/>
  <c r="I13" i="7"/>
  <c r="H13" i="7"/>
  <c r="J12" i="7"/>
  <c r="K12" i="7" s="1"/>
  <c r="H12" i="7"/>
  <c r="I12" i="7" s="1"/>
  <c r="K11" i="7"/>
  <c r="J11" i="7"/>
  <c r="H11" i="7"/>
  <c r="I11" i="7" s="1"/>
  <c r="J10" i="7"/>
  <c r="K10" i="7" s="1"/>
  <c r="H10" i="7"/>
  <c r="I10" i="7" s="1"/>
  <c r="K9" i="7"/>
  <c r="J9" i="7"/>
  <c r="I9" i="7"/>
  <c r="H9" i="7"/>
  <c r="J8" i="7"/>
  <c r="H8" i="7"/>
  <c r="I8" i="7" s="1"/>
  <c r="K7" i="7"/>
  <c r="H7" i="7"/>
  <c r="I7" i="7" s="1"/>
  <c r="K218" i="6"/>
  <c r="K217" i="6"/>
  <c r="K216" i="6"/>
  <c r="K215" i="6"/>
  <c r="I215" i="6"/>
  <c r="H215" i="6"/>
  <c r="K214" i="6"/>
  <c r="H214" i="6"/>
  <c r="I214" i="6" s="1"/>
  <c r="I213" i="6"/>
  <c r="H213" i="6"/>
  <c r="K213" i="6" s="1"/>
  <c r="H212" i="6"/>
  <c r="I211" i="6"/>
  <c r="H211" i="6"/>
  <c r="K211" i="6" s="1"/>
  <c r="K210" i="6"/>
  <c r="I210" i="6"/>
  <c r="H210" i="6"/>
  <c r="K209" i="6"/>
  <c r="I209" i="6"/>
  <c r="H209" i="6"/>
  <c r="H208" i="6"/>
  <c r="K207" i="6"/>
  <c r="I207" i="6"/>
  <c r="H207" i="6"/>
  <c r="H206" i="6"/>
  <c r="I205" i="6"/>
  <c r="H205" i="6"/>
  <c r="K205" i="6" s="1"/>
  <c r="K204" i="6"/>
  <c r="H204" i="6"/>
  <c r="I204" i="6" s="1"/>
  <c r="I203" i="6"/>
  <c r="H203" i="6"/>
  <c r="K203" i="6" s="1"/>
  <c r="K202" i="6"/>
  <c r="I202" i="6"/>
  <c r="H202" i="6"/>
  <c r="K201" i="6"/>
  <c r="I201" i="6"/>
  <c r="H201" i="6"/>
  <c r="K200" i="6"/>
  <c r="H200" i="6"/>
  <c r="I200" i="6" s="1"/>
  <c r="K199" i="6"/>
  <c r="I199" i="6"/>
  <c r="H199" i="6"/>
  <c r="K198" i="6"/>
  <c r="H198" i="6"/>
  <c r="I198" i="6" s="1"/>
  <c r="I197" i="6"/>
  <c r="H197" i="6"/>
  <c r="K197" i="6" s="1"/>
  <c r="I196" i="6"/>
  <c r="H196" i="6"/>
  <c r="K196" i="6" s="1"/>
  <c r="I195" i="6"/>
  <c r="H195" i="6"/>
  <c r="K195" i="6" s="1"/>
  <c r="K194" i="6"/>
  <c r="I194" i="6"/>
  <c r="H194" i="6"/>
  <c r="K193" i="6"/>
  <c r="I193" i="6"/>
  <c r="H193" i="6"/>
  <c r="H192" i="6"/>
  <c r="K191" i="6"/>
  <c r="I191" i="6"/>
  <c r="H191" i="6"/>
  <c r="H190" i="6"/>
  <c r="I189" i="6"/>
  <c r="H189" i="6"/>
  <c r="K189" i="6" s="1"/>
  <c r="K188" i="6"/>
  <c r="H188" i="6"/>
  <c r="I188" i="6" s="1"/>
  <c r="I187" i="6"/>
  <c r="H187" i="6"/>
  <c r="K187" i="6" s="1"/>
  <c r="K186" i="6"/>
  <c r="I186" i="6"/>
  <c r="H186" i="6"/>
  <c r="K185" i="6"/>
  <c r="I185" i="6"/>
  <c r="H185" i="6"/>
  <c r="K184" i="6"/>
  <c r="H184" i="6"/>
  <c r="I184" i="6" s="1"/>
  <c r="K183" i="6"/>
  <c r="I183" i="6"/>
  <c r="H183" i="6"/>
  <c r="K182" i="6"/>
  <c r="H182" i="6"/>
  <c r="I182" i="6" s="1"/>
  <c r="I181" i="6"/>
  <c r="H181" i="6"/>
  <c r="K181" i="6" s="1"/>
  <c r="H180" i="6"/>
  <c r="I179" i="6"/>
  <c r="H179" i="6"/>
  <c r="K179" i="6" s="1"/>
  <c r="K178" i="6"/>
  <c r="I178" i="6"/>
  <c r="H178" i="6"/>
  <c r="K177" i="6"/>
  <c r="I177" i="6"/>
  <c r="H177" i="6"/>
  <c r="H176" i="6"/>
  <c r="K175" i="6"/>
  <c r="I175" i="6"/>
  <c r="H175" i="6"/>
  <c r="H174" i="6"/>
  <c r="I173" i="6"/>
  <c r="H173" i="6"/>
  <c r="K173" i="6" s="1"/>
  <c r="K172" i="6"/>
  <c r="H172" i="6"/>
  <c r="I172" i="6" s="1"/>
  <c r="I171" i="6"/>
  <c r="H171" i="6"/>
  <c r="K171" i="6" s="1"/>
  <c r="K170" i="6"/>
  <c r="I170" i="6"/>
  <c r="H170" i="6"/>
  <c r="K169" i="6"/>
  <c r="I169" i="6"/>
  <c r="H169" i="6"/>
  <c r="K168" i="6"/>
  <c r="H168" i="6"/>
  <c r="I168" i="6" s="1"/>
  <c r="K167" i="6"/>
  <c r="I167" i="6"/>
  <c r="H167" i="6"/>
  <c r="K166" i="6"/>
  <c r="H166" i="6"/>
  <c r="I166" i="6" s="1"/>
  <c r="I165" i="6"/>
  <c r="H165" i="6"/>
  <c r="K165" i="6" s="1"/>
  <c r="H164" i="6"/>
  <c r="I163" i="6"/>
  <c r="H163" i="6"/>
  <c r="K163" i="6" s="1"/>
  <c r="K162" i="6"/>
  <c r="I162" i="6"/>
  <c r="H162" i="6"/>
  <c r="K161" i="6"/>
  <c r="I161" i="6"/>
  <c r="H161" i="6"/>
  <c r="H160" i="6"/>
  <c r="K159" i="6"/>
  <c r="I159" i="6"/>
  <c r="H159" i="6"/>
  <c r="H158" i="6"/>
  <c r="I157" i="6"/>
  <c r="H157" i="6"/>
  <c r="K157" i="6" s="1"/>
  <c r="K156" i="6"/>
  <c r="H156" i="6"/>
  <c r="I156" i="6" s="1"/>
  <c r="I155" i="6"/>
  <c r="H155" i="6"/>
  <c r="K155" i="6" s="1"/>
  <c r="K154" i="6"/>
  <c r="I154" i="6"/>
  <c r="H154" i="6"/>
  <c r="K153" i="6"/>
  <c r="I153" i="6"/>
  <c r="H153" i="6"/>
  <c r="K152" i="6"/>
  <c r="H152" i="6"/>
  <c r="I152" i="6" s="1"/>
  <c r="K151" i="6"/>
  <c r="I151" i="6"/>
  <c r="H151" i="6"/>
  <c r="K150" i="6"/>
  <c r="H150" i="6"/>
  <c r="I150" i="6" s="1"/>
  <c r="I149" i="6"/>
  <c r="H149" i="6"/>
  <c r="K149" i="6" s="1"/>
  <c r="H148" i="6"/>
  <c r="I147" i="6"/>
  <c r="H147" i="6"/>
  <c r="K147" i="6" s="1"/>
  <c r="K146" i="6"/>
  <c r="I146" i="6"/>
  <c r="H146" i="6"/>
  <c r="K145" i="6"/>
  <c r="I145" i="6"/>
  <c r="H145" i="6"/>
  <c r="H144" i="6"/>
  <c r="K143" i="6"/>
  <c r="I143" i="6"/>
  <c r="H143" i="6"/>
  <c r="H142" i="6"/>
  <c r="I141" i="6"/>
  <c r="H141" i="6"/>
  <c r="K141" i="6" s="1"/>
  <c r="K140" i="6"/>
  <c r="H140" i="6"/>
  <c r="I140" i="6" s="1"/>
  <c r="I139" i="6"/>
  <c r="H139" i="6"/>
  <c r="K139" i="6" s="1"/>
  <c r="K138" i="6"/>
  <c r="I138" i="6"/>
  <c r="H138" i="6"/>
  <c r="K137" i="6"/>
  <c r="I137" i="6"/>
  <c r="H137" i="6"/>
  <c r="K136" i="6"/>
  <c r="H136" i="6"/>
  <c r="I136" i="6" s="1"/>
  <c r="K135" i="6"/>
  <c r="I135" i="6"/>
  <c r="H135" i="6"/>
  <c r="K134" i="6"/>
  <c r="H134" i="6"/>
  <c r="I134" i="6" s="1"/>
  <c r="I133" i="6"/>
  <c r="H133" i="6"/>
  <c r="K133" i="6" s="1"/>
  <c r="H132" i="6"/>
  <c r="K132" i="6" s="1"/>
  <c r="I131" i="6"/>
  <c r="H131" i="6"/>
  <c r="K131" i="6" s="1"/>
  <c r="K130" i="6"/>
  <c r="I130" i="6"/>
  <c r="H130" i="6"/>
  <c r="K129" i="6"/>
  <c r="I129" i="6"/>
  <c r="H129" i="6"/>
  <c r="H128" i="6"/>
  <c r="K127" i="6"/>
  <c r="I127" i="6"/>
  <c r="H127" i="6"/>
  <c r="H126" i="6"/>
  <c r="H125" i="6"/>
  <c r="I125" i="6" s="1"/>
  <c r="K124" i="6"/>
  <c r="I124" i="6"/>
  <c r="H124" i="6"/>
  <c r="K123" i="6"/>
  <c r="H123" i="6"/>
  <c r="I123" i="6" s="1"/>
  <c r="H122" i="6"/>
  <c r="H121" i="6"/>
  <c r="I120" i="6"/>
  <c r="H120" i="6"/>
  <c r="K120" i="6" s="1"/>
  <c r="H119" i="6"/>
  <c r="K118" i="6"/>
  <c r="I118" i="6"/>
  <c r="H118" i="6"/>
  <c r="H117" i="6"/>
  <c r="H116" i="6"/>
  <c r="K115" i="6"/>
  <c r="H115" i="6"/>
  <c r="I115" i="6" s="1"/>
  <c r="I114" i="6"/>
  <c r="H114" i="6"/>
  <c r="K114" i="6" s="1"/>
  <c r="K113" i="6"/>
  <c r="I113" i="6"/>
  <c r="H113" i="6"/>
  <c r="I112" i="6"/>
  <c r="H112" i="6"/>
  <c r="K112" i="6" s="1"/>
  <c r="K111" i="6"/>
  <c r="I111" i="6"/>
  <c r="H111" i="6"/>
  <c r="K110" i="6"/>
  <c r="I110" i="6"/>
  <c r="H110" i="6"/>
  <c r="H109" i="6"/>
  <c r="I109" i="6" s="1"/>
  <c r="K108" i="6"/>
  <c r="I108" i="6"/>
  <c r="H108" i="6"/>
  <c r="K107" i="6"/>
  <c r="H107" i="6"/>
  <c r="I107" i="6" s="1"/>
  <c r="H106" i="6"/>
  <c r="K105" i="6"/>
  <c r="I105" i="6"/>
  <c r="H105" i="6"/>
  <c r="I104" i="6"/>
  <c r="H104" i="6"/>
  <c r="K104" i="6" s="1"/>
  <c r="H103" i="6"/>
  <c r="K102" i="6"/>
  <c r="I102" i="6"/>
  <c r="H102" i="6"/>
  <c r="H101" i="6"/>
  <c r="H100" i="6"/>
  <c r="K99" i="6"/>
  <c r="H99" i="6"/>
  <c r="I99" i="6" s="1"/>
  <c r="I98" i="6"/>
  <c r="H98" i="6"/>
  <c r="K98" i="6" s="1"/>
  <c r="K97" i="6"/>
  <c r="I97" i="6"/>
  <c r="H97" i="6"/>
  <c r="I96" i="6"/>
  <c r="H96" i="6"/>
  <c r="K96" i="6" s="1"/>
  <c r="K95" i="6"/>
  <c r="I95" i="6"/>
  <c r="H95" i="6"/>
  <c r="K94" i="6"/>
  <c r="I94" i="6"/>
  <c r="H94" i="6"/>
  <c r="H93" i="6"/>
  <c r="K92" i="6"/>
  <c r="I92" i="6"/>
  <c r="H92" i="6"/>
  <c r="K91" i="6"/>
  <c r="H91" i="6"/>
  <c r="I91" i="6" s="1"/>
  <c r="H90" i="6"/>
  <c r="I89" i="6"/>
  <c r="H89" i="6"/>
  <c r="K89" i="6" s="1"/>
  <c r="I88" i="6"/>
  <c r="H88" i="6"/>
  <c r="K88" i="6" s="1"/>
  <c r="H87" i="6"/>
  <c r="K86" i="6"/>
  <c r="I86" i="6"/>
  <c r="H86" i="6"/>
  <c r="H85" i="6"/>
  <c r="H84" i="6"/>
  <c r="K83" i="6"/>
  <c r="H83" i="6"/>
  <c r="I83" i="6" s="1"/>
  <c r="I82" i="6"/>
  <c r="H82" i="6"/>
  <c r="K82" i="6" s="1"/>
  <c r="K81" i="6"/>
  <c r="I81" i="6"/>
  <c r="H81" i="6"/>
  <c r="I80" i="6"/>
  <c r="H80" i="6"/>
  <c r="K80" i="6" s="1"/>
  <c r="K79" i="6"/>
  <c r="I79" i="6"/>
  <c r="H79" i="6"/>
  <c r="K78" i="6"/>
  <c r="I78" i="6"/>
  <c r="H78" i="6"/>
  <c r="H77" i="6"/>
  <c r="K76" i="6"/>
  <c r="I76" i="6"/>
  <c r="H76" i="6"/>
  <c r="K75" i="6"/>
  <c r="H75" i="6"/>
  <c r="I75" i="6" s="1"/>
  <c r="H74" i="6"/>
  <c r="I73" i="6"/>
  <c r="H73" i="6"/>
  <c r="K73" i="6" s="1"/>
  <c r="I72" i="6"/>
  <c r="H72" i="6"/>
  <c r="K72" i="6" s="1"/>
  <c r="H71" i="6"/>
  <c r="K70" i="6"/>
  <c r="I70" i="6"/>
  <c r="H70" i="6"/>
  <c r="H69" i="6"/>
  <c r="H68" i="6"/>
  <c r="H67" i="6"/>
  <c r="I66" i="6"/>
  <c r="H66" i="6"/>
  <c r="K66" i="6" s="1"/>
  <c r="K65" i="6"/>
  <c r="I65" i="6"/>
  <c r="H65" i="6"/>
  <c r="I64" i="6"/>
  <c r="H64" i="6"/>
  <c r="K64" i="6" s="1"/>
  <c r="K63" i="6"/>
  <c r="I63" i="6"/>
  <c r="H63" i="6"/>
  <c r="K62" i="6"/>
  <c r="I62" i="6"/>
  <c r="H62" i="6"/>
  <c r="K61" i="6"/>
  <c r="H61" i="6"/>
  <c r="I61" i="6" s="1"/>
  <c r="K60" i="6"/>
  <c r="I60" i="6"/>
  <c r="H60" i="6"/>
  <c r="K59" i="6"/>
  <c r="H59" i="6"/>
  <c r="I59" i="6" s="1"/>
  <c r="H58" i="6"/>
  <c r="H57" i="6"/>
  <c r="I56" i="6"/>
  <c r="H56" i="6"/>
  <c r="K56" i="6" s="1"/>
  <c r="H55" i="6"/>
  <c r="K54" i="6"/>
  <c r="I54" i="6"/>
  <c r="H54" i="6"/>
  <c r="H53" i="6"/>
  <c r="H52" i="6"/>
  <c r="K51" i="6"/>
  <c r="H51" i="6"/>
  <c r="I51" i="6" s="1"/>
  <c r="I50" i="6"/>
  <c r="H50" i="6"/>
  <c r="K50" i="6" s="1"/>
  <c r="K49" i="6"/>
  <c r="I49" i="6"/>
  <c r="H49" i="6"/>
  <c r="I48" i="6"/>
  <c r="H48" i="6"/>
  <c r="K48" i="6" s="1"/>
  <c r="K47" i="6"/>
  <c r="I47" i="6"/>
  <c r="H47" i="6"/>
  <c r="K46" i="6"/>
  <c r="I46" i="6"/>
  <c r="H46" i="6"/>
  <c r="K45" i="6"/>
  <c r="H45" i="6"/>
  <c r="I45" i="6" s="1"/>
  <c r="K44" i="6"/>
  <c r="I44" i="6"/>
  <c r="H44" i="6"/>
  <c r="K43" i="6"/>
  <c r="H43" i="6"/>
  <c r="I43" i="6" s="1"/>
  <c r="H42" i="6"/>
  <c r="K41" i="6"/>
  <c r="I41" i="6"/>
  <c r="H41" i="6"/>
  <c r="I40" i="6"/>
  <c r="H40" i="6"/>
  <c r="K40" i="6" s="1"/>
  <c r="H39" i="6"/>
  <c r="K38" i="6"/>
  <c r="I38" i="6"/>
  <c r="H38" i="6"/>
  <c r="H37" i="6"/>
  <c r="H36" i="6"/>
  <c r="K35" i="6"/>
  <c r="H35" i="6"/>
  <c r="I35" i="6" s="1"/>
  <c r="I34" i="6"/>
  <c r="H34" i="6"/>
  <c r="K34" i="6" s="1"/>
  <c r="K33" i="6"/>
  <c r="I33" i="6"/>
  <c r="H33" i="6"/>
  <c r="I32" i="6"/>
  <c r="H32" i="6"/>
  <c r="K32" i="6" s="1"/>
  <c r="K31" i="6"/>
  <c r="I31" i="6"/>
  <c r="H31" i="6"/>
  <c r="K30" i="6"/>
  <c r="I30" i="6"/>
  <c r="H30" i="6"/>
  <c r="H29" i="6"/>
  <c r="K28" i="6"/>
  <c r="I28" i="6"/>
  <c r="H28" i="6"/>
  <c r="K27" i="6"/>
  <c r="H27" i="6"/>
  <c r="I27" i="6" s="1"/>
  <c r="H26" i="6"/>
  <c r="I25" i="6"/>
  <c r="H25" i="6"/>
  <c r="K25" i="6" s="1"/>
  <c r="I24" i="6"/>
  <c r="H24" i="6"/>
  <c r="K24" i="6" s="1"/>
  <c r="H23" i="6"/>
  <c r="K22" i="6"/>
  <c r="I22" i="6"/>
  <c r="H22" i="6"/>
  <c r="H21" i="6"/>
  <c r="H20" i="6"/>
  <c r="K19" i="6"/>
  <c r="H19" i="6"/>
  <c r="I19" i="6" s="1"/>
  <c r="I18" i="6"/>
  <c r="H18" i="6"/>
  <c r="K18" i="6" s="1"/>
  <c r="K17" i="6"/>
  <c r="I17" i="6"/>
  <c r="H17" i="6"/>
  <c r="I16" i="6"/>
  <c r="H16" i="6"/>
  <c r="K16" i="6" s="1"/>
  <c r="K15" i="6"/>
  <c r="I15" i="6"/>
  <c r="H15" i="6"/>
  <c r="K14" i="6"/>
  <c r="I14" i="6"/>
  <c r="H14" i="6"/>
  <c r="H13" i="6"/>
  <c r="K12" i="6"/>
  <c r="I12" i="6"/>
  <c r="H12" i="6"/>
  <c r="K11" i="6"/>
  <c r="H11" i="6"/>
  <c r="I11" i="6" s="1"/>
  <c r="H10" i="6"/>
  <c r="I9" i="6"/>
  <c r="H9" i="6"/>
  <c r="K9" i="6" s="1"/>
  <c r="I8" i="6"/>
  <c r="H8" i="6"/>
  <c r="K8" i="6" s="1"/>
  <c r="H7" i="6"/>
  <c r="G215" i="5"/>
  <c r="H215" i="5" s="1"/>
  <c r="E215" i="5"/>
  <c r="F215" i="5" s="1"/>
  <c r="G214" i="5"/>
  <c r="E214" i="5"/>
  <c r="G213" i="5"/>
  <c r="H213" i="5" s="1"/>
  <c r="E213" i="5"/>
  <c r="F213" i="5" s="1"/>
  <c r="G212" i="5"/>
  <c r="E212" i="5"/>
  <c r="F212" i="5" s="1"/>
  <c r="G211" i="5"/>
  <c r="E211" i="5"/>
  <c r="F211" i="5" s="1"/>
  <c r="G210" i="5"/>
  <c r="H210" i="5" s="1"/>
  <c r="E210" i="5"/>
  <c r="F210" i="5" s="1"/>
  <c r="G209" i="5"/>
  <c r="E209" i="5"/>
  <c r="F209" i="5" s="1"/>
  <c r="G208" i="5"/>
  <c r="E208" i="5"/>
  <c r="F208" i="5" s="1"/>
  <c r="G207" i="5"/>
  <c r="E207" i="5"/>
  <c r="F207" i="5" s="1"/>
  <c r="G206" i="5"/>
  <c r="E206" i="5"/>
  <c r="F206" i="5" s="1"/>
  <c r="G205" i="5"/>
  <c r="E205" i="5"/>
  <c r="F205" i="5" s="1"/>
  <c r="G204" i="5"/>
  <c r="H204" i="5" s="1"/>
  <c r="E204" i="5"/>
  <c r="F204" i="5" s="1"/>
  <c r="G203" i="5"/>
  <c r="E203" i="5"/>
  <c r="F203" i="5" s="1"/>
  <c r="G202" i="5"/>
  <c r="E202" i="5"/>
  <c r="F202" i="5" s="1"/>
  <c r="G201" i="5"/>
  <c r="E201" i="5"/>
  <c r="F201" i="5" s="1"/>
  <c r="G200" i="5"/>
  <c r="E200" i="5"/>
  <c r="F200" i="5" s="1"/>
  <c r="G199" i="5"/>
  <c r="E199" i="5"/>
  <c r="F199" i="5" s="1"/>
  <c r="G198" i="5"/>
  <c r="E198" i="5"/>
  <c r="F198" i="5" s="1"/>
  <c r="G197" i="5"/>
  <c r="E197" i="5"/>
  <c r="F197" i="5" s="1"/>
  <c r="G196" i="5"/>
  <c r="E196" i="5"/>
  <c r="F196" i="5" s="1"/>
  <c r="G195" i="5"/>
  <c r="E195" i="5"/>
  <c r="F195" i="5" s="1"/>
  <c r="G194" i="5"/>
  <c r="H194" i="5" s="1"/>
  <c r="E194" i="5"/>
  <c r="F194" i="5" s="1"/>
  <c r="G193" i="5"/>
  <c r="E193" i="5"/>
  <c r="F193" i="5" s="1"/>
  <c r="G192" i="5"/>
  <c r="E192" i="5"/>
  <c r="F192" i="5" s="1"/>
  <c r="G191" i="5"/>
  <c r="E191" i="5"/>
  <c r="F191" i="5" s="1"/>
  <c r="G190" i="5"/>
  <c r="E190" i="5"/>
  <c r="F190" i="5" s="1"/>
  <c r="G189" i="5"/>
  <c r="E189" i="5"/>
  <c r="F189" i="5" s="1"/>
  <c r="G188" i="5"/>
  <c r="E188" i="5"/>
  <c r="F188" i="5" s="1"/>
  <c r="G187" i="5"/>
  <c r="E187" i="5"/>
  <c r="F187" i="5" s="1"/>
  <c r="G186" i="5"/>
  <c r="E186" i="5"/>
  <c r="F186" i="5" s="1"/>
  <c r="G185" i="5"/>
  <c r="E185" i="5"/>
  <c r="F185" i="5" s="1"/>
  <c r="G184" i="5"/>
  <c r="E184" i="5"/>
  <c r="F184" i="5" s="1"/>
  <c r="G183" i="5"/>
  <c r="E183" i="5"/>
  <c r="F183" i="5" s="1"/>
  <c r="G182" i="5"/>
  <c r="E182" i="5"/>
  <c r="G181" i="5"/>
  <c r="E181" i="5"/>
  <c r="F181" i="5" s="1"/>
  <c r="G180" i="5"/>
  <c r="E180" i="5"/>
  <c r="F180" i="5" s="1"/>
  <c r="G179" i="5"/>
  <c r="E179" i="5"/>
  <c r="F179" i="5" s="1"/>
  <c r="G178" i="5"/>
  <c r="E178" i="5"/>
  <c r="F178" i="5" s="1"/>
  <c r="G177" i="5"/>
  <c r="E177" i="5"/>
  <c r="F177" i="5" s="1"/>
  <c r="G176" i="5"/>
  <c r="F176" i="5"/>
  <c r="E176" i="5"/>
  <c r="G175" i="5"/>
  <c r="E175" i="5"/>
  <c r="F175" i="5" s="1"/>
  <c r="G174" i="5"/>
  <c r="E174" i="5"/>
  <c r="F174" i="5" s="1"/>
  <c r="G173" i="5"/>
  <c r="E173" i="5"/>
  <c r="F173" i="5" s="1"/>
  <c r="H172" i="5"/>
  <c r="G172" i="5"/>
  <c r="E172" i="5"/>
  <c r="F172" i="5" s="1"/>
  <c r="G171" i="5"/>
  <c r="E171" i="5"/>
  <c r="F171" i="5" s="1"/>
  <c r="G170" i="5"/>
  <c r="E170" i="5"/>
  <c r="F170" i="5" s="1"/>
  <c r="G169" i="5"/>
  <c r="E169" i="5"/>
  <c r="F169" i="5" s="1"/>
  <c r="G168" i="5"/>
  <c r="E168" i="5"/>
  <c r="F168" i="5" s="1"/>
  <c r="G167" i="5"/>
  <c r="E167" i="5"/>
  <c r="F167" i="5" s="1"/>
  <c r="G166" i="5"/>
  <c r="E166" i="5"/>
  <c r="F166" i="5" s="1"/>
  <c r="G165" i="5"/>
  <c r="E165" i="5"/>
  <c r="F165" i="5" s="1"/>
  <c r="G164" i="5"/>
  <c r="H164" i="5" s="1"/>
  <c r="E164" i="5"/>
  <c r="F164" i="5" s="1"/>
  <c r="G163" i="5"/>
  <c r="E163" i="5"/>
  <c r="F163" i="5" s="1"/>
  <c r="G162" i="5"/>
  <c r="H162" i="5" s="1"/>
  <c r="F162" i="5"/>
  <c r="E162" i="5"/>
  <c r="G161" i="5"/>
  <c r="E161" i="5"/>
  <c r="F161" i="5" s="1"/>
  <c r="G160" i="5"/>
  <c r="H160" i="5" s="1"/>
  <c r="E160" i="5"/>
  <c r="F160" i="5" s="1"/>
  <c r="G159" i="5"/>
  <c r="E159" i="5"/>
  <c r="F159" i="5" s="1"/>
  <c r="H158" i="5"/>
  <c r="G158" i="5"/>
  <c r="E158" i="5"/>
  <c r="F158" i="5" s="1"/>
  <c r="G157" i="5"/>
  <c r="E157" i="5"/>
  <c r="F157" i="5" s="1"/>
  <c r="G156" i="5"/>
  <c r="E156" i="5"/>
  <c r="F156" i="5" s="1"/>
  <c r="G155" i="5"/>
  <c r="E155" i="5"/>
  <c r="F155" i="5" s="1"/>
  <c r="G154" i="5"/>
  <c r="E154" i="5"/>
  <c r="F154" i="5" s="1"/>
  <c r="G153" i="5"/>
  <c r="E153" i="5"/>
  <c r="F153" i="5" s="1"/>
  <c r="G152" i="5"/>
  <c r="E152" i="5"/>
  <c r="F152" i="5" s="1"/>
  <c r="G151" i="5"/>
  <c r="E151" i="5"/>
  <c r="F151" i="5" s="1"/>
  <c r="G150" i="5"/>
  <c r="E150" i="5"/>
  <c r="G149" i="5"/>
  <c r="E149" i="5"/>
  <c r="F149" i="5" s="1"/>
  <c r="G148" i="5"/>
  <c r="E148" i="5"/>
  <c r="F148" i="5" s="1"/>
  <c r="G147" i="5"/>
  <c r="E147" i="5"/>
  <c r="F147" i="5" s="1"/>
  <c r="G146" i="5"/>
  <c r="E146" i="5"/>
  <c r="F146" i="5" s="1"/>
  <c r="G145" i="5"/>
  <c r="E145" i="5"/>
  <c r="F145" i="5" s="1"/>
  <c r="G144" i="5"/>
  <c r="E144" i="5"/>
  <c r="F144" i="5" s="1"/>
  <c r="G143" i="5"/>
  <c r="E143" i="5"/>
  <c r="F143" i="5" s="1"/>
  <c r="G142" i="5"/>
  <c r="E142" i="5"/>
  <c r="F142" i="5" s="1"/>
  <c r="G141" i="5"/>
  <c r="E141" i="5"/>
  <c r="F141" i="5" s="1"/>
  <c r="G140" i="5"/>
  <c r="E140" i="5"/>
  <c r="F140" i="5" s="1"/>
  <c r="G139" i="5"/>
  <c r="E139" i="5"/>
  <c r="F139" i="5" s="1"/>
  <c r="G138" i="5"/>
  <c r="H138" i="5" s="1"/>
  <c r="E138" i="5"/>
  <c r="F138" i="5" s="1"/>
  <c r="G137" i="5"/>
  <c r="E137" i="5"/>
  <c r="F137" i="5" s="1"/>
  <c r="G136" i="5"/>
  <c r="E136" i="5"/>
  <c r="F136" i="5" s="1"/>
  <c r="G135" i="5"/>
  <c r="H135" i="5" s="1"/>
  <c r="E135" i="5"/>
  <c r="F135" i="5" s="1"/>
  <c r="G134" i="5"/>
  <c r="E134" i="5"/>
  <c r="F134" i="5" s="1"/>
  <c r="G133" i="5"/>
  <c r="H133" i="5" s="1"/>
  <c r="E133" i="5"/>
  <c r="F133" i="5" s="1"/>
  <c r="G132" i="5"/>
  <c r="E132" i="5"/>
  <c r="F132" i="5" s="1"/>
  <c r="G131" i="5"/>
  <c r="E131" i="5"/>
  <c r="F131" i="5" s="1"/>
  <c r="G130" i="5"/>
  <c r="H130" i="5" s="1"/>
  <c r="E130" i="5"/>
  <c r="F130" i="5" s="1"/>
  <c r="G129" i="5"/>
  <c r="H129" i="5" s="1"/>
  <c r="E129" i="5"/>
  <c r="F129" i="5" s="1"/>
  <c r="G128" i="5"/>
  <c r="E128" i="5"/>
  <c r="F128" i="5" s="1"/>
  <c r="G127" i="5"/>
  <c r="H127" i="5" s="1"/>
  <c r="E127" i="5"/>
  <c r="F127" i="5" s="1"/>
  <c r="G126" i="5"/>
  <c r="H126" i="5" s="1"/>
  <c r="E126" i="5"/>
  <c r="F126" i="5" s="1"/>
  <c r="G125" i="5"/>
  <c r="E125" i="5"/>
  <c r="F125" i="5" s="1"/>
  <c r="G124" i="5"/>
  <c r="H124" i="5" s="1"/>
  <c r="E124" i="5"/>
  <c r="F124" i="5" s="1"/>
  <c r="G123" i="5"/>
  <c r="E123" i="5"/>
  <c r="F123" i="5" s="1"/>
  <c r="G122" i="5"/>
  <c r="H122" i="5" s="1"/>
  <c r="E122" i="5"/>
  <c r="F122" i="5" s="1"/>
  <c r="G121" i="5"/>
  <c r="E121" i="5"/>
  <c r="F121" i="5" s="1"/>
  <c r="G120" i="5"/>
  <c r="E120" i="5"/>
  <c r="F120" i="5" s="1"/>
  <c r="G119" i="5"/>
  <c r="E119" i="5"/>
  <c r="F119" i="5" s="1"/>
  <c r="G118" i="5"/>
  <c r="E118" i="5"/>
  <c r="G117" i="5"/>
  <c r="E117" i="5"/>
  <c r="F117" i="5" s="1"/>
  <c r="G116" i="5"/>
  <c r="H116" i="5" s="1"/>
  <c r="E116" i="5"/>
  <c r="F116" i="5" s="1"/>
  <c r="G115" i="5"/>
  <c r="E115" i="5"/>
  <c r="F115" i="5" s="1"/>
  <c r="G114" i="5"/>
  <c r="H114" i="5" s="1"/>
  <c r="E114" i="5"/>
  <c r="F114" i="5" s="1"/>
  <c r="G113" i="5"/>
  <c r="E113" i="5"/>
  <c r="F113" i="5" s="1"/>
  <c r="G112" i="5"/>
  <c r="E112" i="5"/>
  <c r="F112" i="5" s="1"/>
  <c r="G111" i="5"/>
  <c r="E111" i="5"/>
  <c r="F111" i="5" s="1"/>
  <c r="G110" i="5"/>
  <c r="E110" i="5"/>
  <c r="F110" i="5" s="1"/>
  <c r="G109" i="5"/>
  <c r="E109" i="5"/>
  <c r="F109" i="5" s="1"/>
  <c r="G108" i="5"/>
  <c r="E108" i="5"/>
  <c r="F108" i="5" s="1"/>
  <c r="G107" i="5"/>
  <c r="E107" i="5"/>
  <c r="F107" i="5" s="1"/>
  <c r="G106" i="5"/>
  <c r="E106" i="5"/>
  <c r="F106" i="5" s="1"/>
  <c r="G105" i="5"/>
  <c r="E105" i="5"/>
  <c r="F105" i="5" s="1"/>
  <c r="G104" i="5"/>
  <c r="E104" i="5"/>
  <c r="F104" i="5" s="1"/>
  <c r="G103" i="5"/>
  <c r="E103" i="5"/>
  <c r="F103" i="5" s="1"/>
  <c r="G102" i="5"/>
  <c r="E102" i="5"/>
  <c r="F102" i="5" s="1"/>
  <c r="G101" i="5"/>
  <c r="E101" i="5"/>
  <c r="F101" i="5" s="1"/>
  <c r="G100" i="5"/>
  <c r="H100" i="5" s="1"/>
  <c r="E100" i="5"/>
  <c r="F100" i="5" s="1"/>
  <c r="G99" i="5"/>
  <c r="E99" i="5"/>
  <c r="F99" i="5" s="1"/>
  <c r="G98" i="5"/>
  <c r="E98" i="5"/>
  <c r="F98" i="5" s="1"/>
  <c r="G97" i="5"/>
  <c r="E97" i="5"/>
  <c r="F97" i="5" s="1"/>
  <c r="G96" i="5"/>
  <c r="E96" i="5"/>
  <c r="F96" i="5" s="1"/>
  <c r="G95" i="5"/>
  <c r="E95" i="5"/>
  <c r="F95" i="5" s="1"/>
  <c r="G94" i="5"/>
  <c r="H94" i="5" s="1"/>
  <c r="E94" i="5"/>
  <c r="F94" i="5" s="1"/>
  <c r="G93" i="5"/>
  <c r="E93" i="5"/>
  <c r="F93" i="5" s="1"/>
  <c r="G92" i="5"/>
  <c r="H92" i="5" s="1"/>
  <c r="E92" i="5"/>
  <c r="F92" i="5" s="1"/>
  <c r="G91" i="5"/>
  <c r="E91" i="5"/>
  <c r="F91" i="5" s="1"/>
  <c r="G90" i="5"/>
  <c r="H90" i="5" s="1"/>
  <c r="E90" i="5"/>
  <c r="F90" i="5" s="1"/>
  <c r="G89" i="5"/>
  <c r="E89" i="5"/>
  <c r="F89" i="5" s="1"/>
  <c r="G88" i="5"/>
  <c r="E88" i="5"/>
  <c r="F88" i="5" s="1"/>
  <c r="G87" i="5"/>
  <c r="E87" i="5"/>
  <c r="F87" i="5" s="1"/>
  <c r="G86" i="5"/>
  <c r="E86" i="5"/>
  <c r="G85" i="5"/>
  <c r="E85" i="5"/>
  <c r="F85" i="5" s="1"/>
  <c r="G84" i="5"/>
  <c r="H84" i="5" s="1"/>
  <c r="E84" i="5"/>
  <c r="F84" i="5" s="1"/>
  <c r="G83" i="5"/>
  <c r="E83" i="5"/>
  <c r="F83" i="5" s="1"/>
  <c r="G82" i="5"/>
  <c r="H82" i="5" s="1"/>
  <c r="E82" i="5"/>
  <c r="F82" i="5" s="1"/>
  <c r="G81" i="5"/>
  <c r="E81" i="5"/>
  <c r="F81" i="5" s="1"/>
  <c r="G80" i="5"/>
  <c r="E80" i="5"/>
  <c r="F80" i="5" s="1"/>
  <c r="G79" i="5"/>
  <c r="E79" i="5"/>
  <c r="F79" i="5" s="1"/>
  <c r="G78" i="5"/>
  <c r="E78" i="5"/>
  <c r="F78" i="5" s="1"/>
  <c r="G77" i="5"/>
  <c r="E77" i="5"/>
  <c r="F77" i="5" s="1"/>
  <c r="G76" i="5"/>
  <c r="H76" i="5" s="1"/>
  <c r="E76" i="5"/>
  <c r="F76" i="5" s="1"/>
  <c r="G75" i="5"/>
  <c r="E75" i="5"/>
  <c r="F75" i="5" s="1"/>
  <c r="G74" i="5"/>
  <c r="H74" i="5" s="1"/>
  <c r="E74" i="5"/>
  <c r="F74" i="5" s="1"/>
  <c r="G73" i="5"/>
  <c r="E73" i="5"/>
  <c r="F73" i="5" s="1"/>
  <c r="G72" i="5"/>
  <c r="E72" i="5"/>
  <c r="F72" i="5" s="1"/>
  <c r="G71" i="5"/>
  <c r="E71" i="5"/>
  <c r="F71" i="5" s="1"/>
  <c r="G70" i="5"/>
  <c r="E70" i="5"/>
  <c r="F70" i="5" s="1"/>
  <c r="G69" i="5"/>
  <c r="E69" i="5"/>
  <c r="F69" i="5" s="1"/>
  <c r="G68" i="5"/>
  <c r="E68" i="5"/>
  <c r="F68" i="5" s="1"/>
  <c r="G67" i="5"/>
  <c r="E67" i="5"/>
  <c r="F67" i="5" s="1"/>
  <c r="G66" i="5"/>
  <c r="E66" i="5"/>
  <c r="F66" i="5" s="1"/>
  <c r="G65" i="5"/>
  <c r="E65" i="5"/>
  <c r="F65" i="5" s="1"/>
  <c r="G64" i="5"/>
  <c r="E64" i="5"/>
  <c r="F64" i="5" s="1"/>
  <c r="G63" i="5"/>
  <c r="E63" i="5"/>
  <c r="F63" i="5" s="1"/>
  <c r="G62" i="5"/>
  <c r="E62" i="5"/>
  <c r="F62" i="5" s="1"/>
  <c r="G61" i="5"/>
  <c r="E61" i="5"/>
  <c r="F61" i="5" s="1"/>
  <c r="G60" i="5"/>
  <c r="F60" i="5"/>
  <c r="E60" i="5"/>
  <c r="G59" i="5"/>
  <c r="E59" i="5"/>
  <c r="F59" i="5" s="1"/>
  <c r="G58" i="5"/>
  <c r="E58" i="5"/>
  <c r="F58" i="5" s="1"/>
  <c r="G57" i="5"/>
  <c r="E57" i="5"/>
  <c r="F57" i="5" s="1"/>
  <c r="G56" i="5"/>
  <c r="E56" i="5"/>
  <c r="F56" i="5" s="1"/>
  <c r="G55" i="5"/>
  <c r="E55" i="5"/>
  <c r="F55" i="5" s="1"/>
  <c r="G54" i="5"/>
  <c r="E54" i="5"/>
  <c r="G53" i="5"/>
  <c r="E53" i="5"/>
  <c r="F53" i="5" s="1"/>
  <c r="G52" i="5"/>
  <c r="F52" i="5"/>
  <c r="E52" i="5"/>
  <c r="G51" i="5"/>
  <c r="E51" i="5"/>
  <c r="F51" i="5" s="1"/>
  <c r="H50" i="5"/>
  <c r="G50" i="5"/>
  <c r="E50" i="5"/>
  <c r="F50" i="5" s="1"/>
  <c r="G49" i="5"/>
  <c r="E49" i="5"/>
  <c r="F49" i="5" s="1"/>
  <c r="G48" i="5"/>
  <c r="E48" i="5"/>
  <c r="F48" i="5" s="1"/>
  <c r="G47" i="5"/>
  <c r="E47" i="5"/>
  <c r="F47" i="5" s="1"/>
  <c r="G46" i="5"/>
  <c r="E46" i="5"/>
  <c r="F46" i="5" s="1"/>
  <c r="G45" i="5"/>
  <c r="E45" i="5"/>
  <c r="F45" i="5" s="1"/>
  <c r="G44" i="5"/>
  <c r="E44" i="5"/>
  <c r="F44" i="5" s="1"/>
  <c r="G43" i="5"/>
  <c r="E43" i="5"/>
  <c r="F43" i="5" s="1"/>
  <c r="G42" i="5"/>
  <c r="E42" i="5"/>
  <c r="F42" i="5" s="1"/>
  <c r="G41" i="5"/>
  <c r="E41" i="5"/>
  <c r="F41" i="5" s="1"/>
  <c r="G40" i="5"/>
  <c r="E40" i="5"/>
  <c r="F40" i="5" s="1"/>
  <c r="G39" i="5"/>
  <c r="E39" i="5"/>
  <c r="F39" i="5" s="1"/>
  <c r="G38" i="5"/>
  <c r="E38" i="5"/>
  <c r="F38" i="5" s="1"/>
  <c r="G37" i="5"/>
  <c r="E37" i="5"/>
  <c r="F37" i="5" s="1"/>
  <c r="G36" i="5"/>
  <c r="E36" i="5"/>
  <c r="F36" i="5" s="1"/>
  <c r="G35" i="5"/>
  <c r="E35" i="5"/>
  <c r="F35" i="5" s="1"/>
  <c r="G34" i="5"/>
  <c r="E34" i="5"/>
  <c r="F34" i="5" s="1"/>
  <c r="G33" i="5"/>
  <c r="E33" i="5"/>
  <c r="F33" i="5" s="1"/>
  <c r="G32" i="5"/>
  <c r="E32" i="5"/>
  <c r="F32" i="5" s="1"/>
  <c r="G31" i="5"/>
  <c r="E31" i="5"/>
  <c r="F31" i="5" s="1"/>
  <c r="G30" i="5"/>
  <c r="E30" i="5"/>
  <c r="F30" i="5" s="1"/>
  <c r="G29" i="5"/>
  <c r="E29" i="5"/>
  <c r="F29" i="5" s="1"/>
  <c r="G28" i="5"/>
  <c r="H28" i="5" s="1"/>
  <c r="E28" i="5"/>
  <c r="F28" i="5" s="1"/>
  <c r="G27" i="5"/>
  <c r="E27" i="5"/>
  <c r="F27" i="5" s="1"/>
  <c r="G26" i="5"/>
  <c r="E26" i="5"/>
  <c r="F26" i="5" s="1"/>
  <c r="G25" i="5"/>
  <c r="E25" i="5"/>
  <c r="F25" i="5" s="1"/>
  <c r="G24" i="5"/>
  <c r="E24" i="5"/>
  <c r="F24" i="5" s="1"/>
  <c r="G23" i="5"/>
  <c r="E23" i="5"/>
  <c r="F23" i="5" s="1"/>
  <c r="G22" i="5"/>
  <c r="E22" i="5"/>
  <c r="G21" i="5"/>
  <c r="E21" i="5"/>
  <c r="F21" i="5" s="1"/>
  <c r="G20" i="5"/>
  <c r="H20" i="5" s="1"/>
  <c r="E20" i="5"/>
  <c r="F20" i="5" s="1"/>
  <c r="G19" i="5"/>
  <c r="E19" i="5"/>
  <c r="F19" i="5" s="1"/>
  <c r="G18" i="5"/>
  <c r="H18" i="5" s="1"/>
  <c r="E18" i="5"/>
  <c r="F18" i="5" s="1"/>
  <c r="G17" i="5"/>
  <c r="E17" i="5"/>
  <c r="F17" i="5" s="1"/>
  <c r="G16" i="5"/>
  <c r="E16" i="5"/>
  <c r="F16" i="5" s="1"/>
  <c r="G15" i="5"/>
  <c r="E15" i="5"/>
  <c r="F15" i="5" s="1"/>
  <c r="G14" i="5"/>
  <c r="E14" i="5"/>
  <c r="F14" i="5" s="1"/>
  <c r="G13" i="5"/>
  <c r="E13" i="5"/>
  <c r="F13" i="5" s="1"/>
  <c r="G12" i="5"/>
  <c r="E12" i="5"/>
  <c r="F12" i="5" s="1"/>
  <c r="G11" i="5"/>
  <c r="E11" i="5"/>
  <c r="F11" i="5" s="1"/>
  <c r="G10" i="5"/>
  <c r="H10" i="5" s="1"/>
  <c r="F10" i="5"/>
  <c r="E10" i="5"/>
  <c r="G9" i="5"/>
  <c r="E9" i="5"/>
  <c r="F9" i="5" s="1"/>
  <c r="G8" i="5"/>
  <c r="H8" i="5" s="1"/>
  <c r="E8" i="5"/>
  <c r="F8" i="5" s="1"/>
  <c r="E7" i="5"/>
  <c r="H7" i="5" s="1"/>
  <c r="K215" i="3"/>
  <c r="J215" i="3"/>
  <c r="I215" i="3"/>
  <c r="H215" i="3"/>
  <c r="J214" i="3"/>
  <c r="H214" i="3"/>
  <c r="I214" i="3" s="1"/>
  <c r="J213" i="3"/>
  <c r="K213" i="3" s="1"/>
  <c r="I213" i="3"/>
  <c r="H213" i="3"/>
  <c r="K212" i="3"/>
  <c r="J212" i="3"/>
  <c r="H212" i="3"/>
  <c r="I212" i="3" s="1"/>
  <c r="K211" i="3"/>
  <c r="J211" i="3"/>
  <c r="I211" i="3"/>
  <c r="H211" i="3"/>
  <c r="J210" i="3"/>
  <c r="K210" i="3" s="1"/>
  <c r="H210" i="3"/>
  <c r="I210" i="3" s="1"/>
  <c r="J209" i="3"/>
  <c r="K209" i="3" s="1"/>
  <c r="H209" i="3"/>
  <c r="I209" i="3" s="1"/>
  <c r="J208" i="3"/>
  <c r="H208" i="3"/>
  <c r="J207" i="3"/>
  <c r="H207" i="3"/>
  <c r="I207" i="3" s="1"/>
  <c r="J206" i="3"/>
  <c r="H206" i="3"/>
  <c r="I206" i="3" s="1"/>
  <c r="J205" i="3"/>
  <c r="I205" i="3"/>
  <c r="H205" i="3"/>
  <c r="K205" i="3" s="1"/>
  <c r="K204" i="3"/>
  <c r="J204" i="3"/>
  <c r="H204" i="3"/>
  <c r="I204" i="3" s="1"/>
  <c r="K203" i="3"/>
  <c r="J203" i="3"/>
  <c r="H203" i="3"/>
  <c r="I203" i="3" s="1"/>
  <c r="J202" i="3"/>
  <c r="H202" i="3"/>
  <c r="J201" i="3"/>
  <c r="K201" i="3" s="1"/>
  <c r="I201" i="3"/>
  <c r="H201" i="3"/>
  <c r="K200" i="3"/>
  <c r="J200" i="3"/>
  <c r="H200" i="3"/>
  <c r="I200" i="3" s="1"/>
  <c r="K199" i="3"/>
  <c r="J199" i="3"/>
  <c r="H199" i="3"/>
  <c r="I199" i="3" s="1"/>
  <c r="J198" i="3"/>
  <c r="H198" i="3"/>
  <c r="I198" i="3" s="1"/>
  <c r="K197" i="3"/>
  <c r="J197" i="3"/>
  <c r="I197" i="3"/>
  <c r="H197" i="3"/>
  <c r="K196" i="3"/>
  <c r="J196" i="3"/>
  <c r="H196" i="3"/>
  <c r="I196" i="3" s="1"/>
  <c r="K195" i="3"/>
  <c r="J195" i="3"/>
  <c r="H195" i="3"/>
  <c r="I195" i="3" s="1"/>
  <c r="J194" i="3"/>
  <c r="K194" i="3" s="1"/>
  <c r="H194" i="3"/>
  <c r="I194" i="3" s="1"/>
  <c r="J193" i="3"/>
  <c r="K193" i="3" s="1"/>
  <c r="I193" i="3"/>
  <c r="H193" i="3"/>
  <c r="K192" i="3"/>
  <c r="J192" i="3"/>
  <c r="H192" i="3"/>
  <c r="I192" i="3" s="1"/>
  <c r="J191" i="3"/>
  <c r="K191" i="3" s="1"/>
  <c r="H191" i="3"/>
  <c r="I191" i="3" s="1"/>
  <c r="J190" i="3"/>
  <c r="H190" i="3"/>
  <c r="I190" i="3" s="1"/>
  <c r="K189" i="3"/>
  <c r="J189" i="3"/>
  <c r="I189" i="3"/>
  <c r="H189" i="3"/>
  <c r="K188" i="3"/>
  <c r="J188" i="3"/>
  <c r="H188" i="3"/>
  <c r="I188" i="3" s="1"/>
  <c r="K187" i="3"/>
  <c r="J187" i="3"/>
  <c r="H187" i="3"/>
  <c r="I187" i="3" s="1"/>
  <c r="J186" i="3"/>
  <c r="H186" i="3"/>
  <c r="K185" i="3"/>
  <c r="J185" i="3"/>
  <c r="I185" i="3"/>
  <c r="H185" i="3"/>
  <c r="J184" i="3"/>
  <c r="K184" i="3" s="1"/>
  <c r="H184" i="3"/>
  <c r="I184" i="3" s="1"/>
  <c r="K183" i="3"/>
  <c r="J183" i="3"/>
  <c r="H183" i="3"/>
  <c r="I183" i="3" s="1"/>
  <c r="J182" i="3"/>
  <c r="H182" i="3"/>
  <c r="I182" i="3" s="1"/>
  <c r="J181" i="3"/>
  <c r="H181" i="3"/>
  <c r="K181" i="3" s="1"/>
  <c r="J180" i="3"/>
  <c r="H180" i="3"/>
  <c r="I180" i="3" s="1"/>
  <c r="J179" i="3"/>
  <c r="K179" i="3" s="1"/>
  <c r="H179" i="3"/>
  <c r="I179" i="3" s="1"/>
  <c r="K178" i="3"/>
  <c r="J178" i="3"/>
  <c r="H178" i="3"/>
  <c r="I178" i="3" s="1"/>
  <c r="J177" i="3"/>
  <c r="K177" i="3" s="1"/>
  <c r="I177" i="3"/>
  <c r="H177" i="3"/>
  <c r="K176" i="3"/>
  <c r="J176" i="3"/>
  <c r="H176" i="3"/>
  <c r="I176" i="3" s="1"/>
  <c r="J175" i="3"/>
  <c r="H175" i="3"/>
  <c r="I175" i="3" s="1"/>
  <c r="J174" i="3"/>
  <c r="H174" i="3"/>
  <c r="I174" i="3" s="1"/>
  <c r="K173" i="3"/>
  <c r="J173" i="3"/>
  <c r="I173" i="3"/>
  <c r="H173" i="3"/>
  <c r="K172" i="3"/>
  <c r="J172" i="3"/>
  <c r="H172" i="3"/>
  <c r="I172" i="3" s="1"/>
  <c r="J171" i="3"/>
  <c r="K171" i="3" s="1"/>
  <c r="H171" i="3"/>
  <c r="I171" i="3" s="1"/>
  <c r="J170" i="3"/>
  <c r="H170" i="3"/>
  <c r="K169" i="3"/>
  <c r="J169" i="3"/>
  <c r="I169" i="3"/>
  <c r="H169" i="3"/>
  <c r="J168" i="3"/>
  <c r="K168" i="3" s="1"/>
  <c r="H168" i="3"/>
  <c r="I168" i="3" s="1"/>
  <c r="K167" i="3"/>
  <c r="J167" i="3"/>
  <c r="H167" i="3"/>
  <c r="I167" i="3" s="1"/>
  <c r="J166" i="3"/>
  <c r="K166" i="3" s="1"/>
  <c r="H166" i="3"/>
  <c r="I166" i="3" s="1"/>
  <c r="J165" i="3"/>
  <c r="H165" i="3"/>
  <c r="J164" i="3"/>
  <c r="H164" i="3"/>
  <c r="J163" i="3"/>
  <c r="K163" i="3" s="1"/>
  <c r="H163" i="3"/>
  <c r="I163" i="3" s="1"/>
  <c r="K162" i="3"/>
  <c r="J162" i="3"/>
  <c r="H162" i="3"/>
  <c r="I162" i="3" s="1"/>
  <c r="K161" i="3"/>
  <c r="J161" i="3"/>
  <c r="I161" i="3"/>
  <c r="H161" i="3"/>
  <c r="J160" i="3"/>
  <c r="K160" i="3" s="1"/>
  <c r="H160" i="3"/>
  <c r="I160" i="3" s="1"/>
  <c r="J159" i="3"/>
  <c r="K159" i="3" s="1"/>
  <c r="I159" i="3"/>
  <c r="H159" i="3"/>
  <c r="J158" i="3"/>
  <c r="H158" i="3"/>
  <c r="I158" i="3" s="1"/>
  <c r="J157" i="3"/>
  <c r="H157" i="3"/>
  <c r="J156" i="3"/>
  <c r="K156" i="3" s="1"/>
  <c r="H156" i="3"/>
  <c r="I156" i="3" s="1"/>
  <c r="K155" i="3"/>
  <c r="J155" i="3"/>
  <c r="H155" i="3"/>
  <c r="I155" i="3" s="1"/>
  <c r="J154" i="3"/>
  <c r="K154" i="3" s="1"/>
  <c r="H154" i="3"/>
  <c r="I154" i="3" s="1"/>
  <c r="K153" i="3"/>
  <c r="J153" i="3"/>
  <c r="I153" i="3"/>
  <c r="H153" i="3"/>
  <c r="J152" i="3"/>
  <c r="K152" i="3" s="1"/>
  <c r="H152" i="3"/>
  <c r="I152" i="3" s="1"/>
  <c r="J151" i="3"/>
  <c r="H151" i="3"/>
  <c r="I151" i="3" s="1"/>
  <c r="J150" i="3"/>
  <c r="K150" i="3" s="1"/>
  <c r="H150" i="3"/>
  <c r="I150" i="3" s="1"/>
  <c r="J149" i="3"/>
  <c r="H149" i="3"/>
  <c r="I149" i="3" s="1"/>
  <c r="J148" i="3"/>
  <c r="H148" i="3"/>
  <c r="J147" i="3"/>
  <c r="K147" i="3" s="1"/>
  <c r="I147" i="3"/>
  <c r="H147" i="3"/>
  <c r="K146" i="3"/>
  <c r="J146" i="3"/>
  <c r="H146" i="3"/>
  <c r="I146" i="3" s="1"/>
  <c r="J145" i="3"/>
  <c r="H145" i="3"/>
  <c r="K145" i="3" s="1"/>
  <c r="J144" i="3"/>
  <c r="K144" i="3" s="1"/>
  <c r="H144" i="3"/>
  <c r="I144" i="3" s="1"/>
  <c r="J143" i="3"/>
  <c r="K143" i="3" s="1"/>
  <c r="I143" i="3"/>
  <c r="H143" i="3"/>
  <c r="J142" i="3"/>
  <c r="K142" i="3" s="1"/>
  <c r="H142" i="3"/>
  <c r="I142" i="3" s="1"/>
  <c r="J141" i="3"/>
  <c r="H141" i="3"/>
  <c r="I141" i="3" s="1"/>
  <c r="J140" i="3"/>
  <c r="H140" i="3"/>
  <c r="I140" i="3" s="1"/>
  <c r="J139" i="3"/>
  <c r="K139" i="3" s="1"/>
  <c r="H139" i="3"/>
  <c r="I139" i="3" s="1"/>
  <c r="J138" i="3"/>
  <c r="K138" i="3" s="1"/>
  <c r="H138" i="3"/>
  <c r="I138" i="3" s="1"/>
  <c r="K137" i="3"/>
  <c r="J137" i="3"/>
  <c r="I137" i="3"/>
  <c r="H137" i="3"/>
  <c r="J136" i="3"/>
  <c r="K136" i="3" s="1"/>
  <c r="H136" i="3"/>
  <c r="I136" i="3" s="1"/>
  <c r="J135" i="3"/>
  <c r="K135" i="3" s="1"/>
  <c r="I135" i="3"/>
  <c r="H135" i="3"/>
  <c r="J134" i="3"/>
  <c r="K134" i="3" s="1"/>
  <c r="H134" i="3"/>
  <c r="I134" i="3" s="1"/>
  <c r="J133" i="3"/>
  <c r="K133" i="3" s="1"/>
  <c r="H133" i="3"/>
  <c r="I133" i="3" s="1"/>
  <c r="J132" i="3"/>
  <c r="H132" i="3"/>
  <c r="I132" i="3" s="1"/>
  <c r="J131" i="3"/>
  <c r="K131" i="3" s="1"/>
  <c r="I131" i="3"/>
  <c r="H131" i="3"/>
  <c r="K130" i="3"/>
  <c r="J130" i="3"/>
  <c r="H130" i="3"/>
  <c r="I130" i="3" s="1"/>
  <c r="K129" i="3"/>
  <c r="J129" i="3"/>
  <c r="H129" i="3"/>
  <c r="I129" i="3" s="1"/>
  <c r="J128" i="3"/>
  <c r="K128" i="3" s="1"/>
  <c r="H128" i="3"/>
  <c r="I128" i="3" s="1"/>
  <c r="J127" i="3"/>
  <c r="I127" i="3"/>
  <c r="H127" i="3"/>
  <c r="K126" i="3"/>
  <c r="J126" i="3"/>
  <c r="H126" i="3"/>
  <c r="I126" i="3" s="1"/>
  <c r="K125" i="3"/>
  <c r="J125" i="3"/>
  <c r="H125" i="3"/>
  <c r="I125" i="3" s="1"/>
  <c r="J124" i="3"/>
  <c r="K124" i="3" s="1"/>
  <c r="H124" i="3"/>
  <c r="I124" i="3" s="1"/>
  <c r="J123" i="3"/>
  <c r="K123" i="3" s="1"/>
  <c r="H123" i="3"/>
  <c r="I123" i="3" s="1"/>
  <c r="J122" i="3"/>
  <c r="K122" i="3" s="1"/>
  <c r="H122" i="3"/>
  <c r="I122" i="3" s="1"/>
  <c r="K121" i="3"/>
  <c r="J121" i="3"/>
  <c r="I121" i="3"/>
  <c r="H121" i="3"/>
  <c r="K120" i="3"/>
  <c r="J120" i="3"/>
  <c r="H120" i="3"/>
  <c r="I120" i="3" s="1"/>
  <c r="J119" i="3"/>
  <c r="K119" i="3" s="1"/>
  <c r="I119" i="3"/>
  <c r="H119" i="3"/>
  <c r="J118" i="3"/>
  <c r="K118" i="3" s="1"/>
  <c r="H118" i="3"/>
  <c r="I118" i="3" s="1"/>
  <c r="J117" i="3"/>
  <c r="K117" i="3" s="1"/>
  <c r="H117" i="3"/>
  <c r="I117" i="3" s="1"/>
  <c r="J116" i="3"/>
  <c r="H116" i="3"/>
  <c r="K115" i="3"/>
  <c r="J115" i="3"/>
  <c r="I115" i="3"/>
  <c r="H115" i="3"/>
  <c r="J114" i="3"/>
  <c r="K114" i="3" s="1"/>
  <c r="H114" i="3"/>
  <c r="I114" i="3" s="1"/>
  <c r="K113" i="3"/>
  <c r="J113" i="3"/>
  <c r="H113" i="3"/>
  <c r="I113" i="3" s="1"/>
  <c r="J112" i="3"/>
  <c r="H112" i="3"/>
  <c r="I112" i="3" s="1"/>
  <c r="J111" i="3"/>
  <c r="H111" i="3"/>
  <c r="I111" i="3" s="1"/>
  <c r="J110" i="3"/>
  <c r="K110" i="3" s="1"/>
  <c r="H110" i="3"/>
  <c r="I110" i="3" s="1"/>
  <c r="J109" i="3"/>
  <c r="H109" i="3"/>
  <c r="I109" i="3" s="1"/>
  <c r="J108" i="3"/>
  <c r="H108" i="3"/>
  <c r="J107" i="3"/>
  <c r="K107" i="3" s="1"/>
  <c r="H107" i="3"/>
  <c r="I107" i="3" s="1"/>
  <c r="J106" i="3"/>
  <c r="K106" i="3" s="1"/>
  <c r="H106" i="3"/>
  <c r="I106" i="3" s="1"/>
  <c r="J105" i="3"/>
  <c r="K105" i="3" s="1"/>
  <c r="I105" i="3"/>
  <c r="H105" i="3"/>
  <c r="K104" i="3"/>
  <c r="J104" i="3"/>
  <c r="H104" i="3"/>
  <c r="I104" i="3" s="1"/>
  <c r="K103" i="3"/>
  <c r="J103" i="3"/>
  <c r="I103" i="3"/>
  <c r="H103" i="3"/>
  <c r="J102" i="3"/>
  <c r="H102" i="3"/>
  <c r="I102" i="3" s="1"/>
  <c r="J101" i="3"/>
  <c r="K101" i="3" s="1"/>
  <c r="I101" i="3"/>
  <c r="H101" i="3"/>
  <c r="K100" i="3"/>
  <c r="J100" i="3"/>
  <c r="H100" i="3"/>
  <c r="I100" i="3" s="1"/>
  <c r="K99" i="3"/>
  <c r="J99" i="3"/>
  <c r="I99" i="3"/>
  <c r="H99" i="3"/>
  <c r="J98" i="3"/>
  <c r="K98" i="3" s="1"/>
  <c r="H98" i="3"/>
  <c r="I98" i="3" s="1"/>
  <c r="K97" i="3"/>
  <c r="J97" i="3"/>
  <c r="H97" i="3"/>
  <c r="I97" i="3" s="1"/>
  <c r="K96" i="3"/>
  <c r="J96" i="3"/>
  <c r="H96" i="3"/>
  <c r="I96" i="3" s="1"/>
  <c r="J95" i="3"/>
  <c r="H95" i="3"/>
  <c r="I95" i="3" s="1"/>
  <c r="J94" i="3"/>
  <c r="H94" i="3"/>
  <c r="I94" i="3" s="1"/>
  <c r="J93" i="3"/>
  <c r="H93" i="3"/>
  <c r="J92" i="3"/>
  <c r="H92" i="3"/>
  <c r="I92" i="3" s="1"/>
  <c r="J91" i="3"/>
  <c r="H91" i="3"/>
  <c r="K90" i="3"/>
  <c r="J90" i="3"/>
  <c r="H90" i="3"/>
  <c r="I90" i="3" s="1"/>
  <c r="J89" i="3"/>
  <c r="H89" i="3"/>
  <c r="J88" i="3"/>
  <c r="H88" i="3"/>
  <c r="K88" i="3" s="1"/>
  <c r="J87" i="3"/>
  <c r="H87" i="3"/>
  <c r="K86" i="3"/>
  <c r="J86" i="3"/>
  <c r="H86" i="3"/>
  <c r="I86" i="3" s="1"/>
  <c r="J85" i="3"/>
  <c r="H85" i="3"/>
  <c r="J84" i="3"/>
  <c r="H84" i="3"/>
  <c r="I84" i="3" s="1"/>
  <c r="J83" i="3"/>
  <c r="H83" i="3"/>
  <c r="K82" i="3"/>
  <c r="J82" i="3"/>
  <c r="H82" i="3"/>
  <c r="I82" i="3" s="1"/>
  <c r="J81" i="3"/>
  <c r="H81" i="3"/>
  <c r="J80" i="3"/>
  <c r="I80" i="3"/>
  <c r="H80" i="3"/>
  <c r="K80" i="3" s="1"/>
  <c r="J79" i="3"/>
  <c r="H79" i="3"/>
  <c r="K78" i="3"/>
  <c r="J78" i="3"/>
  <c r="H78" i="3"/>
  <c r="I78" i="3" s="1"/>
  <c r="J77" i="3"/>
  <c r="H77" i="3"/>
  <c r="J76" i="3"/>
  <c r="H76" i="3"/>
  <c r="I76" i="3" s="1"/>
  <c r="J75" i="3"/>
  <c r="H75" i="3"/>
  <c r="K74" i="3"/>
  <c r="J74" i="3"/>
  <c r="H74" i="3"/>
  <c r="I74" i="3" s="1"/>
  <c r="J73" i="3"/>
  <c r="H73" i="3"/>
  <c r="J72" i="3"/>
  <c r="H72" i="3"/>
  <c r="K72" i="3" s="1"/>
  <c r="J71" i="3"/>
  <c r="H71" i="3"/>
  <c r="K70" i="3"/>
  <c r="J70" i="3"/>
  <c r="H70" i="3"/>
  <c r="I70" i="3" s="1"/>
  <c r="J69" i="3"/>
  <c r="I69" i="3"/>
  <c r="H69" i="3"/>
  <c r="K69" i="3" s="1"/>
  <c r="K68" i="3"/>
  <c r="J68" i="3"/>
  <c r="I68" i="3"/>
  <c r="H68" i="3"/>
  <c r="J67" i="3"/>
  <c r="H67" i="3"/>
  <c r="K67" i="3" s="1"/>
  <c r="J66" i="3"/>
  <c r="H66" i="3"/>
  <c r="I66" i="3" s="1"/>
  <c r="J65" i="3"/>
  <c r="H65" i="3"/>
  <c r="K64" i="3"/>
  <c r="J64" i="3"/>
  <c r="I64" i="3"/>
  <c r="H64" i="3"/>
  <c r="J63" i="3"/>
  <c r="H63" i="3"/>
  <c r="K63" i="3" s="1"/>
  <c r="K62" i="3"/>
  <c r="J62" i="3"/>
  <c r="H62" i="3"/>
  <c r="I62" i="3" s="1"/>
  <c r="J61" i="3"/>
  <c r="I61" i="3"/>
  <c r="H61" i="3"/>
  <c r="K61" i="3" s="1"/>
  <c r="K60" i="3"/>
  <c r="J60" i="3"/>
  <c r="I60" i="3"/>
  <c r="H60" i="3"/>
  <c r="J59" i="3"/>
  <c r="H59" i="3"/>
  <c r="K59" i="3" s="1"/>
  <c r="J58" i="3"/>
  <c r="H58" i="3"/>
  <c r="K58" i="3" s="1"/>
  <c r="J57" i="3"/>
  <c r="I57" i="3"/>
  <c r="H57" i="3"/>
  <c r="K57" i="3" s="1"/>
  <c r="J56" i="3"/>
  <c r="H56" i="3"/>
  <c r="J55" i="3"/>
  <c r="H55" i="3"/>
  <c r="K55" i="3" s="1"/>
  <c r="K54" i="3"/>
  <c r="J54" i="3"/>
  <c r="H54" i="3"/>
  <c r="I54" i="3" s="1"/>
  <c r="J53" i="3"/>
  <c r="I53" i="3"/>
  <c r="H53" i="3"/>
  <c r="K53" i="3" s="1"/>
  <c r="K52" i="3"/>
  <c r="J52" i="3"/>
  <c r="I52" i="3"/>
  <c r="H52" i="3"/>
  <c r="J51" i="3"/>
  <c r="I51" i="3"/>
  <c r="H51" i="3"/>
  <c r="K51" i="3" s="1"/>
  <c r="J50" i="3"/>
  <c r="H50" i="3"/>
  <c r="I50" i="3" s="1"/>
  <c r="J49" i="3"/>
  <c r="H49" i="3"/>
  <c r="K48" i="3"/>
  <c r="J48" i="3"/>
  <c r="I48" i="3"/>
  <c r="H48" i="3"/>
  <c r="J47" i="3"/>
  <c r="H47" i="3"/>
  <c r="K47" i="3" s="1"/>
  <c r="K46" i="3"/>
  <c r="J46" i="3"/>
  <c r="H46" i="3"/>
  <c r="I46" i="3" s="1"/>
  <c r="J45" i="3"/>
  <c r="I45" i="3"/>
  <c r="H45" i="3"/>
  <c r="K45" i="3" s="1"/>
  <c r="K44" i="3"/>
  <c r="J44" i="3"/>
  <c r="I44" i="3"/>
  <c r="H44" i="3"/>
  <c r="J43" i="3"/>
  <c r="H43" i="3"/>
  <c r="K43" i="3" s="1"/>
  <c r="J42" i="3"/>
  <c r="I42" i="3"/>
  <c r="H42" i="3"/>
  <c r="K42" i="3" s="1"/>
  <c r="J41" i="3"/>
  <c r="I41" i="3"/>
  <c r="H41" i="3"/>
  <c r="K41" i="3" s="1"/>
  <c r="J40" i="3"/>
  <c r="H40" i="3"/>
  <c r="J39" i="3"/>
  <c r="H39" i="3"/>
  <c r="K39" i="3" s="1"/>
  <c r="K38" i="3"/>
  <c r="J38" i="3"/>
  <c r="H38" i="3"/>
  <c r="I38" i="3" s="1"/>
  <c r="J37" i="3"/>
  <c r="I37" i="3"/>
  <c r="H37" i="3"/>
  <c r="K37" i="3" s="1"/>
  <c r="K36" i="3"/>
  <c r="J36" i="3"/>
  <c r="I36" i="3"/>
  <c r="H36" i="3"/>
  <c r="J35" i="3"/>
  <c r="I35" i="3"/>
  <c r="H35" i="3"/>
  <c r="K35" i="3" s="1"/>
  <c r="J34" i="3"/>
  <c r="H34" i="3"/>
  <c r="I34" i="3" s="1"/>
  <c r="J33" i="3"/>
  <c r="H33" i="3"/>
  <c r="I33" i="3" s="1"/>
  <c r="J32" i="3"/>
  <c r="K32" i="3" s="1"/>
  <c r="I32" i="3"/>
  <c r="H32" i="3"/>
  <c r="J31" i="3"/>
  <c r="K31" i="3" s="1"/>
  <c r="H31" i="3"/>
  <c r="I31" i="3" s="1"/>
  <c r="J30" i="3"/>
  <c r="K30" i="3" s="1"/>
  <c r="I30" i="3"/>
  <c r="H30" i="3"/>
  <c r="J29" i="3"/>
  <c r="K29" i="3" s="1"/>
  <c r="H29" i="3"/>
  <c r="I29" i="3" s="1"/>
  <c r="J28" i="3"/>
  <c r="K28" i="3" s="1"/>
  <c r="H28" i="3"/>
  <c r="I28" i="3" s="1"/>
  <c r="K27" i="3"/>
  <c r="J27" i="3"/>
  <c r="H27" i="3"/>
  <c r="I27" i="3" s="1"/>
  <c r="K26" i="3"/>
  <c r="J26" i="3"/>
  <c r="I26" i="3"/>
  <c r="H26" i="3"/>
  <c r="J25" i="3"/>
  <c r="K25" i="3" s="1"/>
  <c r="H25" i="3"/>
  <c r="I25" i="3" s="1"/>
  <c r="J24" i="3"/>
  <c r="K24" i="3" s="1"/>
  <c r="H24" i="3"/>
  <c r="I24" i="3" s="1"/>
  <c r="K23" i="3"/>
  <c r="J23" i="3"/>
  <c r="H23" i="3"/>
  <c r="I23" i="3" s="1"/>
  <c r="J22" i="3"/>
  <c r="K22" i="3" s="1"/>
  <c r="I22" i="3"/>
  <c r="H22" i="3"/>
  <c r="J21" i="3"/>
  <c r="H21" i="3"/>
  <c r="I21" i="3" s="1"/>
  <c r="J20" i="3"/>
  <c r="H20" i="3"/>
  <c r="K20" i="3" s="1"/>
  <c r="J19" i="3"/>
  <c r="H19" i="3"/>
  <c r="I19" i="3" s="1"/>
  <c r="J18" i="3"/>
  <c r="K18" i="3" s="1"/>
  <c r="H18" i="3"/>
  <c r="I18" i="3" s="1"/>
  <c r="J17" i="3"/>
  <c r="H17" i="3"/>
  <c r="J16" i="3"/>
  <c r="K16" i="3" s="1"/>
  <c r="I16" i="3"/>
  <c r="H16" i="3"/>
  <c r="J15" i="3"/>
  <c r="K15" i="3" s="1"/>
  <c r="H15" i="3"/>
  <c r="I15" i="3" s="1"/>
  <c r="K14" i="3"/>
  <c r="J14" i="3"/>
  <c r="I14" i="3"/>
  <c r="H14" i="3"/>
  <c r="J13" i="3"/>
  <c r="K13" i="3" s="1"/>
  <c r="H13" i="3"/>
  <c r="I13" i="3" s="1"/>
  <c r="J12" i="3"/>
  <c r="I12" i="3"/>
  <c r="H12" i="3"/>
  <c r="J11" i="3"/>
  <c r="H11" i="3"/>
  <c r="I11" i="3" s="1"/>
  <c r="J10" i="3"/>
  <c r="H10" i="3"/>
  <c r="K9" i="3"/>
  <c r="J9" i="3"/>
  <c r="H9" i="3"/>
  <c r="I9" i="3" s="1"/>
  <c r="J8" i="3"/>
  <c r="K8" i="3" s="1"/>
  <c r="H8" i="3"/>
  <c r="I8" i="3" s="1"/>
  <c r="K7" i="3"/>
  <c r="I7" i="3"/>
  <c r="H7" i="3"/>
  <c r="K215" i="2"/>
  <c r="J215" i="2"/>
  <c r="I215" i="2"/>
  <c r="H215" i="2"/>
  <c r="J214" i="2"/>
  <c r="H214" i="2"/>
  <c r="J213" i="2"/>
  <c r="H213" i="2"/>
  <c r="I213" i="2" s="1"/>
  <c r="J212" i="2"/>
  <c r="H212" i="2"/>
  <c r="K211" i="2"/>
  <c r="J211" i="2"/>
  <c r="I211" i="2"/>
  <c r="H211" i="2"/>
  <c r="K210" i="2"/>
  <c r="J210" i="2"/>
  <c r="H210" i="2"/>
  <c r="I210" i="2" s="1"/>
  <c r="K209" i="2"/>
  <c r="J209" i="2"/>
  <c r="H209" i="2"/>
  <c r="I209" i="2" s="1"/>
  <c r="K208" i="2"/>
  <c r="J208" i="2"/>
  <c r="H208" i="2"/>
  <c r="I208" i="2" s="1"/>
  <c r="K207" i="2"/>
  <c r="J207" i="2"/>
  <c r="I207" i="2"/>
  <c r="H207" i="2"/>
  <c r="J206" i="2"/>
  <c r="H206" i="2"/>
  <c r="I206" i="2" s="1"/>
  <c r="J205" i="2"/>
  <c r="H205" i="2"/>
  <c r="K205" i="2" s="1"/>
  <c r="J204" i="2"/>
  <c r="H204" i="2"/>
  <c r="I204" i="2" s="1"/>
  <c r="J203" i="2"/>
  <c r="H203" i="2"/>
  <c r="K202" i="2"/>
  <c r="J202" i="2"/>
  <c r="I202" i="2"/>
  <c r="J201" i="2"/>
  <c r="K201" i="2" s="1"/>
  <c r="H201" i="2"/>
  <c r="I201" i="2" s="1"/>
  <c r="J200" i="2"/>
  <c r="K200" i="2" s="1"/>
  <c r="H200" i="2"/>
  <c r="I200" i="2" s="1"/>
  <c r="J199" i="2"/>
  <c r="K199" i="2" s="1"/>
  <c r="I199" i="2"/>
  <c r="H199" i="2"/>
  <c r="K198" i="2"/>
  <c r="J198" i="2"/>
  <c r="H198" i="2"/>
  <c r="I198" i="2" s="1"/>
  <c r="K197" i="2"/>
  <c r="J197" i="2"/>
  <c r="H197" i="2"/>
  <c r="I197" i="2" s="1"/>
  <c r="J196" i="2"/>
  <c r="H196" i="2"/>
  <c r="I196" i="2" s="1"/>
  <c r="J195" i="2"/>
  <c r="H195" i="2"/>
  <c r="I195" i="2" s="1"/>
  <c r="K194" i="2"/>
  <c r="J194" i="2"/>
  <c r="H194" i="2"/>
  <c r="I194" i="2" s="1"/>
  <c r="J193" i="2"/>
  <c r="K193" i="2" s="1"/>
  <c r="I193" i="2"/>
  <c r="H193" i="2"/>
  <c r="J192" i="2"/>
  <c r="K192" i="2" s="1"/>
  <c r="H192" i="2"/>
  <c r="I192" i="2" s="1"/>
  <c r="K191" i="2"/>
  <c r="J191" i="2"/>
  <c r="I191" i="2"/>
  <c r="H191" i="2"/>
  <c r="J190" i="2"/>
  <c r="H190" i="2"/>
  <c r="I190" i="2" s="1"/>
  <c r="J189" i="2"/>
  <c r="K189" i="2" s="1"/>
  <c r="H189" i="2"/>
  <c r="I189" i="2" s="1"/>
  <c r="K188" i="2"/>
  <c r="J188" i="2"/>
  <c r="H188" i="2"/>
  <c r="I188" i="2" s="1"/>
  <c r="K187" i="2"/>
  <c r="J187" i="2"/>
  <c r="I187" i="2"/>
  <c r="H187" i="2"/>
  <c r="K186" i="2"/>
  <c r="J186" i="2"/>
  <c r="H186" i="2"/>
  <c r="I186" i="2" s="1"/>
  <c r="J185" i="2"/>
  <c r="K185" i="2" s="1"/>
  <c r="H185" i="2"/>
  <c r="I185" i="2" s="1"/>
  <c r="K184" i="2"/>
  <c r="J184" i="2"/>
  <c r="H184" i="2"/>
  <c r="I184" i="2" s="1"/>
  <c r="J183" i="2"/>
  <c r="K183" i="2" s="1"/>
  <c r="I183" i="2"/>
  <c r="H183" i="2"/>
  <c r="J182" i="2"/>
  <c r="K182" i="2" s="1"/>
  <c r="H182" i="2"/>
  <c r="I182" i="2" s="1"/>
  <c r="J181" i="2"/>
  <c r="H181" i="2"/>
  <c r="I181" i="2" s="1"/>
  <c r="J180" i="2"/>
  <c r="H180" i="2"/>
  <c r="I180" i="2" s="1"/>
  <c r="K179" i="2"/>
  <c r="J179" i="2"/>
  <c r="H179" i="2"/>
  <c r="I179" i="2" s="1"/>
  <c r="J178" i="2"/>
  <c r="H178" i="2"/>
  <c r="I178" i="2" s="1"/>
  <c r="J177" i="2"/>
  <c r="K177" i="2" s="1"/>
  <c r="I177" i="2"/>
  <c r="H177" i="2"/>
  <c r="J176" i="2"/>
  <c r="K176" i="2" s="1"/>
  <c r="H176" i="2"/>
  <c r="I176" i="2" s="1"/>
  <c r="J175" i="2"/>
  <c r="H175" i="2"/>
  <c r="J174" i="2"/>
  <c r="K174" i="2" s="1"/>
  <c r="H174" i="2"/>
  <c r="I174" i="2" s="1"/>
  <c r="J173" i="2"/>
  <c r="H173" i="2"/>
  <c r="I173" i="2" s="1"/>
  <c r="J172" i="2"/>
  <c r="H172" i="2"/>
  <c r="K171" i="2"/>
  <c r="J171" i="2"/>
  <c r="I171" i="2"/>
  <c r="H171" i="2"/>
  <c r="K170" i="2"/>
  <c r="J170" i="2"/>
  <c r="H170" i="2"/>
  <c r="I170" i="2" s="1"/>
  <c r="K169" i="2"/>
  <c r="J169" i="2"/>
  <c r="H169" i="2"/>
  <c r="I169" i="2" s="1"/>
  <c r="J168" i="2"/>
  <c r="H168" i="2"/>
  <c r="I168" i="2" s="1"/>
  <c r="J167" i="2"/>
  <c r="K167" i="2" s="1"/>
  <c r="I167" i="2"/>
  <c r="H167" i="2"/>
  <c r="K166" i="2"/>
  <c r="J166" i="2"/>
  <c r="H166" i="2"/>
  <c r="I166" i="2" s="1"/>
  <c r="K165" i="2"/>
  <c r="J165" i="2"/>
  <c r="H165" i="2"/>
  <c r="I165" i="2" s="1"/>
  <c r="J164" i="2"/>
  <c r="H164" i="2"/>
  <c r="I164" i="2" s="1"/>
  <c r="J163" i="2"/>
  <c r="K163" i="2" s="1"/>
  <c r="H163" i="2"/>
  <c r="I163" i="2" s="1"/>
  <c r="K162" i="2"/>
  <c r="J162" i="2"/>
  <c r="H162" i="2"/>
  <c r="I162" i="2" s="1"/>
  <c r="K161" i="2"/>
  <c r="J161" i="2"/>
  <c r="I161" i="2"/>
  <c r="H161" i="2"/>
  <c r="J160" i="2"/>
  <c r="K160" i="2" s="1"/>
  <c r="H160" i="2"/>
  <c r="I160" i="2" s="1"/>
  <c r="J159" i="2"/>
  <c r="K159" i="2" s="1"/>
  <c r="I159" i="2"/>
  <c r="H159" i="2"/>
  <c r="J158" i="2"/>
  <c r="K158" i="2" s="1"/>
  <c r="H158" i="2"/>
  <c r="I158" i="2" s="1"/>
  <c r="J157" i="2"/>
  <c r="K157" i="2" s="1"/>
  <c r="H157" i="2"/>
  <c r="I157" i="2" s="1"/>
  <c r="K156" i="2"/>
  <c r="J156" i="2"/>
  <c r="H156" i="2"/>
  <c r="I156" i="2" s="1"/>
  <c r="J155" i="2"/>
  <c r="K155" i="2" s="1"/>
  <c r="I155" i="2"/>
  <c r="H155" i="2"/>
  <c r="K154" i="2"/>
  <c r="J154" i="2"/>
  <c r="I154" i="2"/>
  <c r="H154" i="2"/>
  <c r="J153" i="2"/>
  <c r="H153" i="2"/>
  <c r="I153" i="2" s="1"/>
  <c r="J152" i="2"/>
  <c r="I152" i="2"/>
  <c r="H152" i="2"/>
  <c r="K152" i="2" s="1"/>
  <c r="J151" i="2"/>
  <c r="I151" i="2"/>
  <c r="H151" i="2"/>
  <c r="J150" i="2"/>
  <c r="H150" i="2"/>
  <c r="J149" i="2"/>
  <c r="K149" i="2" s="1"/>
  <c r="H149" i="2"/>
  <c r="I149" i="2" s="1"/>
  <c r="K148" i="2"/>
  <c r="J148" i="2"/>
  <c r="H148" i="2"/>
  <c r="I148" i="2" s="1"/>
  <c r="J147" i="2"/>
  <c r="K147" i="2" s="1"/>
  <c r="I147" i="2"/>
  <c r="H147" i="2"/>
  <c r="K146" i="2"/>
  <c r="J146" i="2"/>
  <c r="I146" i="2"/>
  <c r="H146" i="2"/>
  <c r="J145" i="2"/>
  <c r="H145" i="2"/>
  <c r="I145" i="2" s="1"/>
  <c r="J144" i="2"/>
  <c r="H144" i="2"/>
  <c r="I144" i="2" s="1"/>
  <c r="J143" i="2"/>
  <c r="H143" i="2"/>
  <c r="I143" i="2" s="1"/>
  <c r="K142" i="2"/>
  <c r="J142" i="2"/>
  <c r="I142" i="2"/>
  <c r="H142" i="2"/>
  <c r="J141" i="2"/>
  <c r="K141" i="2" s="1"/>
  <c r="H141" i="2"/>
  <c r="I141" i="2" s="1"/>
  <c r="K140" i="2"/>
  <c r="J140" i="2"/>
  <c r="H140" i="2"/>
  <c r="I140" i="2" s="1"/>
  <c r="J139" i="2"/>
  <c r="K139" i="2" s="1"/>
  <c r="I139" i="2"/>
  <c r="H139" i="2"/>
  <c r="K138" i="2"/>
  <c r="J138" i="2"/>
  <c r="I138" i="2"/>
  <c r="H138" i="2"/>
  <c r="J137" i="2"/>
  <c r="H137" i="2"/>
  <c r="I137" i="2" s="1"/>
  <c r="J136" i="2"/>
  <c r="H136" i="2"/>
  <c r="K136" i="2" s="1"/>
  <c r="J135" i="2"/>
  <c r="I135" i="2"/>
  <c r="H135" i="2"/>
  <c r="J134" i="2"/>
  <c r="H134" i="2"/>
  <c r="J133" i="2"/>
  <c r="K133" i="2" s="1"/>
  <c r="H133" i="2"/>
  <c r="I133" i="2" s="1"/>
  <c r="K132" i="2"/>
  <c r="J132" i="2"/>
  <c r="H132" i="2"/>
  <c r="I132" i="2" s="1"/>
  <c r="J131" i="2"/>
  <c r="K131" i="2" s="1"/>
  <c r="I131" i="2"/>
  <c r="H131" i="2"/>
  <c r="K130" i="2"/>
  <c r="J130" i="2"/>
  <c r="I130" i="2"/>
  <c r="H130" i="2"/>
  <c r="J129" i="2"/>
  <c r="I129" i="2"/>
  <c r="H129" i="2"/>
  <c r="J128" i="2"/>
  <c r="H128" i="2"/>
  <c r="I128" i="2" s="1"/>
  <c r="J127" i="2"/>
  <c r="H127" i="2"/>
  <c r="I127" i="2" s="1"/>
  <c r="K126" i="2"/>
  <c r="J126" i="2"/>
  <c r="I126" i="2"/>
  <c r="H126" i="2"/>
  <c r="J125" i="2"/>
  <c r="K125" i="2" s="1"/>
  <c r="H125" i="2"/>
  <c r="I125" i="2" s="1"/>
  <c r="K124" i="2"/>
  <c r="J124" i="2"/>
  <c r="H124" i="2"/>
  <c r="I124" i="2" s="1"/>
  <c r="J123" i="2"/>
  <c r="K123" i="2" s="1"/>
  <c r="I123" i="2"/>
  <c r="H123" i="2"/>
  <c r="K122" i="2"/>
  <c r="J122" i="2"/>
  <c r="I122" i="2"/>
  <c r="H122" i="2"/>
  <c r="J121" i="2"/>
  <c r="H121" i="2"/>
  <c r="I121" i="2" s="1"/>
  <c r="J120" i="2"/>
  <c r="I120" i="2"/>
  <c r="H120" i="2"/>
  <c r="K120" i="2" s="1"/>
  <c r="J119" i="2"/>
  <c r="I119" i="2"/>
  <c r="H119" i="2"/>
  <c r="J118" i="2"/>
  <c r="H118" i="2"/>
  <c r="J117" i="2"/>
  <c r="K117" i="2" s="1"/>
  <c r="H117" i="2"/>
  <c r="I117" i="2" s="1"/>
  <c r="K116" i="2"/>
  <c r="J116" i="2"/>
  <c r="H116" i="2"/>
  <c r="I116" i="2" s="1"/>
  <c r="J115" i="2"/>
  <c r="K115" i="2" s="1"/>
  <c r="I115" i="2"/>
  <c r="H115" i="2"/>
  <c r="K114" i="2"/>
  <c r="J114" i="2"/>
  <c r="I114" i="2"/>
  <c r="H114" i="2"/>
  <c r="J113" i="2"/>
  <c r="I113" i="2"/>
  <c r="H113" i="2"/>
  <c r="J112" i="2"/>
  <c r="H112" i="2"/>
  <c r="I112" i="2" s="1"/>
  <c r="J111" i="2"/>
  <c r="H111" i="2"/>
  <c r="I111" i="2" s="1"/>
  <c r="K110" i="2"/>
  <c r="J110" i="2"/>
  <c r="I110" i="2"/>
  <c r="H110" i="2"/>
  <c r="J109" i="2"/>
  <c r="K109" i="2" s="1"/>
  <c r="H109" i="2"/>
  <c r="I109" i="2" s="1"/>
  <c r="K108" i="2"/>
  <c r="J108" i="2"/>
  <c r="H108" i="2"/>
  <c r="I108" i="2" s="1"/>
  <c r="J107" i="2"/>
  <c r="K107" i="2" s="1"/>
  <c r="I107" i="2"/>
  <c r="H107" i="2"/>
  <c r="K106" i="2"/>
  <c r="J106" i="2"/>
  <c r="I106" i="2"/>
  <c r="H106" i="2"/>
  <c r="J105" i="2"/>
  <c r="H105" i="2"/>
  <c r="I105" i="2" s="1"/>
  <c r="J104" i="2"/>
  <c r="H104" i="2"/>
  <c r="K104" i="2" s="1"/>
  <c r="J103" i="2"/>
  <c r="I103" i="2"/>
  <c r="H103" i="2"/>
  <c r="J102" i="2"/>
  <c r="H102" i="2"/>
  <c r="J101" i="2"/>
  <c r="K101" i="2" s="1"/>
  <c r="H101" i="2"/>
  <c r="I101" i="2" s="1"/>
  <c r="K100" i="2"/>
  <c r="J100" i="2"/>
  <c r="H100" i="2"/>
  <c r="I100" i="2" s="1"/>
  <c r="J99" i="2"/>
  <c r="K99" i="2" s="1"/>
  <c r="I99" i="2"/>
  <c r="H99" i="2"/>
  <c r="K98" i="2"/>
  <c r="J98" i="2"/>
  <c r="I98" i="2"/>
  <c r="H98" i="2"/>
  <c r="J97" i="2"/>
  <c r="H97" i="2"/>
  <c r="I97" i="2" s="1"/>
  <c r="J96" i="2"/>
  <c r="H96" i="2"/>
  <c r="I96" i="2" s="1"/>
  <c r="J95" i="2"/>
  <c r="H95" i="2"/>
  <c r="I95" i="2" s="1"/>
  <c r="K94" i="2"/>
  <c r="J94" i="2"/>
  <c r="I94" i="2"/>
  <c r="H94" i="2"/>
  <c r="J93" i="2"/>
  <c r="K93" i="2" s="1"/>
  <c r="H93" i="2"/>
  <c r="I93" i="2" s="1"/>
  <c r="K92" i="2"/>
  <c r="J92" i="2"/>
  <c r="H92" i="2"/>
  <c r="I92" i="2" s="1"/>
  <c r="J91" i="2"/>
  <c r="K91" i="2" s="1"/>
  <c r="I91" i="2"/>
  <c r="H91" i="2"/>
  <c r="K90" i="2"/>
  <c r="J90" i="2"/>
  <c r="I90" i="2"/>
  <c r="H90" i="2"/>
  <c r="J89" i="2"/>
  <c r="H89" i="2"/>
  <c r="I89" i="2" s="1"/>
  <c r="J88" i="2"/>
  <c r="H88" i="2"/>
  <c r="K88" i="2" s="1"/>
  <c r="J87" i="2"/>
  <c r="I87" i="2"/>
  <c r="H87" i="2"/>
  <c r="J86" i="2"/>
  <c r="H86" i="2"/>
  <c r="J85" i="2"/>
  <c r="K85" i="2" s="1"/>
  <c r="H85" i="2"/>
  <c r="I85" i="2" s="1"/>
  <c r="K84" i="2"/>
  <c r="J84" i="2"/>
  <c r="H84" i="2"/>
  <c r="I84" i="2" s="1"/>
  <c r="J83" i="2"/>
  <c r="K83" i="2" s="1"/>
  <c r="I83" i="2"/>
  <c r="H83" i="2"/>
  <c r="K82" i="2"/>
  <c r="J82" i="2"/>
  <c r="I82" i="2"/>
  <c r="H82" i="2"/>
  <c r="J81" i="2"/>
  <c r="I81" i="2"/>
  <c r="H81" i="2"/>
  <c r="J80" i="2"/>
  <c r="H80" i="2"/>
  <c r="I80" i="2" s="1"/>
  <c r="J79" i="2"/>
  <c r="H79" i="2"/>
  <c r="I79" i="2" s="1"/>
  <c r="K78" i="2"/>
  <c r="J78" i="2"/>
  <c r="I78" i="2"/>
  <c r="H78" i="2"/>
  <c r="J77" i="2"/>
  <c r="K77" i="2" s="1"/>
  <c r="H77" i="2"/>
  <c r="I77" i="2" s="1"/>
  <c r="K76" i="2"/>
  <c r="J76" i="2"/>
  <c r="H76" i="2"/>
  <c r="I76" i="2" s="1"/>
  <c r="J75" i="2"/>
  <c r="K75" i="2" s="1"/>
  <c r="I75" i="2"/>
  <c r="H75" i="2"/>
  <c r="J74" i="2"/>
  <c r="K74" i="2" s="1"/>
  <c r="I74" i="2"/>
  <c r="H74" i="2"/>
  <c r="J73" i="2"/>
  <c r="H73" i="2"/>
  <c r="I73" i="2" s="1"/>
  <c r="J72" i="2"/>
  <c r="I72" i="2"/>
  <c r="H72" i="2"/>
  <c r="J71" i="2"/>
  <c r="I71" i="2"/>
  <c r="H71" i="2"/>
  <c r="J70" i="2"/>
  <c r="H70" i="2"/>
  <c r="J69" i="2"/>
  <c r="K69" i="2" s="1"/>
  <c r="H69" i="2"/>
  <c r="I69" i="2" s="1"/>
  <c r="J68" i="2"/>
  <c r="K68" i="2" s="1"/>
  <c r="H68" i="2"/>
  <c r="I68" i="2" s="1"/>
  <c r="J67" i="2"/>
  <c r="K67" i="2" s="1"/>
  <c r="I67" i="2"/>
  <c r="H67" i="2"/>
  <c r="K66" i="2"/>
  <c r="J66" i="2"/>
  <c r="I66" i="2"/>
  <c r="H66" i="2"/>
  <c r="J65" i="2"/>
  <c r="I65" i="2"/>
  <c r="H65" i="2"/>
  <c r="J64" i="2"/>
  <c r="K64" i="2" s="1"/>
  <c r="H64" i="2"/>
  <c r="I64" i="2" s="1"/>
  <c r="J63" i="2"/>
  <c r="H63" i="2"/>
  <c r="I63" i="2" s="1"/>
  <c r="K62" i="2"/>
  <c r="J62" i="2"/>
  <c r="I62" i="2"/>
  <c r="H62" i="2"/>
  <c r="J61" i="2"/>
  <c r="K61" i="2" s="1"/>
  <c r="H61" i="2"/>
  <c r="I61" i="2" s="1"/>
  <c r="J60" i="2"/>
  <c r="K60" i="2" s="1"/>
  <c r="H60" i="2"/>
  <c r="I60" i="2" s="1"/>
  <c r="J59" i="2"/>
  <c r="K59" i="2" s="1"/>
  <c r="I59" i="2"/>
  <c r="H59" i="2"/>
  <c r="J58" i="2"/>
  <c r="K58" i="2" s="1"/>
  <c r="I58" i="2"/>
  <c r="H58" i="2"/>
  <c r="J57" i="2"/>
  <c r="H57" i="2"/>
  <c r="I57" i="2" s="1"/>
  <c r="J56" i="2"/>
  <c r="I56" i="2"/>
  <c r="H56" i="2"/>
  <c r="J55" i="2"/>
  <c r="I55" i="2"/>
  <c r="H55" i="2"/>
  <c r="J54" i="2"/>
  <c r="H54" i="2"/>
  <c r="J53" i="2"/>
  <c r="K53" i="2" s="1"/>
  <c r="H53" i="2"/>
  <c r="I53" i="2" s="1"/>
  <c r="J52" i="2"/>
  <c r="K52" i="2" s="1"/>
  <c r="H52" i="2"/>
  <c r="I52" i="2" s="1"/>
  <c r="J51" i="2"/>
  <c r="K51" i="2" s="1"/>
  <c r="I51" i="2"/>
  <c r="H51" i="2"/>
  <c r="K50" i="2"/>
  <c r="J50" i="2"/>
  <c r="I50" i="2"/>
  <c r="H50" i="2"/>
  <c r="J49" i="2"/>
  <c r="I49" i="2"/>
  <c r="H49" i="2"/>
  <c r="J48" i="2"/>
  <c r="K48" i="2" s="1"/>
  <c r="H48" i="2"/>
  <c r="I48" i="2" s="1"/>
  <c r="J47" i="2"/>
  <c r="H47" i="2"/>
  <c r="I47" i="2" s="1"/>
  <c r="K46" i="2"/>
  <c r="J46" i="2"/>
  <c r="I46" i="2"/>
  <c r="H46" i="2"/>
  <c r="J45" i="2"/>
  <c r="K45" i="2" s="1"/>
  <c r="H45" i="2"/>
  <c r="I45" i="2" s="1"/>
  <c r="J44" i="2"/>
  <c r="K44" i="2" s="1"/>
  <c r="H44" i="2"/>
  <c r="I44" i="2" s="1"/>
  <c r="J43" i="2"/>
  <c r="K43" i="2" s="1"/>
  <c r="H43" i="2"/>
  <c r="I43" i="2" s="1"/>
  <c r="J42" i="2"/>
  <c r="K42" i="2" s="1"/>
  <c r="H42" i="2"/>
  <c r="I42" i="2" s="1"/>
  <c r="J41" i="2"/>
  <c r="K41" i="2" s="1"/>
  <c r="H41" i="2"/>
  <c r="I41" i="2" s="1"/>
  <c r="J40" i="2"/>
  <c r="K40" i="2" s="1"/>
  <c r="H40" i="2"/>
  <c r="I40" i="2" s="1"/>
  <c r="J39" i="2"/>
  <c r="K39" i="2" s="1"/>
  <c r="H39" i="2"/>
  <c r="I39" i="2" s="1"/>
  <c r="K38" i="2"/>
  <c r="J38" i="2"/>
  <c r="H38" i="2"/>
  <c r="I38" i="2" s="1"/>
  <c r="J37" i="2"/>
  <c r="K37" i="2" s="1"/>
  <c r="H37" i="2"/>
  <c r="I37" i="2" s="1"/>
  <c r="K36" i="2"/>
  <c r="J36" i="2"/>
  <c r="H36" i="2"/>
  <c r="I36" i="2" s="1"/>
  <c r="J35" i="2"/>
  <c r="K35" i="2" s="1"/>
  <c r="H35" i="2"/>
  <c r="I35" i="2" s="1"/>
  <c r="J34" i="2"/>
  <c r="K34" i="2" s="1"/>
  <c r="H34" i="2"/>
  <c r="I34" i="2" s="1"/>
  <c r="J33" i="2"/>
  <c r="K33" i="2" s="1"/>
  <c r="H33" i="2"/>
  <c r="I33" i="2" s="1"/>
  <c r="K32" i="2"/>
  <c r="J32" i="2"/>
  <c r="H32" i="2"/>
  <c r="I32" i="2" s="1"/>
  <c r="J31" i="2"/>
  <c r="K31" i="2" s="1"/>
  <c r="H31" i="2"/>
  <c r="I31" i="2" s="1"/>
  <c r="J30" i="2"/>
  <c r="K30" i="2" s="1"/>
  <c r="H30" i="2"/>
  <c r="I30" i="2" s="1"/>
  <c r="J29" i="2"/>
  <c r="K29" i="2" s="1"/>
  <c r="H29" i="2"/>
  <c r="I29" i="2" s="1"/>
  <c r="J28" i="2"/>
  <c r="K28" i="2" s="1"/>
  <c r="H28" i="2"/>
  <c r="I28" i="2" s="1"/>
  <c r="J27" i="2"/>
  <c r="K27" i="2" s="1"/>
  <c r="H27" i="2"/>
  <c r="I27" i="2" s="1"/>
  <c r="J26" i="2"/>
  <c r="K26" i="2" s="1"/>
  <c r="H26" i="2"/>
  <c r="I26" i="2" s="1"/>
  <c r="J25" i="2"/>
  <c r="K25" i="2" s="1"/>
  <c r="H25" i="2"/>
  <c r="I25" i="2" s="1"/>
  <c r="J24" i="2"/>
  <c r="K24" i="2" s="1"/>
  <c r="H24" i="2"/>
  <c r="I24" i="2" s="1"/>
  <c r="J23" i="2"/>
  <c r="K23" i="2" s="1"/>
  <c r="H23" i="2"/>
  <c r="I23" i="2" s="1"/>
  <c r="K22" i="2"/>
  <c r="J22" i="2"/>
  <c r="H22" i="2"/>
  <c r="I22" i="2" s="1"/>
  <c r="J21" i="2"/>
  <c r="K21" i="2" s="1"/>
  <c r="H21" i="2"/>
  <c r="I21" i="2" s="1"/>
  <c r="K20" i="2"/>
  <c r="J20" i="2"/>
  <c r="H20" i="2"/>
  <c r="I20" i="2" s="1"/>
  <c r="J19" i="2"/>
  <c r="K19" i="2" s="1"/>
  <c r="H19" i="2"/>
  <c r="I19" i="2" s="1"/>
  <c r="J18" i="2"/>
  <c r="K18" i="2" s="1"/>
  <c r="H18" i="2"/>
  <c r="I18" i="2" s="1"/>
  <c r="J17" i="2"/>
  <c r="K17" i="2" s="1"/>
  <c r="H17" i="2"/>
  <c r="I17" i="2" s="1"/>
  <c r="K16" i="2"/>
  <c r="J16" i="2"/>
  <c r="H16" i="2"/>
  <c r="I16" i="2" s="1"/>
  <c r="J15" i="2"/>
  <c r="K15" i="2" s="1"/>
  <c r="H15" i="2"/>
  <c r="I15" i="2" s="1"/>
  <c r="J14" i="2"/>
  <c r="K14" i="2" s="1"/>
  <c r="H14" i="2"/>
  <c r="I14" i="2" s="1"/>
  <c r="J13" i="2"/>
  <c r="K13" i="2" s="1"/>
  <c r="H13" i="2"/>
  <c r="I13" i="2" s="1"/>
  <c r="J12" i="2"/>
  <c r="K12" i="2" s="1"/>
  <c r="H12" i="2"/>
  <c r="I12" i="2" s="1"/>
  <c r="J11" i="2"/>
  <c r="K11" i="2" s="1"/>
  <c r="H11" i="2"/>
  <c r="I11" i="2" s="1"/>
  <c r="J10" i="2"/>
  <c r="K10" i="2" s="1"/>
  <c r="H10" i="2"/>
  <c r="I10" i="2" s="1"/>
  <c r="J9" i="2"/>
  <c r="K9" i="2" s="1"/>
  <c r="H9" i="2"/>
  <c r="I9" i="2" s="1"/>
  <c r="J8" i="2"/>
  <c r="K8" i="2" s="1"/>
  <c r="H8" i="2"/>
  <c r="I8" i="2" s="1"/>
  <c r="K7" i="2"/>
  <c r="I7" i="2"/>
  <c r="H7" i="2"/>
  <c r="H41" i="5" l="1"/>
  <c r="H49" i="5"/>
  <c r="H52" i="5"/>
  <c r="H61" i="5"/>
  <c r="H96" i="5"/>
  <c r="H143" i="5"/>
  <c r="H178" i="5"/>
  <c r="H180" i="5"/>
  <c r="H186" i="5"/>
  <c r="H188" i="5"/>
  <c r="H190" i="5"/>
  <c r="H197" i="5"/>
  <c r="H199" i="5"/>
  <c r="H26" i="5"/>
  <c r="H58" i="5"/>
  <c r="H98" i="5"/>
  <c r="H132" i="5"/>
  <c r="H207" i="5"/>
  <c r="H209" i="5"/>
  <c r="H212" i="5"/>
  <c r="H12" i="5"/>
  <c r="H30" i="5"/>
  <c r="H34" i="5"/>
  <c r="H36" i="5"/>
  <c r="H44" i="5"/>
  <c r="H53" i="5"/>
  <c r="H55" i="5"/>
  <c r="H57" i="5"/>
  <c r="H60" i="5"/>
  <c r="H62" i="5"/>
  <c r="H66" i="5"/>
  <c r="H72" i="5"/>
  <c r="H140" i="5"/>
  <c r="H146" i="5"/>
  <c r="H148" i="5"/>
  <c r="H154" i="5"/>
  <c r="H156" i="5"/>
  <c r="H168" i="5"/>
  <c r="H191" i="5"/>
  <c r="H193" i="5"/>
  <c r="H196" i="5"/>
  <c r="H202" i="5"/>
  <c r="H68" i="5"/>
  <c r="H104" i="5"/>
  <c r="H108" i="5"/>
  <c r="F7" i="5"/>
  <c r="H15" i="5"/>
  <c r="H32" i="5"/>
  <c r="H63" i="5"/>
  <c r="H65" i="5"/>
  <c r="H69" i="5"/>
  <c r="H71" i="5"/>
  <c r="H79" i="5"/>
  <c r="H81" i="5"/>
  <c r="H85" i="5"/>
  <c r="H87" i="5"/>
  <c r="H89" i="5"/>
  <c r="H93" i="5"/>
  <c r="H137" i="5"/>
  <c r="H145" i="5"/>
  <c r="H149" i="5"/>
  <c r="H151" i="5"/>
  <c r="H153" i="5"/>
  <c r="H157" i="5"/>
  <c r="H201" i="5"/>
  <c r="H9" i="5"/>
  <c r="H17" i="5"/>
  <c r="H21" i="5"/>
  <c r="H23" i="5"/>
  <c r="H25" i="5"/>
  <c r="H29" i="5"/>
  <c r="H40" i="5"/>
  <c r="H73" i="5"/>
  <c r="H95" i="5"/>
  <c r="H97" i="5"/>
  <c r="H101" i="5"/>
  <c r="H103" i="5"/>
  <c r="H106" i="5"/>
  <c r="H111" i="5"/>
  <c r="H128" i="5"/>
  <c r="H159" i="5"/>
  <c r="H161" i="5"/>
  <c r="H165" i="5"/>
  <c r="H167" i="5"/>
  <c r="H170" i="5"/>
  <c r="H175" i="5"/>
  <c r="H31" i="5"/>
  <c r="H33" i="5"/>
  <c r="H37" i="5"/>
  <c r="H39" i="5"/>
  <c r="H42" i="5"/>
  <c r="H47" i="5"/>
  <c r="H105" i="5"/>
  <c r="H113" i="5"/>
  <c r="H117" i="5"/>
  <c r="H119" i="5"/>
  <c r="H121" i="5"/>
  <c r="H125" i="5"/>
  <c r="H136" i="5"/>
  <c r="H169" i="5"/>
  <c r="H177" i="5"/>
  <c r="H181" i="5"/>
  <c r="H183" i="5"/>
  <c r="H185" i="5"/>
  <c r="H189" i="5"/>
  <c r="H200" i="5"/>
  <c r="K118" i="2"/>
  <c r="I118" i="2"/>
  <c r="I212" i="2"/>
  <c r="K212" i="2"/>
  <c r="K40" i="3"/>
  <c r="I40" i="3"/>
  <c r="I165" i="7"/>
  <c r="K165" i="7"/>
  <c r="I38" i="9"/>
  <c r="K38" i="9"/>
  <c r="K72" i="2"/>
  <c r="I104" i="2"/>
  <c r="K164" i="2"/>
  <c r="I85" i="3"/>
  <c r="K85" i="3"/>
  <c r="I88" i="3"/>
  <c r="I145" i="3"/>
  <c r="I186" i="3"/>
  <c r="K186" i="3"/>
  <c r="I81" i="7"/>
  <c r="K101" i="7"/>
  <c r="K195" i="2"/>
  <c r="I88" i="2"/>
  <c r="I214" i="2"/>
  <c r="K214" i="2"/>
  <c r="I17" i="3"/>
  <c r="K17" i="3"/>
  <c r="I67" i="3"/>
  <c r="I93" i="3"/>
  <c r="K93" i="3"/>
  <c r="I108" i="3"/>
  <c r="K108" i="3"/>
  <c r="I181" i="3"/>
  <c r="K71" i="6"/>
  <c r="I71" i="6"/>
  <c r="K103" i="6"/>
  <c r="I103" i="6"/>
  <c r="K70" i="2"/>
  <c r="I70" i="2"/>
  <c r="K150" i="2"/>
  <c r="I150" i="2"/>
  <c r="K10" i="3"/>
  <c r="K1" i="3" s="1"/>
  <c r="I10" i="3"/>
  <c r="I136" i="2"/>
  <c r="I205" i="2"/>
  <c r="I58" i="3"/>
  <c r="K164" i="6"/>
  <c r="I164" i="6"/>
  <c r="K134" i="2"/>
  <c r="I134" i="2"/>
  <c r="K175" i="2"/>
  <c r="I175" i="2"/>
  <c r="K56" i="3"/>
  <c r="I56" i="3"/>
  <c r="K175" i="3"/>
  <c r="I208" i="3"/>
  <c r="K208" i="3"/>
  <c r="K55" i="6"/>
  <c r="I55" i="6"/>
  <c r="K165" i="3"/>
  <c r="I165" i="3"/>
  <c r="I20" i="3"/>
  <c r="H3" i="3" s="1"/>
  <c r="K56" i="2"/>
  <c r="K86" i="2"/>
  <c r="I86" i="2"/>
  <c r="K203" i="2"/>
  <c r="I203" i="2"/>
  <c r="I77" i="3"/>
  <c r="K77" i="3"/>
  <c r="K157" i="3"/>
  <c r="I157" i="3"/>
  <c r="I202" i="3"/>
  <c r="K202" i="3"/>
  <c r="F182" i="5"/>
  <c r="H182" i="5"/>
  <c r="K114" i="9"/>
  <c r="I114" i="9"/>
  <c r="K49" i="3"/>
  <c r="I49" i="3"/>
  <c r="K102" i="2"/>
  <c r="I102" i="2"/>
  <c r="I72" i="3"/>
  <c r="K54" i="2"/>
  <c r="I54" i="2"/>
  <c r="H3" i="2" s="1"/>
  <c r="I172" i="2"/>
  <c r="K172" i="2"/>
  <c r="K65" i="3"/>
  <c r="I65" i="3"/>
  <c r="I116" i="3"/>
  <c r="K116" i="3"/>
  <c r="I170" i="3"/>
  <c r="K170" i="3"/>
  <c r="F54" i="5"/>
  <c r="H54" i="5"/>
  <c r="H120" i="5"/>
  <c r="I143" i="7"/>
  <c r="K143" i="7"/>
  <c r="I46" i="8"/>
  <c r="K46" i="8"/>
  <c r="I92" i="9"/>
  <c r="K92" i="9"/>
  <c r="K57" i="2"/>
  <c r="K73" i="2"/>
  <c r="K89" i="2"/>
  <c r="K105" i="2"/>
  <c r="K121" i="2"/>
  <c r="K137" i="2"/>
  <c r="K153" i="2"/>
  <c r="K168" i="2"/>
  <c r="K173" i="2"/>
  <c r="K178" i="2"/>
  <c r="K206" i="2"/>
  <c r="K21" i="3"/>
  <c r="I71" i="3"/>
  <c r="K71" i="3"/>
  <c r="I79" i="3"/>
  <c r="K79" i="3"/>
  <c r="I87" i="3"/>
  <c r="K87" i="3"/>
  <c r="K109" i="3"/>
  <c r="K132" i="3"/>
  <c r="K149" i="3"/>
  <c r="F22" i="5"/>
  <c r="H22" i="5"/>
  <c r="F150" i="5"/>
  <c r="H150" i="5"/>
  <c r="K122" i="6"/>
  <c r="I122" i="6"/>
  <c r="K148" i="6"/>
  <c r="I148" i="6"/>
  <c r="K27" i="7"/>
  <c r="I52" i="7"/>
  <c r="K52" i="7"/>
  <c r="K127" i="7"/>
  <c r="K213" i="7"/>
  <c r="I213" i="7"/>
  <c r="I114" i="8"/>
  <c r="K114" i="8"/>
  <c r="I162" i="8"/>
  <c r="K162" i="8"/>
  <c r="I202" i="8"/>
  <c r="K202" i="8"/>
  <c r="K172" i="9"/>
  <c r="I210" i="9"/>
  <c r="K210" i="9"/>
  <c r="K23" i="12"/>
  <c r="I23" i="12"/>
  <c r="K55" i="2"/>
  <c r="K71" i="2"/>
  <c r="K80" i="2"/>
  <c r="K87" i="2"/>
  <c r="K96" i="2"/>
  <c r="K103" i="2"/>
  <c r="K112" i="2"/>
  <c r="K119" i="2"/>
  <c r="K128" i="2"/>
  <c r="K135" i="2"/>
  <c r="K144" i="2"/>
  <c r="K151" i="2"/>
  <c r="K181" i="2"/>
  <c r="K204" i="2"/>
  <c r="K213" i="2"/>
  <c r="K11" i="3"/>
  <c r="K19" i="3"/>
  <c r="K34" i="3"/>
  <c r="I39" i="3"/>
  <c r="K50" i="3"/>
  <c r="I55" i="3"/>
  <c r="K66" i="3"/>
  <c r="K76" i="3"/>
  <c r="K84" i="3"/>
  <c r="K92" i="3"/>
  <c r="K141" i="3"/>
  <c r="K158" i="3"/>
  <c r="I164" i="3"/>
  <c r="K164" i="3"/>
  <c r="K174" i="3"/>
  <c r="K190" i="3"/>
  <c r="K207" i="3"/>
  <c r="H88" i="5"/>
  <c r="K7" i="6"/>
  <c r="I7" i="6"/>
  <c r="K39" i="6"/>
  <c r="I39" i="6"/>
  <c r="I19" i="7"/>
  <c r="H3" i="7" s="1"/>
  <c r="K19" i="7"/>
  <c r="I49" i="7"/>
  <c r="K49" i="7"/>
  <c r="K157" i="7"/>
  <c r="I157" i="7"/>
  <c r="I186" i="7"/>
  <c r="K186" i="7"/>
  <c r="I96" i="8"/>
  <c r="K96" i="8"/>
  <c r="I138" i="8"/>
  <c r="K138" i="8"/>
  <c r="K40" i="9"/>
  <c r="I40" i="9"/>
  <c r="K124" i="9"/>
  <c r="I146" i="9"/>
  <c r="K146" i="9"/>
  <c r="K162" i="9"/>
  <c r="I162" i="9"/>
  <c r="I178" i="9"/>
  <c r="K49" i="2"/>
  <c r="K65" i="2"/>
  <c r="K81" i="2"/>
  <c r="K97" i="2"/>
  <c r="K113" i="2"/>
  <c r="K129" i="2"/>
  <c r="K145" i="2"/>
  <c r="K190" i="2"/>
  <c r="K12" i="3"/>
  <c r="I75" i="3"/>
  <c r="K75" i="3"/>
  <c r="I83" i="3"/>
  <c r="K83" i="3"/>
  <c r="I91" i="3"/>
  <c r="K91" i="3"/>
  <c r="K102" i="3"/>
  <c r="I148" i="3"/>
  <c r="K148" i="3"/>
  <c r="K151" i="3"/>
  <c r="H64" i="5"/>
  <c r="F86" i="5"/>
  <c r="H86" i="5"/>
  <c r="H192" i="5"/>
  <c r="F214" i="5"/>
  <c r="H214" i="5"/>
  <c r="I13" i="6"/>
  <c r="K13" i="6"/>
  <c r="I29" i="6"/>
  <c r="K29" i="6"/>
  <c r="I67" i="6"/>
  <c r="K67" i="6"/>
  <c r="K119" i="6"/>
  <c r="I119" i="6"/>
  <c r="I75" i="7"/>
  <c r="K75" i="7"/>
  <c r="I202" i="7"/>
  <c r="K202" i="7"/>
  <c r="I205" i="7"/>
  <c r="K205" i="7"/>
  <c r="I128" i="8"/>
  <c r="K128" i="8"/>
  <c r="I44" i="9"/>
  <c r="K44" i="9"/>
  <c r="K87" i="12"/>
  <c r="I87" i="12"/>
  <c r="I199" i="13"/>
  <c r="K199" i="13"/>
  <c r="K47" i="2"/>
  <c r="K1" i="2" s="1"/>
  <c r="K63" i="2"/>
  <c r="K79" i="2"/>
  <c r="K95" i="2"/>
  <c r="K111" i="2"/>
  <c r="K127" i="2"/>
  <c r="K143" i="2"/>
  <c r="K180" i="2"/>
  <c r="I47" i="3"/>
  <c r="I63" i="3"/>
  <c r="K94" i="3"/>
  <c r="K140" i="3"/>
  <c r="H24" i="5"/>
  <c r="H152" i="5"/>
  <c r="I21" i="6"/>
  <c r="K21" i="6"/>
  <c r="I37" i="6"/>
  <c r="K37" i="6"/>
  <c r="I77" i="6"/>
  <c r="K77" i="6"/>
  <c r="I93" i="6"/>
  <c r="K93" i="6"/>
  <c r="I132" i="6"/>
  <c r="K173" i="7"/>
  <c r="I173" i="7"/>
  <c r="K193" i="7"/>
  <c r="I193" i="7"/>
  <c r="K55" i="11"/>
  <c r="I55" i="11"/>
  <c r="H3" i="11" s="1"/>
  <c r="K69" i="12"/>
  <c r="I69" i="12"/>
  <c r="I72" i="12"/>
  <c r="K72" i="12"/>
  <c r="I73" i="3"/>
  <c r="K73" i="3"/>
  <c r="I81" i="3"/>
  <c r="K81" i="3"/>
  <c r="I89" i="3"/>
  <c r="K89" i="3"/>
  <c r="F118" i="5"/>
  <c r="H118" i="5"/>
  <c r="K10" i="6"/>
  <c r="I10" i="6"/>
  <c r="K26" i="6"/>
  <c r="I26" i="6"/>
  <c r="K52" i="6"/>
  <c r="I52" i="6"/>
  <c r="K57" i="6"/>
  <c r="I57" i="6"/>
  <c r="I69" i="6"/>
  <c r="K69" i="6"/>
  <c r="I85" i="6"/>
  <c r="K85" i="6"/>
  <c r="I101" i="6"/>
  <c r="K101" i="6"/>
  <c r="K212" i="6"/>
  <c r="I212" i="6"/>
  <c r="I76" i="7"/>
  <c r="K76" i="7"/>
  <c r="K141" i="7"/>
  <c r="I141" i="7"/>
  <c r="I181" i="7"/>
  <c r="K181" i="7"/>
  <c r="I108" i="8"/>
  <c r="K108" i="8"/>
  <c r="K196" i="2"/>
  <c r="I43" i="3"/>
  <c r="I59" i="3"/>
  <c r="K112" i="3"/>
  <c r="K206" i="3"/>
  <c r="H56" i="5"/>
  <c r="H184" i="5"/>
  <c r="K58" i="6"/>
  <c r="I58" i="6"/>
  <c r="K74" i="6"/>
  <c r="I74" i="6"/>
  <c r="K90" i="6"/>
  <c r="I90" i="6"/>
  <c r="K109" i="6"/>
  <c r="K116" i="6"/>
  <c r="I116" i="6"/>
  <c r="K121" i="6"/>
  <c r="I121" i="6"/>
  <c r="K180" i="6"/>
  <c r="I180" i="6"/>
  <c r="I74" i="8"/>
  <c r="K74" i="8"/>
  <c r="I156" i="8"/>
  <c r="K156" i="8"/>
  <c r="I28" i="9"/>
  <c r="H3" i="9" s="1"/>
  <c r="K28" i="9"/>
  <c r="K65" i="10"/>
  <c r="K181" i="10"/>
  <c r="I145" i="13"/>
  <c r="K145" i="13"/>
  <c r="K127" i="3"/>
  <c r="K180" i="3"/>
  <c r="K214" i="3"/>
  <c r="H38" i="5"/>
  <c r="H70" i="5"/>
  <c r="H102" i="5"/>
  <c r="H134" i="5"/>
  <c r="H166" i="5"/>
  <c r="H198" i="5"/>
  <c r="K36" i="6"/>
  <c r="I36" i="6"/>
  <c r="K100" i="6"/>
  <c r="I100" i="6"/>
  <c r="I128" i="6"/>
  <c r="K128" i="6"/>
  <c r="I142" i="6"/>
  <c r="K142" i="6"/>
  <c r="I160" i="6"/>
  <c r="K160" i="6"/>
  <c r="I174" i="6"/>
  <c r="K174" i="6"/>
  <c r="I192" i="6"/>
  <c r="K192" i="6"/>
  <c r="I206" i="6"/>
  <c r="K206" i="6"/>
  <c r="I48" i="7"/>
  <c r="K48" i="7"/>
  <c r="K1" i="7" s="1"/>
  <c r="K62" i="7"/>
  <c r="K71" i="7"/>
  <c r="I149" i="7"/>
  <c r="K149" i="7"/>
  <c r="K16" i="8"/>
  <c r="K26" i="8"/>
  <c r="K42" i="8"/>
  <c r="I124" i="8"/>
  <c r="K124" i="8"/>
  <c r="K102" i="9"/>
  <c r="K89" i="10"/>
  <c r="K66" i="11"/>
  <c r="K210" i="11"/>
  <c r="I210" i="11"/>
  <c r="K111" i="3"/>
  <c r="K198" i="3"/>
  <c r="H13" i="5"/>
  <c r="H16" i="5"/>
  <c r="H45" i="5"/>
  <c r="H48" i="5"/>
  <c r="H77" i="5"/>
  <c r="H80" i="5"/>
  <c r="H109" i="5"/>
  <c r="H112" i="5"/>
  <c r="H141" i="5"/>
  <c r="H144" i="5"/>
  <c r="H173" i="5"/>
  <c r="H176" i="5"/>
  <c r="H205" i="5"/>
  <c r="H208" i="5"/>
  <c r="K23" i="6"/>
  <c r="I23" i="6"/>
  <c r="K42" i="6"/>
  <c r="I42" i="6"/>
  <c r="I53" i="6"/>
  <c r="K53" i="6"/>
  <c r="K87" i="6"/>
  <c r="I87" i="6"/>
  <c r="K106" i="6"/>
  <c r="I106" i="6"/>
  <c r="I117" i="6"/>
  <c r="K117" i="6"/>
  <c r="I40" i="7"/>
  <c r="K40" i="7"/>
  <c r="I133" i="7"/>
  <c r="K133" i="7"/>
  <c r="K209" i="7"/>
  <c r="I209" i="7"/>
  <c r="I10" i="8"/>
  <c r="H3" i="8" s="1"/>
  <c r="K10" i="8"/>
  <c r="I146" i="8"/>
  <c r="K146" i="8"/>
  <c r="K60" i="9"/>
  <c r="I82" i="9"/>
  <c r="K82" i="9"/>
  <c r="K98" i="9"/>
  <c r="I98" i="9"/>
  <c r="K117" i="10"/>
  <c r="K169" i="10"/>
  <c r="K209" i="10"/>
  <c r="I209" i="10"/>
  <c r="K68" i="6"/>
  <c r="I68" i="6"/>
  <c r="I126" i="6"/>
  <c r="K126" i="6"/>
  <c r="I144" i="6"/>
  <c r="K144" i="6"/>
  <c r="I158" i="6"/>
  <c r="K158" i="6"/>
  <c r="I176" i="6"/>
  <c r="K176" i="6"/>
  <c r="I190" i="6"/>
  <c r="K190" i="6"/>
  <c r="I208" i="6"/>
  <c r="K208" i="6"/>
  <c r="I92" i="8"/>
  <c r="K92" i="8"/>
  <c r="I102" i="8"/>
  <c r="K102" i="8"/>
  <c r="I208" i="8"/>
  <c r="K208" i="8"/>
  <c r="I18" i="9"/>
  <c r="K18" i="9"/>
  <c r="K1" i="9" s="1"/>
  <c r="K34" i="9"/>
  <c r="I34" i="9"/>
  <c r="K7" i="10"/>
  <c r="I7" i="10"/>
  <c r="H3" i="10" s="1"/>
  <c r="K95" i="3"/>
  <c r="K182" i="3"/>
  <c r="H14" i="5"/>
  <c r="H46" i="5"/>
  <c r="H78" i="5"/>
  <c r="H110" i="5"/>
  <c r="H142" i="5"/>
  <c r="H174" i="5"/>
  <c r="H206" i="5"/>
  <c r="K20" i="6"/>
  <c r="I20" i="6"/>
  <c r="K84" i="6"/>
  <c r="I84" i="6"/>
  <c r="K53" i="7"/>
  <c r="K59" i="7"/>
  <c r="I68" i="7"/>
  <c r="K68" i="7"/>
  <c r="K175" i="7"/>
  <c r="I82" i="8"/>
  <c r="K82" i="8"/>
  <c r="I134" i="8"/>
  <c r="K134" i="8"/>
  <c r="I190" i="8"/>
  <c r="K190" i="8"/>
  <c r="I198" i="8"/>
  <c r="K198" i="8"/>
  <c r="K72" i="9"/>
  <c r="K88" i="9"/>
  <c r="I69" i="11"/>
  <c r="K69" i="11"/>
  <c r="K75" i="11"/>
  <c r="I75" i="11"/>
  <c r="I31" i="13"/>
  <c r="K31" i="13"/>
  <c r="I127" i="13"/>
  <c r="K127" i="13"/>
  <c r="K137" i="7"/>
  <c r="I137" i="7"/>
  <c r="K153" i="7"/>
  <c r="I153" i="7"/>
  <c r="K169" i="7"/>
  <c r="I169" i="7"/>
  <c r="K185" i="7"/>
  <c r="I185" i="7"/>
  <c r="I12" i="8"/>
  <c r="K12" i="8"/>
  <c r="K1" i="8" s="1"/>
  <c r="I22" i="8"/>
  <c r="K22" i="8"/>
  <c r="I58" i="8"/>
  <c r="K58" i="8"/>
  <c r="I174" i="8"/>
  <c r="K174" i="8"/>
  <c r="K9" i="10"/>
  <c r="K57" i="10"/>
  <c r="K111" i="11"/>
  <c r="I8" i="12"/>
  <c r="K8" i="12"/>
  <c r="K61" i="12"/>
  <c r="I61" i="12"/>
  <c r="I64" i="12"/>
  <c r="K64" i="12"/>
  <c r="H11" i="5"/>
  <c r="H19" i="5"/>
  <c r="H27" i="5"/>
  <c r="H35" i="5"/>
  <c r="H43" i="5"/>
  <c r="H51" i="5"/>
  <c r="H59" i="5"/>
  <c r="H67" i="5"/>
  <c r="H75" i="5"/>
  <c r="H83" i="5"/>
  <c r="H91" i="5"/>
  <c r="H99" i="5"/>
  <c r="H107" i="5"/>
  <c r="H115" i="5"/>
  <c r="H123" i="5"/>
  <c r="H131" i="5"/>
  <c r="H139" i="5"/>
  <c r="H147" i="5"/>
  <c r="H155" i="5"/>
  <c r="H163" i="5"/>
  <c r="H171" i="5"/>
  <c r="H179" i="5"/>
  <c r="H187" i="5"/>
  <c r="H195" i="5"/>
  <c r="H203" i="5"/>
  <c r="H211" i="5"/>
  <c r="K8" i="7"/>
  <c r="K16" i="7"/>
  <c r="K24" i="7"/>
  <c r="K32" i="7"/>
  <c r="K63" i="7"/>
  <c r="K90" i="7"/>
  <c r="K96" i="7"/>
  <c r="K106" i="7"/>
  <c r="K112" i="7"/>
  <c r="K122" i="7"/>
  <c r="K128" i="7"/>
  <c r="K138" i="7"/>
  <c r="K144" i="7"/>
  <c r="K154" i="7"/>
  <c r="K160" i="7"/>
  <c r="K170" i="7"/>
  <c r="K176" i="7"/>
  <c r="I28" i="8"/>
  <c r="K28" i="8"/>
  <c r="K66" i="9"/>
  <c r="I66" i="9"/>
  <c r="K130" i="9"/>
  <c r="I130" i="9"/>
  <c r="K194" i="9"/>
  <c r="I194" i="9"/>
  <c r="K41" i="10"/>
  <c r="K53" i="10"/>
  <c r="K85" i="10"/>
  <c r="K133" i="10"/>
  <c r="K135" i="11"/>
  <c r="I135" i="11"/>
  <c r="K133" i="12"/>
  <c r="I133" i="12"/>
  <c r="K159" i="12"/>
  <c r="I159" i="12"/>
  <c r="K50" i="14"/>
  <c r="K129" i="7"/>
  <c r="I129" i="7"/>
  <c r="K145" i="7"/>
  <c r="I145" i="7"/>
  <c r="K161" i="7"/>
  <c r="I161" i="7"/>
  <c r="K177" i="7"/>
  <c r="I177" i="7"/>
  <c r="I34" i="8"/>
  <c r="K34" i="8"/>
  <c r="I188" i="8"/>
  <c r="K188" i="8"/>
  <c r="K39" i="10"/>
  <c r="K51" i="7"/>
  <c r="K56" i="7"/>
  <c r="K74" i="7"/>
  <c r="K91" i="7"/>
  <c r="K107" i="7"/>
  <c r="K123" i="7"/>
  <c r="K192" i="7"/>
  <c r="K206" i="7"/>
  <c r="I60" i="8"/>
  <c r="K60" i="8"/>
  <c r="K70" i="8"/>
  <c r="K80" i="8"/>
  <c r="K112" i="8"/>
  <c r="K130" i="8"/>
  <c r="I140" i="8"/>
  <c r="K140" i="8"/>
  <c r="K142" i="8"/>
  <c r="I150" i="8"/>
  <c r="K150" i="8"/>
  <c r="K178" i="8"/>
  <c r="I186" i="8"/>
  <c r="K186" i="8"/>
  <c r="K56" i="9"/>
  <c r="K120" i="9"/>
  <c r="K184" i="9"/>
  <c r="K93" i="10"/>
  <c r="K129" i="10"/>
  <c r="K185" i="10"/>
  <c r="K213" i="10"/>
  <c r="K139" i="11"/>
  <c r="I197" i="11"/>
  <c r="K197" i="11"/>
  <c r="K63" i="12"/>
  <c r="I63" i="12"/>
  <c r="K125" i="12"/>
  <c r="I125" i="12"/>
  <c r="I128" i="12"/>
  <c r="K128" i="12"/>
  <c r="K153" i="10"/>
  <c r="K165" i="10"/>
  <c r="K14" i="11"/>
  <c r="K196" i="11"/>
  <c r="I196" i="11"/>
  <c r="I209" i="13"/>
  <c r="K209" i="13"/>
  <c r="K86" i="7"/>
  <c r="K94" i="7"/>
  <c r="K102" i="7"/>
  <c r="K110" i="7"/>
  <c r="K118" i="7"/>
  <c r="K126" i="7"/>
  <c r="K134" i="7"/>
  <c r="K142" i="7"/>
  <c r="K150" i="7"/>
  <c r="K158" i="7"/>
  <c r="K166" i="7"/>
  <c r="K174" i="7"/>
  <c r="K182" i="7"/>
  <c r="I44" i="8"/>
  <c r="K44" i="8"/>
  <c r="I172" i="8"/>
  <c r="K172" i="8"/>
  <c r="K36" i="9"/>
  <c r="K68" i="9"/>
  <c r="K100" i="9"/>
  <c r="K132" i="9"/>
  <c r="K164" i="9"/>
  <c r="K196" i="9"/>
  <c r="K23" i="10"/>
  <c r="K61" i="10"/>
  <c r="K87" i="10"/>
  <c r="K125" i="10"/>
  <c r="K151" i="10"/>
  <c r="K7" i="11"/>
  <c r="K12" i="11"/>
  <c r="I85" i="11"/>
  <c r="K85" i="11"/>
  <c r="I208" i="11"/>
  <c r="K173" i="12"/>
  <c r="I173" i="12"/>
  <c r="I55" i="13"/>
  <c r="K55" i="13"/>
  <c r="K84" i="7"/>
  <c r="K92" i="7"/>
  <c r="K100" i="7"/>
  <c r="K108" i="7"/>
  <c r="K116" i="7"/>
  <c r="K124" i="7"/>
  <c r="K132" i="7"/>
  <c r="K140" i="7"/>
  <c r="K148" i="7"/>
  <c r="K156" i="7"/>
  <c r="K164" i="7"/>
  <c r="K172" i="7"/>
  <c r="K180" i="7"/>
  <c r="K198" i="7"/>
  <c r="K215" i="7"/>
  <c r="I215" i="7"/>
  <c r="K32" i="8"/>
  <c r="K54" i="8"/>
  <c r="K66" i="8"/>
  <c r="I76" i="8"/>
  <c r="K76" i="8"/>
  <c r="K78" i="8"/>
  <c r="K90" i="8"/>
  <c r="K160" i="8"/>
  <c r="K182" i="8"/>
  <c r="K194" i="8"/>
  <c r="I204" i="8"/>
  <c r="K204" i="8"/>
  <c r="K206" i="8"/>
  <c r="K45" i="10"/>
  <c r="K71" i="10"/>
  <c r="K109" i="10"/>
  <c r="K135" i="10"/>
  <c r="K199" i="10"/>
  <c r="K68" i="11"/>
  <c r="K191" i="11"/>
  <c r="K194" i="11"/>
  <c r="I194" i="11"/>
  <c r="K127" i="12"/>
  <c r="I127" i="12"/>
  <c r="K199" i="12"/>
  <c r="I199" i="12"/>
  <c r="K213" i="12"/>
  <c r="I213" i="12"/>
  <c r="K25" i="13"/>
  <c r="K183" i="13"/>
  <c r="K72" i="11"/>
  <c r="K183" i="11"/>
  <c r="I183" i="11"/>
  <c r="K200" i="11"/>
  <c r="I200" i="11"/>
  <c r="K37" i="12"/>
  <c r="I37" i="12"/>
  <c r="K55" i="12"/>
  <c r="I55" i="12"/>
  <c r="K101" i="12"/>
  <c r="I101" i="12"/>
  <c r="K119" i="12"/>
  <c r="I119" i="12"/>
  <c r="K149" i="12"/>
  <c r="I149" i="12"/>
  <c r="K197" i="12"/>
  <c r="I197" i="12"/>
  <c r="I119" i="13"/>
  <c r="K119" i="13"/>
  <c r="K72" i="14"/>
  <c r="K84" i="14"/>
  <c r="K19" i="10"/>
  <c r="K35" i="10"/>
  <c r="K51" i="10"/>
  <c r="K67" i="10"/>
  <c r="K83" i="10"/>
  <c r="K99" i="10"/>
  <c r="K115" i="10"/>
  <c r="K131" i="10"/>
  <c r="K147" i="10"/>
  <c r="K163" i="10"/>
  <c r="K179" i="10"/>
  <c r="K195" i="10"/>
  <c r="I103" i="11"/>
  <c r="K31" i="12"/>
  <c r="I31" i="12"/>
  <c r="K34" i="12"/>
  <c r="K95" i="12"/>
  <c r="I95" i="12"/>
  <c r="K98" i="12"/>
  <c r="K183" i="12"/>
  <c r="I183" i="12"/>
  <c r="I23" i="13"/>
  <c r="H3" i="13" s="1"/>
  <c r="K23" i="13"/>
  <c r="K89" i="13"/>
  <c r="K165" i="13"/>
  <c r="K145" i="10"/>
  <c r="K161" i="10"/>
  <c r="K177" i="10"/>
  <c r="K193" i="10"/>
  <c r="K59" i="11"/>
  <c r="I143" i="11"/>
  <c r="K143" i="11"/>
  <c r="K175" i="12"/>
  <c r="I175" i="12"/>
  <c r="K189" i="12"/>
  <c r="I189" i="12"/>
  <c r="K40" i="11"/>
  <c r="I87" i="11"/>
  <c r="I101" i="11"/>
  <c r="K101" i="11"/>
  <c r="K162" i="11"/>
  <c r="K184" i="11"/>
  <c r="K187" i="11"/>
  <c r="K29" i="12"/>
  <c r="I29" i="12"/>
  <c r="I32" i="12"/>
  <c r="K32" i="12"/>
  <c r="K93" i="12"/>
  <c r="I93" i="12"/>
  <c r="I96" i="12"/>
  <c r="K96" i="12"/>
  <c r="K167" i="12"/>
  <c r="I167" i="12"/>
  <c r="K181" i="12"/>
  <c r="I181" i="12"/>
  <c r="I87" i="13"/>
  <c r="K87" i="13"/>
  <c r="K129" i="13"/>
  <c r="I155" i="13"/>
  <c r="K155" i="13"/>
  <c r="K10" i="11"/>
  <c r="K26" i="11"/>
  <c r="K41" i="11"/>
  <c r="K88" i="11"/>
  <c r="K98" i="11"/>
  <c r="K132" i="11"/>
  <c r="K169" i="11"/>
  <c r="K26" i="12"/>
  <c r="K58" i="12"/>
  <c r="K90" i="12"/>
  <c r="K122" i="12"/>
  <c r="K151" i="12"/>
  <c r="I151" i="12"/>
  <c r="K165" i="12"/>
  <c r="I165" i="12"/>
  <c r="K215" i="12"/>
  <c r="I215" i="12"/>
  <c r="K17" i="13"/>
  <c r="K49" i="13"/>
  <c r="K81" i="13"/>
  <c r="K113" i="13"/>
  <c r="K8" i="14"/>
  <c r="K56" i="14"/>
  <c r="K82" i="14"/>
  <c r="K8" i="11"/>
  <c r="K24" i="11"/>
  <c r="K57" i="11"/>
  <c r="K114" i="11"/>
  <c r="K148" i="11"/>
  <c r="K185" i="11"/>
  <c r="K206" i="11"/>
  <c r="I206" i="11"/>
  <c r="K15" i="12"/>
  <c r="I15" i="12"/>
  <c r="K21" i="12"/>
  <c r="I21" i="12"/>
  <c r="K47" i="12"/>
  <c r="I47" i="12"/>
  <c r="K53" i="12"/>
  <c r="I53" i="12"/>
  <c r="K79" i="12"/>
  <c r="I79" i="12"/>
  <c r="K85" i="12"/>
  <c r="I85" i="12"/>
  <c r="K111" i="12"/>
  <c r="I111" i="12"/>
  <c r="K117" i="12"/>
  <c r="I117" i="12"/>
  <c r="K143" i="12"/>
  <c r="I143" i="12"/>
  <c r="K157" i="12"/>
  <c r="I157" i="12"/>
  <c r="K207" i="12"/>
  <c r="I207" i="12"/>
  <c r="K163" i="13"/>
  <c r="K181" i="13"/>
  <c r="K1" i="13" s="1"/>
  <c r="K20" i="14"/>
  <c r="K68" i="14"/>
  <c r="K20" i="11"/>
  <c r="K52" i="11"/>
  <c r="K89" i="11"/>
  <c r="K133" i="11"/>
  <c r="K136" i="11"/>
  <c r="K146" i="11"/>
  <c r="K180" i="11"/>
  <c r="K13" i="12"/>
  <c r="I13" i="12"/>
  <c r="K24" i="12"/>
  <c r="K39" i="12"/>
  <c r="I39" i="12"/>
  <c r="K45" i="12"/>
  <c r="I45" i="12"/>
  <c r="K56" i="12"/>
  <c r="K71" i="12"/>
  <c r="I71" i="12"/>
  <c r="K77" i="12"/>
  <c r="I77" i="12"/>
  <c r="K88" i="12"/>
  <c r="K103" i="12"/>
  <c r="I103" i="12"/>
  <c r="K109" i="12"/>
  <c r="I109" i="12"/>
  <c r="K120" i="12"/>
  <c r="K135" i="12"/>
  <c r="I135" i="12"/>
  <c r="K141" i="12"/>
  <c r="I141" i="12"/>
  <c r="K191" i="12"/>
  <c r="I191" i="12"/>
  <c r="K205" i="12"/>
  <c r="I205" i="12"/>
  <c r="K15" i="13"/>
  <c r="K40" i="14"/>
  <c r="K48" i="11"/>
  <c r="K64" i="11"/>
  <c r="K80" i="11"/>
  <c r="K96" i="11"/>
  <c r="K112" i="11"/>
  <c r="K128" i="11"/>
  <c r="K144" i="11"/>
  <c r="K160" i="11"/>
  <c r="K176" i="11"/>
  <c r="K192" i="11"/>
  <c r="H3" i="14"/>
  <c r="K16" i="14"/>
  <c r="K1" i="14" s="1"/>
  <c r="K32" i="14"/>
  <c r="K48" i="14"/>
  <c r="K64" i="14"/>
  <c r="K80" i="14"/>
  <c r="K109" i="14"/>
  <c r="K115" i="14"/>
  <c r="K46" i="11"/>
  <c r="K62" i="11"/>
  <c r="K78" i="11"/>
  <c r="K94" i="11"/>
  <c r="K110" i="11"/>
  <c r="K126" i="11"/>
  <c r="K142" i="11"/>
  <c r="K158" i="11"/>
  <c r="K174" i="11"/>
  <c r="K190" i="11"/>
  <c r="K11" i="12"/>
  <c r="I11" i="12"/>
  <c r="K19" i="12"/>
  <c r="I19" i="12"/>
  <c r="K27" i="12"/>
  <c r="I27" i="12"/>
  <c r="K35" i="12"/>
  <c r="I35" i="12"/>
  <c r="K43" i="12"/>
  <c r="I43" i="12"/>
  <c r="K51" i="12"/>
  <c r="I51" i="12"/>
  <c r="K59" i="12"/>
  <c r="I59" i="12"/>
  <c r="K67" i="12"/>
  <c r="I67" i="12"/>
  <c r="K75" i="12"/>
  <c r="I75" i="12"/>
  <c r="K83" i="12"/>
  <c r="I83" i="12"/>
  <c r="K91" i="12"/>
  <c r="I91" i="12"/>
  <c r="K99" i="12"/>
  <c r="I99" i="12"/>
  <c r="K107" i="12"/>
  <c r="I107" i="12"/>
  <c r="K115" i="12"/>
  <c r="I115" i="12"/>
  <c r="K123" i="12"/>
  <c r="I123" i="12"/>
  <c r="K131" i="12"/>
  <c r="I131" i="12"/>
  <c r="K139" i="12"/>
  <c r="I139" i="12"/>
  <c r="K147" i="12"/>
  <c r="I147" i="12"/>
  <c r="K155" i="12"/>
  <c r="I155" i="12"/>
  <c r="K163" i="12"/>
  <c r="I163" i="12"/>
  <c r="K171" i="12"/>
  <c r="I171" i="12"/>
  <c r="K179" i="12"/>
  <c r="I179" i="12"/>
  <c r="K187" i="12"/>
  <c r="I187" i="12"/>
  <c r="K195" i="12"/>
  <c r="I195" i="12"/>
  <c r="K203" i="12"/>
  <c r="I203" i="12"/>
  <c r="K211" i="12"/>
  <c r="I211" i="12"/>
  <c r="K14" i="14"/>
  <c r="K30" i="14"/>
  <c r="K46" i="14"/>
  <c r="K62" i="14"/>
  <c r="K78" i="14"/>
  <c r="K94" i="14"/>
  <c r="K74" i="11"/>
  <c r="K90" i="11"/>
  <c r="K106" i="11"/>
  <c r="K122" i="11"/>
  <c r="K138" i="11"/>
  <c r="K186" i="11"/>
  <c r="K9" i="12"/>
  <c r="I9" i="12"/>
  <c r="K17" i="12"/>
  <c r="I17" i="12"/>
  <c r="K25" i="12"/>
  <c r="I25" i="12"/>
  <c r="K33" i="12"/>
  <c r="I33" i="12"/>
  <c r="K41" i="12"/>
  <c r="I41" i="12"/>
  <c r="K49" i="12"/>
  <c r="I49" i="12"/>
  <c r="K57" i="12"/>
  <c r="I57" i="12"/>
  <c r="K65" i="12"/>
  <c r="I65" i="12"/>
  <c r="K73" i="12"/>
  <c r="I73" i="12"/>
  <c r="K81" i="12"/>
  <c r="I81" i="12"/>
  <c r="K89" i="12"/>
  <c r="I89" i="12"/>
  <c r="K97" i="12"/>
  <c r="I97" i="12"/>
  <c r="K105" i="12"/>
  <c r="I105" i="12"/>
  <c r="K113" i="12"/>
  <c r="I113" i="12"/>
  <c r="K121" i="12"/>
  <c r="I121" i="12"/>
  <c r="K129" i="12"/>
  <c r="I129" i="12"/>
  <c r="K137" i="12"/>
  <c r="I137" i="12"/>
  <c r="K145" i="12"/>
  <c r="I145" i="12"/>
  <c r="K153" i="12"/>
  <c r="I153" i="12"/>
  <c r="K161" i="12"/>
  <c r="I161" i="12"/>
  <c r="K169" i="12"/>
  <c r="I169" i="12"/>
  <c r="K177" i="12"/>
  <c r="I177" i="12"/>
  <c r="K185" i="12"/>
  <c r="I185" i="12"/>
  <c r="K193" i="12"/>
  <c r="I193" i="12"/>
  <c r="K201" i="12"/>
  <c r="I201" i="12"/>
  <c r="K209" i="12"/>
  <c r="I209" i="12"/>
  <c r="K10" i="14"/>
  <c r="K26" i="14"/>
  <c r="K90" i="14"/>
  <c r="K101" i="14"/>
  <c r="K107" i="14"/>
  <c r="K103" i="14"/>
  <c r="K111" i="14"/>
  <c r="E3" i="5" l="1"/>
  <c r="H1" i="5"/>
  <c r="K1" i="10"/>
  <c r="K1" i="11"/>
  <c r="K1" i="6"/>
  <c r="K1" i="12"/>
  <c r="H3" i="12"/>
  <c r="H3" i="6"/>
</calcChain>
</file>

<file path=xl/sharedStrings.xml><?xml version="1.0" encoding="utf-8"?>
<sst xmlns="http://schemas.openxmlformats.org/spreadsheetml/2006/main" count="4159" uniqueCount="352">
  <si>
    <t>Estimated $ Missed Annually</t>
  </si>
  <si>
    <t>ECHS</t>
  </si>
  <si>
    <t>KASE</t>
  </si>
  <si>
    <t>Monday</t>
  </si>
  <si>
    <t>Tuesday</t>
  </si>
  <si>
    <t>Wednesday</t>
  </si>
  <si>
    <t>Thursday</t>
  </si>
  <si>
    <t>Friday</t>
  </si>
  <si>
    <t>SHELDON ECA</t>
  </si>
  <si>
    <t>District Goal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</si>
  <si>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</si>
  <si>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>Estimated $ Per Student</t>
  </si>
  <si>
    <t>Date</t>
  </si>
  <si>
    <t>Day of the Week</t>
  </si>
  <si>
    <t>Campus ADA %</t>
  </si>
  <si>
    <t>Is ADA Below 90%? (Yes/No)</t>
  </si>
  <si>
    <t>If "Yes" Give Reason</t>
  </si>
  <si>
    <t>Explain if  "Other"</t>
  </si>
  <si>
    <t xml:space="preserve">Enrollment </t>
  </si>
  <si>
    <t># Students Absent</t>
  </si>
  <si>
    <t xml:space="preserve">Estimated $ Missed </t>
  </si>
  <si>
    <t>DISTRICTS # ABS GOAL</t>
  </si>
  <si>
    <t>NO</t>
  </si>
  <si>
    <t>no</t>
  </si>
  <si>
    <t>yes</t>
  </si>
  <si>
    <t>Health</t>
  </si>
  <si>
    <t>many student had the flu, covid,upset stomach.</t>
  </si>
  <si>
    <t>flu, common colds.</t>
  </si>
  <si>
    <t>colds, flu</t>
  </si>
  <si>
    <t>YES</t>
  </si>
  <si>
    <t>Other</t>
  </si>
  <si>
    <t>Low attendance on fridays</t>
  </si>
  <si>
    <t>ILLNESS</t>
  </si>
  <si>
    <t>illness</t>
  </si>
  <si>
    <t>unknown</t>
  </si>
  <si>
    <t>low attendance on mondays</t>
  </si>
  <si>
    <t>Day after halloween</t>
  </si>
  <si>
    <t>Thanksgivivng luncheon</t>
  </si>
  <si>
    <t xml:space="preserve">FRIDAY </t>
  </si>
  <si>
    <t>many students were sent home for health reasons</t>
  </si>
  <si>
    <t>common colds.</t>
  </si>
  <si>
    <t>christmas parties</t>
  </si>
  <si>
    <t>half a day.christmas break</t>
  </si>
  <si>
    <t>Weather</t>
  </si>
  <si>
    <t>freezing temps</t>
  </si>
  <si>
    <t xml:space="preserve">cold front </t>
  </si>
  <si>
    <t>No School/Snow Day</t>
  </si>
  <si>
    <t>Freezing Temps and Icy roads</t>
  </si>
  <si>
    <t>cold weather</t>
  </si>
  <si>
    <t>Protest Day</t>
  </si>
  <si>
    <t xml:space="preserve">Health- flu -colds </t>
  </si>
  <si>
    <t xml:space="preserve">Low Attendance on mondays </t>
  </si>
  <si>
    <t xml:space="preserve">common colds, flu </t>
  </si>
  <si>
    <t>flu</t>
  </si>
  <si>
    <t>FLU</t>
  </si>
  <si>
    <t>low attendance on mondays.illness.</t>
  </si>
  <si>
    <t>CRAVENS ECA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</si>
  <si>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</si>
  <si>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>N</t>
  </si>
  <si>
    <t xml:space="preserve"> </t>
  </si>
  <si>
    <t>Y</t>
  </si>
  <si>
    <t xml:space="preserve">day before fall break </t>
  </si>
  <si>
    <t>Friday after Halloween</t>
  </si>
  <si>
    <t>Friday, thanksgiving luncheon</t>
  </si>
  <si>
    <t>low ADA due to Health</t>
  </si>
  <si>
    <t xml:space="preserve">Friday, last day before thanksgiving break </t>
  </si>
  <si>
    <t xml:space="preserve">3 students sent home this morning </t>
  </si>
  <si>
    <t>illness, Friday, many students not returning for last week before christmas break</t>
  </si>
  <si>
    <t>5 students sent home by nurse before attendance. many students not returning for last week</t>
  </si>
  <si>
    <t xml:space="preserve">low ADA due to health and last week before holiday break </t>
  </si>
  <si>
    <t xml:space="preserve">holiday parties </t>
  </si>
  <si>
    <t>last half day before Christmas break</t>
  </si>
  <si>
    <t xml:space="preserve">cold weather + first day back from winter break </t>
  </si>
  <si>
    <t>cold weather + rain, already expect low attendance on Fridays</t>
  </si>
  <si>
    <t xml:space="preserve">snow day - no school </t>
  </si>
  <si>
    <t>Yes</t>
  </si>
  <si>
    <t xml:space="preserve">snow day recovery/ cold weather </t>
  </si>
  <si>
    <t xml:space="preserve">Weather </t>
  </si>
  <si>
    <t>Friday, snow day recovery</t>
  </si>
  <si>
    <t>No</t>
  </si>
  <si>
    <t>immigration boycott</t>
  </si>
  <si>
    <t>1 D-Z, 1 student at nurse, 2 teacher corrections</t>
  </si>
  <si>
    <t xml:space="preserve">picture day </t>
  </si>
  <si>
    <t xml:space="preserve">no power in the early am, delayed start </t>
  </si>
  <si>
    <t>Friday + illnesses, everybody here is coughing</t>
  </si>
  <si>
    <t xml:space="preserve">Monday, illness, last week before spring break  </t>
  </si>
  <si>
    <t xml:space="preserve">no </t>
  </si>
  <si>
    <t xml:space="preserve">NO </t>
  </si>
  <si>
    <t>Immigration Protesting</t>
  </si>
  <si>
    <t>SHELDON ELEMENTARY</t>
  </si>
  <si>
    <t xml:space="preserve">No 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</si>
  <si>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</si>
  <si>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 xml:space="preserve">                                                                                                                     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</si>
  <si>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</si>
  <si>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 xml:space="preserve">                                                                                              </t>
  </si>
  <si>
    <t>CARROLL ELEMENTARY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</si>
  <si>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</si>
  <si>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>Power outage, no school.</t>
  </si>
  <si>
    <t>District closed due to weather</t>
  </si>
  <si>
    <t xml:space="preserve">Immigration Protesting </t>
  </si>
  <si>
    <t>KING MIDDLE SCHOOL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</si>
  <si>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</si>
  <si>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>first day count (balanced @ 6:48pm)</t>
  </si>
  <si>
    <t>fixed NS kids &amp; enrolled new</t>
  </si>
  <si>
    <t>first fire drill during 2nd prd @10:12am</t>
  </si>
  <si>
    <t xml:space="preserve">all grades have assembly  </t>
  </si>
  <si>
    <t>lots of kids being out sick</t>
  </si>
  <si>
    <t>bad weather</t>
  </si>
  <si>
    <t xml:space="preserve">skyward went down 5th came back 7th </t>
  </si>
  <si>
    <t>bad weather PM</t>
  </si>
  <si>
    <t>friday before a holiday</t>
  </si>
  <si>
    <t>heavy rain scheduled for all day/only rained PM</t>
  </si>
  <si>
    <t>bad weather day AM</t>
  </si>
  <si>
    <t>raininy day</t>
  </si>
  <si>
    <t>school threat</t>
  </si>
  <si>
    <t>Reconciliation</t>
  </si>
  <si>
    <r>
      <rPr>
        <sz val="10"/>
        <color rgb="FF000000"/>
        <rFont val="Arial"/>
        <family val="2"/>
      </rPr>
      <t>End of 1st 6wks</t>
    </r>
  </si>
  <si>
    <t>schools in district getting threats</t>
  </si>
  <si>
    <t>fire drill/active shooter drill/KHS ground break ceremony</t>
  </si>
  <si>
    <t>6th grade Guidence Assembly</t>
  </si>
  <si>
    <t>7th grade Guidence Assembly</t>
  </si>
  <si>
    <t>STEM Field Trip/some kids GT testing</t>
  </si>
  <si>
    <t>DCA Testings</t>
  </si>
  <si>
    <t>some kids GT testing/day before holiday</t>
  </si>
  <si>
    <t>back from break</t>
  </si>
  <si>
    <t>STEM Field Trip</t>
  </si>
  <si>
    <t>power went out cam back on/8th grd testing</t>
  </si>
  <si>
    <t>Activity Bell Schedule/Teach VS Stud Volleyball Game</t>
  </si>
  <si>
    <t>AVID Field Trip to Rice Univ/Internet on and off</t>
  </si>
  <si>
    <t>fire drill</t>
  </si>
  <si>
    <t>A DAYskyward did not reflect/6th&amp;7th Test/Superitendant Meeting/8th grd STEM Field Trip</t>
  </si>
  <si>
    <t>B DAY/8th grd test went to 8th prd</t>
  </si>
  <si>
    <t>A DAY advisory/Halloween/Theater Field Trip went to 7th prd</t>
  </si>
  <si>
    <t>B DAY/day before break</t>
  </si>
  <si>
    <t>B DAY/testing/6th &amp; 7th grd went to 8th prd/2 kids went to high school</t>
  </si>
  <si>
    <t>A DAY 8th grd testing/went to 7th prd</t>
  </si>
  <si>
    <t>End of 2nd 6wks</t>
  </si>
  <si>
    <t>STEM FIELD TRIP</t>
  </si>
  <si>
    <t>bad weather day</t>
  </si>
  <si>
    <t>Dance Field Trip/Superintendent Scolar Meeting FT</t>
  </si>
  <si>
    <t>fire drill /day before break</t>
  </si>
  <si>
    <t>Spelling Bee</t>
  </si>
  <si>
    <t>Choir FT/Band FT/Art FT/Dance FT/Theater FT/CAP FT</t>
  </si>
  <si>
    <t>ADay wit adv/ELA DCA</t>
  </si>
  <si>
    <t>BDay with advi/ELA DCA</t>
  </si>
  <si>
    <t>ADay wit adv/ELA&amp;Science DCA</t>
  </si>
  <si>
    <t>BDay wit adv/ELA&amp;Science DCA</t>
  </si>
  <si>
    <t>Reg Bell Sched/fire drill</t>
  </si>
  <si>
    <t>fire alarm went off during 3rd prd</t>
  </si>
  <si>
    <t>A Day Sched/ No Advi/day before winter break/winter dance</t>
  </si>
  <si>
    <t>first day back/A Day with Adv</t>
  </si>
  <si>
    <t>cold weather day</t>
  </si>
  <si>
    <t>End of 3rd 6wks</t>
  </si>
  <si>
    <t>cold weather day/fire alarm went off in Dance room/drug dog came</t>
  </si>
  <si>
    <t xml:space="preserve">     </t>
  </si>
  <si>
    <t>some kids goto FFA</t>
  </si>
  <si>
    <t>all 8th grd going to KHS/some kids goto FFA</t>
  </si>
  <si>
    <t xml:space="preserve">NO SCHOOL/bad weather/cold </t>
  </si>
  <si>
    <t>NO SCHOOL/bad weather/snow day</t>
  </si>
  <si>
    <t>a lot of kids out due to cold weather</t>
  </si>
  <si>
    <t>A Day with Advisory/Superintendent Scolar Meeting FT</t>
  </si>
  <si>
    <t>drg test/reginal day/rainy day</t>
  </si>
  <si>
    <t>protesting day/a lot of kids out</t>
  </si>
  <si>
    <t>STEM FT/Choir UIL FT</t>
  </si>
  <si>
    <t>spelling bee/6th &amp; 7th grd assembly</t>
  </si>
  <si>
    <t>day before break</t>
  </si>
  <si>
    <t>rainy day</t>
  </si>
  <si>
    <t>recconciliation day</t>
  </si>
  <si>
    <t>Valentine Day/friday before holiday</t>
  </si>
  <si>
    <t>6th gradde testing prds 1-4th</t>
  </si>
  <si>
    <t>7th grade testing/cold rainy weather day (kind of snowed)</t>
  </si>
  <si>
    <t>8th grade telpas testing/really cold weather day</t>
  </si>
  <si>
    <t>End of 4th 6wks</t>
  </si>
  <si>
    <t>After School FT</t>
  </si>
  <si>
    <t>AVID FT/6th grd Telpas</t>
  </si>
  <si>
    <t>7th grd Telpas</t>
  </si>
  <si>
    <t>7th grd STEM Boys FT/testing</t>
  </si>
  <si>
    <t>Superintendent Scolar Meeting FT/6th grd Dance FT/Band FT/testing</t>
  </si>
  <si>
    <t>fire drill during 2nd prd</t>
  </si>
  <si>
    <t>reg bell sched/Choir UIL FT</t>
  </si>
  <si>
    <t>bad weather day/power went out/late start to school/A Day no advi/Choir UIL FT</t>
  </si>
  <si>
    <t>reg bell sched/all grades testing/BAND UIL FT</t>
  </si>
  <si>
    <t>Mock Testing/BAND UIL FT/HCC FT/A day no adv</t>
  </si>
  <si>
    <t>B day sched/no advi/makeup test</t>
  </si>
  <si>
    <t>reg bell sched/makeup telpas testing</t>
  </si>
  <si>
    <t>reg bell sched/shelter in place drill during 2nd prd</t>
  </si>
  <si>
    <t>glow party</t>
  </si>
  <si>
    <t>Superintendent Scolar Meeting FT</t>
  </si>
  <si>
    <t>STEM FT</t>
  </si>
  <si>
    <t>End of 5th 6wks</t>
  </si>
  <si>
    <t xml:space="preserve">                                                     </t>
  </si>
  <si>
    <t>NULL MIDDLE SCHOOL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</si>
  <si>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</si>
  <si>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 xml:space="preserve">fire alarm went off during first day count </t>
  </si>
  <si>
    <t xml:space="preserve">fire alarm went off (false alarm) </t>
  </si>
  <si>
    <t xml:space="preserve">late buses and alot of kids are out sick </t>
  </si>
  <si>
    <t xml:space="preserve">bad weather, alot of kids sick </t>
  </si>
  <si>
    <t xml:space="preserve">kids out sick </t>
  </si>
  <si>
    <t xml:space="preserve">skyward was down 5th period </t>
  </si>
  <si>
    <t xml:space="preserve">heavy rain during 6th period  </t>
  </si>
  <si>
    <t xml:space="preserve">holiday weekend </t>
  </si>
  <si>
    <t xml:space="preserve">Bad weather </t>
  </si>
  <si>
    <t>Reconciliation/School Threat</t>
  </si>
  <si>
    <t>Safety</t>
  </si>
  <si>
    <t xml:space="preserve">School Threat/Students getting picked up before funing period </t>
  </si>
  <si>
    <t>Stem field trip</t>
  </si>
  <si>
    <t>DCA testing/day before school break</t>
  </si>
  <si>
    <t>returning from school break</t>
  </si>
  <si>
    <t xml:space="preserve">8th grade PSAT testing </t>
  </si>
  <si>
    <t xml:space="preserve">fire alarm went off during funding period </t>
  </si>
  <si>
    <t xml:space="preserve"> day after halloween </t>
  </si>
  <si>
    <t>day before break/fire drill</t>
  </si>
  <si>
    <t xml:space="preserve">Fine arts Field trip </t>
  </si>
  <si>
    <t>DCA TESTING</t>
  </si>
  <si>
    <t>DCA testing</t>
  </si>
  <si>
    <t>Last day before break</t>
  </si>
  <si>
    <t>the day before break</t>
  </si>
  <si>
    <t xml:space="preserve">1st day back from break </t>
  </si>
  <si>
    <t xml:space="preserve">Cold front/students are out sick/DCA retakes </t>
  </si>
  <si>
    <t>NO SCHOOL/SNOW DAY</t>
  </si>
  <si>
    <t>BAD WEATHER</t>
  </si>
  <si>
    <t>assembly</t>
  </si>
  <si>
    <t xml:space="preserve">Drug testing /Regional 4 meeting </t>
  </si>
  <si>
    <t>Immigration Protest</t>
  </si>
  <si>
    <t>CHOIR UIL</t>
  </si>
  <si>
    <t>FIRE DRILL/HOLD DRILL</t>
  </si>
  <si>
    <t xml:space="preserve">RECONCILIATION </t>
  </si>
  <si>
    <t>VALENTINES DAY/VALENTINES DANCE</t>
  </si>
  <si>
    <t>6th grade TELPAS TESTING</t>
  </si>
  <si>
    <t xml:space="preserve">7TH GRADE TELPAS </t>
  </si>
  <si>
    <t>8TH GRADE TELPAS TESTING /COLD WEATHER</t>
  </si>
  <si>
    <t>TELPAS RETAKE/5TH GRADE SHOWCASE /COLD WEATHER</t>
  </si>
  <si>
    <t>CIVIL AIR PATROL FIELD TRIP</t>
  </si>
  <si>
    <t>CIVIL AIR PATROL FIELD TRIP/6TH GRADETELPAS TESTING</t>
  </si>
  <si>
    <t>STEM BOYS FIELD TRIP/7TH GRADE TELPAS TESTING</t>
  </si>
  <si>
    <t xml:space="preserve">6th-8th MOCK TESTING </t>
  </si>
  <si>
    <t>BAND UIL</t>
  </si>
  <si>
    <t>8TH SCIENCE GRADE MOCK/BAND UIL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</si>
  <si>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</si>
  <si>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>LAST DAY BEFORE BREAK</t>
  </si>
  <si>
    <t xml:space="preserve">Break before thanksgiving </t>
  </si>
  <si>
    <t>Day before Holiday break</t>
  </si>
  <si>
    <t xml:space="preserve">yes </t>
  </si>
  <si>
    <t xml:space="preserve">Health/weather </t>
  </si>
  <si>
    <t xml:space="preserve">protest </t>
  </si>
  <si>
    <t>ME had no power in the morning</t>
  </si>
  <si>
    <t>KING HIGH SCHOOL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</si>
  <si>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</si>
  <si>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 xml:space="preserve">students didnt show up </t>
  </si>
  <si>
    <t>students were on vacations</t>
  </si>
  <si>
    <t xml:space="preserve">
no</t>
  </si>
  <si>
    <t>Snow Days</t>
  </si>
  <si>
    <t>Parent Concerns</t>
  </si>
  <si>
    <t>Holiday</t>
  </si>
  <si>
    <t>Cold Weather</t>
  </si>
  <si>
    <t>Bad Weather/power outage</t>
  </si>
  <si>
    <t xml:space="preserve">Alot of students out ill 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</si>
  <si>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</si>
  <si>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>DAY AFTER HALLOWEEN</t>
  </si>
  <si>
    <t>BEFORE THE THANKSGIVING BREAK</t>
  </si>
  <si>
    <t>no school</t>
  </si>
  <si>
    <t>after snow storm</t>
  </si>
  <si>
    <t>Cold weather</t>
  </si>
  <si>
    <t>Sr. Pictures</t>
  </si>
  <si>
    <t>Telpas Testing</t>
  </si>
  <si>
    <t>Sr. Skip day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</si>
  <si>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</si>
  <si>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>San Jac power outage in the a.m.</t>
  </si>
  <si>
    <t>Day before Thanksgiving holidays</t>
  </si>
  <si>
    <t>Day before long weekend</t>
  </si>
  <si>
    <t>freeze/snow</t>
  </si>
  <si>
    <t>freeze</t>
  </si>
  <si>
    <t>Day after freeze</t>
  </si>
  <si>
    <t>Day of Immigration protest</t>
  </si>
  <si>
    <t>very cold with wind chill and senior pic</t>
  </si>
  <si>
    <t>Senior skip day</t>
  </si>
  <si>
    <t>*</t>
  </si>
  <si>
    <t>DAILY DATA</t>
  </si>
  <si>
    <t>WEEKLY DATA</t>
  </si>
  <si>
    <t>ADA 09 
(Dropout Recovery)</t>
  </si>
  <si>
    <t>ADA 07
(KASE)</t>
  </si>
  <si>
    <t>Daily Total Enrolled</t>
  </si>
  <si>
    <t>Week Range</t>
  </si>
  <si>
    <t>Week</t>
  </si>
  <si>
    <t># of Students With Hours Greater Than or Equal 20 (ADA 07)</t>
  </si>
  <si>
    <t>Weekly Total Enrolled 
(ADA 07)</t>
  </si>
  <si>
    <t>% of Attendance</t>
  </si>
  <si>
    <t>Notes About Attendance</t>
  </si>
  <si>
    <t>8/12 - 8/16</t>
  </si>
  <si>
    <t>Week 1</t>
  </si>
  <si>
    <t>8/19 - 8/23</t>
  </si>
  <si>
    <t>Week 2</t>
  </si>
  <si>
    <t>8/26 - 8/30</t>
  </si>
  <si>
    <t>Week 3</t>
  </si>
  <si>
    <t>9/2 - 9/6</t>
  </si>
  <si>
    <t>Week 4</t>
  </si>
  <si>
    <t>9/9 - 9/13</t>
  </si>
  <si>
    <t>Week 5</t>
  </si>
  <si>
    <t>9/16 - 9/20</t>
  </si>
  <si>
    <t>Week 6</t>
  </si>
  <si>
    <t>9/23 - 9/27</t>
  </si>
  <si>
    <t>Week 7</t>
  </si>
  <si>
    <t>9/30 - 10/4</t>
  </si>
  <si>
    <t>Week 8</t>
  </si>
  <si>
    <t>10/14 - 10/18</t>
  </si>
  <si>
    <t>Week 9</t>
  </si>
  <si>
    <t>10/21 - 10/25</t>
  </si>
  <si>
    <t>Week 10</t>
  </si>
  <si>
    <t>10/28 -11/01</t>
  </si>
  <si>
    <t>Week 11</t>
  </si>
  <si>
    <t>11/04 - 11/08</t>
  </si>
  <si>
    <t>Week 12</t>
  </si>
  <si>
    <t>11/11 - 11/15</t>
  </si>
  <si>
    <t>Week 13</t>
  </si>
  <si>
    <t>11/18 - 11/22</t>
  </si>
  <si>
    <t>Week 14</t>
  </si>
  <si>
    <t>12/02 - 12/06</t>
  </si>
  <si>
    <t>Week 15</t>
  </si>
  <si>
    <t>12/09 - 12/13</t>
  </si>
  <si>
    <t>Week 16</t>
  </si>
  <si>
    <t>12/16 - 12/20</t>
  </si>
  <si>
    <t>Week 17</t>
  </si>
  <si>
    <t>01/08 - 01/10</t>
  </si>
  <si>
    <t>Week 18</t>
  </si>
  <si>
    <t>01/13 - 01/17</t>
  </si>
  <si>
    <t>Week 19</t>
  </si>
  <si>
    <t>01/21 - 01/24</t>
  </si>
  <si>
    <t>Week 20</t>
  </si>
  <si>
    <t>01/27 - 01/31</t>
  </si>
  <si>
    <t>Week 21</t>
  </si>
  <si>
    <t>02/03 - 02/07</t>
  </si>
  <si>
    <t>Week 22</t>
  </si>
  <si>
    <t>02/12 - 02/14</t>
  </si>
  <si>
    <t>Week 23</t>
  </si>
  <si>
    <t>02/17 - 02/21</t>
  </si>
  <si>
    <t>Week 24</t>
  </si>
  <si>
    <t>02/24 - 02/28</t>
  </si>
  <si>
    <t>Week 25</t>
  </si>
  <si>
    <t>03/03 - 03/07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</si>
  <si>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</si>
  <si>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</si>
  <si>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</si>
  <si>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</si>
  <si>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</si>
  <si>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</si>
  <si>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</si>
  <si>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</si>
  <si>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</si>
  <si>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</si>
  <si>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</si>
  <si>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</si>
  <si>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# OF STUDENTS 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</si>
</sst>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8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9"/>
      <color rgb="FFFFFFFF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21"/>
      <color rgb="FF073763"/>
      <name val="Arial"/>
      <family val="2"/>
      <scheme val="minor"/>
    </font>
    <font>
      <sz val="12"/>
      <color rgb="FFFFFFFF"/>
      <name val="Arial"/>
      <family val="2"/>
      <scheme val="minor"/>
    </font>
    <font>
      <b/>
      <u/>
      <sz val="12"/>
      <color rgb="FFFFFFFF"/>
      <name val="Arial"/>
      <family val="2"/>
      <scheme val="minor"/>
    </font>
    <font>
      <sz val="10"/>
      <color rgb="FF000000"/>
      <name val="Arial"/>
      <family val="2"/>
      <scheme val="minor"/>
    </font>
    <font>
      <b/>
      <u/>
      <sz val="12"/>
      <color rgb="FFFFFFFF"/>
      <name val="Arial"/>
      <family val="2"/>
      <scheme val="minor"/>
    </font>
    <font>
      <sz val="19"/>
      <color rgb="FFFFFFFF"/>
      <name val="Arial"/>
      <family val="2"/>
      <scheme val="minor"/>
    </font>
    <font>
      <sz val="36"/>
      <color rgb="FFFFFFFF"/>
      <name val="Arial"/>
      <family val="2"/>
      <scheme val="minor"/>
    </font>
    <font>
      <sz val="21"/>
      <color rgb="FFFFFFFF"/>
      <name val="Arial"/>
      <family val="2"/>
      <scheme val="minor"/>
    </font>
    <font>
      <sz val="9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b/>
      <u/>
      <sz val="12"/>
      <color rgb="FFFFFFFF"/>
      <name val="Arial"/>
      <family val="2"/>
      <scheme val="minor"/>
    </font>
    <font>
      <sz val="18"/>
      <color theme="1"/>
      <name val="Arial"/>
      <family val="2"/>
      <scheme val="minor"/>
    </font>
    <font>
      <b/>
      <sz val="17"/>
      <color rgb="FFFFFFFF"/>
      <name val="Arial"/>
      <family val="2"/>
      <scheme val="minor"/>
    </font>
    <font>
      <i/>
      <sz val="9"/>
      <color rgb="FFFFFFFF"/>
      <name val="Arial"/>
      <family val="2"/>
      <scheme val="minor"/>
    </font>
    <font>
      <sz val="11"/>
      <color rgb="FF000000"/>
      <name val="Calibri"/>
      <family val="2"/>
    </font>
    <font>
      <b/>
      <u/>
      <sz val="12"/>
      <color rgb="FFFFFFFF"/>
      <name val="Arial"/>
      <family val="2"/>
    </font>
    <font>
      <sz val="12"/>
      <color rgb="FFFFFFFF"/>
      <name val="Arial"/>
      <family val="2"/>
    </font>
    <font>
      <b/>
      <sz val="12"/>
      <color rgb="FFFFFF00"/>
      <name val="Arial"/>
      <family val="2"/>
    </font>
    <font>
      <sz val="9"/>
      <name val="Arial"/>
      <family val="2"/>
      <scheme val="minor"/>
    </font>
    <font>
      <b/>
      <sz val="12"/>
      <color theme="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0B5394"/>
        <bgColor rgb="FF0B5394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3D85C6"/>
        <bgColor rgb="FF3D85C6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  <fill>
      <patternFill patternType="solid">
        <fgColor rgb="FF0000FF"/>
        <bgColor rgb="FF0000FF"/>
      </patternFill>
    </fill>
    <fill>
      <patternFill patternType="solid">
        <fgColor theme="1"/>
        <bgColor theme="1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0B5394"/>
      </patternFill>
    </fill>
    <fill>
      <patternFill patternType="solid">
        <fgColor rgb="FFFFFF0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0"/>
        <bgColor rgb="FF000000"/>
      </patternFill>
    </fill>
  </fills>
  <borders count="15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/>
      <bottom style="thick">
        <color rgb="FFFFFFFF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73763"/>
      </left>
      <right/>
      <top style="thick">
        <color rgb="FF073763"/>
      </top>
      <bottom style="thick">
        <color rgb="FF073763"/>
      </bottom>
      <diagonal/>
    </border>
    <border>
      <left/>
      <right/>
      <top style="thick">
        <color rgb="FF073763"/>
      </top>
      <bottom style="thick">
        <color rgb="FF073763"/>
      </bottom>
      <diagonal/>
    </border>
    <border>
      <left/>
      <right style="thick">
        <color rgb="FF073763"/>
      </right>
      <top style="thick">
        <color rgb="FF073763"/>
      </top>
      <bottom style="thick">
        <color rgb="FF073763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73763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6" fillId="4" borderId="0" xfId="0" applyFont="1" applyFill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8" fillId="2" borderId="0" xfId="0" applyNumberFormat="1" applyFont="1" applyFill="1" applyAlignment="1">
      <alignment horizontal="center"/>
    </xf>
    <xf numFmtId="3" fontId="9" fillId="5" borderId="0" xfId="0" applyNumberFormat="1" applyFont="1" applyFill="1"/>
    <xf numFmtId="4" fontId="10" fillId="2" borderId="3" xfId="0" applyNumberFormat="1" applyFont="1" applyFill="1" applyBorder="1" applyAlignment="1">
      <alignment horizontal="center"/>
    </xf>
    <xf numFmtId="0" fontId="14" fillId="6" borderId="8" xfId="0" applyFont="1" applyFill="1" applyBorder="1" applyAlignment="1">
      <alignment horizontal="center" wrapText="1"/>
    </xf>
    <xf numFmtId="0" fontId="14" fillId="6" borderId="9" xfId="0" applyFont="1" applyFill="1" applyBorder="1" applyAlignment="1">
      <alignment horizontal="center" wrapText="1"/>
    </xf>
    <xf numFmtId="10" fontId="14" fillId="6" borderId="9" xfId="0" applyNumberFormat="1" applyFont="1" applyFill="1" applyBorder="1" applyAlignment="1">
      <alignment horizontal="center" wrapText="1"/>
    </xf>
    <xf numFmtId="0" fontId="3" fillId="6" borderId="9" xfId="0" applyFont="1" applyFill="1" applyBorder="1" applyAlignment="1">
      <alignment horizontal="center" wrapText="1"/>
    </xf>
    <xf numFmtId="3" fontId="14" fillId="2" borderId="9" xfId="0" applyNumberFormat="1" applyFont="1" applyFill="1" applyBorder="1" applyAlignment="1">
      <alignment horizontal="center" wrapText="1"/>
    </xf>
    <xf numFmtId="3" fontId="14" fillId="2" borderId="10" xfId="0" applyNumberFormat="1" applyFont="1" applyFill="1" applyBorder="1" applyAlignment="1">
      <alignment horizontal="center" wrapText="1"/>
    </xf>
    <xf numFmtId="3" fontId="14" fillId="2" borderId="7" xfId="0" applyNumberFormat="1" applyFont="1" applyFill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wrapText="1"/>
    </xf>
    <xf numFmtId="0" fontId="15" fillId="0" borderId="0" xfId="0" applyFont="1"/>
    <xf numFmtId="3" fontId="15" fillId="7" borderId="7" xfId="0" applyNumberFormat="1" applyFont="1" applyFill="1" applyBorder="1"/>
    <xf numFmtId="164" fontId="15" fillId="7" borderId="0" xfId="0" applyNumberFormat="1" applyFont="1" applyFill="1"/>
    <xf numFmtId="3" fontId="15" fillId="2" borderId="7" xfId="0" applyNumberFormat="1" applyFont="1" applyFill="1" applyBorder="1"/>
    <xf numFmtId="3" fontId="15" fillId="2" borderId="6" xfId="0" applyNumberFormat="1" applyFont="1" applyFill="1" applyBorder="1"/>
    <xf numFmtId="0" fontId="16" fillId="0" borderId="0" xfId="0" applyFont="1" applyAlignment="1">
      <alignment horizontal="center"/>
    </xf>
    <xf numFmtId="14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10" fontId="15" fillId="8" borderId="0" xfId="0" applyNumberFormat="1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8" borderId="0" xfId="0" applyFont="1" applyFill="1" applyAlignment="1">
      <alignment horizontal="center" wrapText="1"/>
    </xf>
    <xf numFmtId="0" fontId="15" fillId="8" borderId="0" xfId="0" applyFont="1" applyFill="1"/>
    <xf numFmtId="14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0" fontId="15" fillId="9" borderId="0" xfId="0" applyNumberFormat="1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9" borderId="0" xfId="0" applyFont="1" applyFill="1" applyAlignment="1">
      <alignment horizontal="center" wrapText="1"/>
    </xf>
    <xf numFmtId="0" fontId="15" fillId="9" borderId="0" xfId="0" applyFont="1" applyFill="1"/>
    <xf numFmtId="10" fontId="17" fillId="0" borderId="0" xfId="0" applyNumberFormat="1" applyFont="1" applyAlignment="1">
      <alignment horizontal="center"/>
    </xf>
    <xf numFmtId="0" fontId="15" fillId="0" borderId="0" xfId="0" applyFont="1" applyAlignment="1">
      <alignment wrapText="1"/>
    </xf>
    <xf numFmtId="14" fontId="0" fillId="10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10" fontId="15" fillId="10" borderId="0" xfId="0" applyNumberFormat="1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0" borderId="0" xfId="0" applyFont="1" applyFill="1" applyAlignment="1">
      <alignment horizontal="center" wrapText="1"/>
    </xf>
    <xf numFmtId="0" fontId="15" fillId="10" borderId="0" xfId="0" applyFont="1" applyFill="1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4" fontId="15" fillId="7" borderId="0" xfId="0" applyNumberFormat="1" applyFont="1" applyFill="1"/>
    <xf numFmtId="4" fontId="15" fillId="2" borderId="7" xfId="0" applyNumberFormat="1" applyFont="1" applyFill="1" applyBorder="1"/>
    <xf numFmtId="4" fontId="15" fillId="2" borderId="6" xfId="0" applyNumberFormat="1" applyFont="1" applyFill="1" applyBorder="1"/>
    <xf numFmtId="3" fontId="15" fillId="7" borderId="11" xfId="0" applyNumberFormat="1" applyFont="1" applyFill="1" applyBorder="1"/>
    <xf numFmtId="4" fontId="15" fillId="7" borderId="12" xfId="0" applyNumberFormat="1" applyFont="1" applyFill="1" applyBorder="1"/>
    <xf numFmtId="4" fontId="15" fillId="2" borderId="11" xfId="0" applyNumberFormat="1" applyFont="1" applyFill="1" applyBorder="1"/>
    <xf numFmtId="4" fontId="15" fillId="2" borderId="13" xfId="0" applyNumberFormat="1" applyFont="1" applyFill="1" applyBorder="1"/>
    <xf numFmtId="3" fontId="14" fillId="2" borderId="14" xfId="0" applyNumberFormat="1" applyFont="1" applyFill="1" applyBorder="1" applyAlignment="1">
      <alignment horizontal="center" wrapText="1"/>
    </xf>
    <xf numFmtId="3" fontId="5" fillId="5" borderId="12" xfId="0" applyNumberFormat="1" applyFont="1" applyFill="1" applyBorder="1" applyAlignment="1">
      <alignment horizontal="right"/>
    </xf>
    <xf numFmtId="0" fontId="9" fillId="5" borderId="0" xfId="0" applyFont="1" applyFill="1"/>
    <xf numFmtId="0" fontId="15" fillId="0" borderId="0" xfId="0" applyFont="1" applyAlignment="1">
      <alignment horizontal="right" wrapText="1"/>
    </xf>
    <xf numFmtId="0" fontId="5" fillId="4" borderId="0" xfId="0" applyFont="1" applyFill="1"/>
    <xf numFmtId="4" fontId="5" fillId="2" borderId="0" xfId="0" applyNumberFormat="1" applyFont="1" applyFill="1"/>
    <xf numFmtId="4" fontId="5" fillId="2" borderId="12" xfId="0" applyNumberFormat="1" applyFont="1" applyFill="1" applyBorder="1"/>
    <xf numFmtId="14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10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5" fillId="11" borderId="0" xfId="0" applyFont="1" applyFill="1" applyAlignment="1">
      <alignment horizontal="center" wrapText="1"/>
    </xf>
    <xf numFmtId="0" fontId="15" fillId="11" borderId="0" xfId="0" applyFont="1" applyFill="1"/>
    <xf numFmtId="0" fontId="16" fillId="3" borderId="0" xfId="0" applyFont="1" applyFill="1" applyAlignment="1">
      <alignment horizontal="center"/>
    </xf>
    <xf numFmtId="10" fontId="15" fillId="3" borderId="0" xfId="0" applyNumberFormat="1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10" fontId="15" fillId="12" borderId="0" xfId="0" applyNumberFormat="1" applyFont="1" applyFill="1" applyAlignment="1">
      <alignment horizontal="center"/>
    </xf>
    <xf numFmtId="9" fontId="15" fillId="0" borderId="0" xfId="0" applyNumberFormat="1" applyFont="1" applyAlignment="1">
      <alignment horizontal="center"/>
    </xf>
    <xf numFmtId="10" fontId="15" fillId="0" borderId="0" xfId="0" applyNumberFormat="1" applyFont="1"/>
    <xf numFmtId="0" fontId="19" fillId="13" borderId="1" xfId="0" applyFont="1" applyFill="1" applyBorder="1"/>
    <xf numFmtId="0" fontId="19" fillId="2" borderId="0" xfId="0" applyFont="1" applyFill="1"/>
    <xf numFmtId="0" fontId="19" fillId="2" borderId="3" xfId="0" applyFont="1" applyFill="1" applyBorder="1"/>
    <xf numFmtId="0" fontId="15" fillId="2" borderId="4" xfId="0" applyFont="1" applyFill="1" applyBorder="1"/>
    <xf numFmtId="0" fontId="19" fillId="2" borderId="4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20" fillId="2" borderId="0" xfId="0" applyFont="1" applyFill="1" applyAlignment="1">
      <alignment horizontal="center" wrapText="1"/>
    </xf>
    <xf numFmtId="0" fontId="21" fillId="2" borderId="3" xfId="0" applyFont="1" applyFill="1" applyBorder="1" applyAlignment="1">
      <alignment horizontal="center" wrapText="1"/>
    </xf>
    <xf numFmtId="0" fontId="21" fillId="14" borderId="3" xfId="0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center" wrapText="1"/>
    </xf>
    <xf numFmtId="0" fontId="21" fillId="2" borderId="5" xfId="0" applyFont="1" applyFill="1" applyBorder="1" applyAlignment="1">
      <alignment horizontal="center" wrapText="1"/>
    </xf>
    <xf numFmtId="0" fontId="21" fillId="2" borderId="0" xfId="0" applyFont="1" applyFill="1" applyAlignment="1">
      <alignment horizontal="center" wrapText="1"/>
    </xf>
    <xf numFmtId="0" fontId="21" fillId="15" borderId="7" xfId="0" applyFont="1" applyFill="1" applyBorder="1" applyAlignment="1">
      <alignment horizontal="center" wrapText="1"/>
    </xf>
    <xf numFmtId="0" fontId="21" fillId="15" borderId="0" xfId="0" applyFont="1" applyFill="1" applyAlignment="1">
      <alignment horizontal="center" wrapText="1"/>
    </xf>
    <xf numFmtId="0" fontId="21" fillId="14" borderId="0" xfId="0" applyFont="1" applyFill="1" applyAlignment="1">
      <alignment horizontal="center" wrapText="1"/>
    </xf>
    <xf numFmtId="0" fontId="21" fillId="15" borderId="6" xfId="0" applyFont="1" applyFill="1" applyBorder="1" applyAlignment="1">
      <alignment horizontal="center" wrapText="1"/>
    </xf>
    <xf numFmtId="14" fontId="0" fillId="16" borderId="0" xfId="0" applyNumberFormat="1" applyFill="1" applyAlignment="1">
      <alignment horizontal="center"/>
    </xf>
    <xf numFmtId="0" fontId="15" fillId="16" borderId="7" xfId="0" applyFont="1" applyFill="1" applyBorder="1" applyAlignment="1">
      <alignment horizontal="center"/>
    </xf>
    <xf numFmtId="0" fontId="15" fillId="16" borderId="0" xfId="0" applyFont="1" applyFill="1" applyAlignment="1">
      <alignment horizontal="center"/>
    </xf>
    <xf numFmtId="0" fontId="15" fillId="16" borderId="6" xfId="0" applyFont="1" applyFill="1" applyBorder="1" applyAlignment="1">
      <alignment horizontal="center"/>
    </xf>
    <xf numFmtId="0" fontId="22" fillId="2" borderId="0" xfId="0" applyFont="1" applyFill="1" applyAlignment="1">
      <alignment horizontal="right"/>
    </xf>
    <xf numFmtId="0" fontId="22" fillId="0" borderId="7" xfId="0" applyFont="1" applyBorder="1" applyAlignment="1">
      <alignment horizontal="right"/>
    </xf>
    <xf numFmtId="0" fontId="22" fillId="0" borderId="0" xfId="0" applyFont="1" applyAlignment="1">
      <alignment horizontal="right"/>
    </xf>
    <xf numFmtId="0" fontId="22" fillId="0" borderId="0" xfId="0" applyFont="1"/>
    <xf numFmtId="10" fontId="15" fillId="0" borderId="6" xfId="0" applyNumberFormat="1" applyFont="1" applyBorder="1" applyAlignment="1">
      <alignment horizontal="center"/>
    </xf>
    <xf numFmtId="0" fontId="15" fillId="8" borderId="7" xfId="0" applyFont="1" applyFill="1" applyBorder="1" applyAlignment="1">
      <alignment horizontal="center"/>
    </xf>
    <xf numFmtId="0" fontId="15" fillId="9" borderId="7" xfId="0" applyFont="1" applyFill="1" applyBorder="1" applyAlignment="1">
      <alignment horizontal="center"/>
    </xf>
    <xf numFmtId="14" fontId="22" fillId="2" borderId="0" xfId="0" applyNumberFormat="1" applyFont="1" applyFill="1" applyAlignment="1">
      <alignment horizontal="right"/>
    </xf>
    <xf numFmtId="0" fontId="15" fillId="0" borderId="6" xfId="0" applyFont="1" applyBorder="1" applyAlignment="1">
      <alignment horizontal="center"/>
    </xf>
    <xf numFmtId="14" fontId="22" fillId="0" borderId="7" xfId="0" applyNumberFormat="1" applyFont="1" applyBorder="1" applyAlignment="1">
      <alignment horizontal="right"/>
    </xf>
    <xf numFmtId="14" fontId="22" fillId="0" borderId="0" xfId="0" applyNumberFormat="1" applyFont="1" applyAlignment="1">
      <alignment horizontal="right"/>
    </xf>
    <xf numFmtId="0" fontId="15" fillId="10" borderId="7" xfId="0" applyFont="1" applyFill="1" applyBorder="1" applyAlignment="1">
      <alignment horizontal="center"/>
    </xf>
    <xf numFmtId="14" fontId="2" fillId="16" borderId="0" xfId="0" applyNumberFormat="1" applyFont="1" applyFill="1" applyAlignment="1">
      <alignment horizontal="center"/>
    </xf>
    <xf numFmtId="0" fontId="15" fillId="2" borderId="0" xfId="0" applyFont="1" applyFill="1"/>
    <xf numFmtId="0" fontId="15" fillId="0" borderId="7" xfId="0" applyFont="1" applyBorder="1"/>
    <xf numFmtId="0" fontId="26" fillId="17" borderId="8" xfId="0" applyFont="1" applyFill="1" applyBorder="1" applyAlignment="1">
      <alignment horizontal="center" wrapText="1"/>
    </xf>
    <xf numFmtId="0" fontId="26" fillId="17" borderId="9" xfId="0" applyFont="1" applyFill="1" applyBorder="1" applyAlignment="1">
      <alignment horizontal="center" wrapText="1"/>
    </xf>
    <xf numFmtId="10" fontId="26" fillId="17" borderId="9" xfId="0" applyNumberFormat="1" applyFont="1" applyFill="1" applyBorder="1" applyAlignment="1">
      <alignment horizontal="center" wrapText="1"/>
    </xf>
    <xf numFmtId="3" fontId="26" fillId="18" borderId="9" xfId="0" applyNumberFormat="1" applyFont="1" applyFill="1" applyBorder="1" applyAlignment="1">
      <alignment horizontal="center" wrapText="1"/>
    </xf>
    <xf numFmtId="3" fontId="14" fillId="19" borderId="10" xfId="0" applyNumberFormat="1" applyFont="1" applyFill="1" applyBorder="1" applyAlignment="1">
      <alignment horizontal="center" wrapText="1"/>
    </xf>
    <xf numFmtId="3" fontId="14" fillId="19" borderId="7" xfId="0" applyNumberFormat="1" applyFont="1" applyFill="1" applyBorder="1" applyAlignment="1">
      <alignment horizontal="center" wrapText="1"/>
    </xf>
    <xf numFmtId="4" fontId="27" fillId="19" borderId="5" xfId="0" applyNumberFormat="1" applyFont="1" applyFill="1" applyBorder="1" applyAlignment="1">
      <alignment horizontal="center" wrapText="1"/>
    </xf>
    <xf numFmtId="4" fontId="24" fillId="20" borderId="5" xfId="0" applyNumberFormat="1" applyFont="1" applyFill="1" applyBorder="1" applyAlignment="1">
      <alignment horizontal="center" wrapText="1"/>
    </xf>
    <xf numFmtId="4" fontId="7" fillId="20" borderId="6" xfId="0" applyNumberFormat="1" applyFont="1" applyFill="1" applyBorder="1" applyAlignment="1">
      <alignment horizontal="center" wrapText="1"/>
    </xf>
    <xf numFmtId="3" fontId="15" fillId="21" borderId="7" xfId="0" applyNumberFormat="1" applyFont="1" applyFill="1" applyBorder="1"/>
    <xf numFmtId="3" fontId="15" fillId="21" borderId="6" xfId="0" applyNumberFormat="1" applyFont="1" applyFill="1" applyBorder="1"/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6" fillId="4" borderId="0" xfId="0" applyFont="1" applyFill="1" applyAlignment="1">
      <alignment horizontal="center"/>
    </xf>
    <xf numFmtId="4" fontId="7" fillId="2" borderId="0" xfId="0" applyNumberFormat="1" applyFont="1" applyFill="1" applyAlignment="1">
      <alignment horizontal="center"/>
    </xf>
    <xf numFmtId="0" fontId="1" fillId="0" borderId="6" xfId="0" applyFont="1" applyBorder="1"/>
    <xf numFmtId="4" fontId="7" fillId="2" borderId="5" xfId="0" applyNumberFormat="1" applyFont="1" applyFill="1" applyBorder="1" applyAlignment="1">
      <alignment horizontal="center" wrapText="1"/>
    </xf>
    <xf numFmtId="165" fontId="11" fillId="2" borderId="0" xfId="0" applyNumberFormat="1" applyFont="1" applyFill="1" applyAlignment="1">
      <alignment horizontal="center"/>
    </xf>
    <xf numFmtId="9" fontId="12" fillId="2" borderId="7" xfId="0" applyNumberFormat="1" applyFont="1" applyFill="1" applyBorder="1" applyAlignment="1">
      <alignment horizontal="center"/>
    </xf>
    <xf numFmtId="0" fontId="1" fillId="0" borderId="7" xfId="0" applyFont="1" applyBorder="1"/>
    <xf numFmtId="4" fontId="7" fillId="2" borderId="0" xfId="0" applyNumberFormat="1" applyFont="1" applyFill="1" applyAlignment="1">
      <alignment horizontal="center" wrapText="1"/>
    </xf>
    <xf numFmtId="164" fontId="13" fillId="2" borderId="0" xfId="0" applyNumberFormat="1" applyFont="1" applyFill="1" applyAlignment="1">
      <alignment horizontal="center" wrapText="1"/>
    </xf>
    <xf numFmtId="4" fontId="10" fillId="2" borderId="3" xfId="0" applyNumberFormat="1" applyFont="1" applyFill="1" applyBorder="1" applyAlignment="1">
      <alignment horizontal="center"/>
    </xf>
    <xf numFmtId="165" fontId="11" fillId="2" borderId="7" xfId="0" applyNumberFormat="1" applyFont="1" applyFill="1" applyBorder="1" applyAlignment="1">
      <alignment horizontal="center"/>
    </xf>
    <xf numFmtId="4" fontId="18" fillId="2" borderId="7" xfId="0" applyNumberFormat="1" applyFont="1" applyFill="1" applyBorder="1" applyAlignment="1">
      <alignment horizontal="center" wrapText="1"/>
    </xf>
    <xf numFmtId="164" fontId="13" fillId="2" borderId="11" xfId="0" applyNumberFormat="1" applyFont="1" applyFill="1" applyBorder="1" applyAlignment="1">
      <alignment horizontal="center" wrapText="1"/>
    </xf>
    <xf numFmtId="0" fontId="1" fillId="0" borderId="13" xfId="0" applyFont="1" applyBorder="1"/>
    <xf numFmtId="0" fontId="19" fillId="13" borderId="3" xfId="0" applyFont="1" applyFill="1" applyBorder="1" applyAlignment="1">
      <alignment horizontal="center"/>
    </xf>
    <xf numFmtId="0" fontId="20" fillId="2" borderId="7" xfId="0" applyFont="1" applyFill="1" applyBorder="1" applyAlignment="1">
      <alignment horizontal="center" wrapText="1"/>
    </xf>
    <xf numFmtId="0" fontId="20" fillId="2" borderId="0" xfId="0" applyFont="1" applyFill="1" applyAlignment="1">
      <alignment horizontal="center" wrapText="1"/>
    </xf>
  </cellXfs>
  <cellStyles count="1">
    <cellStyle name="Normal" xfId="0" builtinId="0"/>
  </cellStyles>
  <dxfs count="49"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outlinePr summaryBelow="0" summaryRight="0"/>
    <pageSetUpPr fitToPage="1"/>
  </sheetPr>
  <dimension ref="A1:K853"/>
  <sheetViews>
    <sheetView tabSelected="1" workbookViewId="0">
      <pane ySplit="6" topLeftCell="A142" activePane="bottomLeft" state="frozen"/>
      <selection pane="bottomLeft" activeCell="E160" sqref="E160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15.85546875" customWidth="1"/>
    <col min="6" max="6" width="16.7109375" customWidth="1"/>
    <col min="7" max="7" width="12.42578125" customWidth="1"/>
    <col min="8" max="10" width="16.28515625" customWidth="1"/>
    <col min="11" max="11" width="22" customWidth="1"/>
  </cols>
  <sheetData>
    <row r="1" spans="1:11" ht="26.25" x14ac:dyDescent="0.35">
      <c r="A1" s="1"/>
      <c r="B1" s="1"/>
      <c r="C1" s="1"/>
      <c r="D1" s="1"/>
      <c r="E1" s="1"/>
      <c r="F1" s="1"/>
      <c r="G1" s="1"/>
      <c r="H1" s="2"/>
      <c r="I1" s="2"/>
      <c r="J1" s="3"/>
      <c r="K1" s="4">
        <f>SUM(K7:K215)</f>
        <v>-2470.1383999999966</v>
      </c>
    </row>
    <row r="2" spans="1:11" x14ac:dyDescent="0.25">
      <c r="A2" s="122" t="s">
        <v>8</v>
      </c>
      <c r="B2" s="119"/>
      <c r="C2" s="119"/>
      <c r="D2" s="119"/>
      <c r="E2" s="119"/>
      <c r="F2" s="119"/>
      <c r="G2" s="119"/>
      <c r="H2" s="123" t="s">
        <v>0</v>
      </c>
      <c r="I2" s="124"/>
      <c r="J2" s="5" t="s">
        <v>9</v>
      </c>
      <c r="K2" s="125" t="s">
        <v>10</v>
      </c>
    </row>
    <row r="3" spans="1:11" ht="23.25" x14ac:dyDescent="0.3">
      <c r="A3" s="119"/>
      <c r="B3" s="119"/>
      <c r="C3" s="119"/>
      <c r="D3" s="119"/>
      <c r="E3" s="119"/>
      <c r="F3" s="119"/>
      <c r="G3" s="119"/>
      <c r="H3" s="126">
        <f>SUM(I7:I128)</f>
        <v>234562.56449999992</v>
      </c>
      <c r="I3" s="124"/>
      <c r="J3" s="127">
        <v>0.95</v>
      </c>
      <c r="K3" s="124"/>
    </row>
    <row r="4" spans="1:11" ht="12.75" x14ac:dyDescent="0.2">
      <c r="A4" s="119"/>
      <c r="B4" s="119"/>
      <c r="C4" s="119"/>
      <c r="D4" s="119"/>
      <c r="E4" s="119"/>
      <c r="F4" s="119"/>
      <c r="G4" s="119"/>
      <c r="H4" s="129" t="s">
        <v>11</v>
      </c>
      <c r="I4" s="119"/>
      <c r="J4" s="128"/>
      <c r="K4" s="124"/>
    </row>
    <row r="5" spans="1:11" ht="15" x14ac:dyDescent="0.35">
      <c r="A5" s="119"/>
      <c r="B5" s="119"/>
      <c r="C5" s="119"/>
      <c r="D5" s="119"/>
      <c r="E5" s="119"/>
      <c r="F5" s="119"/>
      <c r="G5" s="119"/>
      <c r="H5" s="130">
        <v>55</v>
      </c>
      <c r="I5" s="119"/>
      <c r="J5" s="128"/>
      <c r="K5" s="124"/>
    </row>
    <row r="6" spans="1:11" ht="24" x14ac:dyDescent="0.2">
      <c r="A6" s="6" t="s">
        <v>12</v>
      </c>
      <c r="B6" s="7" t="s">
        <v>13</v>
      </c>
      <c r="C6" s="8" t="s">
        <v>14</v>
      </c>
      <c r="D6" s="7" t="s">
        <v>15</v>
      </c>
      <c r="E6" s="9" t="s">
        <v>16</v>
      </c>
      <c r="F6" s="7" t="s">
        <v>17</v>
      </c>
      <c r="G6" s="7" t="s">
        <v>18</v>
      </c>
      <c r="H6" s="10" t="s">
        <v>19</v>
      </c>
      <c r="I6" s="11" t="s">
        <v>20</v>
      </c>
      <c r="J6" s="12" t="s">
        <v>21</v>
      </c>
      <c r="K6" s="124"/>
    </row>
    <row r="7" spans="1:11" ht="12.75" x14ac:dyDescent="0.2">
      <c r="A7" s="13">
        <v>45516</v>
      </c>
      <c r="B7" s="14" t="s">
        <v>3</v>
      </c>
      <c r="C7" s="15">
        <v>1</v>
      </c>
      <c r="D7" s="16" t="s">
        <v>22</v>
      </c>
      <c r="E7" s="17"/>
      <c r="F7" s="17"/>
      <c r="G7" s="18">
        <v>464</v>
      </c>
      <c r="H7" s="19">
        <f t="shared" ref="H7:H201" si="0">G7-(C7*G7)</f>
        <v>0</v>
      </c>
      <c r="I7" s="20">
        <f t="shared" ref="I7:I215" si="1">H7*$H$5</f>
        <v>0</v>
      </c>
      <c r="J7" s="21">
        <v>0</v>
      </c>
      <c r="K7" s="22">
        <f t="shared" ref="K7:K215" si="2">J7-H7</f>
        <v>0</v>
      </c>
    </row>
    <row r="8" spans="1:11" ht="12.75" x14ac:dyDescent="0.2">
      <c r="A8" s="13">
        <v>45517</v>
      </c>
      <c r="B8" s="14" t="s">
        <v>4</v>
      </c>
      <c r="C8" s="15">
        <v>0.98860000000000003</v>
      </c>
      <c r="D8" s="16" t="s">
        <v>22</v>
      </c>
      <c r="E8" s="17"/>
      <c r="F8" s="17"/>
      <c r="G8" s="18">
        <v>487</v>
      </c>
      <c r="H8" s="19">
        <f t="shared" si="0"/>
        <v>5.5517999999999574</v>
      </c>
      <c r="I8" s="20">
        <f t="shared" si="1"/>
        <v>305.34899999999766</v>
      </c>
      <c r="J8" s="21">
        <f t="shared" ref="J8:J215" si="3">G8-(G8*J$3)</f>
        <v>24.350000000000023</v>
      </c>
      <c r="K8" s="22">
        <f t="shared" si="2"/>
        <v>18.798200000000065</v>
      </c>
    </row>
    <row r="9" spans="1:11" ht="12.75" x14ac:dyDescent="0.2">
      <c r="A9" s="13">
        <v>45518</v>
      </c>
      <c r="B9" s="14" t="s">
        <v>5</v>
      </c>
      <c r="C9" s="15">
        <v>0.98089999999999999</v>
      </c>
      <c r="D9" s="16" t="s">
        <v>22</v>
      </c>
      <c r="E9" s="17"/>
      <c r="F9" s="17"/>
      <c r="G9" s="18">
        <v>495</v>
      </c>
      <c r="H9" s="19">
        <f t="shared" si="0"/>
        <v>9.4544999999999959</v>
      </c>
      <c r="I9" s="20">
        <f t="shared" si="1"/>
        <v>519.99749999999972</v>
      </c>
      <c r="J9" s="21">
        <f t="shared" si="3"/>
        <v>24.75</v>
      </c>
      <c r="K9" s="22">
        <f t="shared" si="2"/>
        <v>15.295500000000004</v>
      </c>
    </row>
    <row r="10" spans="1:11" ht="12.75" x14ac:dyDescent="0.2">
      <c r="A10" s="13">
        <v>45519</v>
      </c>
      <c r="B10" s="14" t="s">
        <v>6</v>
      </c>
      <c r="C10" s="15">
        <v>0.94599999999999995</v>
      </c>
      <c r="D10" s="16" t="s">
        <v>22</v>
      </c>
      <c r="E10" s="17"/>
      <c r="F10" s="17"/>
      <c r="G10" s="18">
        <v>503</v>
      </c>
      <c r="H10" s="19">
        <f t="shared" si="0"/>
        <v>27.162000000000035</v>
      </c>
      <c r="I10" s="20">
        <f t="shared" si="1"/>
        <v>1493.9100000000019</v>
      </c>
      <c r="J10" s="21">
        <f t="shared" si="3"/>
        <v>25.150000000000034</v>
      </c>
      <c r="K10" s="22">
        <f t="shared" si="2"/>
        <v>-2.0120000000000005</v>
      </c>
    </row>
    <row r="11" spans="1:11" ht="12.75" x14ac:dyDescent="0.2">
      <c r="A11" s="13">
        <v>45520</v>
      </c>
      <c r="B11" s="14" t="s">
        <v>7</v>
      </c>
      <c r="C11" s="15">
        <v>0.92420000000000002</v>
      </c>
      <c r="D11" s="16" t="s">
        <v>22</v>
      </c>
      <c r="E11" s="17"/>
      <c r="F11" s="17"/>
      <c r="G11" s="18">
        <v>515</v>
      </c>
      <c r="H11" s="19">
        <f t="shared" si="0"/>
        <v>39.036999999999978</v>
      </c>
      <c r="I11" s="20">
        <f t="shared" si="1"/>
        <v>2147.0349999999989</v>
      </c>
      <c r="J11" s="21">
        <f t="shared" si="3"/>
        <v>25.75</v>
      </c>
      <c r="K11" s="22">
        <f t="shared" si="2"/>
        <v>-13.286999999999978</v>
      </c>
    </row>
    <row r="12" spans="1:11" ht="12.75" x14ac:dyDescent="0.2">
      <c r="A12" s="13">
        <v>45523</v>
      </c>
      <c r="B12" s="14" t="s">
        <v>3</v>
      </c>
      <c r="C12" s="15">
        <v>0.90629999999999999</v>
      </c>
      <c r="D12" s="16" t="s">
        <v>22</v>
      </c>
      <c r="E12" s="17"/>
      <c r="F12" s="17"/>
      <c r="G12" s="18">
        <v>529</v>
      </c>
      <c r="H12" s="19">
        <f t="shared" si="0"/>
        <v>49.567299999999989</v>
      </c>
      <c r="I12" s="20">
        <f t="shared" si="1"/>
        <v>2726.2014999999992</v>
      </c>
      <c r="J12" s="21">
        <f t="shared" si="3"/>
        <v>26.450000000000045</v>
      </c>
      <c r="K12" s="22">
        <f t="shared" si="2"/>
        <v>-23.117299999999943</v>
      </c>
    </row>
    <row r="13" spans="1:11" ht="12.75" x14ac:dyDescent="0.2">
      <c r="A13" s="13">
        <v>45524</v>
      </c>
      <c r="B13" s="14" t="s">
        <v>4</v>
      </c>
      <c r="C13" s="15">
        <v>0.93020000000000003</v>
      </c>
      <c r="D13" s="16" t="s">
        <v>22</v>
      </c>
      <c r="E13" s="17"/>
      <c r="F13" s="17"/>
      <c r="G13" s="18">
        <v>535</v>
      </c>
      <c r="H13" s="19">
        <f t="shared" si="0"/>
        <v>37.342999999999961</v>
      </c>
      <c r="I13" s="20">
        <f t="shared" si="1"/>
        <v>2053.864999999998</v>
      </c>
      <c r="J13" s="21">
        <f t="shared" si="3"/>
        <v>26.75</v>
      </c>
      <c r="K13" s="22">
        <f t="shared" si="2"/>
        <v>-10.592999999999961</v>
      </c>
    </row>
    <row r="14" spans="1:11" ht="12.75" x14ac:dyDescent="0.2">
      <c r="A14" s="13">
        <v>45525</v>
      </c>
      <c r="B14" s="14" t="s">
        <v>5</v>
      </c>
      <c r="C14" s="15">
        <v>0.93520000000000003</v>
      </c>
      <c r="D14" s="16" t="s">
        <v>23</v>
      </c>
      <c r="E14" s="17"/>
      <c r="F14" s="17"/>
      <c r="G14" s="18">
        <v>540</v>
      </c>
      <c r="H14" s="19">
        <f t="shared" si="0"/>
        <v>34.991999999999962</v>
      </c>
      <c r="I14" s="20">
        <f t="shared" si="1"/>
        <v>1924.5599999999979</v>
      </c>
      <c r="J14" s="21">
        <f t="shared" si="3"/>
        <v>27</v>
      </c>
      <c r="K14" s="22">
        <f t="shared" si="2"/>
        <v>-7.9919999999999618</v>
      </c>
    </row>
    <row r="15" spans="1:11" ht="12.75" x14ac:dyDescent="0.2">
      <c r="A15" s="13">
        <v>45526</v>
      </c>
      <c r="B15" s="14" t="s">
        <v>6</v>
      </c>
      <c r="C15" s="15">
        <v>0.93159999999999998</v>
      </c>
      <c r="D15" s="16" t="s">
        <v>22</v>
      </c>
      <c r="E15" s="17"/>
      <c r="F15" s="17"/>
      <c r="G15" s="18">
        <v>544</v>
      </c>
      <c r="H15" s="19">
        <f t="shared" si="0"/>
        <v>37.209600000000023</v>
      </c>
      <c r="I15" s="20">
        <f t="shared" si="1"/>
        <v>2046.5280000000012</v>
      </c>
      <c r="J15" s="21">
        <f t="shared" si="3"/>
        <v>27.200000000000045</v>
      </c>
      <c r="K15" s="22">
        <f t="shared" si="2"/>
        <v>-10.009599999999978</v>
      </c>
    </row>
    <row r="16" spans="1:11" ht="12.75" x14ac:dyDescent="0.2">
      <c r="A16" s="13">
        <v>45527</v>
      </c>
      <c r="B16" s="14" t="s">
        <v>7</v>
      </c>
      <c r="C16" s="15">
        <v>0.9234</v>
      </c>
      <c r="D16" s="16" t="s">
        <v>22</v>
      </c>
      <c r="E16" s="17"/>
      <c r="F16" s="17"/>
      <c r="G16" s="18">
        <v>546</v>
      </c>
      <c r="H16" s="19">
        <f t="shared" si="0"/>
        <v>41.823599999999999</v>
      </c>
      <c r="I16" s="20">
        <f t="shared" si="1"/>
        <v>2300.2979999999998</v>
      </c>
      <c r="J16" s="21">
        <f t="shared" si="3"/>
        <v>27.300000000000068</v>
      </c>
      <c r="K16" s="22">
        <f t="shared" si="2"/>
        <v>-14.523599999999931</v>
      </c>
    </row>
    <row r="17" spans="1:11" ht="12.75" x14ac:dyDescent="0.2">
      <c r="A17" s="13">
        <v>45530</v>
      </c>
      <c r="B17" s="14" t="s">
        <v>3</v>
      </c>
      <c r="C17" s="15">
        <v>0.90959999999999996</v>
      </c>
      <c r="D17" s="16" t="s">
        <v>22</v>
      </c>
      <c r="E17" s="17"/>
      <c r="F17" s="17"/>
      <c r="G17" s="18">
        <v>549</v>
      </c>
      <c r="H17" s="19">
        <f t="shared" si="0"/>
        <v>49.629600000000039</v>
      </c>
      <c r="I17" s="20">
        <f t="shared" si="1"/>
        <v>2729.628000000002</v>
      </c>
      <c r="J17" s="21">
        <f t="shared" si="3"/>
        <v>27.450000000000045</v>
      </c>
      <c r="K17" s="22">
        <f t="shared" si="2"/>
        <v>-22.179599999999994</v>
      </c>
    </row>
    <row r="18" spans="1:11" ht="12.75" x14ac:dyDescent="0.2">
      <c r="A18" s="13">
        <v>45531</v>
      </c>
      <c r="B18" s="14" t="s">
        <v>4</v>
      </c>
      <c r="C18" s="15">
        <v>0.94650000000000001</v>
      </c>
      <c r="D18" s="16" t="s">
        <v>22</v>
      </c>
      <c r="E18" s="17"/>
      <c r="F18" s="17"/>
      <c r="G18" s="18">
        <v>552</v>
      </c>
      <c r="H18" s="19">
        <f t="shared" si="0"/>
        <v>29.532000000000039</v>
      </c>
      <c r="I18" s="20">
        <f t="shared" si="1"/>
        <v>1624.260000000002</v>
      </c>
      <c r="J18" s="21">
        <f t="shared" si="3"/>
        <v>27.600000000000023</v>
      </c>
      <c r="K18" s="22">
        <f t="shared" si="2"/>
        <v>-1.9320000000000164</v>
      </c>
    </row>
    <row r="19" spans="1:11" ht="12.75" x14ac:dyDescent="0.2">
      <c r="A19" s="13">
        <v>45532</v>
      </c>
      <c r="B19" s="14" t="s">
        <v>5</v>
      </c>
      <c r="C19" s="15">
        <v>0.91479999999999995</v>
      </c>
      <c r="D19" s="16" t="s">
        <v>22</v>
      </c>
      <c r="E19" s="17"/>
      <c r="F19" s="23"/>
      <c r="G19" s="18">
        <v>555</v>
      </c>
      <c r="H19" s="19">
        <f t="shared" si="0"/>
        <v>47.286000000000001</v>
      </c>
      <c r="I19" s="20">
        <f t="shared" si="1"/>
        <v>2600.73</v>
      </c>
      <c r="J19" s="21">
        <f t="shared" si="3"/>
        <v>27.75</v>
      </c>
      <c r="K19" s="22">
        <f t="shared" si="2"/>
        <v>-19.536000000000001</v>
      </c>
    </row>
    <row r="20" spans="1:11" ht="12.75" x14ac:dyDescent="0.2">
      <c r="A20" s="13">
        <v>45533</v>
      </c>
      <c r="B20" s="14" t="s">
        <v>6</v>
      </c>
      <c r="C20" s="15">
        <v>0.9073</v>
      </c>
      <c r="D20" s="16" t="s">
        <v>22</v>
      </c>
      <c r="E20" s="17"/>
      <c r="F20" s="17"/>
      <c r="G20" s="18">
        <v>556</v>
      </c>
      <c r="H20" s="19">
        <f t="shared" si="0"/>
        <v>51.541200000000003</v>
      </c>
      <c r="I20" s="20">
        <f t="shared" si="1"/>
        <v>2834.7660000000001</v>
      </c>
      <c r="J20" s="21">
        <f t="shared" si="3"/>
        <v>27.800000000000068</v>
      </c>
      <c r="K20" s="22">
        <f t="shared" si="2"/>
        <v>-23.741199999999935</v>
      </c>
    </row>
    <row r="21" spans="1:11" ht="38.25" x14ac:dyDescent="0.2">
      <c r="A21" s="13">
        <v>45534</v>
      </c>
      <c r="B21" s="14" t="s">
        <v>7</v>
      </c>
      <c r="C21" s="15">
        <v>0.82450000000000001</v>
      </c>
      <c r="D21" s="16" t="s">
        <v>24</v>
      </c>
      <c r="E21" s="17" t="s">
        <v>25</v>
      </c>
      <c r="F21" s="17" t="s">
        <v>26</v>
      </c>
      <c r="G21" s="18">
        <v>556</v>
      </c>
      <c r="H21" s="19">
        <f t="shared" si="0"/>
        <v>97.577999999999975</v>
      </c>
      <c r="I21" s="20">
        <f t="shared" si="1"/>
        <v>5366.7899999999991</v>
      </c>
      <c r="J21" s="21">
        <f t="shared" si="3"/>
        <v>27.800000000000068</v>
      </c>
      <c r="K21" s="22">
        <f t="shared" si="2"/>
        <v>-69.777999999999906</v>
      </c>
    </row>
    <row r="22" spans="1:11" ht="12.75" x14ac:dyDescent="0.2">
      <c r="A22" s="24">
        <v>45537</v>
      </c>
      <c r="B22" s="25" t="s">
        <v>3</v>
      </c>
      <c r="C22" s="26"/>
      <c r="D22" s="27"/>
      <c r="E22" s="28"/>
      <c r="F22" s="28"/>
      <c r="G22" s="29"/>
      <c r="H22" s="19">
        <f t="shared" si="0"/>
        <v>0</v>
      </c>
      <c r="I22" s="20">
        <f t="shared" si="1"/>
        <v>0</v>
      </c>
      <c r="J22" s="21">
        <f t="shared" si="3"/>
        <v>0</v>
      </c>
      <c r="K22" s="22">
        <f t="shared" si="2"/>
        <v>0</v>
      </c>
    </row>
    <row r="23" spans="1:11" ht="25.5" x14ac:dyDescent="0.2">
      <c r="A23" s="13">
        <v>45538</v>
      </c>
      <c r="B23" s="14" t="s">
        <v>4</v>
      </c>
      <c r="C23" s="15">
        <v>0.88970000000000005</v>
      </c>
      <c r="D23" s="16" t="s">
        <v>24</v>
      </c>
      <c r="E23" s="17" t="s">
        <v>25</v>
      </c>
      <c r="F23" s="17" t="s">
        <v>27</v>
      </c>
      <c r="G23" s="18">
        <v>548</v>
      </c>
      <c r="H23" s="19">
        <f t="shared" si="0"/>
        <v>60.444399999999973</v>
      </c>
      <c r="I23" s="20">
        <f t="shared" si="1"/>
        <v>3324.4419999999986</v>
      </c>
      <c r="J23" s="21">
        <f t="shared" si="3"/>
        <v>27.399999999999977</v>
      </c>
      <c r="K23" s="22">
        <f t="shared" si="2"/>
        <v>-33.044399999999996</v>
      </c>
    </row>
    <row r="24" spans="1:11" ht="12.75" x14ac:dyDescent="0.2">
      <c r="A24" s="13">
        <v>45539</v>
      </c>
      <c r="B24" s="14" t="s">
        <v>5</v>
      </c>
      <c r="C24" s="15">
        <v>0.91830000000000001</v>
      </c>
      <c r="D24" s="16" t="s">
        <v>24</v>
      </c>
      <c r="E24" s="17" t="s">
        <v>25</v>
      </c>
      <c r="F24" s="17" t="s">
        <v>28</v>
      </c>
      <c r="G24" s="18">
        <v>551</v>
      </c>
      <c r="H24" s="19">
        <f t="shared" si="0"/>
        <v>45.016700000000014</v>
      </c>
      <c r="I24" s="20">
        <f t="shared" si="1"/>
        <v>2475.9185000000007</v>
      </c>
      <c r="J24" s="21">
        <f t="shared" si="3"/>
        <v>27.550000000000068</v>
      </c>
      <c r="K24" s="22">
        <f t="shared" si="2"/>
        <v>-17.466699999999946</v>
      </c>
    </row>
    <row r="25" spans="1:11" ht="12.75" x14ac:dyDescent="0.2">
      <c r="A25" s="13">
        <v>45540</v>
      </c>
      <c r="B25" s="14" t="s">
        <v>6</v>
      </c>
      <c r="C25" s="15">
        <v>0.94030000000000002</v>
      </c>
      <c r="D25" s="16" t="s">
        <v>23</v>
      </c>
      <c r="E25" s="17"/>
      <c r="F25" s="17"/>
      <c r="G25" s="18">
        <v>553</v>
      </c>
      <c r="H25" s="19">
        <f t="shared" si="0"/>
        <v>33.014099999999985</v>
      </c>
      <c r="I25" s="20">
        <f t="shared" si="1"/>
        <v>1815.7754999999993</v>
      </c>
      <c r="J25" s="21">
        <f t="shared" si="3"/>
        <v>27.649999999999977</v>
      </c>
      <c r="K25" s="22">
        <f t="shared" si="2"/>
        <v>-5.3641000000000076</v>
      </c>
    </row>
    <row r="26" spans="1:11" ht="12.75" x14ac:dyDescent="0.2">
      <c r="A26" s="13">
        <v>45541</v>
      </c>
      <c r="B26" s="14" t="s">
        <v>7</v>
      </c>
      <c r="C26" s="15">
        <v>0.90659999999999996</v>
      </c>
      <c r="D26" s="16" t="s">
        <v>22</v>
      </c>
      <c r="E26" s="17"/>
      <c r="F26" s="17"/>
      <c r="G26" s="18">
        <v>553</v>
      </c>
      <c r="H26" s="19">
        <f t="shared" si="0"/>
        <v>51.650200000000041</v>
      </c>
      <c r="I26" s="20">
        <f t="shared" si="1"/>
        <v>2840.7610000000022</v>
      </c>
      <c r="J26" s="21">
        <f t="shared" si="3"/>
        <v>27.649999999999977</v>
      </c>
      <c r="K26" s="22">
        <f t="shared" si="2"/>
        <v>-24.000200000000063</v>
      </c>
    </row>
    <row r="27" spans="1:11" ht="12.75" x14ac:dyDescent="0.2">
      <c r="A27" s="13">
        <v>45544</v>
      </c>
      <c r="B27" s="14" t="s">
        <v>3</v>
      </c>
      <c r="C27" s="15">
        <v>0.91969999999999996</v>
      </c>
      <c r="D27" s="16" t="s">
        <v>22</v>
      </c>
      <c r="E27" s="17"/>
      <c r="F27" s="17"/>
      <c r="G27" s="18">
        <v>553</v>
      </c>
      <c r="H27" s="19">
        <f t="shared" si="0"/>
        <v>44.405900000000031</v>
      </c>
      <c r="I27" s="20">
        <f t="shared" si="1"/>
        <v>2442.3245000000015</v>
      </c>
      <c r="J27" s="21">
        <f t="shared" si="3"/>
        <v>27.649999999999977</v>
      </c>
      <c r="K27" s="22">
        <f t="shared" si="2"/>
        <v>-16.755900000000054</v>
      </c>
    </row>
    <row r="28" spans="1:11" ht="12.75" x14ac:dyDescent="0.2">
      <c r="A28" s="13">
        <v>45545</v>
      </c>
      <c r="B28" s="14" t="s">
        <v>4</v>
      </c>
      <c r="C28" s="15">
        <v>0.92730000000000001</v>
      </c>
      <c r="D28" s="16" t="s">
        <v>22</v>
      </c>
      <c r="E28" s="17"/>
      <c r="F28" s="17"/>
      <c r="G28" s="18">
        <v>554</v>
      </c>
      <c r="H28" s="19">
        <f t="shared" si="0"/>
        <v>40.275800000000004</v>
      </c>
      <c r="I28" s="20">
        <f t="shared" si="1"/>
        <v>2215.1690000000003</v>
      </c>
      <c r="J28" s="21">
        <f t="shared" si="3"/>
        <v>27.700000000000045</v>
      </c>
      <c r="K28" s="22">
        <f t="shared" si="2"/>
        <v>-12.575799999999958</v>
      </c>
    </row>
    <row r="29" spans="1:11" ht="12.75" x14ac:dyDescent="0.2">
      <c r="A29" s="13">
        <v>45546</v>
      </c>
      <c r="B29" s="14" t="s">
        <v>5</v>
      </c>
      <c r="C29" s="15">
        <v>0.92069999999999996</v>
      </c>
      <c r="D29" s="16" t="s">
        <v>23</v>
      </c>
      <c r="E29" s="17"/>
      <c r="F29" s="17"/>
      <c r="G29" s="18">
        <v>553</v>
      </c>
      <c r="H29" s="19">
        <f t="shared" si="0"/>
        <v>43.852900000000034</v>
      </c>
      <c r="I29" s="20">
        <f t="shared" si="1"/>
        <v>2411.909500000002</v>
      </c>
      <c r="J29" s="21">
        <f t="shared" si="3"/>
        <v>27.649999999999977</v>
      </c>
      <c r="K29" s="22">
        <f t="shared" si="2"/>
        <v>-16.202900000000056</v>
      </c>
    </row>
    <row r="30" spans="1:11" ht="12.75" x14ac:dyDescent="0.2">
      <c r="A30" s="13">
        <v>45547</v>
      </c>
      <c r="B30" s="14" t="s">
        <v>6</v>
      </c>
      <c r="C30" s="15">
        <v>0.91410000000000002</v>
      </c>
      <c r="D30" s="16" t="s">
        <v>22</v>
      </c>
      <c r="E30" s="17"/>
      <c r="F30" s="17"/>
      <c r="G30" s="18">
        <v>553</v>
      </c>
      <c r="H30" s="19">
        <f t="shared" si="0"/>
        <v>47.502700000000004</v>
      </c>
      <c r="I30" s="20">
        <f t="shared" si="1"/>
        <v>2612.6485000000002</v>
      </c>
      <c r="J30" s="21">
        <f t="shared" si="3"/>
        <v>27.649999999999977</v>
      </c>
      <c r="K30" s="22">
        <f t="shared" si="2"/>
        <v>-19.852700000000027</v>
      </c>
    </row>
    <row r="31" spans="1:11" ht="25.5" x14ac:dyDescent="0.2">
      <c r="A31" s="13">
        <v>45548</v>
      </c>
      <c r="B31" s="14" t="s">
        <v>7</v>
      </c>
      <c r="C31" s="15">
        <v>0.89690000000000003</v>
      </c>
      <c r="D31" s="16" t="s">
        <v>29</v>
      </c>
      <c r="E31" s="17" t="s">
        <v>30</v>
      </c>
      <c r="F31" s="17" t="s">
        <v>31</v>
      </c>
      <c r="G31" s="18">
        <v>554</v>
      </c>
      <c r="H31" s="19">
        <f t="shared" si="0"/>
        <v>57.117399999999975</v>
      </c>
      <c r="I31" s="20">
        <f t="shared" si="1"/>
        <v>3141.4569999999985</v>
      </c>
      <c r="J31" s="21">
        <f t="shared" si="3"/>
        <v>27.700000000000045</v>
      </c>
      <c r="K31" s="22">
        <f t="shared" si="2"/>
        <v>-29.41739999999993</v>
      </c>
    </row>
    <row r="32" spans="1:11" ht="12.75" x14ac:dyDescent="0.2">
      <c r="A32" s="30">
        <v>45551</v>
      </c>
      <c r="B32" s="31" t="s">
        <v>3</v>
      </c>
      <c r="C32" s="32"/>
      <c r="D32" s="33"/>
      <c r="E32" s="34"/>
      <c r="F32" s="34"/>
      <c r="G32" s="35"/>
      <c r="H32" s="19">
        <f t="shared" si="0"/>
        <v>0</v>
      </c>
      <c r="I32" s="20">
        <f t="shared" si="1"/>
        <v>0</v>
      </c>
      <c r="J32" s="21">
        <f t="shared" si="3"/>
        <v>0</v>
      </c>
      <c r="K32" s="22">
        <f t="shared" si="2"/>
        <v>0</v>
      </c>
    </row>
    <row r="33" spans="1:11" ht="12.75" x14ac:dyDescent="0.2">
      <c r="A33" s="13">
        <v>45552</v>
      </c>
      <c r="B33" s="14" t="s">
        <v>4</v>
      </c>
      <c r="C33" s="15">
        <v>0.90010000000000001</v>
      </c>
      <c r="D33" s="16" t="s">
        <v>22</v>
      </c>
      <c r="E33" s="17"/>
      <c r="F33" s="17"/>
      <c r="G33" s="18">
        <v>555</v>
      </c>
      <c r="H33" s="19">
        <f t="shared" si="0"/>
        <v>55.444500000000005</v>
      </c>
      <c r="I33" s="20">
        <f t="shared" si="1"/>
        <v>3049.4475000000002</v>
      </c>
      <c r="J33" s="21">
        <f t="shared" si="3"/>
        <v>27.75</v>
      </c>
      <c r="K33" s="22">
        <f t="shared" si="2"/>
        <v>-27.694500000000005</v>
      </c>
    </row>
    <row r="34" spans="1:11" ht="12.75" x14ac:dyDescent="0.2">
      <c r="A34" s="13">
        <v>45553</v>
      </c>
      <c r="B34" s="14" t="s">
        <v>5</v>
      </c>
      <c r="C34" s="15">
        <v>0.9</v>
      </c>
      <c r="D34" s="16" t="s">
        <v>22</v>
      </c>
      <c r="E34" s="17"/>
      <c r="F34" s="17" t="s">
        <v>32</v>
      </c>
      <c r="G34" s="18">
        <v>555</v>
      </c>
      <c r="H34" s="19">
        <f t="shared" si="0"/>
        <v>55.5</v>
      </c>
      <c r="I34" s="20">
        <f t="shared" si="1"/>
        <v>3052.5</v>
      </c>
      <c r="J34" s="21">
        <f t="shared" si="3"/>
        <v>27.75</v>
      </c>
      <c r="K34" s="22">
        <f t="shared" si="2"/>
        <v>-27.75</v>
      </c>
    </row>
    <row r="35" spans="1:11" ht="12.75" x14ac:dyDescent="0.2">
      <c r="A35" s="13">
        <v>45554</v>
      </c>
      <c r="B35" s="14" t="s">
        <v>6</v>
      </c>
      <c r="C35" s="15">
        <v>0.89580000000000004</v>
      </c>
      <c r="D35" s="16" t="s">
        <v>24</v>
      </c>
      <c r="E35" s="17" t="s">
        <v>30</v>
      </c>
      <c r="F35" s="17" t="s">
        <v>33</v>
      </c>
      <c r="G35" s="18">
        <v>555</v>
      </c>
      <c r="H35" s="19">
        <f t="shared" si="0"/>
        <v>57.83099999999996</v>
      </c>
      <c r="I35" s="20">
        <f t="shared" si="1"/>
        <v>3180.7049999999977</v>
      </c>
      <c r="J35" s="21">
        <f t="shared" si="3"/>
        <v>27.75</v>
      </c>
      <c r="K35" s="22">
        <f t="shared" si="2"/>
        <v>-30.08099999999996</v>
      </c>
    </row>
    <row r="36" spans="1:11" ht="12.75" x14ac:dyDescent="0.2">
      <c r="A36" s="13">
        <v>45555</v>
      </c>
      <c r="B36" s="14" t="s">
        <v>7</v>
      </c>
      <c r="C36" s="15">
        <v>0.89149999999999996</v>
      </c>
      <c r="D36" s="16" t="s">
        <v>24</v>
      </c>
      <c r="E36" s="17" t="s">
        <v>30</v>
      </c>
      <c r="F36" s="17" t="s">
        <v>33</v>
      </c>
      <c r="G36" s="18">
        <v>556</v>
      </c>
      <c r="H36" s="19">
        <f t="shared" si="0"/>
        <v>60.326000000000022</v>
      </c>
      <c r="I36" s="20">
        <f t="shared" si="1"/>
        <v>3317.9300000000012</v>
      </c>
      <c r="J36" s="21">
        <f t="shared" si="3"/>
        <v>27.800000000000068</v>
      </c>
      <c r="K36" s="22">
        <f t="shared" si="2"/>
        <v>-32.525999999999954</v>
      </c>
    </row>
    <row r="37" spans="1:11" ht="12.75" x14ac:dyDescent="0.2">
      <c r="A37" s="13">
        <v>45558</v>
      </c>
      <c r="B37" s="14" t="s">
        <v>3</v>
      </c>
      <c r="C37" s="15">
        <v>0.89149999999999996</v>
      </c>
      <c r="D37" s="16" t="s">
        <v>29</v>
      </c>
      <c r="E37" s="17" t="s">
        <v>30</v>
      </c>
      <c r="F37" s="17" t="s">
        <v>34</v>
      </c>
      <c r="G37" s="18">
        <v>556</v>
      </c>
      <c r="H37" s="19">
        <f t="shared" si="0"/>
        <v>60.326000000000022</v>
      </c>
      <c r="I37" s="20">
        <f t="shared" si="1"/>
        <v>3317.9300000000012</v>
      </c>
      <c r="J37" s="21">
        <f t="shared" si="3"/>
        <v>27.800000000000068</v>
      </c>
      <c r="K37" s="22">
        <f t="shared" si="2"/>
        <v>-32.525999999999954</v>
      </c>
    </row>
    <row r="38" spans="1:11" ht="12.75" x14ac:dyDescent="0.2">
      <c r="A38" s="13">
        <v>45559</v>
      </c>
      <c r="B38" s="14" t="s">
        <v>4</v>
      </c>
      <c r="C38" s="15">
        <v>0.93279999999999996</v>
      </c>
      <c r="D38" s="16" t="s">
        <v>22</v>
      </c>
      <c r="E38" s="17"/>
      <c r="F38" s="17"/>
      <c r="G38" s="18">
        <v>556</v>
      </c>
      <c r="H38" s="19">
        <f t="shared" si="0"/>
        <v>37.363200000000006</v>
      </c>
      <c r="I38" s="20">
        <f t="shared" si="1"/>
        <v>2054.9760000000006</v>
      </c>
      <c r="J38" s="21">
        <f t="shared" si="3"/>
        <v>27.800000000000068</v>
      </c>
      <c r="K38" s="22">
        <f t="shared" si="2"/>
        <v>-9.563199999999938</v>
      </c>
    </row>
    <row r="39" spans="1:11" ht="12.75" x14ac:dyDescent="0.2">
      <c r="A39" s="13">
        <v>45560</v>
      </c>
      <c r="B39" s="14" t="s">
        <v>5</v>
      </c>
      <c r="C39" s="15">
        <v>0.93820000000000003</v>
      </c>
      <c r="D39" s="16" t="s">
        <v>23</v>
      </c>
      <c r="E39" s="17"/>
      <c r="F39" s="17"/>
      <c r="G39" s="18">
        <v>556</v>
      </c>
      <c r="H39" s="19">
        <f t="shared" si="0"/>
        <v>34.360799999999927</v>
      </c>
      <c r="I39" s="20">
        <f t="shared" si="1"/>
        <v>1889.843999999996</v>
      </c>
      <c r="J39" s="21">
        <f t="shared" si="3"/>
        <v>27.800000000000068</v>
      </c>
      <c r="K39" s="22">
        <f t="shared" si="2"/>
        <v>-6.5607999999998583</v>
      </c>
    </row>
    <row r="40" spans="1:11" ht="12.75" x14ac:dyDescent="0.2">
      <c r="A40" s="13">
        <v>45561</v>
      </c>
      <c r="B40" s="14" t="s">
        <v>6</v>
      </c>
      <c r="C40" s="15">
        <v>0.91769999999999996</v>
      </c>
      <c r="D40" s="16" t="s">
        <v>22</v>
      </c>
      <c r="E40" s="17"/>
      <c r="F40" s="17"/>
      <c r="G40" s="18">
        <v>558</v>
      </c>
      <c r="H40" s="19">
        <f t="shared" si="0"/>
        <v>45.923400000000015</v>
      </c>
      <c r="I40" s="20">
        <f t="shared" si="1"/>
        <v>2525.7870000000007</v>
      </c>
      <c r="J40" s="21">
        <f t="shared" si="3"/>
        <v>27.899999999999977</v>
      </c>
      <c r="K40" s="22">
        <f t="shared" si="2"/>
        <v>-18.023400000000038</v>
      </c>
    </row>
    <row r="41" spans="1:11" ht="12.75" x14ac:dyDescent="0.2">
      <c r="A41" s="13">
        <v>45562</v>
      </c>
      <c r="B41" s="14" t="s">
        <v>7</v>
      </c>
      <c r="C41" s="15">
        <v>0.86580000000000001</v>
      </c>
      <c r="D41" s="16" t="s">
        <v>29</v>
      </c>
      <c r="E41" s="17" t="s">
        <v>25</v>
      </c>
      <c r="F41" s="17" t="s">
        <v>32</v>
      </c>
      <c r="G41" s="18">
        <v>557</v>
      </c>
      <c r="H41" s="19">
        <f t="shared" si="0"/>
        <v>74.74939999999998</v>
      </c>
      <c r="I41" s="20">
        <f t="shared" si="1"/>
        <v>4111.2169999999987</v>
      </c>
      <c r="J41" s="21">
        <f t="shared" si="3"/>
        <v>27.850000000000023</v>
      </c>
      <c r="K41" s="22">
        <f t="shared" si="2"/>
        <v>-46.899399999999957</v>
      </c>
    </row>
    <row r="42" spans="1:11" ht="12.75" x14ac:dyDescent="0.2">
      <c r="A42" s="13">
        <v>45565</v>
      </c>
      <c r="B42" s="14" t="s">
        <v>3</v>
      </c>
      <c r="C42" s="15">
        <v>0.91669999999999996</v>
      </c>
      <c r="D42" s="16" t="s">
        <v>22</v>
      </c>
      <c r="E42" s="17"/>
      <c r="F42" s="17"/>
      <c r="G42" s="18">
        <v>558</v>
      </c>
      <c r="H42" s="19">
        <f t="shared" si="0"/>
        <v>46.481400000000008</v>
      </c>
      <c r="I42" s="20">
        <f t="shared" si="1"/>
        <v>2556.4770000000003</v>
      </c>
      <c r="J42" s="21">
        <f t="shared" si="3"/>
        <v>27.899999999999977</v>
      </c>
      <c r="K42" s="22">
        <f t="shared" si="2"/>
        <v>-18.581400000000031</v>
      </c>
    </row>
    <row r="43" spans="1:11" ht="12.75" x14ac:dyDescent="0.2">
      <c r="A43" s="13">
        <v>45566</v>
      </c>
      <c r="B43" s="14" t="s">
        <v>4</v>
      </c>
      <c r="C43" s="15">
        <v>0.93159999999999998</v>
      </c>
      <c r="D43" s="16" t="s">
        <v>22</v>
      </c>
      <c r="E43" s="17"/>
      <c r="F43" s="17"/>
      <c r="G43" s="18">
        <v>559</v>
      </c>
      <c r="H43" s="19">
        <f t="shared" si="0"/>
        <v>38.235599999999977</v>
      </c>
      <c r="I43" s="20">
        <f t="shared" si="1"/>
        <v>2102.9579999999987</v>
      </c>
      <c r="J43" s="21">
        <f t="shared" si="3"/>
        <v>27.950000000000045</v>
      </c>
      <c r="K43" s="22">
        <f t="shared" si="2"/>
        <v>-10.285599999999931</v>
      </c>
    </row>
    <row r="44" spans="1:11" ht="12.75" x14ac:dyDescent="0.2">
      <c r="A44" s="13">
        <v>45567</v>
      </c>
      <c r="B44" s="14" t="s">
        <v>5</v>
      </c>
      <c r="C44" s="15">
        <v>0.93300000000000005</v>
      </c>
      <c r="D44" s="16" t="s">
        <v>22</v>
      </c>
      <c r="E44" s="17"/>
      <c r="F44" s="17"/>
      <c r="G44" s="18">
        <v>559</v>
      </c>
      <c r="H44" s="19">
        <f t="shared" si="0"/>
        <v>37.452999999999975</v>
      </c>
      <c r="I44" s="20">
        <f t="shared" si="1"/>
        <v>2059.9149999999986</v>
      </c>
      <c r="J44" s="21">
        <f t="shared" si="3"/>
        <v>27.950000000000045</v>
      </c>
      <c r="K44" s="22">
        <f t="shared" si="2"/>
        <v>-9.5029999999999291</v>
      </c>
    </row>
    <row r="45" spans="1:11" ht="12.75" x14ac:dyDescent="0.2">
      <c r="A45" s="13">
        <v>45568</v>
      </c>
      <c r="B45" s="14" t="s">
        <v>6</v>
      </c>
      <c r="C45" s="15">
        <v>0.93740000000000001</v>
      </c>
      <c r="D45" s="16" t="s">
        <v>22</v>
      </c>
      <c r="E45" s="17"/>
      <c r="F45" s="17"/>
      <c r="G45" s="18">
        <v>559</v>
      </c>
      <c r="H45" s="19">
        <f t="shared" si="0"/>
        <v>34.993399999999951</v>
      </c>
      <c r="I45" s="20">
        <f t="shared" si="1"/>
        <v>1924.6369999999974</v>
      </c>
      <c r="J45" s="21">
        <f t="shared" si="3"/>
        <v>27.950000000000045</v>
      </c>
      <c r="K45" s="22">
        <f t="shared" si="2"/>
        <v>-7.043399999999906</v>
      </c>
    </row>
    <row r="46" spans="1:11" ht="12.75" x14ac:dyDescent="0.2">
      <c r="A46" s="13">
        <v>45569</v>
      </c>
      <c r="B46" s="14" t="s">
        <v>7</v>
      </c>
      <c r="C46" s="15">
        <v>0.91249999999999998</v>
      </c>
      <c r="D46" s="16" t="s">
        <v>22</v>
      </c>
      <c r="E46" s="17"/>
      <c r="F46" s="17"/>
      <c r="G46" s="18">
        <v>559</v>
      </c>
      <c r="H46" s="19">
        <f t="shared" si="0"/>
        <v>48.912500000000023</v>
      </c>
      <c r="I46" s="20">
        <f t="shared" si="1"/>
        <v>2690.1875000000014</v>
      </c>
      <c r="J46" s="21">
        <f t="shared" si="3"/>
        <v>27.950000000000045</v>
      </c>
      <c r="K46" s="22">
        <f t="shared" si="2"/>
        <v>-20.962499999999977</v>
      </c>
    </row>
    <row r="47" spans="1:11" ht="12.75" x14ac:dyDescent="0.2">
      <c r="A47" s="24">
        <v>45572</v>
      </c>
      <c r="B47" s="25" t="s">
        <v>3</v>
      </c>
      <c r="C47" s="26"/>
      <c r="D47" s="27"/>
      <c r="E47" s="28"/>
      <c r="F47" s="28"/>
      <c r="G47" s="29"/>
      <c r="H47" s="19">
        <f t="shared" si="0"/>
        <v>0</v>
      </c>
      <c r="I47" s="20">
        <f t="shared" si="1"/>
        <v>0</v>
      </c>
      <c r="J47" s="21">
        <f t="shared" si="3"/>
        <v>0</v>
      </c>
      <c r="K47" s="22">
        <f t="shared" si="2"/>
        <v>0</v>
      </c>
    </row>
    <row r="48" spans="1:11" ht="12.75" x14ac:dyDescent="0.2">
      <c r="A48" s="24">
        <v>45573</v>
      </c>
      <c r="B48" s="25" t="s">
        <v>4</v>
      </c>
      <c r="C48" s="26"/>
      <c r="D48" s="27"/>
      <c r="E48" s="28"/>
      <c r="F48" s="28"/>
      <c r="G48" s="29"/>
      <c r="H48" s="19">
        <f t="shared" si="0"/>
        <v>0</v>
      </c>
      <c r="I48" s="20">
        <f t="shared" si="1"/>
        <v>0</v>
      </c>
      <c r="J48" s="21">
        <f t="shared" si="3"/>
        <v>0</v>
      </c>
      <c r="K48" s="22">
        <f t="shared" si="2"/>
        <v>0</v>
      </c>
    </row>
    <row r="49" spans="1:11" ht="12.75" x14ac:dyDescent="0.2">
      <c r="A49" s="24">
        <v>45574</v>
      </c>
      <c r="B49" s="25" t="s">
        <v>5</v>
      </c>
      <c r="C49" s="26"/>
      <c r="D49" s="27"/>
      <c r="E49" s="28"/>
      <c r="F49" s="28"/>
      <c r="G49" s="29"/>
      <c r="H49" s="19">
        <f t="shared" si="0"/>
        <v>0</v>
      </c>
      <c r="I49" s="20">
        <f t="shared" si="1"/>
        <v>0</v>
      </c>
      <c r="J49" s="21">
        <f t="shared" si="3"/>
        <v>0</v>
      </c>
      <c r="K49" s="22">
        <f t="shared" si="2"/>
        <v>0</v>
      </c>
    </row>
    <row r="50" spans="1:11" ht="12.75" x14ac:dyDescent="0.2">
      <c r="A50" s="24">
        <v>45575</v>
      </c>
      <c r="B50" s="25" t="s">
        <v>6</v>
      </c>
      <c r="C50" s="26"/>
      <c r="D50" s="27"/>
      <c r="E50" s="28"/>
      <c r="F50" s="28"/>
      <c r="G50" s="29"/>
      <c r="H50" s="19">
        <f t="shared" si="0"/>
        <v>0</v>
      </c>
      <c r="I50" s="20">
        <f t="shared" si="1"/>
        <v>0</v>
      </c>
      <c r="J50" s="21">
        <f t="shared" si="3"/>
        <v>0</v>
      </c>
      <c r="K50" s="22">
        <f t="shared" si="2"/>
        <v>0</v>
      </c>
    </row>
    <row r="51" spans="1:11" ht="12.75" x14ac:dyDescent="0.2">
      <c r="A51" s="24">
        <v>45576</v>
      </c>
      <c r="B51" s="25" t="s">
        <v>7</v>
      </c>
      <c r="C51" s="26"/>
      <c r="D51" s="27"/>
      <c r="E51" s="28"/>
      <c r="F51" s="28"/>
      <c r="G51" s="29"/>
      <c r="H51" s="19">
        <f t="shared" si="0"/>
        <v>0</v>
      </c>
      <c r="I51" s="20">
        <f t="shared" si="1"/>
        <v>0</v>
      </c>
      <c r="J51" s="21">
        <f t="shared" si="3"/>
        <v>0</v>
      </c>
      <c r="K51" s="22">
        <f t="shared" si="2"/>
        <v>0</v>
      </c>
    </row>
    <row r="52" spans="1:11" ht="12.75" x14ac:dyDescent="0.2">
      <c r="A52" s="13">
        <v>45579</v>
      </c>
      <c r="B52" s="14" t="s">
        <v>3</v>
      </c>
      <c r="C52" s="15">
        <v>0.91930000000000001</v>
      </c>
      <c r="D52" s="16" t="s">
        <v>22</v>
      </c>
      <c r="E52" s="17"/>
      <c r="F52" s="17"/>
      <c r="G52" s="18">
        <v>561</v>
      </c>
      <c r="H52" s="19">
        <f t="shared" si="0"/>
        <v>45.272699999999986</v>
      </c>
      <c r="I52" s="20">
        <f t="shared" si="1"/>
        <v>2489.9984999999992</v>
      </c>
      <c r="J52" s="21">
        <f t="shared" si="3"/>
        <v>28.050000000000068</v>
      </c>
      <c r="K52" s="22">
        <f t="shared" si="2"/>
        <v>-17.222699999999918</v>
      </c>
    </row>
    <row r="53" spans="1:11" ht="12.75" x14ac:dyDescent="0.2">
      <c r="A53" s="13">
        <v>45580</v>
      </c>
      <c r="B53" s="14" t="s">
        <v>4</v>
      </c>
      <c r="C53" s="15">
        <v>0.95799999999999996</v>
      </c>
      <c r="D53" s="16" t="s">
        <v>22</v>
      </c>
      <c r="E53" s="17"/>
      <c r="F53" s="17"/>
      <c r="G53" s="18">
        <v>562</v>
      </c>
      <c r="H53" s="19">
        <f t="shared" si="0"/>
        <v>23.604000000000042</v>
      </c>
      <c r="I53" s="20">
        <f t="shared" si="1"/>
        <v>1298.2200000000023</v>
      </c>
      <c r="J53" s="21">
        <f t="shared" si="3"/>
        <v>28.100000000000023</v>
      </c>
      <c r="K53" s="22">
        <f t="shared" si="2"/>
        <v>4.4959999999999809</v>
      </c>
    </row>
    <row r="54" spans="1:11" ht="12.75" x14ac:dyDescent="0.2">
      <c r="A54" s="13">
        <v>45581</v>
      </c>
      <c r="B54" s="14" t="s">
        <v>5</v>
      </c>
      <c r="C54" s="36">
        <v>0.93740000000000001</v>
      </c>
      <c r="D54" s="16" t="s">
        <v>22</v>
      </c>
      <c r="E54" s="17"/>
      <c r="F54" s="37"/>
      <c r="G54" s="18">
        <v>560</v>
      </c>
      <c r="H54" s="19">
        <f t="shared" si="0"/>
        <v>35.05600000000004</v>
      </c>
      <c r="I54" s="20">
        <f t="shared" si="1"/>
        <v>1928.0800000000022</v>
      </c>
      <c r="J54" s="21">
        <f t="shared" si="3"/>
        <v>28</v>
      </c>
      <c r="K54" s="22">
        <f t="shared" si="2"/>
        <v>-7.05600000000004</v>
      </c>
    </row>
    <row r="55" spans="1:11" ht="12.75" x14ac:dyDescent="0.2">
      <c r="A55" s="13">
        <v>45582</v>
      </c>
      <c r="B55" s="14" t="s">
        <v>6</v>
      </c>
      <c r="C55" s="15">
        <v>0.95569999999999999</v>
      </c>
      <c r="D55" s="16" t="s">
        <v>22</v>
      </c>
      <c r="E55" s="17"/>
      <c r="F55" s="17"/>
      <c r="G55" s="18">
        <v>560</v>
      </c>
      <c r="H55" s="19">
        <f t="shared" si="0"/>
        <v>24.807999999999993</v>
      </c>
      <c r="I55" s="20">
        <f t="shared" si="1"/>
        <v>1364.4399999999996</v>
      </c>
      <c r="J55" s="21">
        <f t="shared" si="3"/>
        <v>28</v>
      </c>
      <c r="K55" s="22">
        <f t="shared" si="2"/>
        <v>3.1920000000000073</v>
      </c>
    </row>
    <row r="56" spans="1:11" ht="12.75" x14ac:dyDescent="0.2">
      <c r="A56" s="13">
        <v>45583</v>
      </c>
      <c r="B56" s="14" t="s">
        <v>7</v>
      </c>
      <c r="C56" s="15">
        <v>0.92110000000000003</v>
      </c>
      <c r="D56" s="16" t="s">
        <v>22</v>
      </c>
      <c r="E56" s="17"/>
      <c r="F56" s="17"/>
      <c r="G56" s="18">
        <v>559</v>
      </c>
      <c r="H56" s="19">
        <f t="shared" si="0"/>
        <v>44.105099999999993</v>
      </c>
      <c r="I56" s="20">
        <f t="shared" si="1"/>
        <v>2425.7804999999998</v>
      </c>
      <c r="J56" s="21">
        <f t="shared" si="3"/>
        <v>27.950000000000045</v>
      </c>
      <c r="K56" s="22">
        <f t="shared" si="2"/>
        <v>-16.155099999999948</v>
      </c>
    </row>
    <row r="57" spans="1:11" ht="12.75" x14ac:dyDescent="0.2">
      <c r="A57" s="13">
        <v>45586</v>
      </c>
      <c r="B57" s="14" t="s">
        <v>3</v>
      </c>
      <c r="C57" s="15">
        <v>0.92800000000000005</v>
      </c>
      <c r="D57" s="16" t="s">
        <v>22</v>
      </c>
      <c r="E57" s="17"/>
      <c r="F57" s="17"/>
      <c r="G57" s="18">
        <v>561</v>
      </c>
      <c r="H57" s="19">
        <f t="shared" si="0"/>
        <v>40.391999999999939</v>
      </c>
      <c r="I57" s="20">
        <f t="shared" si="1"/>
        <v>2221.5599999999968</v>
      </c>
      <c r="J57" s="21">
        <f t="shared" si="3"/>
        <v>28.050000000000068</v>
      </c>
      <c r="K57" s="22">
        <f t="shared" si="2"/>
        <v>-12.341999999999871</v>
      </c>
    </row>
    <row r="58" spans="1:11" ht="12.75" x14ac:dyDescent="0.2">
      <c r="A58" s="13">
        <v>45587</v>
      </c>
      <c r="B58" s="14" t="s">
        <v>4</v>
      </c>
      <c r="C58" s="15">
        <v>0.97309999999999997</v>
      </c>
      <c r="D58" s="16" t="s">
        <v>22</v>
      </c>
      <c r="E58" s="17"/>
      <c r="F58" s="17"/>
      <c r="G58" s="18">
        <v>561</v>
      </c>
      <c r="H58" s="19">
        <f t="shared" si="0"/>
        <v>15.090900000000033</v>
      </c>
      <c r="I58" s="20">
        <f t="shared" si="1"/>
        <v>829.99950000000183</v>
      </c>
      <c r="J58" s="21">
        <f t="shared" si="3"/>
        <v>28.050000000000068</v>
      </c>
      <c r="K58" s="22">
        <f t="shared" si="2"/>
        <v>12.959100000000035</v>
      </c>
    </row>
    <row r="59" spans="1:11" ht="12.75" x14ac:dyDescent="0.2">
      <c r="A59" s="13">
        <v>45588</v>
      </c>
      <c r="B59" s="14" t="s">
        <v>5</v>
      </c>
      <c r="C59" s="15">
        <v>0.95489999999999997</v>
      </c>
      <c r="D59" s="16" t="s">
        <v>22</v>
      </c>
      <c r="E59" s="17"/>
      <c r="F59" s="17"/>
      <c r="G59" s="18">
        <v>562</v>
      </c>
      <c r="H59" s="19">
        <f t="shared" si="0"/>
        <v>25.346200000000067</v>
      </c>
      <c r="I59" s="20">
        <f t="shared" si="1"/>
        <v>1394.0410000000038</v>
      </c>
      <c r="J59" s="21">
        <f t="shared" si="3"/>
        <v>28.100000000000023</v>
      </c>
      <c r="K59" s="22">
        <f t="shared" si="2"/>
        <v>2.7537999999999556</v>
      </c>
    </row>
    <row r="60" spans="1:11" ht="12.75" x14ac:dyDescent="0.2">
      <c r="A60" s="13">
        <v>45589</v>
      </c>
      <c r="B60" s="14" t="s">
        <v>6</v>
      </c>
      <c r="C60" s="15">
        <v>0.94840000000000002</v>
      </c>
      <c r="D60" s="16" t="s">
        <v>22</v>
      </c>
      <c r="E60" s="17"/>
      <c r="F60" s="17"/>
      <c r="G60" s="18">
        <v>562</v>
      </c>
      <c r="H60" s="19">
        <f t="shared" si="0"/>
        <v>28.999199999999973</v>
      </c>
      <c r="I60" s="20">
        <f t="shared" si="1"/>
        <v>1594.9559999999985</v>
      </c>
      <c r="J60" s="21">
        <f t="shared" si="3"/>
        <v>28.100000000000023</v>
      </c>
      <c r="K60" s="22">
        <f t="shared" si="2"/>
        <v>-0.89919999999995071</v>
      </c>
    </row>
    <row r="61" spans="1:11" ht="12.75" x14ac:dyDescent="0.2">
      <c r="A61" s="13">
        <v>45590</v>
      </c>
      <c r="B61" s="14" t="s">
        <v>7</v>
      </c>
      <c r="C61" s="15">
        <v>0.92479999999999996</v>
      </c>
      <c r="D61" s="16" t="s">
        <v>22</v>
      </c>
      <c r="E61" s="17"/>
      <c r="F61" s="17"/>
      <c r="G61" s="18">
        <v>562</v>
      </c>
      <c r="H61" s="19">
        <f t="shared" si="0"/>
        <v>42.262400000000071</v>
      </c>
      <c r="I61" s="20">
        <f t="shared" si="1"/>
        <v>2324.4320000000039</v>
      </c>
      <c r="J61" s="21">
        <f t="shared" si="3"/>
        <v>28.100000000000023</v>
      </c>
      <c r="K61" s="22">
        <f t="shared" si="2"/>
        <v>-14.162400000000048</v>
      </c>
    </row>
    <row r="62" spans="1:11" ht="25.5" x14ac:dyDescent="0.2">
      <c r="A62" s="13">
        <v>45593</v>
      </c>
      <c r="B62" s="14" t="s">
        <v>3</v>
      </c>
      <c r="C62" s="15">
        <v>0.8982</v>
      </c>
      <c r="D62" s="16" t="s">
        <v>29</v>
      </c>
      <c r="E62" s="17" t="s">
        <v>30</v>
      </c>
      <c r="F62" s="17" t="s">
        <v>35</v>
      </c>
      <c r="G62" s="18">
        <v>563</v>
      </c>
      <c r="H62" s="19">
        <f t="shared" si="0"/>
        <v>57.313400000000001</v>
      </c>
      <c r="I62" s="20">
        <f t="shared" si="1"/>
        <v>3152.2370000000001</v>
      </c>
      <c r="J62" s="21">
        <f t="shared" si="3"/>
        <v>28.149999999999977</v>
      </c>
      <c r="K62" s="22">
        <f t="shared" si="2"/>
        <v>-29.163400000000024</v>
      </c>
    </row>
    <row r="63" spans="1:11" ht="12.75" x14ac:dyDescent="0.2">
      <c r="A63" s="13">
        <v>45594</v>
      </c>
      <c r="B63" s="14" t="s">
        <v>4</v>
      </c>
      <c r="C63" s="15">
        <v>0.94520000000000004</v>
      </c>
      <c r="D63" s="16" t="s">
        <v>22</v>
      </c>
      <c r="E63" s="17"/>
      <c r="F63" s="17"/>
      <c r="G63" s="18">
        <v>562</v>
      </c>
      <c r="H63" s="19">
        <f t="shared" si="0"/>
        <v>30.797599999999989</v>
      </c>
      <c r="I63" s="20">
        <f t="shared" si="1"/>
        <v>1693.8679999999995</v>
      </c>
      <c r="J63" s="21">
        <f t="shared" si="3"/>
        <v>28.100000000000023</v>
      </c>
      <c r="K63" s="22">
        <f t="shared" si="2"/>
        <v>-2.6975999999999658</v>
      </c>
    </row>
    <row r="64" spans="1:11" ht="12.75" x14ac:dyDescent="0.2">
      <c r="A64" s="13">
        <v>45595</v>
      </c>
      <c r="B64" s="14" t="s">
        <v>5</v>
      </c>
      <c r="C64" s="15">
        <v>0.94220000000000004</v>
      </c>
      <c r="D64" s="16" t="s">
        <v>22</v>
      </c>
      <c r="E64" s="17"/>
      <c r="F64" s="17"/>
      <c r="G64" s="18">
        <v>564</v>
      </c>
      <c r="H64" s="19">
        <f t="shared" si="0"/>
        <v>32.599199999999996</v>
      </c>
      <c r="I64" s="20">
        <f t="shared" si="1"/>
        <v>1792.9559999999997</v>
      </c>
      <c r="J64" s="21">
        <f t="shared" si="3"/>
        <v>28.200000000000045</v>
      </c>
      <c r="K64" s="22">
        <f t="shared" si="2"/>
        <v>-4.3991999999999507</v>
      </c>
    </row>
    <row r="65" spans="1:11" ht="12.75" x14ac:dyDescent="0.2">
      <c r="A65" s="13">
        <v>45596</v>
      </c>
      <c r="B65" s="14" t="s">
        <v>6</v>
      </c>
      <c r="C65" s="15">
        <v>0.92510000000000003</v>
      </c>
      <c r="D65" s="16" t="s">
        <v>22</v>
      </c>
      <c r="E65" s="17"/>
      <c r="F65" s="17"/>
      <c r="G65" s="18">
        <v>565</v>
      </c>
      <c r="H65" s="19">
        <f t="shared" si="0"/>
        <v>42.318499999999972</v>
      </c>
      <c r="I65" s="20">
        <f t="shared" si="1"/>
        <v>2327.5174999999986</v>
      </c>
      <c r="J65" s="21">
        <f t="shared" si="3"/>
        <v>28.25</v>
      </c>
      <c r="K65" s="22">
        <f t="shared" si="2"/>
        <v>-14.068499999999972</v>
      </c>
    </row>
    <row r="66" spans="1:11" ht="25.5" x14ac:dyDescent="0.2">
      <c r="A66" s="13">
        <v>45597</v>
      </c>
      <c r="B66" s="14" t="s">
        <v>7</v>
      </c>
      <c r="C66" s="15">
        <v>0.8952</v>
      </c>
      <c r="D66" s="16" t="s">
        <v>29</v>
      </c>
      <c r="E66" s="17" t="s">
        <v>30</v>
      </c>
      <c r="F66" s="17" t="s">
        <v>36</v>
      </c>
      <c r="G66" s="18">
        <v>565</v>
      </c>
      <c r="H66" s="19">
        <f t="shared" si="0"/>
        <v>59.211999999999989</v>
      </c>
      <c r="I66" s="20">
        <f t="shared" si="1"/>
        <v>3256.6599999999994</v>
      </c>
      <c r="J66" s="21">
        <f t="shared" si="3"/>
        <v>28.25</v>
      </c>
      <c r="K66" s="22">
        <f t="shared" si="2"/>
        <v>-30.961999999999989</v>
      </c>
    </row>
    <row r="67" spans="1:11" ht="12.75" x14ac:dyDescent="0.2">
      <c r="A67" s="38">
        <v>45600</v>
      </c>
      <c r="B67" s="39" t="s">
        <v>3</v>
      </c>
      <c r="C67" s="40"/>
      <c r="D67" s="41"/>
      <c r="E67" s="42"/>
      <c r="F67" s="42"/>
      <c r="G67" s="43"/>
      <c r="H67" s="19">
        <f t="shared" si="0"/>
        <v>0</v>
      </c>
      <c r="I67" s="20">
        <f t="shared" si="1"/>
        <v>0</v>
      </c>
      <c r="J67" s="21">
        <f t="shared" si="3"/>
        <v>0</v>
      </c>
      <c r="K67" s="22">
        <f t="shared" si="2"/>
        <v>0</v>
      </c>
    </row>
    <row r="68" spans="1:11" ht="12.75" x14ac:dyDescent="0.2">
      <c r="A68" s="30">
        <v>45601</v>
      </c>
      <c r="B68" s="31" t="s">
        <v>4</v>
      </c>
      <c r="C68" s="32"/>
      <c r="D68" s="33"/>
      <c r="E68" s="34"/>
      <c r="F68" s="34"/>
      <c r="G68" s="35"/>
      <c r="H68" s="19">
        <f t="shared" si="0"/>
        <v>0</v>
      </c>
      <c r="I68" s="20">
        <f t="shared" si="1"/>
        <v>0</v>
      </c>
      <c r="J68" s="21">
        <f t="shared" si="3"/>
        <v>0</v>
      </c>
      <c r="K68" s="22">
        <f t="shared" si="2"/>
        <v>0</v>
      </c>
    </row>
    <row r="69" spans="1:11" ht="12.75" x14ac:dyDescent="0.2">
      <c r="A69" s="13">
        <v>45602</v>
      </c>
      <c r="B69" s="14" t="s">
        <v>5</v>
      </c>
      <c r="C69" s="15">
        <v>0.94</v>
      </c>
      <c r="D69" s="16" t="s">
        <v>22</v>
      </c>
      <c r="E69" s="17"/>
      <c r="F69" s="17"/>
      <c r="G69" s="18">
        <v>565</v>
      </c>
      <c r="H69" s="19">
        <f t="shared" si="0"/>
        <v>33.899999999999977</v>
      </c>
      <c r="I69" s="20">
        <f t="shared" si="1"/>
        <v>1864.4999999999986</v>
      </c>
      <c r="J69" s="21">
        <f t="shared" si="3"/>
        <v>28.25</v>
      </c>
      <c r="K69" s="22">
        <f t="shared" si="2"/>
        <v>-5.6499999999999773</v>
      </c>
    </row>
    <row r="70" spans="1:11" ht="12.75" x14ac:dyDescent="0.2">
      <c r="A70" s="13">
        <v>45603</v>
      </c>
      <c r="B70" s="14" t="s">
        <v>6</v>
      </c>
      <c r="C70" s="15">
        <v>0.93259999999999998</v>
      </c>
      <c r="D70" s="23" t="s">
        <v>22</v>
      </c>
      <c r="E70" s="17"/>
      <c r="F70" s="17"/>
      <c r="G70" s="18">
        <v>566</v>
      </c>
      <c r="H70" s="19">
        <f t="shared" si="0"/>
        <v>38.148400000000038</v>
      </c>
      <c r="I70" s="20">
        <f t="shared" si="1"/>
        <v>2098.1620000000021</v>
      </c>
      <c r="J70" s="21">
        <f t="shared" si="3"/>
        <v>28.300000000000068</v>
      </c>
      <c r="K70" s="22">
        <f t="shared" si="2"/>
        <v>-9.8483999999999696</v>
      </c>
    </row>
    <row r="71" spans="1:11" ht="12.75" x14ac:dyDescent="0.2">
      <c r="A71" s="13">
        <v>45604</v>
      </c>
      <c r="B71" s="14" t="s">
        <v>7</v>
      </c>
      <c r="C71" s="15">
        <v>0.93230000000000002</v>
      </c>
      <c r="D71" s="23" t="s">
        <v>22</v>
      </c>
      <c r="E71" s="17"/>
      <c r="F71" s="17"/>
      <c r="G71" s="18">
        <v>563</v>
      </c>
      <c r="H71" s="19">
        <f t="shared" si="0"/>
        <v>38.115099999999984</v>
      </c>
      <c r="I71" s="20">
        <f t="shared" si="1"/>
        <v>2096.3304999999991</v>
      </c>
      <c r="J71" s="21">
        <f t="shared" si="3"/>
        <v>28.149999999999977</v>
      </c>
      <c r="K71" s="22">
        <f t="shared" si="2"/>
        <v>-9.9651000000000067</v>
      </c>
    </row>
    <row r="72" spans="1:11" ht="12.75" x14ac:dyDescent="0.2">
      <c r="A72" s="13">
        <v>45607</v>
      </c>
      <c r="B72" s="14" t="s">
        <v>3</v>
      </c>
      <c r="C72" s="15">
        <v>0.91300000000000003</v>
      </c>
      <c r="D72" s="23" t="s">
        <v>22</v>
      </c>
      <c r="E72" s="17"/>
      <c r="F72" s="17"/>
      <c r="G72" s="18">
        <v>563</v>
      </c>
      <c r="H72" s="19">
        <f t="shared" si="0"/>
        <v>48.980999999999995</v>
      </c>
      <c r="I72" s="20">
        <f t="shared" si="1"/>
        <v>2693.9549999999999</v>
      </c>
      <c r="J72" s="21">
        <f t="shared" si="3"/>
        <v>28.149999999999977</v>
      </c>
      <c r="K72" s="22">
        <f t="shared" si="2"/>
        <v>-20.831000000000017</v>
      </c>
    </row>
    <row r="73" spans="1:11" ht="12.75" x14ac:dyDescent="0.2">
      <c r="A73" s="13">
        <v>45608</v>
      </c>
      <c r="B73" s="14" t="s">
        <v>4</v>
      </c>
      <c r="C73" s="15">
        <v>0.92759999999999998</v>
      </c>
      <c r="D73" s="16" t="s">
        <v>22</v>
      </c>
      <c r="E73" s="17"/>
      <c r="F73" s="17"/>
      <c r="G73" s="18">
        <v>563</v>
      </c>
      <c r="H73" s="19">
        <f t="shared" si="0"/>
        <v>40.761200000000031</v>
      </c>
      <c r="I73" s="20">
        <f t="shared" si="1"/>
        <v>2241.8660000000018</v>
      </c>
      <c r="J73" s="21">
        <f t="shared" si="3"/>
        <v>28.149999999999977</v>
      </c>
      <c r="K73" s="22">
        <f t="shared" si="2"/>
        <v>-12.611200000000053</v>
      </c>
    </row>
    <row r="74" spans="1:11" ht="12.75" x14ac:dyDescent="0.2">
      <c r="A74" s="13">
        <v>45609</v>
      </c>
      <c r="B74" s="14" t="s">
        <v>5</v>
      </c>
      <c r="C74" s="15">
        <v>0.92100000000000004</v>
      </c>
      <c r="D74" s="16" t="s">
        <v>22</v>
      </c>
      <c r="E74" s="17"/>
      <c r="F74" s="17"/>
      <c r="G74" s="18">
        <v>561</v>
      </c>
      <c r="H74" s="19">
        <f t="shared" si="0"/>
        <v>44.31899999999996</v>
      </c>
      <c r="I74" s="20">
        <f t="shared" si="1"/>
        <v>2437.5449999999978</v>
      </c>
      <c r="J74" s="21">
        <f t="shared" si="3"/>
        <v>28.050000000000068</v>
      </c>
      <c r="K74" s="22">
        <f t="shared" si="2"/>
        <v>-16.268999999999892</v>
      </c>
    </row>
    <row r="75" spans="1:11" ht="25.5" x14ac:dyDescent="0.2">
      <c r="A75" s="13">
        <v>45610</v>
      </c>
      <c r="B75" s="14" t="s">
        <v>6</v>
      </c>
      <c r="C75" s="15">
        <v>0.89380000000000004</v>
      </c>
      <c r="D75" s="16" t="s">
        <v>29</v>
      </c>
      <c r="E75" s="17"/>
      <c r="F75" s="17" t="s">
        <v>37</v>
      </c>
      <c r="G75" s="18">
        <v>562</v>
      </c>
      <c r="H75" s="19">
        <f t="shared" si="0"/>
        <v>59.684399999999982</v>
      </c>
      <c r="I75" s="20">
        <f t="shared" si="1"/>
        <v>3282.6419999999989</v>
      </c>
      <c r="J75" s="21">
        <f t="shared" si="3"/>
        <v>28.100000000000023</v>
      </c>
      <c r="K75" s="22">
        <f t="shared" si="2"/>
        <v>-31.58439999999996</v>
      </c>
    </row>
    <row r="76" spans="1:11" ht="12.75" x14ac:dyDescent="0.2">
      <c r="A76" s="13">
        <v>45611</v>
      </c>
      <c r="B76" s="14" t="s">
        <v>7</v>
      </c>
      <c r="C76" s="15">
        <v>0.89170000000000005</v>
      </c>
      <c r="D76" s="16" t="s">
        <v>29</v>
      </c>
      <c r="E76" s="17"/>
      <c r="F76" s="17" t="s">
        <v>38</v>
      </c>
      <c r="G76" s="18">
        <v>562</v>
      </c>
      <c r="H76" s="19">
        <f t="shared" si="0"/>
        <v>60.864599999999996</v>
      </c>
      <c r="I76" s="20">
        <f t="shared" si="1"/>
        <v>3347.5529999999999</v>
      </c>
      <c r="J76" s="21">
        <f t="shared" si="3"/>
        <v>28.100000000000023</v>
      </c>
      <c r="K76" s="22">
        <f t="shared" si="2"/>
        <v>-32.764599999999973</v>
      </c>
    </row>
    <row r="77" spans="1:11" ht="12.75" x14ac:dyDescent="0.2">
      <c r="A77" s="13">
        <v>45614</v>
      </c>
      <c r="B77" s="14" t="s">
        <v>3</v>
      </c>
      <c r="C77" s="15">
        <v>0.90490000000000004</v>
      </c>
      <c r="D77" s="16"/>
      <c r="E77" s="17"/>
      <c r="F77" s="17"/>
      <c r="G77" s="18">
        <v>563</v>
      </c>
      <c r="H77" s="19">
        <f t="shared" si="0"/>
        <v>53.541299999999978</v>
      </c>
      <c r="I77" s="20">
        <f t="shared" si="1"/>
        <v>2944.7714999999989</v>
      </c>
      <c r="J77" s="21">
        <f t="shared" si="3"/>
        <v>28.149999999999977</v>
      </c>
      <c r="K77" s="22">
        <f t="shared" si="2"/>
        <v>-25.391300000000001</v>
      </c>
    </row>
    <row r="78" spans="1:11" ht="12.75" x14ac:dyDescent="0.2">
      <c r="A78" s="13">
        <v>45615</v>
      </c>
      <c r="B78" s="14" t="s">
        <v>4</v>
      </c>
      <c r="C78" s="15">
        <v>0.92849999999999999</v>
      </c>
      <c r="D78" s="16" t="s">
        <v>22</v>
      </c>
      <c r="E78" s="17"/>
      <c r="F78" s="17"/>
      <c r="G78" s="18">
        <v>562</v>
      </c>
      <c r="H78" s="19">
        <f t="shared" si="0"/>
        <v>40.182999999999993</v>
      </c>
      <c r="I78" s="20">
        <f t="shared" si="1"/>
        <v>2210.0649999999996</v>
      </c>
      <c r="J78" s="21">
        <f t="shared" si="3"/>
        <v>28.100000000000023</v>
      </c>
      <c r="K78" s="22">
        <f t="shared" si="2"/>
        <v>-12.08299999999997</v>
      </c>
    </row>
    <row r="79" spans="1:11" ht="12.75" x14ac:dyDescent="0.2">
      <c r="A79" s="13">
        <v>45616</v>
      </c>
      <c r="B79" s="14" t="s">
        <v>5</v>
      </c>
      <c r="C79" s="15">
        <v>0.94689999999999996</v>
      </c>
      <c r="D79" s="16" t="s">
        <v>22</v>
      </c>
      <c r="E79" s="17"/>
      <c r="F79" s="17"/>
      <c r="G79" s="18">
        <v>562</v>
      </c>
      <c r="H79" s="19">
        <f t="shared" si="0"/>
        <v>29.842200000000048</v>
      </c>
      <c r="I79" s="20">
        <f t="shared" si="1"/>
        <v>1641.3210000000026</v>
      </c>
      <c r="J79" s="21">
        <f t="shared" si="3"/>
        <v>28.100000000000023</v>
      </c>
      <c r="K79" s="22">
        <f t="shared" si="2"/>
        <v>-1.7422000000000253</v>
      </c>
    </row>
    <row r="80" spans="1:11" ht="12.75" x14ac:dyDescent="0.2">
      <c r="A80" s="13">
        <v>45617</v>
      </c>
      <c r="B80" s="14" t="s">
        <v>6</v>
      </c>
      <c r="C80" s="15">
        <v>0.93389999999999995</v>
      </c>
      <c r="D80" s="16" t="s">
        <v>22</v>
      </c>
      <c r="E80" s="17"/>
      <c r="F80" s="17"/>
      <c r="G80" s="18">
        <v>562</v>
      </c>
      <c r="H80" s="19">
        <f t="shared" si="0"/>
        <v>37.148199999999974</v>
      </c>
      <c r="I80" s="20">
        <f t="shared" si="1"/>
        <v>2043.1509999999985</v>
      </c>
      <c r="J80" s="21">
        <f t="shared" si="3"/>
        <v>28.100000000000023</v>
      </c>
      <c r="K80" s="22">
        <f t="shared" si="2"/>
        <v>-9.0481999999999516</v>
      </c>
    </row>
    <row r="81" spans="1:11" ht="12.75" x14ac:dyDescent="0.2">
      <c r="A81" s="13">
        <v>45618</v>
      </c>
      <c r="B81" s="14" t="s">
        <v>7</v>
      </c>
      <c r="C81" s="15">
        <v>0.8992</v>
      </c>
      <c r="D81" s="16" t="s">
        <v>29</v>
      </c>
      <c r="E81" s="17"/>
      <c r="F81" s="17"/>
      <c r="G81" s="18">
        <v>562</v>
      </c>
      <c r="H81" s="19">
        <f t="shared" si="0"/>
        <v>56.649600000000021</v>
      </c>
      <c r="I81" s="20">
        <f t="shared" si="1"/>
        <v>3115.728000000001</v>
      </c>
      <c r="J81" s="21">
        <f t="shared" si="3"/>
        <v>28.100000000000023</v>
      </c>
      <c r="K81" s="22">
        <f t="shared" si="2"/>
        <v>-28.549599999999998</v>
      </c>
    </row>
    <row r="82" spans="1:11" ht="12.75" x14ac:dyDescent="0.2">
      <c r="A82" s="30">
        <v>45621</v>
      </c>
      <c r="B82" s="31" t="s">
        <v>3</v>
      </c>
      <c r="C82" s="32"/>
      <c r="D82" s="33"/>
      <c r="E82" s="34"/>
      <c r="F82" s="34"/>
      <c r="G82" s="35"/>
      <c r="H82" s="19">
        <f t="shared" si="0"/>
        <v>0</v>
      </c>
      <c r="I82" s="20">
        <f t="shared" si="1"/>
        <v>0</v>
      </c>
      <c r="J82" s="21">
        <f t="shared" si="3"/>
        <v>0</v>
      </c>
      <c r="K82" s="22">
        <f t="shared" si="2"/>
        <v>0</v>
      </c>
    </row>
    <row r="83" spans="1:11" ht="12.75" x14ac:dyDescent="0.2">
      <c r="A83" s="30">
        <v>45622</v>
      </c>
      <c r="B83" s="31" t="s">
        <v>4</v>
      </c>
      <c r="C83" s="32"/>
      <c r="D83" s="33"/>
      <c r="E83" s="34"/>
      <c r="F83" s="34"/>
      <c r="G83" s="35"/>
      <c r="H83" s="19">
        <f t="shared" si="0"/>
        <v>0</v>
      </c>
      <c r="I83" s="20">
        <f t="shared" si="1"/>
        <v>0</v>
      </c>
      <c r="J83" s="21">
        <f t="shared" si="3"/>
        <v>0</v>
      </c>
      <c r="K83" s="22">
        <f t="shared" si="2"/>
        <v>0</v>
      </c>
    </row>
    <row r="84" spans="1:11" ht="12.75" x14ac:dyDescent="0.2">
      <c r="A84" s="30">
        <v>45623</v>
      </c>
      <c r="B84" s="31" t="s">
        <v>5</v>
      </c>
      <c r="C84" s="32"/>
      <c r="D84" s="33"/>
      <c r="E84" s="34"/>
      <c r="F84" s="34"/>
      <c r="G84" s="35"/>
      <c r="H84" s="19">
        <f t="shared" si="0"/>
        <v>0</v>
      </c>
      <c r="I84" s="20">
        <f t="shared" si="1"/>
        <v>0</v>
      </c>
      <c r="J84" s="21">
        <f t="shared" si="3"/>
        <v>0</v>
      </c>
      <c r="K84" s="22">
        <f t="shared" si="2"/>
        <v>0</v>
      </c>
    </row>
    <row r="85" spans="1:11" ht="12.75" x14ac:dyDescent="0.2">
      <c r="A85" s="30">
        <v>45624</v>
      </c>
      <c r="B85" s="31" t="s">
        <v>6</v>
      </c>
      <c r="C85" s="32"/>
      <c r="D85" s="33"/>
      <c r="E85" s="34"/>
      <c r="F85" s="34"/>
      <c r="G85" s="35"/>
      <c r="H85" s="19">
        <f t="shared" si="0"/>
        <v>0</v>
      </c>
      <c r="I85" s="20">
        <f t="shared" si="1"/>
        <v>0</v>
      </c>
      <c r="J85" s="21">
        <f t="shared" si="3"/>
        <v>0</v>
      </c>
      <c r="K85" s="22">
        <f t="shared" si="2"/>
        <v>0</v>
      </c>
    </row>
    <row r="86" spans="1:11" ht="12.75" x14ac:dyDescent="0.2">
      <c r="A86" s="30">
        <v>45625</v>
      </c>
      <c r="B86" s="31" t="s">
        <v>7</v>
      </c>
      <c r="C86" s="32"/>
      <c r="D86" s="33"/>
      <c r="E86" s="34"/>
      <c r="F86" s="34"/>
      <c r="G86" s="35"/>
      <c r="H86" s="19">
        <f t="shared" si="0"/>
        <v>0</v>
      </c>
      <c r="I86" s="20">
        <f t="shared" si="1"/>
        <v>0</v>
      </c>
      <c r="J86" s="21">
        <f t="shared" si="3"/>
        <v>0</v>
      </c>
      <c r="K86" s="22">
        <f t="shared" si="2"/>
        <v>0</v>
      </c>
    </row>
    <row r="87" spans="1:11" ht="12.75" x14ac:dyDescent="0.2">
      <c r="A87" s="13">
        <v>45628</v>
      </c>
      <c r="B87" s="14" t="s">
        <v>3</v>
      </c>
      <c r="C87" s="15">
        <v>0.91120000000000001</v>
      </c>
      <c r="D87" s="16" t="s">
        <v>22</v>
      </c>
      <c r="E87" s="17"/>
      <c r="F87" s="17"/>
      <c r="G87" s="18">
        <v>562</v>
      </c>
      <c r="H87" s="19">
        <f t="shared" si="0"/>
        <v>49.905600000000049</v>
      </c>
      <c r="I87" s="20">
        <f t="shared" si="1"/>
        <v>2744.8080000000027</v>
      </c>
      <c r="J87" s="21">
        <f t="shared" si="3"/>
        <v>28.100000000000023</v>
      </c>
      <c r="K87" s="22">
        <f t="shared" si="2"/>
        <v>-21.805600000000027</v>
      </c>
    </row>
    <row r="88" spans="1:11" ht="12.75" x14ac:dyDescent="0.2">
      <c r="A88" s="13">
        <v>45629</v>
      </c>
      <c r="B88" s="14" t="s">
        <v>4</v>
      </c>
      <c r="C88" s="15">
        <v>0.94789999999999996</v>
      </c>
      <c r="D88" s="16" t="s">
        <v>22</v>
      </c>
      <c r="E88" s="17"/>
      <c r="F88" s="17"/>
      <c r="G88" s="18">
        <v>561</v>
      </c>
      <c r="H88" s="19">
        <f t="shared" si="0"/>
        <v>29.22810000000004</v>
      </c>
      <c r="I88" s="20">
        <f t="shared" si="1"/>
        <v>1607.5455000000022</v>
      </c>
      <c r="J88" s="21">
        <f t="shared" si="3"/>
        <v>28.050000000000068</v>
      </c>
      <c r="K88" s="22">
        <f t="shared" si="2"/>
        <v>-1.1780999999999722</v>
      </c>
    </row>
    <row r="89" spans="1:11" ht="12.75" x14ac:dyDescent="0.2">
      <c r="A89" s="13">
        <v>45630</v>
      </c>
      <c r="B89" s="14" t="s">
        <v>5</v>
      </c>
      <c r="C89" s="15">
        <v>0.94130000000000003</v>
      </c>
      <c r="D89" s="16" t="s">
        <v>22</v>
      </c>
      <c r="E89" s="17"/>
      <c r="F89" s="17"/>
      <c r="G89" s="18">
        <v>561</v>
      </c>
      <c r="H89" s="19">
        <f t="shared" si="0"/>
        <v>32.930700000000002</v>
      </c>
      <c r="I89" s="20">
        <f t="shared" si="1"/>
        <v>1811.1885000000002</v>
      </c>
      <c r="J89" s="21">
        <f t="shared" si="3"/>
        <v>28.050000000000068</v>
      </c>
      <c r="K89" s="22">
        <f t="shared" si="2"/>
        <v>-4.8806999999999334</v>
      </c>
    </row>
    <row r="90" spans="1:11" ht="12.75" x14ac:dyDescent="0.2">
      <c r="A90" s="13">
        <v>45631</v>
      </c>
      <c r="B90" s="14" t="s">
        <v>6</v>
      </c>
      <c r="C90" s="15">
        <v>0.9304</v>
      </c>
      <c r="D90" s="16" t="s">
        <v>22</v>
      </c>
      <c r="E90" s="17"/>
      <c r="F90" s="17"/>
      <c r="G90" s="18">
        <v>561</v>
      </c>
      <c r="H90" s="19">
        <f t="shared" si="0"/>
        <v>39.045600000000036</v>
      </c>
      <c r="I90" s="20">
        <f t="shared" si="1"/>
        <v>2147.5080000000021</v>
      </c>
      <c r="J90" s="21">
        <f t="shared" si="3"/>
        <v>28.050000000000068</v>
      </c>
      <c r="K90" s="22">
        <f t="shared" si="2"/>
        <v>-10.995599999999968</v>
      </c>
    </row>
    <row r="91" spans="1:11" ht="12.75" x14ac:dyDescent="0.2">
      <c r="A91" s="13">
        <v>45632</v>
      </c>
      <c r="B91" s="14" t="s">
        <v>7</v>
      </c>
      <c r="C91" s="15">
        <v>0.90649999999999997</v>
      </c>
      <c r="D91" s="16" t="s">
        <v>22</v>
      </c>
      <c r="E91" s="17"/>
      <c r="F91" s="17"/>
      <c r="G91" s="18">
        <v>561</v>
      </c>
      <c r="H91" s="19">
        <f t="shared" si="0"/>
        <v>52.45350000000002</v>
      </c>
      <c r="I91" s="20">
        <f t="shared" si="1"/>
        <v>2884.942500000001</v>
      </c>
      <c r="J91" s="21">
        <f t="shared" si="3"/>
        <v>28.050000000000068</v>
      </c>
      <c r="K91" s="22">
        <f t="shared" si="2"/>
        <v>-24.403499999999951</v>
      </c>
    </row>
    <row r="92" spans="1:11" ht="12.75" x14ac:dyDescent="0.2">
      <c r="A92" s="13">
        <v>45635</v>
      </c>
      <c r="B92" s="14" t="s">
        <v>3</v>
      </c>
      <c r="C92" s="15">
        <v>0.92069999999999996</v>
      </c>
      <c r="D92" s="16" t="s">
        <v>22</v>
      </c>
      <c r="E92" s="17"/>
      <c r="F92" s="17"/>
      <c r="G92" s="18">
        <v>561</v>
      </c>
      <c r="H92" s="19">
        <f t="shared" si="0"/>
        <v>44.487300000000005</v>
      </c>
      <c r="I92" s="20">
        <f t="shared" si="1"/>
        <v>2446.8015000000005</v>
      </c>
      <c r="J92" s="21">
        <f t="shared" si="3"/>
        <v>28.050000000000068</v>
      </c>
      <c r="K92" s="22">
        <f t="shared" si="2"/>
        <v>-16.437299999999937</v>
      </c>
    </row>
    <row r="93" spans="1:11" ht="12.75" x14ac:dyDescent="0.2">
      <c r="A93" s="13">
        <v>45636</v>
      </c>
      <c r="B93" s="14" t="s">
        <v>4</v>
      </c>
      <c r="C93" s="15">
        <v>0.92169999999999996</v>
      </c>
      <c r="D93" s="16" t="s">
        <v>22</v>
      </c>
      <c r="E93" s="17"/>
      <c r="F93" s="17"/>
      <c r="G93" s="18">
        <v>561</v>
      </c>
      <c r="H93" s="19">
        <f t="shared" si="0"/>
        <v>43.926299999999969</v>
      </c>
      <c r="I93" s="20">
        <f t="shared" si="1"/>
        <v>2415.9464999999982</v>
      </c>
      <c r="J93" s="21">
        <f t="shared" si="3"/>
        <v>28.050000000000068</v>
      </c>
      <c r="K93" s="22">
        <f t="shared" si="2"/>
        <v>-15.876299999999901</v>
      </c>
    </row>
    <row r="94" spans="1:11" ht="12.75" x14ac:dyDescent="0.2">
      <c r="A94" s="13">
        <v>45637</v>
      </c>
      <c r="B94" s="14" t="s">
        <v>5</v>
      </c>
      <c r="C94" s="15">
        <v>0.92610000000000003</v>
      </c>
      <c r="D94" s="16" t="s">
        <v>22</v>
      </c>
      <c r="E94" s="17"/>
      <c r="F94" s="17"/>
      <c r="G94" s="18">
        <v>561</v>
      </c>
      <c r="H94" s="19">
        <f t="shared" si="0"/>
        <v>41.457899999999995</v>
      </c>
      <c r="I94" s="20">
        <f t="shared" si="1"/>
        <v>2280.1844999999998</v>
      </c>
      <c r="J94" s="21">
        <f t="shared" si="3"/>
        <v>28.050000000000068</v>
      </c>
      <c r="K94" s="22">
        <f t="shared" si="2"/>
        <v>-13.407899999999927</v>
      </c>
    </row>
    <row r="95" spans="1:11" ht="12.75" x14ac:dyDescent="0.2">
      <c r="A95" s="13">
        <v>45638</v>
      </c>
      <c r="B95" s="14" t="s">
        <v>6</v>
      </c>
      <c r="C95" s="15">
        <v>0.93700000000000006</v>
      </c>
      <c r="D95" s="16" t="s">
        <v>22</v>
      </c>
      <c r="E95" s="17"/>
      <c r="F95" s="17"/>
      <c r="G95" s="18">
        <v>561</v>
      </c>
      <c r="H95" s="19">
        <f t="shared" si="0"/>
        <v>35.342999999999961</v>
      </c>
      <c r="I95" s="20">
        <f t="shared" si="1"/>
        <v>1943.864999999998</v>
      </c>
      <c r="J95" s="21">
        <f t="shared" si="3"/>
        <v>28.050000000000068</v>
      </c>
      <c r="K95" s="22">
        <f t="shared" si="2"/>
        <v>-7.2929999999998927</v>
      </c>
    </row>
    <row r="96" spans="1:11" ht="38.25" x14ac:dyDescent="0.2">
      <c r="A96" s="13">
        <v>45639</v>
      </c>
      <c r="B96" s="14" t="s">
        <v>7</v>
      </c>
      <c r="C96" s="15">
        <v>0.89239999999999997</v>
      </c>
      <c r="D96" s="16" t="s">
        <v>29</v>
      </c>
      <c r="E96" s="17" t="s">
        <v>25</v>
      </c>
      <c r="F96" s="17" t="s">
        <v>39</v>
      </c>
      <c r="G96" s="18">
        <v>561</v>
      </c>
      <c r="H96" s="19">
        <f t="shared" si="0"/>
        <v>60.363600000000019</v>
      </c>
      <c r="I96" s="20">
        <f t="shared" si="1"/>
        <v>3319.998000000001</v>
      </c>
      <c r="J96" s="21">
        <f t="shared" si="3"/>
        <v>28.050000000000068</v>
      </c>
      <c r="K96" s="22">
        <f t="shared" si="2"/>
        <v>-32.313599999999951</v>
      </c>
    </row>
    <row r="97" spans="1:11" ht="12.75" x14ac:dyDescent="0.2">
      <c r="A97" s="13">
        <v>45642</v>
      </c>
      <c r="B97" s="14" t="s">
        <v>3</v>
      </c>
      <c r="C97" s="15">
        <v>0.87960000000000005</v>
      </c>
      <c r="D97" s="16" t="s">
        <v>29</v>
      </c>
      <c r="E97" s="17" t="s">
        <v>25</v>
      </c>
      <c r="F97" s="17" t="s">
        <v>40</v>
      </c>
      <c r="G97" s="18">
        <v>563</v>
      </c>
      <c r="H97" s="19">
        <f t="shared" si="0"/>
        <v>67.785199999999975</v>
      </c>
      <c r="I97" s="20">
        <f t="shared" si="1"/>
        <v>3728.1859999999988</v>
      </c>
      <c r="J97" s="21">
        <f t="shared" si="3"/>
        <v>28.149999999999977</v>
      </c>
      <c r="K97" s="22">
        <f t="shared" si="2"/>
        <v>-39.635199999999998</v>
      </c>
    </row>
    <row r="98" spans="1:11" ht="12.75" x14ac:dyDescent="0.2">
      <c r="A98" s="13">
        <v>45643</v>
      </c>
      <c r="B98" s="14" t="s">
        <v>4</v>
      </c>
      <c r="C98" s="15">
        <v>0.91</v>
      </c>
      <c r="D98" s="16" t="s">
        <v>22</v>
      </c>
      <c r="E98" s="17"/>
      <c r="F98" s="17"/>
      <c r="G98" s="18">
        <v>563</v>
      </c>
      <c r="H98" s="19">
        <f t="shared" si="0"/>
        <v>50.669999999999959</v>
      </c>
      <c r="I98" s="20">
        <f t="shared" si="1"/>
        <v>2786.8499999999976</v>
      </c>
      <c r="J98" s="21">
        <f t="shared" si="3"/>
        <v>28.149999999999977</v>
      </c>
      <c r="K98" s="22">
        <f t="shared" si="2"/>
        <v>-22.519999999999982</v>
      </c>
    </row>
    <row r="99" spans="1:11" ht="12.75" x14ac:dyDescent="0.2">
      <c r="A99" s="13">
        <v>45644</v>
      </c>
      <c r="B99" s="14" t="s">
        <v>5</v>
      </c>
      <c r="C99" s="15">
        <v>0.93720000000000003</v>
      </c>
      <c r="D99" s="16" t="s">
        <v>22</v>
      </c>
      <c r="E99" s="17"/>
      <c r="F99" s="17"/>
      <c r="G99" s="18">
        <v>564</v>
      </c>
      <c r="H99" s="19">
        <f t="shared" si="0"/>
        <v>35.419199999999933</v>
      </c>
      <c r="I99" s="20">
        <f t="shared" si="1"/>
        <v>1948.0559999999964</v>
      </c>
      <c r="J99" s="21">
        <f t="shared" si="3"/>
        <v>28.200000000000045</v>
      </c>
      <c r="K99" s="22">
        <f t="shared" si="2"/>
        <v>-7.219199999999887</v>
      </c>
    </row>
    <row r="100" spans="1:11" ht="12.75" x14ac:dyDescent="0.2">
      <c r="A100" s="13">
        <v>45645</v>
      </c>
      <c r="B100" s="14" t="s">
        <v>6</v>
      </c>
      <c r="C100" s="15">
        <v>0.95020000000000004</v>
      </c>
      <c r="D100" s="16" t="s">
        <v>22</v>
      </c>
      <c r="E100" s="17"/>
      <c r="F100" s="17" t="s">
        <v>41</v>
      </c>
      <c r="G100" s="18">
        <v>564</v>
      </c>
      <c r="H100" s="19">
        <f t="shared" si="0"/>
        <v>28.087199999999939</v>
      </c>
      <c r="I100" s="20">
        <f t="shared" si="1"/>
        <v>1544.7959999999966</v>
      </c>
      <c r="J100" s="21">
        <f t="shared" si="3"/>
        <v>28.200000000000045</v>
      </c>
      <c r="K100" s="22">
        <f t="shared" si="2"/>
        <v>0.11280000000010659</v>
      </c>
    </row>
    <row r="101" spans="1:11" ht="38.25" x14ac:dyDescent="0.2">
      <c r="A101" s="13">
        <v>45646</v>
      </c>
      <c r="B101" s="14" t="s">
        <v>7</v>
      </c>
      <c r="C101" s="15">
        <v>0.67320000000000002</v>
      </c>
      <c r="D101" s="16" t="s">
        <v>24</v>
      </c>
      <c r="E101" s="17"/>
      <c r="F101" s="17" t="s">
        <v>42</v>
      </c>
      <c r="G101" s="18">
        <v>564</v>
      </c>
      <c r="H101" s="19">
        <f t="shared" si="0"/>
        <v>184.3152</v>
      </c>
      <c r="I101" s="20">
        <f t="shared" si="1"/>
        <v>10137.335999999999</v>
      </c>
      <c r="J101" s="21">
        <f t="shared" si="3"/>
        <v>28.200000000000045</v>
      </c>
      <c r="K101" s="22">
        <f t="shared" si="2"/>
        <v>-156.11519999999996</v>
      </c>
    </row>
    <row r="102" spans="1:11" ht="12.75" x14ac:dyDescent="0.2">
      <c r="A102" s="24">
        <v>45649</v>
      </c>
      <c r="B102" s="25" t="s">
        <v>3</v>
      </c>
      <c r="C102" s="26"/>
      <c r="D102" s="27"/>
      <c r="E102" s="28"/>
      <c r="F102" s="28"/>
      <c r="G102" s="29"/>
      <c r="H102" s="19">
        <f t="shared" si="0"/>
        <v>0</v>
      </c>
      <c r="I102" s="20">
        <f t="shared" si="1"/>
        <v>0</v>
      </c>
      <c r="J102" s="21">
        <f t="shared" si="3"/>
        <v>0</v>
      </c>
      <c r="K102" s="22">
        <f t="shared" si="2"/>
        <v>0</v>
      </c>
    </row>
    <row r="103" spans="1:11" ht="12.75" x14ac:dyDescent="0.2">
      <c r="A103" s="24">
        <v>45650</v>
      </c>
      <c r="B103" s="25" t="s">
        <v>4</v>
      </c>
      <c r="C103" s="26"/>
      <c r="D103" s="27"/>
      <c r="E103" s="28"/>
      <c r="F103" s="28"/>
      <c r="G103" s="29"/>
      <c r="H103" s="19">
        <f t="shared" si="0"/>
        <v>0</v>
      </c>
      <c r="I103" s="20">
        <f t="shared" si="1"/>
        <v>0</v>
      </c>
      <c r="J103" s="21">
        <f t="shared" si="3"/>
        <v>0</v>
      </c>
      <c r="K103" s="22">
        <f t="shared" si="2"/>
        <v>0</v>
      </c>
    </row>
    <row r="104" spans="1:11" ht="12.75" x14ac:dyDescent="0.2">
      <c r="A104" s="24">
        <v>45651</v>
      </c>
      <c r="B104" s="25" t="s">
        <v>5</v>
      </c>
      <c r="C104" s="26"/>
      <c r="D104" s="27"/>
      <c r="E104" s="28"/>
      <c r="F104" s="28"/>
      <c r="G104" s="29"/>
      <c r="H104" s="19">
        <f t="shared" si="0"/>
        <v>0</v>
      </c>
      <c r="I104" s="20">
        <f t="shared" si="1"/>
        <v>0</v>
      </c>
      <c r="J104" s="21">
        <f t="shared" si="3"/>
        <v>0</v>
      </c>
      <c r="K104" s="22">
        <f t="shared" si="2"/>
        <v>0</v>
      </c>
    </row>
    <row r="105" spans="1:11" ht="12.75" x14ac:dyDescent="0.2">
      <c r="A105" s="24">
        <v>45652</v>
      </c>
      <c r="B105" s="25" t="s">
        <v>6</v>
      </c>
      <c r="C105" s="26"/>
      <c r="D105" s="27"/>
      <c r="E105" s="28"/>
      <c r="F105" s="28"/>
      <c r="G105" s="29"/>
      <c r="H105" s="19">
        <f t="shared" si="0"/>
        <v>0</v>
      </c>
      <c r="I105" s="20">
        <f t="shared" si="1"/>
        <v>0</v>
      </c>
      <c r="J105" s="21">
        <f t="shared" si="3"/>
        <v>0</v>
      </c>
      <c r="K105" s="22">
        <f t="shared" si="2"/>
        <v>0</v>
      </c>
    </row>
    <row r="106" spans="1:11" ht="12.75" x14ac:dyDescent="0.2">
      <c r="A106" s="24">
        <v>45653</v>
      </c>
      <c r="B106" s="25" t="s">
        <v>7</v>
      </c>
      <c r="C106" s="26"/>
      <c r="D106" s="27"/>
      <c r="E106" s="28"/>
      <c r="F106" s="28"/>
      <c r="G106" s="29"/>
      <c r="H106" s="19">
        <f t="shared" si="0"/>
        <v>0</v>
      </c>
      <c r="I106" s="20">
        <f t="shared" si="1"/>
        <v>0</v>
      </c>
      <c r="J106" s="21">
        <f t="shared" si="3"/>
        <v>0</v>
      </c>
      <c r="K106" s="22">
        <f t="shared" si="2"/>
        <v>0</v>
      </c>
    </row>
    <row r="107" spans="1:11" ht="12.75" x14ac:dyDescent="0.2">
      <c r="A107" s="24">
        <v>45656</v>
      </c>
      <c r="B107" s="25" t="s">
        <v>3</v>
      </c>
      <c r="C107" s="26"/>
      <c r="D107" s="27"/>
      <c r="E107" s="28"/>
      <c r="F107" s="28"/>
      <c r="G107" s="29"/>
      <c r="H107" s="19">
        <f t="shared" si="0"/>
        <v>0</v>
      </c>
      <c r="I107" s="20">
        <f t="shared" si="1"/>
        <v>0</v>
      </c>
      <c r="J107" s="21">
        <f t="shared" si="3"/>
        <v>0</v>
      </c>
      <c r="K107" s="22">
        <f t="shared" si="2"/>
        <v>0</v>
      </c>
    </row>
    <row r="108" spans="1:11" ht="12.75" x14ac:dyDescent="0.2">
      <c r="A108" s="24">
        <v>45657</v>
      </c>
      <c r="B108" s="25" t="s">
        <v>4</v>
      </c>
      <c r="C108" s="26"/>
      <c r="D108" s="27"/>
      <c r="E108" s="28"/>
      <c r="F108" s="28"/>
      <c r="G108" s="29"/>
      <c r="H108" s="19">
        <f t="shared" si="0"/>
        <v>0</v>
      </c>
      <c r="I108" s="20">
        <f t="shared" si="1"/>
        <v>0</v>
      </c>
      <c r="J108" s="21">
        <f t="shared" si="3"/>
        <v>0</v>
      </c>
      <c r="K108" s="22">
        <f t="shared" si="2"/>
        <v>0</v>
      </c>
    </row>
    <row r="109" spans="1:11" ht="12.75" x14ac:dyDescent="0.2">
      <c r="A109" s="24">
        <v>45658</v>
      </c>
      <c r="B109" s="25" t="s">
        <v>5</v>
      </c>
      <c r="C109" s="26"/>
      <c r="D109" s="27"/>
      <c r="E109" s="28"/>
      <c r="F109" s="28"/>
      <c r="G109" s="29"/>
      <c r="H109" s="19">
        <f t="shared" si="0"/>
        <v>0</v>
      </c>
      <c r="I109" s="20">
        <f t="shared" si="1"/>
        <v>0</v>
      </c>
      <c r="J109" s="21">
        <f t="shared" si="3"/>
        <v>0</v>
      </c>
      <c r="K109" s="22">
        <f t="shared" si="2"/>
        <v>0</v>
      </c>
    </row>
    <row r="110" spans="1:11" ht="12.75" x14ac:dyDescent="0.2">
      <c r="A110" s="24">
        <v>45659</v>
      </c>
      <c r="B110" s="25" t="s">
        <v>6</v>
      </c>
      <c r="C110" s="26"/>
      <c r="D110" s="27"/>
      <c r="E110" s="28"/>
      <c r="F110" s="28"/>
      <c r="G110" s="29"/>
      <c r="H110" s="19">
        <f t="shared" si="0"/>
        <v>0</v>
      </c>
      <c r="I110" s="20">
        <f t="shared" si="1"/>
        <v>0</v>
      </c>
      <c r="J110" s="21">
        <f t="shared" si="3"/>
        <v>0</v>
      </c>
      <c r="K110" s="22">
        <f t="shared" si="2"/>
        <v>0</v>
      </c>
    </row>
    <row r="111" spans="1:11" ht="12.75" x14ac:dyDescent="0.2">
      <c r="A111" s="24">
        <v>45660</v>
      </c>
      <c r="B111" s="25" t="s">
        <v>7</v>
      </c>
      <c r="C111" s="26"/>
      <c r="D111" s="27"/>
      <c r="E111" s="28"/>
      <c r="F111" s="28"/>
      <c r="G111" s="29"/>
      <c r="H111" s="19">
        <f t="shared" si="0"/>
        <v>0</v>
      </c>
      <c r="I111" s="20">
        <f t="shared" si="1"/>
        <v>0</v>
      </c>
      <c r="J111" s="21">
        <f t="shared" si="3"/>
        <v>0</v>
      </c>
      <c r="K111" s="22">
        <f t="shared" si="2"/>
        <v>0</v>
      </c>
    </row>
    <row r="112" spans="1:11" ht="12.75" x14ac:dyDescent="0.2">
      <c r="A112" s="30">
        <v>45663</v>
      </c>
      <c r="B112" s="31" t="s">
        <v>3</v>
      </c>
      <c r="C112" s="32"/>
      <c r="D112" s="33"/>
      <c r="E112" s="34"/>
      <c r="F112" s="34"/>
      <c r="G112" s="35"/>
      <c r="H112" s="19">
        <f t="shared" si="0"/>
        <v>0</v>
      </c>
      <c r="I112" s="20">
        <f t="shared" si="1"/>
        <v>0</v>
      </c>
      <c r="J112" s="21">
        <f t="shared" si="3"/>
        <v>0</v>
      </c>
      <c r="K112" s="22">
        <f t="shared" si="2"/>
        <v>0</v>
      </c>
    </row>
    <row r="113" spans="1:11" ht="12.75" x14ac:dyDescent="0.2">
      <c r="A113" s="30">
        <v>45664</v>
      </c>
      <c r="B113" s="31" t="s">
        <v>4</v>
      </c>
      <c r="C113" s="32"/>
      <c r="D113" s="33"/>
      <c r="E113" s="34"/>
      <c r="F113" s="34"/>
      <c r="G113" s="35"/>
      <c r="H113" s="19">
        <f t="shared" si="0"/>
        <v>0</v>
      </c>
      <c r="I113" s="20">
        <f t="shared" si="1"/>
        <v>0</v>
      </c>
      <c r="J113" s="21">
        <f t="shared" si="3"/>
        <v>0</v>
      </c>
      <c r="K113" s="22">
        <f t="shared" si="2"/>
        <v>0</v>
      </c>
    </row>
    <row r="114" spans="1:11" ht="12.75" x14ac:dyDescent="0.2">
      <c r="A114" s="13">
        <v>45665</v>
      </c>
      <c r="B114" s="14" t="s">
        <v>5</v>
      </c>
      <c r="C114" s="15">
        <v>0.89800000000000002</v>
      </c>
      <c r="D114" s="16" t="s">
        <v>29</v>
      </c>
      <c r="E114" s="17" t="s">
        <v>43</v>
      </c>
      <c r="F114" s="17" t="s">
        <v>44</v>
      </c>
      <c r="G114" s="18">
        <v>561</v>
      </c>
      <c r="H114" s="19">
        <f t="shared" si="0"/>
        <v>57.22199999999998</v>
      </c>
      <c r="I114" s="20">
        <f t="shared" si="1"/>
        <v>3147.2099999999991</v>
      </c>
      <c r="J114" s="21">
        <f t="shared" si="3"/>
        <v>28.050000000000068</v>
      </c>
      <c r="K114" s="22">
        <f t="shared" si="2"/>
        <v>-29.171999999999912</v>
      </c>
    </row>
    <row r="115" spans="1:11" ht="12.75" x14ac:dyDescent="0.2">
      <c r="A115" s="13">
        <v>45666</v>
      </c>
      <c r="B115" s="14" t="s">
        <v>6</v>
      </c>
      <c r="C115" s="15">
        <v>0.91339999999999999</v>
      </c>
      <c r="D115" s="16"/>
      <c r="E115" s="17"/>
      <c r="F115" s="17"/>
      <c r="G115" s="18">
        <v>559</v>
      </c>
      <c r="H115" s="19">
        <f t="shared" si="0"/>
        <v>48.409400000000005</v>
      </c>
      <c r="I115" s="20">
        <f t="shared" si="1"/>
        <v>2662.5170000000003</v>
      </c>
      <c r="J115" s="21">
        <f t="shared" si="3"/>
        <v>27.950000000000045</v>
      </c>
      <c r="K115" s="22">
        <f t="shared" si="2"/>
        <v>-20.45939999999996</v>
      </c>
    </row>
    <row r="116" spans="1:11" ht="12.75" x14ac:dyDescent="0.2">
      <c r="A116" s="13">
        <v>45667</v>
      </c>
      <c r="B116" s="14" t="s">
        <v>7</v>
      </c>
      <c r="C116" s="15">
        <v>0.88460000000000005</v>
      </c>
      <c r="D116" s="16" t="s">
        <v>29</v>
      </c>
      <c r="E116" s="17" t="s">
        <v>43</v>
      </c>
      <c r="F116" s="17" t="s">
        <v>45</v>
      </c>
      <c r="G116" s="18">
        <v>559</v>
      </c>
      <c r="H116" s="19">
        <f t="shared" si="0"/>
        <v>64.508599999999944</v>
      </c>
      <c r="I116" s="20">
        <f t="shared" si="1"/>
        <v>3547.9729999999968</v>
      </c>
      <c r="J116" s="21">
        <f t="shared" si="3"/>
        <v>27.950000000000045</v>
      </c>
      <c r="K116" s="22">
        <f t="shared" si="2"/>
        <v>-36.558599999999899</v>
      </c>
    </row>
    <row r="117" spans="1:11" ht="12.75" x14ac:dyDescent="0.2">
      <c r="A117" s="13">
        <v>45670</v>
      </c>
      <c r="B117" s="14" t="s">
        <v>3</v>
      </c>
      <c r="C117" s="15">
        <v>0.92320000000000002</v>
      </c>
      <c r="D117" s="16" t="s">
        <v>22</v>
      </c>
      <c r="E117" s="17"/>
      <c r="F117" s="17"/>
      <c r="G117" s="18">
        <v>559</v>
      </c>
      <c r="H117" s="19">
        <f t="shared" si="0"/>
        <v>42.93119999999999</v>
      </c>
      <c r="I117" s="20">
        <f t="shared" si="1"/>
        <v>2361.2159999999994</v>
      </c>
      <c r="J117" s="21">
        <f t="shared" si="3"/>
        <v>27.950000000000045</v>
      </c>
      <c r="K117" s="22">
        <f t="shared" si="2"/>
        <v>-14.981199999999944</v>
      </c>
    </row>
    <row r="118" spans="1:11" ht="12.75" x14ac:dyDescent="0.2">
      <c r="A118" s="13">
        <v>45671</v>
      </c>
      <c r="B118" s="14" t="s">
        <v>4</v>
      </c>
      <c r="C118" s="15">
        <v>0.93220000000000003</v>
      </c>
      <c r="D118" s="16" t="s">
        <v>22</v>
      </c>
      <c r="E118" s="17"/>
      <c r="F118" s="17"/>
      <c r="G118" s="18">
        <v>561</v>
      </c>
      <c r="H118" s="19">
        <f t="shared" si="0"/>
        <v>38.035799999999995</v>
      </c>
      <c r="I118" s="20">
        <f t="shared" si="1"/>
        <v>2091.9689999999996</v>
      </c>
      <c r="J118" s="21">
        <f t="shared" si="3"/>
        <v>28.050000000000068</v>
      </c>
      <c r="K118" s="22">
        <f t="shared" si="2"/>
        <v>-9.9857999999999265</v>
      </c>
    </row>
    <row r="119" spans="1:11" ht="12.75" x14ac:dyDescent="0.2">
      <c r="A119" s="13">
        <v>45672</v>
      </c>
      <c r="B119" s="14" t="s">
        <v>5</v>
      </c>
      <c r="C119" s="15">
        <v>0.93110000000000004</v>
      </c>
      <c r="D119" s="16" t="s">
        <v>22</v>
      </c>
      <c r="E119" s="17"/>
      <c r="F119" s="17"/>
      <c r="G119" s="18">
        <v>561</v>
      </c>
      <c r="H119" s="19">
        <f t="shared" si="0"/>
        <v>38.652899999999931</v>
      </c>
      <c r="I119" s="20">
        <f t="shared" si="1"/>
        <v>2125.9094999999961</v>
      </c>
      <c r="J119" s="21">
        <f t="shared" si="3"/>
        <v>28.050000000000068</v>
      </c>
      <c r="K119" s="22">
        <f t="shared" si="2"/>
        <v>-10.602899999999863</v>
      </c>
    </row>
    <row r="120" spans="1:11" ht="12.75" x14ac:dyDescent="0.2">
      <c r="A120" s="13">
        <v>45673</v>
      </c>
      <c r="B120" s="14" t="s">
        <v>6</v>
      </c>
      <c r="C120" s="15">
        <v>0.93540000000000001</v>
      </c>
      <c r="D120" s="16" t="s">
        <v>22</v>
      </c>
      <c r="E120" s="17"/>
      <c r="F120" s="17"/>
      <c r="G120" s="18">
        <v>560</v>
      </c>
      <c r="H120" s="19">
        <f t="shared" si="0"/>
        <v>36.176000000000045</v>
      </c>
      <c r="I120" s="20">
        <f t="shared" si="1"/>
        <v>1989.6800000000026</v>
      </c>
      <c r="J120" s="21">
        <f t="shared" si="3"/>
        <v>28</v>
      </c>
      <c r="K120" s="22">
        <f t="shared" si="2"/>
        <v>-8.1760000000000446</v>
      </c>
    </row>
    <row r="121" spans="1:11" ht="12.75" x14ac:dyDescent="0.2">
      <c r="A121" s="13">
        <v>45674</v>
      </c>
      <c r="B121" s="14" t="s">
        <v>7</v>
      </c>
      <c r="C121" s="15">
        <v>0.91569999999999996</v>
      </c>
      <c r="D121" s="16" t="s">
        <v>22</v>
      </c>
      <c r="E121" s="17"/>
      <c r="F121" s="17"/>
      <c r="G121" s="18">
        <v>560</v>
      </c>
      <c r="H121" s="19">
        <f t="shared" si="0"/>
        <v>47.20799999999997</v>
      </c>
      <c r="I121" s="20">
        <f t="shared" si="1"/>
        <v>2596.4399999999982</v>
      </c>
      <c r="J121" s="21">
        <f t="shared" si="3"/>
        <v>28</v>
      </c>
      <c r="K121" s="22">
        <f t="shared" si="2"/>
        <v>-19.20799999999997</v>
      </c>
    </row>
    <row r="122" spans="1:11" ht="12.75" x14ac:dyDescent="0.2">
      <c r="A122" s="24">
        <v>45677</v>
      </c>
      <c r="B122" s="25" t="s">
        <v>3</v>
      </c>
      <c r="C122" s="26"/>
      <c r="D122" s="27"/>
      <c r="E122" s="28"/>
      <c r="F122" s="28"/>
      <c r="G122" s="29"/>
      <c r="H122" s="19">
        <f t="shared" si="0"/>
        <v>0</v>
      </c>
      <c r="I122" s="20">
        <f t="shared" si="1"/>
        <v>0</v>
      </c>
      <c r="J122" s="21">
        <f t="shared" si="3"/>
        <v>0</v>
      </c>
      <c r="K122" s="22">
        <f t="shared" si="2"/>
        <v>0</v>
      </c>
    </row>
    <row r="123" spans="1:11" ht="25.5" x14ac:dyDescent="0.2">
      <c r="A123" s="13">
        <v>45678</v>
      </c>
      <c r="B123" s="14" t="s">
        <v>4</v>
      </c>
      <c r="C123" s="15"/>
      <c r="D123" s="16"/>
      <c r="E123" s="17"/>
      <c r="F123" s="17" t="s">
        <v>46</v>
      </c>
      <c r="H123" s="19">
        <f t="shared" si="0"/>
        <v>0</v>
      </c>
      <c r="I123" s="20">
        <f t="shared" si="1"/>
        <v>0</v>
      </c>
      <c r="J123" s="21">
        <f t="shared" si="3"/>
        <v>0</v>
      </c>
      <c r="K123" s="22">
        <f t="shared" si="2"/>
        <v>0</v>
      </c>
    </row>
    <row r="124" spans="1:11" ht="25.5" x14ac:dyDescent="0.2">
      <c r="A124" s="13">
        <v>45679</v>
      </c>
      <c r="B124" s="14" t="s">
        <v>5</v>
      </c>
      <c r="C124" s="15"/>
      <c r="D124" s="16"/>
      <c r="E124" s="17"/>
      <c r="F124" s="17" t="s">
        <v>46</v>
      </c>
      <c r="H124" s="19">
        <f t="shared" si="0"/>
        <v>0</v>
      </c>
      <c r="I124" s="20">
        <f t="shared" si="1"/>
        <v>0</v>
      </c>
      <c r="J124" s="21">
        <f t="shared" si="3"/>
        <v>0</v>
      </c>
      <c r="K124" s="22">
        <f t="shared" si="2"/>
        <v>0</v>
      </c>
    </row>
    <row r="125" spans="1:11" ht="25.5" x14ac:dyDescent="0.2">
      <c r="A125" s="13">
        <v>45680</v>
      </c>
      <c r="B125" s="14" t="s">
        <v>6</v>
      </c>
      <c r="C125" s="15">
        <v>0.76339999999999997</v>
      </c>
      <c r="D125" s="16" t="s">
        <v>29</v>
      </c>
      <c r="E125" s="17" t="s">
        <v>43</v>
      </c>
      <c r="F125" s="17" t="s">
        <v>47</v>
      </c>
      <c r="G125" s="18">
        <v>560</v>
      </c>
      <c r="H125" s="19">
        <f t="shared" si="0"/>
        <v>132.49600000000004</v>
      </c>
      <c r="I125" s="20">
        <f t="shared" si="1"/>
        <v>7287.2800000000025</v>
      </c>
      <c r="J125" s="21">
        <f t="shared" si="3"/>
        <v>28</v>
      </c>
      <c r="K125" s="22">
        <f t="shared" si="2"/>
        <v>-104.49600000000004</v>
      </c>
    </row>
    <row r="126" spans="1:11" ht="12.75" x14ac:dyDescent="0.2">
      <c r="A126" s="13">
        <v>45681</v>
      </c>
      <c r="B126" s="14" t="s">
        <v>7</v>
      </c>
      <c r="C126" s="15">
        <v>0.86970000000000003</v>
      </c>
      <c r="D126" s="16" t="s">
        <v>29</v>
      </c>
      <c r="E126" s="17" t="s">
        <v>43</v>
      </c>
      <c r="F126" s="17" t="s">
        <v>48</v>
      </c>
      <c r="G126" s="18">
        <v>560</v>
      </c>
      <c r="H126" s="19">
        <f t="shared" si="0"/>
        <v>72.967999999999961</v>
      </c>
      <c r="I126" s="20">
        <f t="shared" si="1"/>
        <v>4013.239999999998</v>
      </c>
      <c r="J126" s="21">
        <f t="shared" si="3"/>
        <v>28</v>
      </c>
      <c r="K126" s="22">
        <f t="shared" si="2"/>
        <v>-44.967999999999961</v>
      </c>
    </row>
    <row r="127" spans="1:11" ht="12.75" x14ac:dyDescent="0.2">
      <c r="A127" s="13">
        <v>45684</v>
      </c>
      <c r="B127" s="14" t="s">
        <v>3</v>
      </c>
      <c r="C127" s="15">
        <v>0.9234</v>
      </c>
      <c r="D127" s="16" t="s">
        <v>22</v>
      </c>
      <c r="E127" s="17"/>
      <c r="F127" s="17"/>
      <c r="G127" s="18">
        <v>560</v>
      </c>
      <c r="H127" s="19">
        <f t="shared" si="0"/>
        <v>42.895999999999958</v>
      </c>
      <c r="I127" s="20">
        <f t="shared" si="1"/>
        <v>2359.2799999999979</v>
      </c>
      <c r="J127" s="21">
        <f t="shared" si="3"/>
        <v>28</v>
      </c>
      <c r="K127" s="22">
        <f t="shared" si="2"/>
        <v>-14.895999999999958</v>
      </c>
    </row>
    <row r="128" spans="1:11" ht="12.75" x14ac:dyDescent="0.2">
      <c r="A128" s="13">
        <v>45685</v>
      </c>
      <c r="B128" s="14" t="s">
        <v>4</v>
      </c>
      <c r="C128" s="15">
        <v>0.91149999999999998</v>
      </c>
      <c r="D128" s="16" t="s">
        <v>22</v>
      </c>
      <c r="E128" s="17"/>
      <c r="F128" s="17"/>
      <c r="G128" s="18">
        <v>561</v>
      </c>
      <c r="H128" s="19">
        <f t="shared" si="0"/>
        <v>49.648500000000013</v>
      </c>
      <c r="I128" s="20">
        <f t="shared" si="1"/>
        <v>2730.6675000000005</v>
      </c>
      <c r="J128" s="21">
        <f t="shared" si="3"/>
        <v>28.050000000000068</v>
      </c>
      <c r="K128" s="22">
        <f t="shared" si="2"/>
        <v>-21.598499999999945</v>
      </c>
    </row>
    <row r="129" spans="1:11" ht="12.75" x14ac:dyDescent="0.2">
      <c r="A129" s="13">
        <v>45686</v>
      </c>
      <c r="B129" s="14" t="s">
        <v>5</v>
      </c>
      <c r="C129" s="15">
        <v>0.92249999999999999</v>
      </c>
      <c r="D129" s="16" t="s">
        <v>22</v>
      </c>
      <c r="E129" s="17"/>
      <c r="F129" s="17"/>
      <c r="G129" s="18">
        <v>561</v>
      </c>
      <c r="H129" s="19">
        <f t="shared" si="0"/>
        <v>43.477499999999964</v>
      </c>
      <c r="I129" s="20">
        <f t="shared" si="1"/>
        <v>2391.262499999998</v>
      </c>
      <c r="J129" s="21">
        <f t="shared" si="3"/>
        <v>28.050000000000068</v>
      </c>
      <c r="K129" s="22">
        <f t="shared" si="2"/>
        <v>-15.427499999999895</v>
      </c>
    </row>
    <row r="130" spans="1:11" ht="12.75" x14ac:dyDescent="0.2">
      <c r="A130" s="13">
        <v>45687</v>
      </c>
      <c r="B130" s="14" t="s">
        <v>6</v>
      </c>
      <c r="C130" s="15">
        <v>0.92010000000000003</v>
      </c>
      <c r="D130" s="16" t="s">
        <v>22</v>
      </c>
      <c r="E130" s="17"/>
      <c r="F130" s="17"/>
      <c r="G130" s="18">
        <v>561</v>
      </c>
      <c r="H130" s="19">
        <f t="shared" si="0"/>
        <v>44.823899999999981</v>
      </c>
      <c r="I130" s="20">
        <f t="shared" si="1"/>
        <v>2465.314499999999</v>
      </c>
      <c r="J130" s="21">
        <f t="shared" si="3"/>
        <v>28.050000000000068</v>
      </c>
      <c r="K130" s="22">
        <f t="shared" si="2"/>
        <v>-16.773899999999912</v>
      </c>
    </row>
    <row r="131" spans="1:11" ht="12.75" x14ac:dyDescent="0.2">
      <c r="A131" s="13">
        <v>45688</v>
      </c>
      <c r="B131" s="14" t="s">
        <v>7</v>
      </c>
      <c r="C131" s="15">
        <v>0.91669999999999996</v>
      </c>
      <c r="D131" s="16" t="s">
        <v>22</v>
      </c>
      <c r="E131" s="17"/>
      <c r="F131" s="17"/>
      <c r="G131" s="18">
        <v>561</v>
      </c>
      <c r="H131" s="19">
        <f t="shared" si="0"/>
        <v>46.731300000000033</v>
      </c>
      <c r="I131" s="20">
        <f t="shared" si="1"/>
        <v>2570.2215000000019</v>
      </c>
      <c r="J131" s="21">
        <f t="shared" si="3"/>
        <v>28.050000000000068</v>
      </c>
      <c r="K131" s="22">
        <f t="shared" si="2"/>
        <v>-18.681299999999965</v>
      </c>
    </row>
    <row r="132" spans="1:11" ht="12.75" x14ac:dyDescent="0.2">
      <c r="A132" s="13">
        <v>45691</v>
      </c>
      <c r="B132" s="14" t="s">
        <v>3</v>
      </c>
      <c r="C132" s="15">
        <v>0.83220000000000005</v>
      </c>
      <c r="D132" s="16" t="s">
        <v>29</v>
      </c>
      <c r="E132" s="17"/>
      <c r="F132" s="17" t="s">
        <v>49</v>
      </c>
      <c r="G132" s="18">
        <v>560</v>
      </c>
      <c r="H132" s="19">
        <f t="shared" si="0"/>
        <v>93.967999999999961</v>
      </c>
      <c r="I132" s="20">
        <f t="shared" si="1"/>
        <v>5168.239999999998</v>
      </c>
      <c r="J132" s="21">
        <f t="shared" si="3"/>
        <v>28</v>
      </c>
      <c r="K132" s="22">
        <f t="shared" si="2"/>
        <v>-65.967999999999961</v>
      </c>
    </row>
    <row r="133" spans="1:11" ht="12.75" x14ac:dyDescent="0.2">
      <c r="A133" s="13">
        <v>45692</v>
      </c>
      <c r="B133" s="14" t="s">
        <v>4</v>
      </c>
      <c r="C133" s="15">
        <v>0.92210000000000003</v>
      </c>
      <c r="D133" s="16" t="s">
        <v>22</v>
      </c>
      <c r="E133" s="17"/>
      <c r="F133" s="17"/>
      <c r="G133" s="18">
        <v>559</v>
      </c>
      <c r="H133" s="19">
        <f t="shared" si="0"/>
        <v>43.546100000000024</v>
      </c>
      <c r="I133" s="20">
        <f t="shared" si="1"/>
        <v>2395.0355000000013</v>
      </c>
      <c r="J133" s="21">
        <f t="shared" si="3"/>
        <v>27.950000000000045</v>
      </c>
      <c r="K133" s="22">
        <f t="shared" si="2"/>
        <v>-15.596099999999979</v>
      </c>
    </row>
    <row r="134" spans="1:11" ht="12.75" x14ac:dyDescent="0.2">
      <c r="A134" s="13">
        <v>45693</v>
      </c>
      <c r="B134" s="14" t="s">
        <v>5</v>
      </c>
      <c r="C134" s="15">
        <v>0.94410000000000005</v>
      </c>
      <c r="D134" s="16" t="s">
        <v>22</v>
      </c>
      <c r="E134" s="17"/>
      <c r="F134" s="17"/>
      <c r="G134" s="18">
        <v>560</v>
      </c>
      <c r="H134" s="19">
        <f t="shared" si="0"/>
        <v>31.303999999999974</v>
      </c>
      <c r="I134" s="20">
        <f t="shared" si="1"/>
        <v>1721.7199999999984</v>
      </c>
      <c r="J134" s="21">
        <f t="shared" si="3"/>
        <v>28</v>
      </c>
      <c r="K134" s="22">
        <f t="shared" si="2"/>
        <v>-3.3039999999999736</v>
      </c>
    </row>
    <row r="135" spans="1:11" ht="12.75" x14ac:dyDescent="0.2">
      <c r="A135" s="13">
        <v>45694</v>
      </c>
      <c r="B135" s="14" t="s">
        <v>6</v>
      </c>
      <c r="C135" s="15">
        <v>0.92330000000000001</v>
      </c>
      <c r="D135" s="16" t="s">
        <v>22</v>
      </c>
      <c r="E135" s="17"/>
      <c r="F135" s="17"/>
      <c r="G135" s="18">
        <v>560</v>
      </c>
      <c r="H135" s="19">
        <f t="shared" si="0"/>
        <v>42.951999999999998</v>
      </c>
      <c r="I135" s="20">
        <f t="shared" si="1"/>
        <v>2362.3599999999997</v>
      </c>
      <c r="J135" s="21">
        <f t="shared" si="3"/>
        <v>28</v>
      </c>
      <c r="K135" s="22">
        <f t="shared" si="2"/>
        <v>-14.951999999999998</v>
      </c>
    </row>
    <row r="136" spans="1:11" ht="12.75" x14ac:dyDescent="0.2">
      <c r="A136" s="13">
        <v>45695</v>
      </c>
      <c r="B136" s="14" t="s">
        <v>7</v>
      </c>
      <c r="C136" s="15">
        <v>0.88939999999999997</v>
      </c>
      <c r="D136" s="16" t="s">
        <v>23</v>
      </c>
      <c r="E136" s="17"/>
      <c r="F136" s="17"/>
      <c r="G136" s="18">
        <v>560</v>
      </c>
      <c r="H136" s="19">
        <f t="shared" si="0"/>
        <v>61.936000000000035</v>
      </c>
      <c r="I136" s="20">
        <f t="shared" si="1"/>
        <v>3406.4800000000018</v>
      </c>
      <c r="J136" s="21">
        <f t="shared" si="3"/>
        <v>28</v>
      </c>
      <c r="K136" s="22">
        <f t="shared" si="2"/>
        <v>-33.936000000000035</v>
      </c>
    </row>
    <row r="137" spans="1:11" ht="12.75" x14ac:dyDescent="0.2">
      <c r="A137" s="30">
        <v>45698</v>
      </c>
      <c r="B137" s="31" t="s">
        <v>3</v>
      </c>
      <c r="C137" s="32"/>
      <c r="D137" s="33"/>
      <c r="E137" s="34"/>
      <c r="F137" s="34"/>
      <c r="G137" s="35"/>
      <c r="H137" s="19">
        <f t="shared" si="0"/>
        <v>0</v>
      </c>
      <c r="I137" s="20">
        <f t="shared" si="1"/>
        <v>0</v>
      </c>
      <c r="J137" s="21">
        <f t="shared" si="3"/>
        <v>0</v>
      </c>
      <c r="K137" s="22">
        <f t="shared" si="2"/>
        <v>0</v>
      </c>
    </row>
    <row r="138" spans="1:11" ht="12.75" x14ac:dyDescent="0.2">
      <c r="A138" s="30">
        <v>45699</v>
      </c>
      <c r="B138" s="31" t="s">
        <v>4</v>
      </c>
      <c r="C138" s="32"/>
      <c r="D138" s="33"/>
      <c r="E138" s="34"/>
      <c r="F138" s="34"/>
      <c r="G138" s="35"/>
      <c r="H138" s="19">
        <f t="shared" si="0"/>
        <v>0</v>
      </c>
      <c r="I138" s="20">
        <f t="shared" si="1"/>
        <v>0</v>
      </c>
      <c r="J138" s="21">
        <f t="shared" si="3"/>
        <v>0</v>
      </c>
      <c r="K138" s="22">
        <f t="shared" si="2"/>
        <v>0</v>
      </c>
    </row>
    <row r="139" spans="1:11" ht="12.75" x14ac:dyDescent="0.2">
      <c r="A139" s="13">
        <v>45700</v>
      </c>
      <c r="B139" s="14" t="s">
        <v>5</v>
      </c>
      <c r="C139" s="15">
        <v>0.89180000000000004</v>
      </c>
      <c r="D139" s="16" t="s">
        <v>29</v>
      </c>
      <c r="E139" s="17"/>
      <c r="F139" s="17"/>
      <c r="G139" s="18">
        <v>562</v>
      </c>
      <c r="H139" s="19">
        <f t="shared" si="0"/>
        <v>60.808400000000006</v>
      </c>
      <c r="I139" s="20">
        <f t="shared" si="1"/>
        <v>3344.4620000000004</v>
      </c>
      <c r="J139" s="21">
        <f t="shared" si="3"/>
        <v>28.100000000000023</v>
      </c>
      <c r="K139" s="22">
        <f t="shared" si="2"/>
        <v>-32.708399999999983</v>
      </c>
    </row>
    <row r="140" spans="1:11" ht="12.75" x14ac:dyDescent="0.2">
      <c r="A140" s="13">
        <v>45701</v>
      </c>
      <c r="B140" s="14" t="s">
        <v>6</v>
      </c>
      <c r="C140" s="15">
        <v>0.91579999999999995</v>
      </c>
      <c r="D140" s="16" t="s">
        <v>22</v>
      </c>
      <c r="E140" s="17"/>
      <c r="F140" s="17"/>
      <c r="G140" s="18">
        <v>562</v>
      </c>
      <c r="H140" s="19">
        <f t="shared" si="0"/>
        <v>47.320400000000063</v>
      </c>
      <c r="I140" s="20">
        <f t="shared" si="1"/>
        <v>2602.6220000000035</v>
      </c>
      <c r="J140" s="21">
        <f t="shared" si="3"/>
        <v>28.100000000000023</v>
      </c>
      <c r="K140" s="22">
        <f t="shared" si="2"/>
        <v>-19.220400000000041</v>
      </c>
    </row>
    <row r="141" spans="1:11" ht="12.75" x14ac:dyDescent="0.2">
      <c r="A141" s="13">
        <v>45702</v>
      </c>
      <c r="B141" s="14" t="s">
        <v>7</v>
      </c>
      <c r="C141" s="15">
        <v>0.95750000000000002</v>
      </c>
      <c r="D141" s="16" t="s">
        <v>22</v>
      </c>
      <c r="E141" s="17"/>
      <c r="F141" s="17"/>
      <c r="G141" s="18">
        <v>565</v>
      </c>
      <c r="H141" s="19">
        <f t="shared" si="0"/>
        <v>24.012500000000045</v>
      </c>
      <c r="I141" s="20">
        <f t="shared" si="1"/>
        <v>1320.6875000000025</v>
      </c>
      <c r="J141" s="21">
        <f t="shared" si="3"/>
        <v>28.25</v>
      </c>
      <c r="K141" s="22">
        <f t="shared" si="2"/>
        <v>4.2374999999999545</v>
      </c>
    </row>
    <row r="142" spans="1:11" ht="12.75" x14ac:dyDescent="0.2">
      <c r="A142" s="38">
        <v>45705</v>
      </c>
      <c r="B142" s="39" t="s">
        <v>3</v>
      </c>
      <c r="C142" s="40"/>
      <c r="D142" s="41"/>
      <c r="E142" s="42"/>
      <c r="F142" s="42"/>
      <c r="G142" s="43"/>
      <c r="H142" s="19">
        <f t="shared" si="0"/>
        <v>0</v>
      </c>
      <c r="I142" s="20">
        <f t="shared" si="1"/>
        <v>0</v>
      </c>
      <c r="J142" s="21">
        <f t="shared" si="3"/>
        <v>0</v>
      </c>
      <c r="K142" s="22">
        <f t="shared" si="2"/>
        <v>0</v>
      </c>
    </row>
    <row r="143" spans="1:11" ht="12.75" x14ac:dyDescent="0.2">
      <c r="A143" s="13">
        <v>45706</v>
      </c>
      <c r="B143" s="14" t="s">
        <v>4</v>
      </c>
      <c r="C143" s="15">
        <v>0.91379999999999995</v>
      </c>
      <c r="D143" s="16" t="s">
        <v>22</v>
      </c>
      <c r="E143" s="17"/>
      <c r="F143" s="17"/>
      <c r="G143" s="18">
        <v>563</v>
      </c>
      <c r="H143" s="19">
        <f t="shared" si="0"/>
        <v>48.530600000000049</v>
      </c>
      <c r="I143" s="20">
        <f t="shared" si="1"/>
        <v>2669.1830000000027</v>
      </c>
      <c r="J143" s="21">
        <f t="shared" si="3"/>
        <v>28.149999999999977</v>
      </c>
      <c r="K143" s="22">
        <f t="shared" si="2"/>
        <v>-20.380600000000072</v>
      </c>
    </row>
    <row r="144" spans="1:11" ht="12.75" x14ac:dyDescent="0.2">
      <c r="A144" s="13">
        <v>45707</v>
      </c>
      <c r="B144" s="14" t="s">
        <v>5</v>
      </c>
      <c r="C144" s="15">
        <v>0.90069999999999995</v>
      </c>
      <c r="D144" s="16" t="s">
        <v>22</v>
      </c>
      <c r="E144" s="17"/>
      <c r="F144" s="17"/>
      <c r="G144" s="18">
        <v>563</v>
      </c>
      <c r="H144" s="19">
        <f t="shared" si="0"/>
        <v>55.905900000000031</v>
      </c>
      <c r="I144" s="20">
        <f t="shared" si="1"/>
        <v>3074.8245000000015</v>
      </c>
      <c r="J144" s="21">
        <f t="shared" si="3"/>
        <v>28.149999999999977</v>
      </c>
      <c r="K144" s="22">
        <f t="shared" si="2"/>
        <v>-27.755900000000054</v>
      </c>
    </row>
    <row r="145" spans="1:11" ht="12.75" x14ac:dyDescent="0.2">
      <c r="A145" s="13">
        <v>45708</v>
      </c>
      <c r="B145" s="14" t="s">
        <v>6</v>
      </c>
      <c r="C145" s="15">
        <v>0.81220000000000003</v>
      </c>
      <c r="D145" s="16" t="s">
        <v>29</v>
      </c>
      <c r="E145" s="17" t="s">
        <v>43</v>
      </c>
      <c r="F145" s="17"/>
      <c r="G145" s="18">
        <v>563</v>
      </c>
      <c r="H145" s="19">
        <f t="shared" si="0"/>
        <v>105.73140000000001</v>
      </c>
      <c r="I145" s="20">
        <f t="shared" si="1"/>
        <v>5815.2270000000008</v>
      </c>
      <c r="J145" s="21">
        <f t="shared" si="3"/>
        <v>28.149999999999977</v>
      </c>
      <c r="K145" s="22">
        <f t="shared" si="2"/>
        <v>-77.581400000000031</v>
      </c>
    </row>
    <row r="146" spans="1:11" ht="12.75" x14ac:dyDescent="0.2">
      <c r="A146" s="13">
        <v>45709</v>
      </c>
      <c r="B146" s="14" t="s">
        <v>7</v>
      </c>
      <c r="C146" s="15">
        <v>0.85589999999999999</v>
      </c>
      <c r="D146" s="16" t="s">
        <v>29</v>
      </c>
      <c r="E146" s="17" t="s">
        <v>43</v>
      </c>
      <c r="F146" s="17" t="s">
        <v>50</v>
      </c>
      <c r="G146" s="18">
        <v>563</v>
      </c>
      <c r="H146" s="19">
        <f t="shared" si="0"/>
        <v>81.128300000000024</v>
      </c>
      <c r="I146" s="20">
        <f t="shared" si="1"/>
        <v>4462.0565000000015</v>
      </c>
      <c r="J146" s="21">
        <f t="shared" si="3"/>
        <v>28.149999999999977</v>
      </c>
      <c r="K146" s="22">
        <f t="shared" si="2"/>
        <v>-52.978300000000047</v>
      </c>
    </row>
    <row r="147" spans="1:11" ht="25.5" x14ac:dyDescent="0.2">
      <c r="A147" s="13">
        <v>45712</v>
      </c>
      <c r="B147" s="14" t="s">
        <v>3</v>
      </c>
      <c r="C147" s="15">
        <v>0.86850000000000005</v>
      </c>
      <c r="D147" s="16" t="s">
        <v>29</v>
      </c>
      <c r="E147" s="17" t="s">
        <v>30</v>
      </c>
      <c r="F147" s="17" t="s">
        <v>51</v>
      </c>
      <c r="G147" s="18">
        <v>565</v>
      </c>
      <c r="H147" s="19">
        <f t="shared" si="0"/>
        <v>74.297499999999957</v>
      </c>
      <c r="I147" s="20">
        <f t="shared" si="1"/>
        <v>4086.3624999999975</v>
      </c>
      <c r="J147" s="21">
        <f t="shared" si="3"/>
        <v>28.25</v>
      </c>
      <c r="K147" s="22">
        <f t="shared" si="2"/>
        <v>-46.047499999999957</v>
      </c>
    </row>
    <row r="148" spans="1:11" ht="12.75" x14ac:dyDescent="0.2">
      <c r="A148" s="13">
        <v>45713</v>
      </c>
      <c r="B148" s="14" t="s">
        <v>4</v>
      </c>
      <c r="C148" s="15">
        <v>0.877</v>
      </c>
      <c r="D148" s="16" t="s">
        <v>24</v>
      </c>
      <c r="E148" s="17" t="s">
        <v>25</v>
      </c>
      <c r="F148" s="17" t="s">
        <v>52</v>
      </c>
      <c r="G148" s="18">
        <v>565</v>
      </c>
      <c r="H148" s="19">
        <f t="shared" si="0"/>
        <v>69.495000000000005</v>
      </c>
      <c r="I148" s="20">
        <f t="shared" si="1"/>
        <v>3822.2250000000004</v>
      </c>
      <c r="J148" s="21">
        <f t="shared" si="3"/>
        <v>28.25</v>
      </c>
      <c r="K148" s="22">
        <f t="shared" si="2"/>
        <v>-41.245000000000005</v>
      </c>
    </row>
    <row r="149" spans="1:11" ht="12.75" x14ac:dyDescent="0.2">
      <c r="A149" s="13">
        <v>45714</v>
      </c>
      <c r="B149" s="14" t="s">
        <v>5</v>
      </c>
      <c r="C149" s="15">
        <v>0.8931</v>
      </c>
      <c r="D149" s="16" t="s">
        <v>29</v>
      </c>
      <c r="E149" s="17" t="s">
        <v>25</v>
      </c>
      <c r="F149" s="17" t="s">
        <v>53</v>
      </c>
      <c r="G149" s="18">
        <v>565</v>
      </c>
      <c r="H149" s="19">
        <f t="shared" si="0"/>
        <v>60.398500000000013</v>
      </c>
      <c r="I149" s="20">
        <f t="shared" si="1"/>
        <v>3321.9175000000005</v>
      </c>
      <c r="J149" s="21">
        <f t="shared" si="3"/>
        <v>28.25</v>
      </c>
      <c r="K149" s="22">
        <f t="shared" si="2"/>
        <v>-32.148500000000013</v>
      </c>
    </row>
    <row r="150" spans="1:11" ht="12.75" x14ac:dyDescent="0.2">
      <c r="A150" s="13">
        <v>45715</v>
      </c>
      <c r="B150" s="14" t="s">
        <v>6</v>
      </c>
      <c r="C150" s="15">
        <v>0.89949999999999997</v>
      </c>
      <c r="D150" s="16" t="s">
        <v>29</v>
      </c>
      <c r="E150" s="17" t="s">
        <v>25</v>
      </c>
      <c r="F150" s="17" t="s">
        <v>54</v>
      </c>
      <c r="G150" s="18">
        <v>563</v>
      </c>
      <c r="H150" s="19">
        <f t="shared" si="0"/>
        <v>56.581500000000005</v>
      </c>
      <c r="I150" s="20">
        <f t="shared" si="1"/>
        <v>3111.9825000000001</v>
      </c>
      <c r="J150" s="21">
        <f t="shared" si="3"/>
        <v>28.149999999999977</v>
      </c>
      <c r="K150" s="22">
        <f t="shared" si="2"/>
        <v>-28.431500000000028</v>
      </c>
    </row>
    <row r="151" spans="1:11" ht="12.75" x14ac:dyDescent="0.2">
      <c r="A151" s="13">
        <v>45716</v>
      </c>
      <c r="B151" s="14" t="s">
        <v>7</v>
      </c>
      <c r="C151" s="15">
        <v>0.87319999999999998</v>
      </c>
      <c r="D151" s="16" t="s">
        <v>24</v>
      </c>
      <c r="E151" s="17" t="s">
        <v>25</v>
      </c>
      <c r="F151" s="17" t="s">
        <v>53</v>
      </c>
      <c r="G151" s="18">
        <v>563</v>
      </c>
      <c r="H151" s="19">
        <f t="shared" si="0"/>
        <v>71.38839999999999</v>
      </c>
      <c r="I151" s="20">
        <f t="shared" si="1"/>
        <v>3926.3619999999996</v>
      </c>
      <c r="J151" s="21">
        <f t="shared" si="3"/>
        <v>28.149999999999977</v>
      </c>
      <c r="K151" s="22">
        <f t="shared" si="2"/>
        <v>-43.238400000000013</v>
      </c>
    </row>
    <row r="152" spans="1:11" ht="12.75" x14ac:dyDescent="0.2">
      <c r="A152" s="13">
        <v>45719</v>
      </c>
      <c r="B152" s="14" t="s">
        <v>3</v>
      </c>
      <c r="C152" s="15">
        <v>0.9294</v>
      </c>
      <c r="D152" s="16" t="s">
        <v>22</v>
      </c>
      <c r="E152" s="17"/>
      <c r="F152" s="17"/>
      <c r="G152" s="18">
        <v>566</v>
      </c>
      <c r="H152" s="19">
        <f t="shared" si="0"/>
        <v>39.959600000000023</v>
      </c>
      <c r="I152" s="20">
        <f t="shared" si="1"/>
        <v>2197.7780000000012</v>
      </c>
      <c r="J152" s="21">
        <f t="shared" si="3"/>
        <v>28.300000000000068</v>
      </c>
      <c r="K152" s="22">
        <f t="shared" si="2"/>
        <v>-11.659599999999955</v>
      </c>
    </row>
    <row r="153" spans="1:11" ht="12.75" x14ac:dyDescent="0.2">
      <c r="A153" s="13">
        <v>45720</v>
      </c>
      <c r="B153" s="14" t="s">
        <v>4</v>
      </c>
      <c r="C153" s="15">
        <v>0.90880000000000005</v>
      </c>
      <c r="D153" s="16" t="s">
        <v>22</v>
      </c>
      <c r="E153" s="17"/>
      <c r="F153" s="17"/>
      <c r="G153" s="18">
        <v>566</v>
      </c>
      <c r="H153" s="19">
        <f t="shared" si="0"/>
        <v>51.619199999999978</v>
      </c>
      <c r="I153" s="20">
        <f t="shared" si="1"/>
        <v>2839.0559999999987</v>
      </c>
      <c r="J153" s="21">
        <f t="shared" si="3"/>
        <v>28.300000000000068</v>
      </c>
      <c r="K153" s="22">
        <f t="shared" si="2"/>
        <v>-23.31919999999991</v>
      </c>
    </row>
    <row r="154" spans="1:11" ht="12.75" x14ac:dyDescent="0.2">
      <c r="A154" s="13">
        <v>45721</v>
      </c>
      <c r="B154" s="14" t="s">
        <v>5</v>
      </c>
      <c r="C154" s="15">
        <v>0.92630000000000001</v>
      </c>
      <c r="D154" s="16" t="s">
        <v>22</v>
      </c>
      <c r="E154" s="17"/>
      <c r="F154" s="17"/>
      <c r="G154" s="18">
        <v>567</v>
      </c>
      <c r="H154" s="19">
        <f t="shared" si="0"/>
        <v>41.787900000000036</v>
      </c>
      <c r="I154" s="20">
        <f t="shared" si="1"/>
        <v>2298.3345000000018</v>
      </c>
      <c r="J154" s="21">
        <f t="shared" si="3"/>
        <v>28.350000000000023</v>
      </c>
      <c r="K154" s="22">
        <f t="shared" si="2"/>
        <v>-13.437900000000013</v>
      </c>
    </row>
    <row r="155" spans="1:11" ht="12.75" x14ac:dyDescent="0.2">
      <c r="A155" s="13">
        <v>45722</v>
      </c>
      <c r="B155" s="14" t="s">
        <v>6</v>
      </c>
      <c r="C155" s="15">
        <v>0.9284</v>
      </c>
      <c r="D155" s="16" t="s">
        <v>22</v>
      </c>
      <c r="E155" s="17"/>
      <c r="F155" s="17"/>
      <c r="G155" s="18">
        <v>567</v>
      </c>
      <c r="H155" s="19">
        <f t="shared" si="0"/>
        <v>40.597200000000043</v>
      </c>
      <c r="I155" s="20">
        <f t="shared" si="1"/>
        <v>2232.8460000000023</v>
      </c>
      <c r="J155" s="21">
        <f t="shared" si="3"/>
        <v>28.350000000000023</v>
      </c>
      <c r="K155" s="22">
        <f t="shared" si="2"/>
        <v>-12.247200000000021</v>
      </c>
    </row>
    <row r="156" spans="1:11" ht="12.75" x14ac:dyDescent="0.2">
      <c r="A156" s="13">
        <v>45723</v>
      </c>
      <c r="B156" s="14" t="s">
        <v>7</v>
      </c>
      <c r="C156" s="15">
        <v>0.90239999999999998</v>
      </c>
      <c r="D156" s="16" t="s">
        <v>22</v>
      </c>
      <c r="E156" s="17"/>
      <c r="F156" s="17"/>
      <c r="G156" s="18">
        <v>567</v>
      </c>
      <c r="H156" s="19">
        <f t="shared" si="0"/>
        <v>55.339200000000005</v>
      </c>
      <c r="I156" s="20">
        <f t="shared" si="1"/>
        <v>3043.6560000000004</v>
      </c>
      <c r="J156" s="21">
        <f t="shared" si="3"/>
        <v>28.350000000000023</v>
      </c>
      <c r="K156" s="22">
        <f t="shared" si="2"/>
        <v>-26.989199999999983</v>
      </c>
    </row>
    <row r="157" spans="1:11" ht="25.5" x14ac:dyDescent="0.2">
      <c r="A157" s="44">
        <v>45726</v>
      </c>
      <c r="B157" s="45" t="s">
        <v>3</v>
      </c>
      <c r="C157" s="15">
        <v>0.86519999999999997</v>
      </c>
      <c r="D157" s="16" t="s">
        <v>29</v>
      </c>
      <c r="E157" s="17"/>
      <c r="F157" s="17" t="s">
        <v>55</v>
      </c>
      <c r="G157" s="18">
        <v>566</v>
      </c>
      <c r="H157" s="19">
        <f t="shared" si="0"/>
        <v>76.296800000000019</v>
      </c>
      <c r="I157" s="20">
        <f t="shared" si="1"/>
        <v>4196.3240000000014</v>
      </c>
      <c r="J157" s="21">
        <f t="shared" si="3"/>
        <v>28.300000000000068</v>
      </c>
      <c r="K157" s="22">
        <f t="shared" si="2"/>
        <v>-47.996799999999951</v>
      </c>
    </row>
    <row r="158" spans="1:11" ht="12.75" x14ac:dyDescent="0.2">
      <c r="A158" s="44">
        <v>45727</v>
      </c>
      <c r="B158" s="45" t="s">
        <v>4</v>
      </c>
      <c r="C158" s="15">
        <v>0.90780000000000005</v>
      </c>
      <c r="D158" s="16" t="s">
        <v>22</v>
      </c>
      <c r="E158" s="17"/>
      <c r="F158" s="17"/>
      <c r="G158" s="18">
        <v>567</v>
      </c>
      <c r="H158" s="19">
        <f t="shared" si="0"/>
        <v>52.277399999999943</v>
      </c>
      <c r="I158" s="20">
        <f t="shared" si="1"/>
        <v>2875.2569999999969</v>
      </c>
      <c r="J158" s="21">
        <f t="shared" si="3"/>
        <v>28.350000000000023</v>
      </c>
      <c r="K158" s="22">
        <f t="shared" si="2"/>
        <v>-23.927399999999921</v>
      </c>
    </row>
    <row r="159" spans="1:11" ht="12.75" x14ac:dyDescent="0.2">
      <c r="A159" s="44">
        <v>45728</v>
      </c>
      <c r="B159" s="45" t="s">
        <v>5</v>
      </c>
      <c r="C159" s="15"/>
      <c r="D159" s="16"/>
      <c r="E159" s="17"/>
      <c r="F159" s="17"/>
      <c r="H159" s="19">
        <f t="shared" si="0"/>
        <v>0</v>
      </c>
      <c r="I159" s="20">
        <f t="shared" si="1"/>
        <v>0</v>
      </c>
      <c r="J159" s="21">
        <f t="shared" si="3"/>
        <v>0</v>
      </c>
      <c r="K159" s="22">
        <f t="shared" si="2"/>
        <v>0</v>
      </c>
    </row>
    <row r="160" spans="1:11" ht="12.75" x14ac:dyDescent="0.2">
      <c r="A160" s="44">
        <v>45729</v>
      </c>
      <c r="B160" s="45" t="s">
        <v>6</v>
      </c>
      <c r="C160" s="15"/>
      <c r="D160" s="16"/>
      <c r="E160" s="17"/>
      <c r="F160" s="17"/>
      <c r="H160" s="19">
        <f t="shared" si="0"/>
        <v>0</v>
      </c>
      <c r="I160" s="20">
        <f t="shared" si="1"/>
        <v>0</v>
      </c>
      <c r="J160" s="21">
        <f t="shared" si="3"/>
        <v>0</v>
      </c>
      <c r="K160" s="22">
        <f t="shared" si="2"/>
        <v>0</v>
      </c>
    </row>
    <row r="161" spans="1:11" ht="12.75" x14ac:dyDescent="0.2">
      <c r="A161" s="44">
        <v>45730</v>
      </c>
      <c r="B161" s="45" t="s">
        <v>7</v>
      </c>
      <c r="C161" s="15"/>
      <c r="D161" s="16"/>
      <c r="E161" s="17"/>
      <c r="F161" s="17"/>
      <c r="H161" s="19">
        <f t="shared" si="0"/>
        <v>0</v>
      </c>
      <c r="I161" s="20">
        <f t="shared" si="1"/>
        <v>0</v>
      </c>
      <c r="J161" s="21">
        <f t="shared" si="3"/>
        <v>0</v>
      </c>
      <c r="K161" s="22">
        <f t="shared" si="2"/>
        <v>0</v>
      </c>
    </row>
    <row r="162" spans="1:11" ht="12.75" x14ac:dyDescent="0.2">
      <c r="A162" s="24">
        <v>45733</v>
      </c>
      <c r="B162" s="25" t="s">
        <v>3</v>
      </c>
      <c r="C162" s="26"/>
      <c r="D162" s="27"/>
      <c r="E162" s="28"/>
      <c r="F162" s="28"/>
      <c r="G162" s="29"/>
      <c r="H162" s="19">
        <f t="shared" si="0"/>
        <v>0</v>
      </c>
      <c r="I162" s="20">
        <f t="shared" si="1"/>
        <v>0</v>
      </c>
      <c r="J162" s="21">
        <f t="shared" si="3"/>
        <v>0</v>
      </c>
      <c r="K162" s="22">
        <f t="shared" si="2"/>
        <v>0</v>
      </c>
    </row>
    <row r="163" spans="1:11" ht="12.75" x14ac:dyDescent="0.2">
      <c r="A163" s="24">
        <v>45734</v>
      </c>
      <c r="B163" s="25" t="s">
        <v>4</v>
      </c>
      <c r="C163" s="26"/>
      <c r="D163" s="27"/>
      <c r="E163" s="28"/>
      <c r="F163" s="28"/>
      <c r="G163" s="29"/>
      <c r="H163" s="19">
        <f t="shared" si="0"/>
        <v>0</v>
      </c>
      <c r="I163" s="20">
        <f t="shared" si="1"/>
        <v>0</v>
      </c>
      <c r="J163" s="21">
        <f t="shared" si="3"/>
        <v>0</v>
      </c>
      <c r="K163" s="22">
        <f t="shared" si="2"/>
        <v>0</v>
      </c>
    </row>
    <row r="164" spans="1:11" ht="12.75" x14ac:dyDescent="0.2">
      <c r="A164" s="24">
        <v>45735</v>
      </c>
      <c r="B164" s="25" t="s">
        <v>5</v>
      </c>
      <c r="C164" s="26"/>
      <c r="D164" s="27"/>
      <c r="E164" s="28"/>
      <c r="F164" s="28"/>
      <c r="G164" s="29"/>
      <c r="H164" s="19">
        <f t="shared" si="0"/>
        <v>0</v>
      </c>
      <c r="I164" s="20">
        <f t="shared" si="1"/>
        <v>0</v>
      </c>
      <c r="J164" s="21">
        <f t="shared" si="3"/>
        <v>0</v>
      </c>
      <c r="K164" s="22">
        <f t="shared" si="2"/>
        <v>0</v>
      </c>
    </row>
    <row r="165" spans="1:11" ht="12.75" x14ac:dyDescent="0.2">
      <c r="A165" s="24">
        <v>45736</v>
      </c>
      <c r="B165" s="25" t="s">
        <v>6</v>
      </c>
      <c r="C165" s="26"/>
      <c r="D165" s="27"/>
      <c r="E165" s="28"/>
      <c r="F165" s="28"/>
      <c r="G165" s="29"/>
      <c r="H165" s="19">
        <f t="shared" si="0"/>
        <v>0</v>
      </c>
      <c r="I165" s="20">
        <f t="shared" si="1"/>
        <v>0</v>
      </c>
      <c r="J165" s="21">
        <f t="shared" si="3"/>
        <v>0</v>
      </c>
      <c r="K165" s="22">
        <f t="shared" si="2"/>
        <v>0</v>
      </c>
    </row>
    <row r="166" spans="1:11" ht="12.75" x14ac:dyDescent="0.2">
      <c r="A166" s="24">
        <v>45737</v>
      </c>
      <c r="B166" s="25" t="s">
        <v>7</v>
      </c>
      <c r="C166" s="26"/>
      <c r="D166" s="27"/>
      <c r="E166" s="28"/>
      <c r="F166" s="28"/>
      <c r="G166" s="29"/>
      <c r="H166" s="19">
        <f t="shared" si="0"/>
        <v>0</v>
      </c>
      <c r="I166" s="20">
        <f t="shared" si="1"/>
        <v>0</v>
      </c>
      <c r="J166" s="21">
        <f t="shared" si="3"/>
        <v>0</v>
      </c>
      <c r="K166" s="22">
        <f t="shared" si="2"/>
        <v>0</v>
      </c>
    </row>
    <row r="167" spans="1:11" ht="12.75" x14ac:dyDescent="0.2">
      <c r="A167" s="13">
        <v>45740</v>
      </c>
      <c r="B167" s="14" t="s">
        <v>3</v>
      </c>
      <c r="C167" s="15"/>
      <c r="D167" s="16"/>
      <c r="E167" s="17"/>
      <c r="F167" s="17"/>
      <c r="H167" s="19">
        <f t="shared" si="0"/>
        <v>0</v>
      </c>
      <c r="I167" s="20">
        <f t="shared" si="1"/>
        <v>0</v>
      </c>
      <c r="J167" s="21">
        <f t="shared" si="3"/>
        <v>0</v>
      </c>
      <c r="K167" s="22">
        <f t="shared" si="2"/>
        <v>0</v>
      </c>
    </row>
    <row r="168" spans="1:11" ht="12.75" x14ac:dyDescent="0.2">
      <c r="A168" s="13">
        <v>45741</v>
      </c>
      <c r="B168" s="14" t="s">
        <v>4</v>
      </c>
      <c r="C168" s="15"/>
      <c r="D168" s="16"/>
      <c r="E168" s="17"/>
      <c r="F168" s="17"/>
      <c r="H168" s="19">
        <f t="shared" si="0"/>
        <v>0</v>
      </c>
      <c r="I168" s="20">
        <f t="shared" si="1"/>
        <v>0</v>
      </c>
      <c r="J168" s="21">
        <f t="shared" si="3"/>
        <v>0</v>
      </c>
      <c r="K168" s="22">
        <f t="shared" si="2"/>
        <v>0</v>
      </c>
    </row>
    <row r="169" spans="1:11" ht="12.75" x14ac:dyDescent="0.2">
      <c r="A169" s="13">
        <v>45742</v>
      </c>
      <c r="B169" s="14" t="s">
        <v>5</v>
      </c>
      <c r="C169" s="15"/>
      <c r="D169" s="16"/>
      <c r="E169" s="17"/>
      <c r="F169" s="17"/>
      <c r="H169" s="19">
        <f t="shared" si="0"/>
        <v>0</v>
      </c>
      <c r="I169" s="20">
        <f t="shared" si="1"/>
        <v>0</v>
      </c>
      <c r="J169" s="21">
        <f t="shared" si="3"/>
        <v>0</v>
      </c>
      <c r="K169" s="22">
        <f t="shared" si="2"/>
        <v>0</v>
      </c>
    </row>
    <row r="170" spans="1:11" ht="12.75" x14ac:dyDescent="0.2">
      <c r="A170" s="13">
        <v>45743</v>
      </c>
      <c r="B170" s="14" t="s">
        <v>6</v>
      </c>
      <c r="C170" s="15"/>
      <c r="D170" s="16"/>
      <c r="E170" s="17"/>
      <c r="F170" s="17"/>
      <c r="H170" s="19">
        <f t="shared" si="0"/>
        <v>0</v>
      </c>
      <c r="I170" s="20">
        <f t="shared" si="1"/>
        <v>0</v>
      </c>
      <c r="J170" s="21">
        <f t="shared" si="3"/>
        <v>0</v>
      </c>
      <c r="K170" s="22">
        <f t="shared" si="2"/>
        <v>0</v>
      </c>
    </row>
    <row r="171" spans="1:11" ht="12.75" x14ac:dyDescent="0.2">
      <c r="A171" s="13">
        <v>45744</v>
      </c>
      <c r="B171" s="14" t="s">
        <v>7</v>
      </c>
      <c r="C171" s="15"/>
      <c r="D171" s="16"/>
      <c r="E171" s="17"/>
      <c r="F171" s="17"/>
      <c r="H171" s="19">
        <f t="shared" si="0"/>
        <v>0</v>
      </c>
      <c r="I171" s="20">
        <f t="shared" si="1"/>
        <v>0</v>
      </c>
      <c r="J171" s="21">
        <f t="shared" si="3"/>
        <v>0</v>
      </c>
      <c r="K171" s="22">
        <f t="shared" si="2"/>
        <v>0</v>
      </c>
    </row>
    <row r="172" spans="1:11" ht="12.75" x14ac:dyDescent="0.2">
      <c r="A172" s="13">
        <v>45747</v>
      </c>
      <c r="B172" s="14" t="s">
        <v>3</v>
      </c>
      <c r="C172" s="15"/>
      <c r="D172" s="16"/>
      <c r="E172" s="17"/>
      <c r="F172" s="17"/>
      <c r="H172" s="19">
        <f t="shared" si="0"/>
        <v>0</v>
      </c>
      <c r="I172" s="20">
        <f t="shared" si="1"/>
        <v>0</v>
      </c>
      <c r="J172" s="21">
        <f t="shared" si="3"/>
        <v>0</v>
      </c>
      <c r="K172" s="22">
        <f t="shared" si="2"/>
        <v>0</v>
      </c>
    </row>
    <row r="173" spans="1:11" ht="12.75" x14ac:dyDescent="0.2">
      <c r="A173" s="13">
        <v>45748</v>
      </c>
      <c r="B173" s="14" t="s">
        <v>4</v>
      </c>
      <c r="C173" s="15"/>
      <c r="D173" s="16"/>
      <c r="E173" s="17"/>
      <c r="F173" s="17"/>
      <c r="H173" s="19">
        <f t="shared" si="0"/>
        <v>0</v>
      </c>
      <c r="I173" s="20">
        <f t="shared" si="1"/>
        <v>0</v>
      </c>
      <c r="J173" s="21">
        <f t="shared" si="3"/>
        <v>0</v>
      </c>
      <c r="K173" s="22">
        <f t="shared" si="2"/>
        <v>0</v>
      </c>
    </row>
    <row r="174" spans="1:11" ht="12.75" x14ac:dyDescent="0.2">
      <c r="A174" s="13">
        <v>45749</v>
      </c>
      <c r="B174" s="14" t="s">
        <v>5</v>
      </c>
      <c r="C174" s="15"/>
      <c r="D174" s="16"/>
      <c r="E174" s="17"/>
      <c r="F174" s="17"/>
      <c r="H174" s="19">
        <f t="shared" si="0"/>
        <v>0</v>
      </c>
      <c r="I174" s="20">
        <f t="shared" si="1"/>
        <v>0</v>
      </c>
      <c r="J174" s="21">
        <f t="shared" si="3"/>
        <v>0</v>
      </c>
      <c r="K174" s="22">
        <f t="shared" si="2"/>
        <v>0</v>
      </c>
    </row>
    <row r="175" spans="1:11" ht="12.75" x14ac:dyDescent="0.2">
      <c r="A175" s="13">
        <v>45750</v>
      </c>
      <c r="B175" s="14" t="s">
        <v>6</v>
      </c>
      <c r="C175" s="15"/>
      <c r="D175" s="16"/>
      <c r="E175" s="17"/>
      <c r="F175" s="17"/>
      <c r="H175" s="19">
        <f t="shared" si="0"/>
        <v>0</v>
      </c>
      <c r="I175" s="20">
        <f t="shared" si="1"/>
        <v>0</v>
      </c>
      <c r="J175" s="21">
        <f t="shared" si="3"/>
        <v>0</v>
      </c>
      <c r="K175" s="22">
        <f t="shared" si="2"/>
        <v>0</v>
      </c>
    </row>
    <row r="176" spans="1:11" ht="12.75" x14ac:dyDescent="0.2">
      <c r="A176" s="13">
        <v>45751</v>
      </c>
      <c r="B176" s="14" t="s">
        <v>7</v>
      </c>
      <c r="C176" s="15"/>
      <c r="D176" s="16"/>
      <c r="E176" s="17"/>
      <c r="F176" s="17"/>
      <c r="H176" s="19">
        <f t="shared" si="0"/>
        <v>0</v>
      </c>
      <c r="I176" s="20">
        <f t="shared" si="1"/>
        <v>0</v>
      </c>
      <c r="J176" s="21">
        <f t="shared" si="3"/>
        <v>0</v>
      </c>
      <c r="K176" s="22">
        <f t="shared" si="2"/>
        <v>0</v>
      </c>
    </row>
    <row r="177" spans="1:11" ht="12.75" x14ac:dyDescent="0.2">
      <c r="A177" s="13">
        <v>45754</v>
      </c>
      <c r="B177" s="14" t="s">
        <v>3</v>
      </c>
      <c r="C177" s="15"/>
      <c r="D177" s="16"/>
      <c r="E177" s="17"/>
      <c r="F177" s="17"/>
      <c r="H177" s="19">
        <f t="shared" si="0"/>
        <v>0</v>
      </c>
      <c r="I177" s="20">
        <f t="shared" si="1"/>
        <v>0</v>
      </c>
      <c r="J177" s="21">
        <f t="shared" si="3"/>
        <v>0</v>
      </c>
      <c r="K177" s="22">
        <f t="shared" si="2"/>
        <v>0</v>
      </c>
    </row>
    <row r="178" spans="1:11" ht="12.75" x14ac:dyDescent="0.2">
      <c r="A178" s="13">
        <v>45755</v>
      </c>
      <c r="B178" s="14" t="s">
        <v>4</v>
      </c>
      <c r="C178" s="15"/>
      <c r="D178" s="16"/>
      <c r="E178" s="17"/>
      <c r="F178" s="17"/>
      <c r="H178" s="19">
        <f t="shared" si="0"/>
        <v>0</v>
      </c>
      <c r="I178" s="20">
        <f t="shared" si="1"/>
        <v>0</v>
      </c>
      <c r="J178" s="21">
        <f t="shared" si="3"/>
        <v>0</v>
      </c>
      <c r="K178" s="22">
        <f t="shared" si="2"/>
        <v>0</v>
      </c>
    </row>
    <row r="179" spans="1:11" ht="12.75" x14ac:dyDescent="0.2">
      <c r="A179" s="13">
        <v>45756</v>
      </c>
      <c r="B179" s="14" t="s">
        <v>5</v>
      </c>
      <c r="C179" s="15"/>
      <c r="D179" s="16"/>
      <c r="E179" s="17"/>
      <c r="F179" s="17"/>
      <c r="H179" s="19">
        <f t="shared" si="0"/>
        <v>0</v>
      </c>
      <c r="I179" s="20">
        <f t="shared" si="1"/>
        <v>0</v>
      </c>
      <c r="J179" s="21">
        <f t="shared" si="3"/>
        <v>0</v>
      </c>
      <c r="K179" s="22">
        <f t="shared" si="2"/>
        <v>0</v>
      </c>
    </row>
    <row r="180" spans="1:11" ht="12.75" x14ac:dyDescent="0.2">
      <c r="A180" s="13">
        <v>45757</v>
      </c>
      <c r="B180" s="14" t="s">
        <v>6</v>
      </c>
      <c r="C180" s="15"/>
      <c r="D180" s="16"/>
      <c r="E180" s="17"/>
      <c r="F180" s="17"/>
      <c r="H180" s="19">
        <f t="shared" si="0"/>
        <v>0</v>
      </c>
      <c r="I180" s="20">
        <f t="shared" si="1"/>
        <v>0</v>
      </c>
      <c r="J180" s="21">
        <f t="shared" si="3"/>
        <v>0</v>
      </c>
      <c r="K180" s="22">
        <f t="shared" si="2"/>
        <v>0</v>
      </c>
    </row>
    <row r="181" spans="1:11" ht="12.75" x14ac:dyDescent="0.2">
      <c r="A181" s="13">
        <v>45758</v>
      </c>
      <c r="B181" s="14" t="s">
        <v>7</v>
      </c>
      <c r="C181" s="15"/>
      <c r="D181" s="16"/>
      <c r="E181" s="17"/>
      <c r="F181" s="17"/>
      <c r="H181" s="19">
        <f t="shared" si="0"/>
        <v>0</v>
      </c>
      <c r="I181" s="20">
        <f t="shared" si="1"/>
        <v>0</v>
      </c>
      <c r="J181" s="21">
        <f t="shared" si="3"/>
        <v>0</v>
      </c>
      <c r="K181" s="22">
        <f t="shared" si="2"/>
        <v>0</v>
      </c>
    </row>
    <row r="182" spans="1:11" ht="12.75" x14ac:dyDescent="0.2">
      <c r="A182" s="13">
        <v>45761</v>
      </c>
      <c r="B182" s="14" t="s">
        <v>3</v>
      </c>
      <c r="C182" s="15"/>
      <c r="D182" s="16"/>
      <c r="E182" s="17"/>
      <c r="F182" s="17"/>
      <c r="H182" s="19">
        <f t="shared" si="0"/>
        <v>0</v>
      </c>
      <c r="I182" s="20">
        <f t="shared" si="1"/>
        <v>0</v>
      </c>
      <c r="J182" s="21">
        <f t="shared" si="3"/>
        <v>0</v>
      </c>
      <c r="K182" s="22">
        <f t="shared" si="2"/>
        <v>0</v>
      </c>
    </row>
    <row r="183" spans="1:11" ht="12.75" x14ac:dyDescent="0.2">
      <c r="A183" s="13">
        <v>45762</v>
      </c>
      <c r="B183" s="14" t="s">
        <v>4</v>
      </c>
      <c r="C183" s="15"/>
      <c r="D183" s="16"/>
      <c r="E183" s="17"/>
      <c r="F183" s="17"/>
      <c r="H183" s="19">
        <f t="shared" si="0"/>
        <v>0</v>
      </c>
      <c r="I183" s="20">
        <f t="shared" si="1"/>
        <v>0</v>
      </c>
      <c r="J183" s="21">
        <f t="shared" si="3"/>
        <v>0</v>
      </c>
      <c r="K183" s="22">
        <f t="shared" si="2"/>
        <v>0</v>
      </c>
    </row>
    <row r="184" spans="1:11" ht="12.75" x14ac:dyDescent="0.2">
      <c r="A184" s="13">
        <v>45763</v>
      </c>
      <c r="B184" s="14" t="s">
        <v>5</v>
      </c>
      <c r="C184" s="15"/>
      <c r="D184" s="16"/>
      <c r="E184" s="17"/>
      <c r="F184" s="17"/>
      <c r="H184" s="19">
        <f t="shared" si="0"/>
        <v>0</v>
      </c>
      <c r="I184" s="20">
        <f t="shared" si="1"/>
        <v>0</v>
      </c>
      <c r="J184" s="21">
        <f t="shared" si="3"/>
        <v>0</v>
      </c>
      <c r="K184" s="22">
        <f t="shared" si="2"/>
        <v>0</v>
      </c>
    </row>
    <row r="185" spans="1:11" ht="12.75" x14ac:dyDescent="0.2">
      <c r="A185" s="13">
        <v>45764</v>
      </c>
      <c r="B185" s="14" t="s">
        <v>6</v>
      </c>
      <c r="C185" s="15"/>
      <c r="D185" s="16"/>
      <c r="E185" s="17"/>
      <c r="F185" s="17"/>
      <c r="H185" s="19">
        <f t="shared" si="0"/>
        <v>0</v>
      </c>
      <c r="I185" s="20">
        <f t="shared" si="1"/>
        <v>0</v>
      </c>
      <c r="J185" s="21">
        <f t="shared" si="3"/>
        <v>0</v>
      </c>
      <c r="K185" s="22">
        <f t="shared" si="2"/>
        <v>0</v>
      </c>
    </row>
    <row r="186" spans="1:11" ht="12.75" x14ac:dyDescent="0.2">
      <c r="A186" s="24">
        <v>45765</v>
      </c>
      <c r="B186" s="25" t="s">
        <v>7</v>
      </c>
      <c r="C186" s="26"/>
      <c r="D186" s="27"/>
      <c r="E186" s="28"/>
      <c r="F186" s="28"/>
      <c r="G186" s="29"/>
      <c r="H186" s="19">
        <f t="shared" si="0"/>
        <v>0</v>
      </c>
      <c r="I186" s="20">
        <f t="shared" si="1"/>
        <v>0</v>
      </c>
      <c r="J186" s="21">
        <f t="shared" si="3"/>
        <v>0</v>
      </c>
      <c r="K186" s="22">
        <f t="shared" si="2"/>
        <v>0</v>
      </c>
    </row>
    <row r="187" spans="1:11" ht="12.75" x14ac:dyDescent="0.2">
      <c r="A187" s="24">
        <v>45768</v>
      </c>
      <c r="B187" s="25" t="s">
        <v>3</v>
      </c>
      <c r="C187" s="26"/>
      <c r="D187" s="27"/>
      <c r="E187" s="28"/>
      <c r="F187" s="28"/>
      <c r="G187" s="29"/>
      <c r="H187" s="19">
        <f t="shared" si="0"/>
        <v>0</v>
      </c>
      <c r="I187" s="20">
        <f t="shared" si="1"/>
        <v>0</v>
      </c>
      <c r="J187" s="21">
        <f t="shared" si="3"/>
        <v>0</v>
      </c>
      <c r="K187" s="22">
        <f t="shared" si="2"/>
        <v>0</v>
      </c>
    </row>
    <row r="188" spans="1:11" ht="12.75" x14ac:dyDescent="0.2">
      <c r="A188" s="13">
        <v>45769</v>
      </c>
      <c r="B188" s="14" t="s">
        <v>4</v>
      </c>
      <c r="C188" s="15"/>
      <c r="D188" s="16"/>
      <c r="E188" s="17"/>
      <c r="F188" s="17"/>
      <c r="H188" s="19">
        <f t="shared" si="0"/>
        <v>0</v>
      </c>
      <c r="I188" s="20">
        <f t="shared" si="1"/>
        <v>0</v>
      </c>
      <c r="J188" s="21">
        <f t="shared" si="3"/>
        <v>0</v>
      </c>
      <c r="K188" s="22">
        <f t="shared" si="2"/>
        <v>0</v>
      </c>
    </row>
    <row r="189" spans="1:11" ht="12.75" x14ac:dyDescent="0.2">
      <c r="A189" s="13">
        <v>45770</v>
      </c>
      <c r="B189" s="14" t="s">
        <v>5</v>
      </c>
      <c r="C189" s="15"/>
      <c r="D189" s="16"/>
      <c r="E189" s="17"/>
      <c r="F189" s="17"/>
      <c r="H189" s="19">
        <f t="shared" si="0"/>
        <v>0</v>
      </c>
      <c r="I189" s="20">
        <f t="shared" si="1"/>
        <v>0</v>
      </c>
      <c r="J189" s="21">
        <f t="shared" si="3"/>
        <v>0</v>
      </c>
      <c r="K189" s="22">
        <f t="shared" si="2"/>
        <v>0</v>
      </c>
    </row>
    <row r="190" spans="1:11" ht="12.75" x14ac:dyDescent="0.2">
      <c r="A190" s="13">
        <v>45771</v>
      </c>
      <c r="B190" s="14" t="s">
        <v>6</v>
      </c>
      <c r="C190" s="15"/>
      <c r="D190" s="16"/>
      <c r="E190" s="17"/>
      <c r="F190" s="17"/>
      <c r="H190" s="19">
        <f t="shared" si="0"/>
        <v>0</v>
      </c>
      <c r="I190" s="20">
        <f t="shared" si="1"/>
        <v>0</v>
      </c>
      <c r="J190" s="21">
        <f t="shared" si="3"/>
        <v>0</v>
      </c>
      <c r="K190" s="22">
        <f t="shared" si="2"/>
        <v>0</v>
      </c>
    </row>
    <row r="191" spans="1:11" ht="12.75" x14ac:dyDescent="0.2">
      <c r="A191" s="13">
        <v>45772</v>
      </c>
      <c r="B191" s="14" t="s">
        <v>7</v>
      </c>
      <c r="C191" s="15"/>
      <c r="D191" s="16"/>
      <c r="E191" s="17"/>
      <c r="F191" s="17"/>
      <c r="H191" s="19">
        <f t="shared" si="0"/>
        <v>0</v>
      </c>
      <c r="I191" s="20">
        <f t="shared" si="1"/>
        <v>0</v>
      </c>
      <c r="J191" s="21">
        <f t="shared" si="3"/>
        <v>0</v>
      </c>
      <c r="K191" s="22">
        <f t="shared" si="2"/>
        <v>0</v>
      </c>
    </row>
    <row r="192" spans="1:11" ht="12.75" x14ac:dyDescent="0.2">
      <c r="A192" s="13">
        <v>45775</v>
      </c>
      <c r="B192" s="14" t="s">
        <v>3</v>
      </c>
      <c r="C192" s="15"/>
      <c r="D192" s="16"/>
      <c r="E192" s="17"/>
      <c r="F192" s="17"/>
      <c r="H192" s="19">
        <f t="shared" si="0"/>
        <v>0</v>
      </c>
      <c r="I192" s="20">
        <f t="shared" si="1"/>
        <v>0</v>
      </c>
      <c r="J192" s="21">
        <f t="shared" si="3"/>
        <v>0</v>
      </c>
      <c r="K192" s="22">
        <f t="shared" si="2"/>
        <v>0</v>
      </c>
    </row>
    <row r="193" spans="1:11" ht="12.75" x14ac:dyDescent="0.2">
      <c r="A193" s="13">
        <v>45776</v>
      </c>
      <c r="B193" s="14" t="s">
        <v>4</v>
      </c>
      <c r="C193" s="15"/>
      <c r="D193" s="16"/>
      <c r="E193" s="17"/>
      <c r="F193" s="17"/>
      <c r="H193" s="19">
        <f t="shared" si="0"/>
        <v>0</v>
      </c>
      <c r="I193" s="20">
        <f t="shared" si="1"/>
        <v>0</v>
      </c>
      <c r="J193" s="21">
        <f t="shared" si="3"/>
        <v>0</v>
      </c>
      <c r="K193" s="22">
        <f t="shared" si="2"/>
        <v>0</v>
      </c>
    </row>
    <row r="194" spans="1:11" ht="12.75" x14ac:dyDescent="0.2">
      <c r="A194" s="13">
        <v>45777</v>
      </c>
      <c r="B194" s="14" t="s">
        <v>5</v>
      </c>
      <c r="C194" s="15"/>
      <c r="D194" s="16"/>
      <c r="E194" s="17"/>
      <c r="F194" s="17"/>
      <c r="H194" s="19">
        <f t="shared" si="0"/>
        <v>0</v>
      </c>
      <c r="I194" s="20">
        <f t="shared" si="1"/>
        <v>0</v>
      </c>
      <c r="J194" s="21">
        <f t="shared" si="3"/>
        <v>0</v>
      </c>
      <c r="K194" s="22">
        <f t="shared" si="2"/>
        <v>0</v>
      </c>
    </row>
    <row r="195" spans="1:11" ht="12.75" x14ac:dyDescent="0.2">
      <c r="A195" s="13">
        <v>45778</v>
      </c>
      <c r="B195" s="14" t="s">
        <v>6</v>
      </c>
      <c r="C195" s="15"/>
      <c r="D195" s="16"/>
      <c r="E195" s="17"/>
      <c r="F195" s="17"/>
      <c r="H195" s="19">
        <f t="shared" si="0"/>
        <v>0</v>
      </c>
      <c r="I195" s="20">
        <f t="shared" si="1"/>
        <v>0</v>
      </c>
      <c r="J195" s="21">
        <f t="shared" si="3"/>
        <v>0</v>
      </c>
      <c r="K195" s="22">
        <f t="shared" si="2"/>
        <v>0</v>
      </c>
    </row>
    <row r="196" spans="1:11" ht="12.75" x14ac:dyDescent="0.2">
      <c r="A196" s="13">
        <v>45779</v>
      </c>
      <c r="B196" s="14" t="s">
        <v>7</v>
      </c>
      <c r="C196" s="15"/>
      <c r="D196" s="16"/>
      <c r="E196" s="17"/>
      <c r="F196" s="17"/>
      <c r="H196" s="19">
        <f t="shared" si="0"/>
        <v>0</v>
      </c>
      <c r="I196" s="20">
        <f t="shared" si="1"/>
        <v>0</v>
      </c>
      <c r="J196" s="21">
        <f t="shared" si="3"/>
        <v>0</v>
      </c>
      <c r="K196" s="22">
        <f t="shared" si="2"/>
        <v>0</v>
      </c>
    </row>
    <row r="197" spans="1:11" ht="12.75" x14ac:dyDescent="0.2">
      <c r="A197" s="13">
        <v>45782</v>
      </c>
      <c r="B197" s="14" t="s">
        <v>3</v>
      </c>
      <c r="C197" s="15"/>
      <c r="D197" s="16"/>
      <c r="E197" s="17"/>
      <c r="F197" s="17"/>
      <c r="H197" s="19">
        <f t="shared" si="0"/>
        <v>0</v>
      </c>
      <c r="I197" s="20">
        <f t="shared" si="1"/>
        <v>0</v>
      </c>
      <c r="J197" s="21">
        <f t="shared" si="3"/>
        <v>0</v>
      </c>
      <c r="K197" s="22">
        <f t="shared" si="2"/>
        <v>0</v>
      </c>
    </row>
    <row r="198" spans="1:11" ht="12.75" x14ac:dyDescent="0.2">
      <c r="A198" s="13">
        <v>45783</v>
      </c>
      <c r="B198" s="14" t="s">
        <v>4</v>
      </c>
      <c r="C198" s="15"/>
      <c r="D198" s="16"/>
      <c r="E198" s="17"/>
      <c r="F198" s="17"/>
      <c r="H198" s="19">
        <f t="shared" si="0"/>
        <v>0</v>
      </c>
      <c r="I198" s="20">
        <f t="shared" si="1"/>
        <v>0</v>
      </c>
      <c r="J198" s="21">
        <f t="shared" si="3"/>
        <v>0</v>
      </c>
      <c r="K198" s="22">
        <f t="shared" si="2"/>
        <v>0</v>
      </c>
    </row>
    <row r="199" spans="1:11" ht="12.75" x14ac:dyDescent="0.2">
      <c r="A199" s="13">
        <v>45784</v>
      </c>
      <c r="B199" s="14" t="s">
        <v>5</v>
      </c>
      <c r="C199" s="15"/>
      <c r="D199" s="16"/>
      <c r="E199" s="17"/>
      <c r="F199" s="17"/>
      <c r="H199" s="19">
        <f t="shared" si="0"/>
        <v>0</v>
      </c>
      <c r="I199" s="20">
        <f t="shared" si="1"/>
        <v>0</v>
      </c>
      <c r="J199" s="21">
        <f t="shared" si="3"/>
        <v>0</v>
      </c>
      <c r="K199" s="22">
        <f t="shared" si="2"/>
        <v>0</v>
      </c>
    </row>
    <row r="200" spans="1:11" ht="12.75" x14ac:dyDescent="0.2">
      <c r="A200" s="13">
        <v>45785</v>
      </c>
      <c r="B200" s="14" t="s">
        <v>6</v>
      </c>
      <c r="C200" s="15"/>
      <c r="D200" s="16"/>
      <c r="E200" s="17"/>
      <c r="F200" s="17"/>
      <c r="H200" s="19">
        <f t="shared" si="0"/>
        <v>0</v>
      </c>
      <c r="I200" s="20">
        <f t="shared" si="1"/>
        <v>0</v>
      </c>
      <c r="J200" s="21">
        <f t="shared" si="3"/>
        <v>0</v>
      </c>
      <c r="K200" s="22">
        <f t="shared" si="2"/>
        <v>0</v>
      </c>
    </row>
    <row r="201" spans="1:11" ht="12.75" x14ac:dyDescent="0.2">
      <c r="A201" s="13">
        <v>45786</v>
      </c>
      <c r="B201" s="14" t="s">
        <v>7</v>
      </c>
      <c r="C201" s="15"/>
      <c r="D201" s="16"/>
      <c r="E201" s="17"/>
      <c r="F201" s="17"/>
      <c r="H201" s="19">
        <f t="shared" si="0"/>
        <v>0</v>
      </c>
      <c r="I201" s="20">
        <f t="shared" si="1"/>
        <v>0</v>
      </c>
      <c r="J201" s="21">
        <f t="shared" si="3"/>
        <v>0</v>
      </c>
      <c r="K201" s="22">
        <f t="shared" si="2"/>
        <v>0</v>
      </c>
    </row>
    <row r="202" spans="1:11" ht="12.75" x14ac:dyDescent="0.2">
      <c r="A202" s="13">
        <v>45789</v>
      </c>
      <c r="B202" s="14" t="s">
        <v>3</v>
      </c>
      <c r="C202" s="15"/>
      <c r="D202" s="16"/>
      <c r="E202" s="17"/>
      <c r="F202" s="17"/>
      <c r="H202" s="19">
        <v>0</v>
      </c>
      <c r="I202" s="20">
        <f t="shared" si="1"/>
        <v>0</v>
      </c>
      <c r="J202" s="21">
        <f t="shared" si="3"/>
        <v>0</v>
      </c>
      <c r="K202" s="22">
        <f t="shared" si="2"/>
        <v>0</v>
      </c>
    </row>
    <row r="203" spans="1:11" ht="12.75" x14ac:dyDescent="0.2">
      <c r="A203" s="13">
        <v>45790</v>
      </c>
      <c r="B203" s="14" t="s">
        <v>4</v>
      </c>
      <c r="C203" s="15"/>
      <c r="D203" s="16"/>
      <c r="E203" s="17"/>
      <c r="F203" s="17"/>
      <c r="H203" s="19">
        <f>G203-(C202*G203)</f>
        <v>0</v>
      </c>
      <c r="I203" s="20">
        <f t="shared" si="1"/>
        <v>0</v>
      </c>
      <c r="J203" s="21">
        <f t="shared" si="3"/>
        <v>0</v>
      </c>
      <c r="K203" s="22">
        <f t="shared" si="2"/>
        <v>0</v>
      </c>
    </row>
    <row r="204" spans="1:11" ht="12.75" x14ac:dyDescent="0.2">
      <c r="A204" s="13">
        <v>45791</v>
      </c>
      <c r="B204" s="14" t="s">
        <v>5</v>
      </c>
      <c r="C204" s="15"/>
      <c r="D204" s="16"/>
      <c r="E204" s="17"/>
      <c r="F204" s="17"/>
      <c r="H204" s="19">
        <f t="shared" ref="H204:H215" si="4">G204-(C204*G204)</f>
        <v>0</v>
      </c>
      <c r="I204" s="20">
        <f t="shared" si="1"/>
        <v>0</v>
      </c>
      <c r="J204" s="21">
        <f t="shared" si="3"/>
        <v>0</v>
      </c>
      <c r="K204" s="22">
        <f t="shared" si="2"/>
        <v>0</v>
      </c>
    </row>
    <row r="205" spans="1:11" ht="12.75" x14ac:dyDescent="0.2">
      <c r="A205" s="13">
        <v>45792</v>
      </c>
      <c r="B205" s="14" t="s">
        <v>6</v>
      </c>
      <c r="C205" s="15"/>
      <c r="D205" s="16"/>
      <c r="E205" s="17"/>
      <c r="F205" s="17"/>
      <c r="H205" s="19">
        <f t="shared" si="4"/>
        <v>0</v>
      </c>
      <c r="I205" s="20">
        <f t="shared" si="1"/>
        <v>0</v>
      </c>
      <c r="J205" s="21">
        <f t="shared" si="3"/>
        <v>0</v>
      </c>
      <c r="K205" s="22">
        <f t="shared" si="2"/>
        <v>0</v>
      </c>
    </row>
    <row r="206" spans="1:11" ht="12.75" x14ac:dyDescent="0.2">
      <c r="A206" s="13">
        <v>45793</v>
      </c>
      <c r="B206" s="14" t="s">
        <v>7</v>
      </c>
      <c r="C206" s="15"/>
      <c r="D206" s="16"/>
      <c r="E206" s="17"/>
      <c r="F206" s="17"/>
      <c r="H206" s="19">
        <f t="shared" si="4"/>
        <v>0</v>
      </c>
      <c r="I206" s="20">
        <f t="shared" si="1"/>
        <v>0</v>
      </c>
      <c r="J206" s="21">
        <f t="shared" si="3"/>
        <v>0</v>
      </c>
      <c r="K206" s="22">
        <f t="shared" si="2"/>
        <v>0</v>
      </c>
    </row>
    <row r="207" spans="1:11" ht="12.75" x14ac:dyDescent="0.2">
      <c r="A207" s="13">
        <v>45796</v>
      </c>
      <c r="B207" s="14" t="s">
        <v>3</v>
      </c>
      <c r="C207" s="15"/>
      <c r="D207" s="16"/>
      <c r="E207" s="17"/>
      <c r="F207" s="17"/>
      <c r="H207" s="19">
        <f t="shared" si="4"/>
        <v>0</v>
      </c>
      <c r="I207" s="20">
        <f t="shared" si="1"/>
        <v>0</v>
      </c>
      <c r="J207" s="21">
        <f t="shared" si="3"/>
        <v>0</v>
      </c>
      <c r="K207" s="22">
        <f t="shared" si="2"/>
        <v>0</v>
      </c>
    </row>
    <row r="208" spans="1:11" ht="12.75" x14ac:dyDescent="0.2">
      <c r="A208" s="13">
        <v>45797</v>
      </c>
      <c r="B208" s="14" t="s">
        <v>4</v>
      </c>
      <c r="C208" s="15"/>
      <c r="D208" s="16"/>
      <c r="E208" s="17"/>
      <c r="F208" s="17"/>
      <c r="H208" s="19">
        <f t="shared" si="4"/>
        <v>0</v>
      </c>
      <c r="I208" s="20">
        <f t="shared" si="1"/>
        <v>0</v>
      </c>
      <c r="J208" s="21">
        <f t="shared" si="3"/>
        <v>0</v>
      </c>
      <c r="K208" s="22">
        <f t="shared" si="2"/>
        <v>0</v>
      </c>
    </row>
    <row r="209" spans="1:11" ht="12.75" x14ac:dyDescent="0.2">
      <c r="A209" s="13">
        <v>45798</v>
      </c>
      <c r="B209" s="14" t="s">
        <v>5</v>
      </c>
      <c r="C209" s="15"/>
      <c r="D209" s="16"/>
      <c r="E209" s="17"/>
      <c r="F209" s="17"/>
      <c r="H209" s="19">
        <f t="shared" si="4"/>
        <v>0</v>
      </c>
      <c r="I209" s="20">
        <f t="shared" si="1"/>
        <v>0</v>
      </c>
      <c r="J209" s="21">
        <f t="shared" si="3"/>
        <v>0</v>
      </c>
      <c r="K209" s="22">
        <f t="shared" si="2"/>
        <v>0</v>
      </c>
    </row>
    <row r="210" spans="1:11" ht="12.75" x14ac:dyDescent="0.2">
      <c r="A210" s="13">
        <v>45799</v>
      </c>
      <c r="B210" s="14" t="s">
        <v>6</v>
      </c>
      <c r="C210" s="15"/>
      <c r="D210" s="16"/>
      <c r="E210" s="17"/>
      <c r="F210" s="17"/>
      <c r="H210" s="19">
        <f t="shared" si="4"/>
        <v>0</v>
      </c>
      <c r="I210" s="20">
        <f t="shared" si="1"/>
        <v>0</v>
      </c>
      <c r="J210" s="21">
        <f t="shared" si="3"/>
        <v>0</v>
      </c>
      <c r="K210" s="22">
        <f t="shared" si="2"/>
        <v>0</v>
      </c>
    </row>
    <row r="211" spans="1:11" ht="12.75" x14ac:dyDescent="0.2">
      <c r="A211" s="13">
        <v>45800</v>
      </c>
      <c r="B211" s="14" t="s">
        <v>7</v>
      </c>
      <c r="C211" s="15"/>
      <c r="D211" s="16"/>
      <c r="E211" s="17"/>
      <c r="F211" s="17"/>
      <c r="H211" s="19">
        <f t="shared" si="4"/>
        <v>0</v>
      </c>
      <c r="I211" s="20">
        <f t="shared" si="1"/>
        <v>0</v>
      </c>
      <c r="J211" s="21">
        <f t="shared" si="3"/>
        <v>0</v>
      </c>
      <c r="K211" s="22">
        <f t="shared" si="2"/>
        <v>0</v>
      </c>
    </row>
    <row r="212" spans="1:11" ht="12.75" x14ac:dyDescent="0.2">
      <c r="A212" s="24">
        <v>45803</v>
      </c>
      <c r="B212" s="25" t="s">
        <v>3</v>
      </c>
      <c r="C212" s="26"/>
      <c r="D212" s="27"/>
      <c r="E212" s="28"/>
      <c r="F212" s="28"/>
      <c r="G212" s="29"/>
      <c r="H212" s="19">
        <f t="shared" si="4"/>
        <v>0</v>
      </c>
      <c r="I212" s="20">
        <f t="shared" si="1"/>
        <v>0</v>
      </c>
      <c r="J212" s="21">
        <f t="shared" si="3"/>
        <v>0</v>
      </c>
      <c r="K212" s="22">
        <f t="shared" si="2"/>
        <v>0</v>
      </c>
    </row>
    <row r="213" spans="1:11" ht="12.75" x14ac:dyDescent="0.2">
      <c r="A213" s="13">
        <v>45804</v>
      </c>
      <c r="B213" s="14" t="s">
        <v>4</v>
      </c>
      <c r="C213" s="15"/>
      <c r="D213" s="16"/>
      <c r="E213" s="17"/>
      <c r="F213" s="17"/>
      <c r="H213" s="19">
        <f t="shared" si="4"/>
        <v>0</v>
      </c>
      <c r="I213" s="20">
        <f t="shared" si="1"/>
        <v>0</v>
      </c>
      <c r="J213" s="21">
        <f t="shared" si="3"/>
        <v>0</v>
      </c>
      <c r="K213" s="22">
        <f t="shared" si="2"/>
        <v>0</v>
      </c>
    </row>
    <row r="214" spans="1:11" ht="12.75" x14ac:dyDescent="0.2">
      <c r="A214" s="13">
        <v>45805</v>
      </c>
      <c r="B214" s="14" t="s">
        <v>5</v>
      </c>
      <c r="C214" s="15"/>
      <c r="D214" s="16"/>
      <c r="E214" s="17"/>
      <c r="F214" s="17"/>
      <c r="H214" s="19">
        <f t="shared" si="4"/>
        <v>0</v>
      </c>
      <c r="I214" s="20">
        <f t="shared" si="1"/>
        <v>0</v>
      </c>
      <c r="J214" s="21">
        <f t="shared" si="3"/>
        <v>0</v>
      </c>
      <c r="K214" s="22">
        <f t="shared" si="2"/>
        <v>0</v>
      </c>
    </row>
    <row r="215" spans="1:11" ht="12.75" x14ac:dyDescent="0.2">
      <c r="A215" s="13">
        <v>45806</v>
      </c>
      <c r="B215" s="46" t="s">
        <v>6</v>
      </c>
      <c r="C215" s="15"/>
      <c r="D215" s="16"/>
      <c r="E215" s="17"/>
      <c r="F215" s="17"/>
      <c r="H215" s="19">
        <f t="shared" si="4"/>
        <v>0</v>
      </c>
      <c r="I215" s="20">
        <f t="shared" si="1"/>
        <v>0</v>
      </c>
      <c r="J215" s="21">
        <f t="shared" si="3"/>
        <v>0</v>
      </c>
      <c r="K215" s="22">
        <f t="shared" si="2"/>
        <v>0</v>
      </c>
    </row>
    <row r="216" spans="1:11" ht="12.75" hidden="1" x14ac:dyDescent="0.2">
      <c r="A216" s="16"/>
      <c r="B216" s="16"/>
      <c r="C216" s="15"/>
      <c r="D216" s="16"/>
      <c r="E216" s="17"/>
      <c r="F216" s="17"/>
      <c r="H216" s="19"/>
      <c r="I216" s="47"/>
      <c r="J216" s="48"/>
      <c r="K216" s="49"/>
    </row>
    <row r="217" spans="1:11" ht="12.75" hidden="1" x14ac:dyDescent="0.2">
      <c r="A217" s="16"/>
      <c r="B217" s="16"/>
      <c r="C217" s="15"/>
      <c r="D217" s="16"/>
      <c r="E217" s="17"/>
      <c r="F217" s="17"/>
      <c r="H217" s="19"/>
      <c r="I217" s="47"/>
      <c r="J217" s="48"/>
      <c r="K217" s="49"/>
    </row>
    <row r="218" spans="1:11" ht="12.75" hidden="1" x14ac:dyDescent="0.2">
      <c r="A218" s="16"/>
      <c r="B218" s="16"/>
      <c r="C218" s="15"/>
      <c r="D218" s="16"/>
      <c r="E218" s="17"/>
      <c r="F218" s="17"/>
      <c r="H218" s="19"/>
      <c r="I218" s="47"/>
      <c r="J218" s="48"/>
      <c r="K218" s="49"/>
    </row>
    <row r="219" spans="1:11" ht="12.75" hidden="1" x14ac:dyDescent="0.2">
      <c r="A219" s="16"/>
      <c r="B219" s="16"/>
      <c r="C219" s="15"/>
      <c r="D219" s="16"/>
      <c r="E219" s="17"/>
      <c r="F219" s="17"/>
      <c r="H219" s="19"/>
      <c r="I219" s="47"/>
      <c r="J219" s="48"/>
      <c r="K219" s="49"/>
    </row>
    <row r="220" spans="1:11" ht="12.75" hidden="1" x14ac:dyDescent="0.2">
      <c r="A220" s="16"/>
      <c r="B220" s="16"/>
      <c r="C220" s="15"/>
      <c r="D220" s="16"/>
      <c r="E220" s="17"/>
      <c r="F220" s="17"/>
      <c r="H220" s="19"/>
      <c r="I220" s="47"/>
      <c r="J220" s="48"/>
      <c r="K220" s="49"/>
    </row>
    <row r="221" spans="1:11" ht="12.75" hidden="1" x14ac:dyDescent="0.2">
      <c r="A221" s="16"/>
      <c r="B221" s="16"/>
      <c r="C221" s="15"/>
      <c r="D221" s="16"/>
      <c r="E221" s="17"/>
      <c r="F221" s="17"/>
      <c r="H221" s="19"/>
      <c r="I221" s="47"/>
      <c r="J221" s="48"/>
      <c r="K221" s="49"/>
    </row>
    <row r="222" spans="1:11" ht="12.75" hidden="1" x14ac:dyDescent="0.2">
      <c r="A222" s="16"/>
      <c r="B222" s="16"/>
      <c r="C222" s="15"/>
      <c r="D222" s="16"/>
      <c r="E222" s="17"/>
      <c r="F222" s="17"/>
      <c r="H222" s="19"/>
      <c r="I222" s="47"/>
      <c r="J222" s="48"/>
      <c r="K222" s="49"/>
    </row>
    <row r="223" spans="1:11" ht="12.75" hidden="1" x14ac:dyDescent="0.2">
      <c r="A223" s="16"/>
      <c r="B223" s="16"/>
      <c r="C223" s="15"/>
      <c r="D223" s="16"/>
      <c r="E223" s="17"/>
      <c r="F223" s="17"/>
      <c r="H223" s="19"/>
      <c r="I223" s="47"/>
      <c r="J223" s="48"/>
      <c r="K223" s="49"/>
    </row>
    <row r="224" spans="1:11" ht="12.75" hidden="1" x14ac:dyDescent="0.2">
      <c r="A224" s="16"/>
      <c r="B224" s="16"/>
      <c r="C224" s="15"/>
      <c r="D224" s="16"/>
      <c r="E224" s="17"/>
      <c r="F224" s="17"/>
      <c r="H224" s="19"/>
      <c r="I224" s="47"/>
      <c r="J224" s="48"/>
      <c r="K224" s="49"/>
    </row>
    <row r="225" spans="1:11" ht="12.75" hidden="1" x14ac:dyDescent="0.2">
      <c r="A225" s="16"/>
      <c r="B225" s="16"/>
      <c r="C225" s="15"/>
      <c r="D225" s="16"/>
      <c r="E225" s="17"/>
      <c r="F225" s="17"/>
      <c r="H225" s="19"/>
      <c r="I225" s="47"/>
      <c r="J225" s="48"/>
      <c r="K225" s="49"/>
    </row>
    <row r="226" spans="1:11" ht="12.75" hidden="1" x14ac:dyDescent="0.2">
      <c r="A226" s="16"/>
      <c r="B226" s="16"/>
      <c r="C226" s="15"/>
      <c r="D226" s="16"/>
      <c r="E226" s="17"/>
      <c r="F226" s="17"/>
      <c r="H226" s="19"/>
      <c r="I226" s="47"/>
      <c r="J226" s="48"/>
      <c r="K226" s="49"/>
    </row>
    <row r="227" spans="1:11" ht="12.75" hidden="1" x14ac:dyDescent="0.2">
      <c r="A227" s="16"/>
      <c r="B227" s="16"/>
      <c r="C227" s="15"/>
      <c r="D227" s="16"/>
      <c r="E227" s="17"/>
      <c r="F227" s="17"/>
      <c r="H227" s="19"/>
      <c r="I227" s="47"/>
      <c r="J227" s="48"/>
      <c r="K227" s="49"/>
    </row>
    <row r="228" spans="1:11" ht="12.75" hidden="1" x14ac:dyDescent="0.2">
      <c r="A228" s="16"/>
      <c r="B228" s="16"/>
      <c r="C228" s="15"/>
      <c r="D228" s="16"/>
      <c r="E228" s="17"/>
      <c r="F228" s="17"/>
      <c r="H228" s="19"/>
      <c r="I228" s="47"/>
      <c r="J228" s="48"/>
      <c r="K228" s="49"/>
    </row>
    <row r="229" spans="1:11" ht="12.75" hidden="1" x14ac:dyDescent="0.2">
      <c r="A229" s="16"/>
      <c r="B229" s="16"/>
      <c r="C229" s="15"/>
      <c r="D229" s="16"/>
      <c r="E229" s="17"/>
      <c r="F229" s="17"/>
      <c r="H229" s="19"/>
      <c r="I229" s="47"/>
      <c r="J229" s="48"/>
      <c r="K229" s="49"/>
    </row>
    <row r="230" spans="1:11" ht="12.75" hidden="1" x14ac:dyDescent="0.2">
      <c r="A230" s="16"/>
      <c r="B230" s="16"/>
      <c r="C230" s="15"/>
      <c r="D230" s="16"/>
      <c r="E230" s="17"/>
      <c r="F230" s="17"/>
      <c r="H230" s="19"/>
      <c r="I230" s="47"/>
      <c r="J230" s="48"/>
      <c r="K230" s="49"/>
    </row>
    <row r="231" spans="1:11" ht="12.75" hidden="1" x14ac:dyDescent="0.2">
      <c r="A231" s="16"/>
      <c r="B231" s="16"/>
      <c r="C231" s="15"/>
      <c r="D231" s="16"/>
      <c r="E231" s="17"/>
      <c r="F231" s="17"/>
      <c r="H231" s="19"/>
      <c r="I231" s="47"/>
      <c r="J231" s="48"/>
      <c r="K231" s="49"/>
    </row>
    <row r="232" spans="1:11" ht="12.75" hidden="1" x14ac:dyDescent="0.2">
      <c r="A232" s="16"/>
      <c r="B232" s="16"/>
      <c r="C232" s="15"/>
      <c r="D232" s="16"/>
      <c r="E232" s="17"/>
      <c r="F232" s="17"/>
      <c r="H232" s="19"/>
      <c r="I232" s="47"/>
      <c r="J232" s="48"/>
      <c r="K232" s="49"/>
    </row>
    <row r="233" spans="1:11" ht="12.75" hidden="1" x14ac:dyDescent="0.2">
      <c r="A233" s="16"/>
      <c r="B233" s="16"/>
      <c r="C233" s="15"/>
      <c r="D233" s="16"/>
      <c r="E233" s="17"/>
      <c r="F233" s="17"/>
      <c r="H233" s="19"/>
      <c r="I233" s="47"/>
      <c r="J233" s="48"/>
      <c r="K233" s="49"/>
    </row>
    <row r="234" spans="1:11" ht="12.75" hidden="1" x14ac:dyDescent="0.2">
      <c r="A234" s="16"/>
      <c r="B234" s="16"/>
      <c r="C234" s="15"/>
      <c r="D234" s="16"/>
      <c r="E234" s="17"/>
      <c r="F234" s="17"/>
      <c r="H234" s="19"/>
      <c r="I234" s="47"/>
      <c r="J234" s="48"/>
      <c r="K234" s="49"/>
    </row>
    <row r="235" spans="1:11" ht="12.75" hidden="1" x14ac:dyDescent="0.2">
      <c r="A235" s="16"/>
      <c r="B235" s="16"/>
      <c r="C235" s="15"/>
      <c r="D235" s="16"/>
      <c r="E235" s="17"/>
      <c r="F235" s="17"/>
      <c r="H235" s="19"/>
      <c r="I235" s="47"/>
      <c r="J235" s="48"/>
      <c r="K235" s="49"/>
    </row>
    <row r="236" spans="1:11" ht="12.75" hidden="1" x14ac:dyDescent="0.2">
      <c r="A236" s="16"/>
      <c r="B236" s="16"/>
      <c r="C236" s="15"/>
      <c r="D236" s="16"/>
      <c r="E236" s="17"/>
      <c r="F236" s="17"/>
      <c r="H236" s="19"/>
      <c r="I236" s="47"/>
      <c r="J236" s="48"/>
      <c r="K236" s="49"/>
    </row>
    <row r="237" spans="1:11" ht="12.75" hidden="1" x14ac:dyDescent="0.2">
      <c r="A237" s="16"/>
      <c r="B237" s="16"/>
      <c r="C237" s="15"/>
      <c r="D237" s="16"/>
      <c r="E237" s="17"/>
      <c r="F237" s="17"/>
      <c r="H237" s="19"/>
      <c r="I237" s="47"/>
      <c r="J237" s="48"/>
      <c r="K237" s="49"/>
    </row>
    <row r="238" spans="1:11" ht="12.75" hidden="1" x14ac:dyDescent="0.2">
      <c r="A238" s="16"/>
      <c r="B238" s="16"/>
      <c r="C238" s="15"/>
      <c r="D238" s="16"/>
      <c r="E238" s="17"/>
      <c r="F238" s="17"/>
      <c r="H238" s="19"/>
      <c r="I238" s="47"/>
      <c r="J238" s="48"/>
      <c r="K238" s="49"/>
    </row>
    <row r="239" spans="1:11" ht="12.75" hidden="1" x14ac:dyDescent="0.2">
      <c r="A239" s="16"/>
      <c r="B239" s="16"/>
      <c r="C239" s="15"/>
      <c r="D239" s="16"/>
      <c r="E239" s="17"/>
      <c r="F239" s="17"/>
      <c r="H239" s="19"/>
      <c r="I239" s="47"/>
      <c r="J239" s="48"/>
      <c r="K239" s="49"/>
    </row>
    <row r="240" spans="1:11" ht="12.75" hidden="1" x14ac:dyDescent="0.2">
      <c r="A240" s="16"/>
      <c r="B240" s="16"/>
      <c r="C240" s="15"/>
      <c r="D240" s="16"/>
      <c r="E240" s="17"/>
      <c r="F240" s="17"/>
      <c r="H240" s="19"/>
      <c r="I240" s="47"/>
      <c r="J240" s="48"/>
      <c r="K240" s="49"/>
    </row>
    <row r="241" spans="1:11" ht="12.75" hidden="1" x14ac:dyDescent="0.2">
      <c r="A241" s="16"/>
      <c r="B241" s="16"/>
      <c r="C241" s="15"/>
      <c r="D241" s="16"/>
      <c r="E241" s="17"/>
      <c r="F241" s="17"/>
      <c r="H241" s="19"/>
      <c r="I241" s="47"/>
      <c r="J241" s="48"/>
      <c r="K241" s="49"/>
    </row>
    <row r="242" spans="1:11" ht="12.75" hidden="1" x14ac:dyDescent="0.2">
      <c r="A242" s="16"/>
      <c r="B242" s="16"/>
      <c r="C242" s="15"/>
      <c r="D242" s="16"/>
      <c r="E242" s="17"/>
      <c r="F242" s="17"/>
      <c r="H242" s="19"/>
      <c r="I242" s="47"/>
      <c r="J242" s="48"/>
      <c r="K242" s="49"/>
    </row>
    <row r="243" spans="1:11" ht="12.75" hidden="1" x14ac:dyDescent="0.2">
      <c r="A243" s="16"/>
      <c r="B243" s="16"/>
      <c r="C243" s="15"/>
      <c r="D243" s="16"/>
      <c r="E243" s="17"/>
      <c r="F243" s="17"/>
      <c r="H243" s="19"/>
      <c r="I243" s="47"/>
      <c r="J243" s="48"/>
      <c r="K243" s="49"/>
    </row>
    <row r="244" spans="1:11" ht="12.75" hidden="1" x14ac:dyDescent="0.2">
      <c r="A244" s="16"/>
      <c r="B244" s="16"/>
      <c r="C244" s="15"/>
      <c r="D244" s="16"/>
      <c r="E244" s="17"/>
      <c r="F244" s="17"/>
      <c r="H244" s="19"/>
      <c r="I244" s="47"/>
      <c r="J244" s="48"/>
      <c r="K244" s="49"/>
    </row>
    <row r="245" spans="1:11" ht="12.75" hidden="1" x14ac:dyDescent="0.2">
      <c r="A245" s="16"/>
      <c r="B245" s="16"/>
      <c r="C245" s="15"/>
      <c r="D245" s="16"/>
      <c r="E245" s="17"/>
      <c r="F245" s="17"/>
      <c r="H245" s="19"/>
      <c r="I245" s="47"/>
      <c r="J245" s="48"/>
      <c r="K245" s="49"/>
    </row>
    <row r="246" spans="1:11" ht="12.75" hidden="1" x14ac:dyDescent="0.2">
      <c r="A246" s="16"/>
      <c r="B246" s="16"/>
      <c r="C246" s="15"/>
      <c r="D246" s="16"/>
      <c r="E246" s="17"/>
      <c r="F246" s="17"/>
      <c r="H246" s="19"/>
      <c r="I246" s="47"/>
      <c r="J246" s="48"/>
      <c r="K246" s="49"/>
    </row>
    <row r="247" spans="1:11" ht="12.75" hidden="1" x14ac:dyDescent="0.2">
      <c r="A247" s="16"/>
      <c r="B247" s="16"/>
      <c r="C247" s="15"/>
      <c r="D247" s="16"/>
      <c r="E247" s="17"/>
      <c r="F247" s="17"/>
      <c r="H247" s="19"/>
      <c r="I247" s="47"/>
      <c r="J247" s="48"/>
      <c r="K247" s="49"/>
    </row>
    <row r="248" spans="1:11" ht="12.75" hidden="1" x14ac:dyDescent="0.2">
      <c r="A248" s="16"/>
      <c r="B248" s="16"/>
      <c r="C248" s="15"/>
      <c r="D248" s="16"/>
      <c r="E248" s="17"/>
      <c r="F248" s="17"/>
      <c r="H248" s="19"/>
      <c r="I248" s="47"/>
      <c r="J248" s="48"/>
      <c r="K248" s="49"/>
    </row>
    <row r="249" spans="1:11" ht="12.75" hidden="1" x14ac:dyDescent="0.2">
      <c r="A249" s="16"/>
      <c r="B249" s="16"/>
      <c r="C249" s="15"/>
      <c r="D249" s="16"/>
      <c r="E249" s="17"/>
      <c r="F249" s="17"/>
      <c r="H249" s="19"/>
      <c r="I249" s="47"/>
      <c r="J249" s="48"/>
      <c r="K249" s="49"/>
    </row>
    <row r="250" spans="1:11" ht="12.75" hidden="1" x14ac:dyDescent="0.2">
      <c r="A250" s="16"/>
      <c r="B250" s="16"/>
      <c r="C250" s="15"/>
      <c r="D250" s="16"/>
      <c r="E250" s="17"/>
      <c r="F250" s="17"/>
      <c r="H250" s="19"/>
      <c r="I250" s="47"/>
      <c r="J250" s="48"/>
      <c r="K250" s="49"/>
    </row>
    <row r="251" spans="1:11" ht="12.75" hidden="1" x14ac:dyDescent="0.2">
      <c r="A251" s="16"/>
      <c r="B251" s="16"/>
      <c r="C251" s="15"/>
      <c r="D251" s="16"/>
      <c r="E251" s="17"/>
      <c r="F251" s="17"/>
      <c r="H251" s="19"/>
      <c r="I251" s="47"/>
      <c r="J251" s="48"/>
      <c r="K251" s="49"/>
    </row>
    <row r="252" spans="1:11" ht="12.75" hidden="1" x14ac:dyDescent="0.2">
      <c r="A252" s="16"/>
      <c r="B252" s="16"/>
      <c r="C252" s="15"/>
      <c r="D252" s="16"/>
      <c r="E252" s="17"/>
      <c r="F252" s="17"/>
      <c r="H252" s="19"/>
      <c r="I252" s="47"/>
      <c r="J252" s="48"/>
      <c r="K252" s="49"/>
    </row>
    <row r="253" spans="1:11" ht="12.75" hidden="1" x14ac:dyDescent="0.2">
      <c r="A253" s="16"/>
      <c r="B253" s="16"/>
      <c r="C253" s="15"/>
      <c r="D253" s="16"/>
      <c r="E253" s="17"/>
      <c r="F253" s="17"/>
      <c r="H253" s="19"/>
      <c r="I253" s="47"/>
      <c r="J253" s="48"/>
      <c r="K253" s="49"/>
    </row>
    <row r="254" spans="1:11" ht="12.75" hidden="1" x14ac:dyDescent="0.2">
      <c r="A254" s="16"/>
      <c r="B254" s="16"/>
      <c r="C254" s="15"/>
      <c r="D254" s="16"/>
      <c r="E254" s="17"/>
      <c r="F254" s="17"/>
      <c r="H254" s="19"/>
      <c r="I254" s="47"/>
      <c r="J254" s="48"/>
      <c r="K254" s="49"/>
    </row>
    <row r="255" spans="1:11" ht="12.75" hidden="1" x14ac:dyDescent="0.2">
      <c r="A255" s="16"/>
      <c r="B255" s="16"/>
      <c r="C255" s="15"/>
      <c r="D255" s="16"/>
      <c r="E255" s="17"/>
      <c r="F255" s="17"/>
      <c r="H255" s="19"/>
      <c r="I255" s="47"/>
      <c r="J255" s="48"/>
      <c r="K255" s="49"/>
    </row>
    <row r="256" spans="1:11" ht="12.75" hidden="1" x14ac:dyDescent="0.2">
      <c r="A256" s="16"/>
      <c r="B256" s="16"/>
      <c r="C256" s="15"/>
      <c r="D256" s="16"/>
      <c r="E256" s="17"/>
      <c r="F256" s="17"/>
      <c r="H256" s="19"/>
      <c r="I256" s="47"/>
      <c r="J256" s="48"/>
      <c r="K256" s="49"/>
    </row>
    <row r="257" spans="1:11" ht="12.75" hidden="1" x14ac:dyDescent="0.2">
      <c r="A257" s="16"/>
      <c r="B257" s="16"/>
      <c r="C257" s="15"/>
      <c r="D257" s="16"/>
      <c r="E257" s="17"/>
      <c r="F257" s="17"/>
      <c r="H257" s="19"/>
      <c r="I257" s="47"/>
      <c r="J257" s="48"/>
      <c r="K257" s="49"/>
    </row>
    <row r="258" spans="1:11" ht="12.75" hidden="1" x14ac:dyDescent="0.2">
      <c r="A258" s="16"/>
      <c r="B258" s="16"/>
      <c r="C258" s="15"/>
      <c r="D258" s="16"/>
      <c r="E258" s="17"/>
      <c r="F258" s="17"/>
      <c r="H258" s="19"/>
      <c r="I258" s="47"/>
      <c r="J258" s="48"/>
      <c r="K258" s="49"/>
    </row>
    <row r="259" spans="1:11" ht="12.75" hidden="1" x14ac:dyDescent="0.2">
      <c r="A259" s="16"/>
      <c r="B259" s="16"/>
      <c r="C259" s="15"/>
      <c r="D259" s="16"/>
      <c r="E259" s="17"/>
      <c r="F259" s="17"/>
      <c r="H259" s="19"/>
      <c r="I259" s="47"/>
      <c r="J259" s="48"/>
      <c r="K259" s="49"/>
    </row>
    <row r="260" spans="1:11" ht="12.75" hidden="1" x14ac:dyDescent="0.2">
      <c r="A260" s="16"/>
      <c r="B260" s="16"/>
      <c r="C260" s="15"/>
      <c r="D260" s="16"/>
      <c r="E260" s="17"/>
      <c r="F260" s="17"/>
      <c r="H260" s="19"/>
      <c r="I260" s="47"/>
      <c r="J260" s="48"/>
      <c r="K260" s="49"/>
    </row>
    <row r="261" spans="1:11" ht="12.75" hidden="1" x14ac:dyDescent="0.2">
      <c r="A261" s="16"/>
      <c r="B261" s="16"/>
      <c r="C261" s="15"/>
      <c r="D261" s="16"/>
      <c r="E261" s="17"/>
      <c r="F261" s="17"/>
      <c r="H261" s="19"/>
      <c r="I261" s="47"/>
      <c r="J261" s="48"/>
      <c r="K261" s="49"/>
    </row>
    <row r="262" spans="1:11" ht="12.75" hidden="1" x14ac:dyDescent="0.2">
      <c r="A262" s="16"/>
      <c r="B262" s="16"/>
      <c r="C262" s="15"/>
      <c r="D262" s="16"/>
      <c r="E262" s="17"/>
      <c r="F262" s="17"/>
      <c r="H262" s="19"/>
      <c r="I262" s="47"/>
      <c r="J262" s="48"/>
      <c r="K262" s="49"/>
    </row>
    <row r="263" spans="1:11" ht="12.75" hidden="1" x14ac:dyDescent="0.2">
      <c r="A263" s="16"/>
      <c r="B263" s="16"/>
      <c r="C263" s="15"/>
      <c r="D263" s="16"/>
      <c r="E263" s="17"/>
      <c r="F263" s="17"/>
      <c r="H263" s="19"/>
      <c r="I263" s="47"/>
      <c r="J263" s="48"/>
      <c r="K263" s="49"/>
    </row>
    <row r="264" spans="1:11" ht="12.75" hidden="1" x14ac:dyDescent="0.2">
      <c r="A264" s="16"/>
      <c r="B264" s="16"/>
      <c r="C264" s="15"/>
      <c r="D264" s="16"/>
      <c r="E264" s="17"/>
      <c r="F264" s="17"/>
      <c r="H264" s="19"/>
      <c r="I264" s="47"/>
      <c r="J264" s="48"/>
      <c r="K264" s="49"/>
    </row>
    <row r="265" spans="1:11" ht="12.75" hidden="1" x14ac:dyDescent="0.2">
      <c r="A265" s="16"/>
      <c r="B265" s="16"/>
      <c r="C265" s="15"/>
      <c r="D265" s="16"/>
      <c r="E265" s="17"/>
      <c r="F265" s="17"/>
      <c r="H265" s="19"/>
      <c r="I265" s="47"/>
      <c r="J265" s="48"/>
      <c r="K265" s="49"/>
    </row>
    <row r="266" spans="1:11" ht="12.75" hidden="1" x14ac:dyDescent="0.2">
      <c r="A266" s="16"/>
      <c r="B266" s="16"/>
      <c r="C266" s="15"/>
      <c r="D266" s="16"/>
      <c r="E266" s="17"/>
      <c r="F266" s="17"/>
      <c r="H266" s="19"/>
      <c r="I266" s="47"/>
      <c r="J266" s="48"/>
      <c r="K266" s="49"/>
    </row>
    <row r="267" spans="1:11" ht="12.75" hidden="1" x14ac:dyDescent="0.2">
      <c r="A267" s="16"/>
      <c r="B267" s="16"/>
      <c r="C267" s="15"/>
      <c r="D267" s="16"/>
      <c r="E267" s="17"/>
      <c r="F267" s="17"/>
      <c r="H267" s="19"/>
      <c r="I267" s="47"/>
      <c r="J267" s="48"/>
      <c r="K267" s="49"/>
    </row>
    <row r="268" spans="1:11" ht="12.75" hidden="1" x14ac:dyDescent="0.2">
      <c r="A268" s="16"/>
      <c r="B268" s="16"/>
      <c r="C268" s="15"/>
      <c r="D268" s="16"/>
      <c r="E268" s="17"/>
      <c r="F268" s="17"/>
      <c r="H268" s="19"/>
      <c r="I268" s="47"/>
      <c r="J268" s="48"/>
      <c r="K268" s="49"/>
    </row>
    <row r="269" spans="1:11" ht="12.75" hidden="1" x14ac:dyDescent="0.2">
      <c r="A269" s="16"/>
      <c r="B269" s="16"/>
      <c r="C269" s="15"/>
      <c r="D269" s="16"/>
      <c r="E269" s="17"/>
      <c r="F269" s="17"/>
      <c r="H269" s="19"/>
      <c r="I269" s="47"/>
      <c r="J269" s="48"/>
      <c r="K269" s="49"/>
    </row>
    <row r="270" spans="1:11" ht="12.75" hidden="1" x14ac:dyDescent="0.2">
      <c r="A270" s="16"/>
      <c r="B270" s="16"/>
      <c r="C270" s="15"/>
      <c r="D270" s="16"/>
      <c r="E270" s="17"/>
      <c r="F270" s="17"/>
      <c r="H270" s="19"/>
      <c r="I270" s="47"/>
      <c r="J270" s="48"/>
      <c r="K270" s="49"/>
    </row>
    <row r="271" spans="1:11" ht="12.75" hidden="1" x14ac:dyDescent="0.2">
      <c r="A271" s="16"/>
      <c r="B271" s="16"/>
      <c r="C271" s="15"/>
      <c r="D271" s="16"/>
      <c r="E271" s="17"/>
      <c r="F271" s="17"/>
      <c r="H271" s="19"/>
      <c r="I271" s="47"/>
      <c r="J271" s="48"/>
      <c r="K271" s="49"/>
    </row>
    <row r="272" spans="1:11" ht="12.75" hidden="1" x14ac:dyDescent="0.2">
      <c r="A272" s="16"/>
      <c r="B272" s="16"/>
      <c r="C272" s="15"/>
      <c r="D272" s="16"/>
      <c r="E272" s="17"/>
      <c r="F272" s="17"/>
      <c r="H272" s="19"/>
      <c r="I272" s="47"/>
      <c r="J272" s="48"/>
      <c r="K272" s="49"/>
    </row>
    <row r="273" spans="1:11" ht="12.75" hidden="1" x14ac:dyDescent="0.2">
      <c r="A273" s="16"/>
      <c r="B273" s="16"/>
      <c r="C273" s="15"/>
      <c r="D273" s="16"/>
      <c r="E273" s="17"/>
      <c r="F273" s="17"/>
      <c r="H273" s="19"/>
      <c r="I273" s="47"/>
      <c r="J273" s="48"/>
      <c r="K273" s="49"/>
    </row>
    <row r="274" spans="1:11" ht="12.75" hidden="1" x14ac:dyDescent="0.2">
      <c r="A274" s="16"/>
      <c r="B274" s="16"/>
      <c r="C274" s="15"/>
      <c r="D274" s="16"/>
      <c r="E274" s="17"/>
      <c r="F274" s="17"/>
      <c r="H274" s="19"/>
      <c r="I274" s="47"/>
      <c r="J274" s="48"/>
      <c r="K274" s="49"/>
    </row>
    <row r="275" spans="1:11" ht="12.75" hidden="1" x14ac:dyDescent="0.2">
      <c r="A275" s="16"/>
      <c r="B275" s="16"/>
      <c r="C275" s="15"/>
      <c r="D275" s="16"/>
      <c r="E275" s="17"/>
      <c r="F275" s="17"/>
      <c r="H275" s="19"/>
      <c r="I275" s="47"/>
      <c r="J275" s="48"/>
      <c r="K275" s="49"/>
    </row>
    <row r="276" spans="1:11" ht="12.75" hidden="1" x14ac:dyDescent="0.2">
      <c r="A276" s="16"/>
      <c r="B276" s="16"/>
      <c r="C276" s="15"/>
      <c r="D276" s="16"/>
      <c r="E276" s="17"/>
      <c r="F276" s="17"/>
      <c r="H276" s="19"/>
      <c r="I276" s="47"/>
      <c r="J276" s="48"/>
      <c r="K276" s="49"/>
    </row>
    <row r="277" spans="1:11" ht="12.75" hidden="1" x14ac:dyDescent="0.2">
      <c r="A277" s="16"/>
      <c r="B277" s="16"/>
      <c r="C277" s="15"/>
      <c r="D277" s="16"/>
      <c r="E277" s="17"/>
      <c r="F277" s="17"/>
      <c r="H277" s="19"/>
      <c r="I277" s="47"/>
      <c r="J277" s="48"/>
      <c r="K277" s="49"/>
    </row>
    <row r="278" spans="1:11" ht="12.75" hidden="1" x14ac:dyDescent="0.2">
      <c r="A278" s="16"/>
      <c r="B278" s="16"/>
      <c r="C278" s="15"/>
      <c r="D278" s="16"/>
      <c r="E278" s="17"/>
      <c r="F278" s="17"/>
      <c r="H278" s="19"/>
      <c r="I278" s="47"/>
      <c r="J278" s="48"/>
      <c r="K278" s="49"/>
    </row>
    <row r="279" spans="1:11" ht="12.75" hidden="1" x14ac:dyDescent="0.2">
      <c r="A279" s="16"/>
      <c r="B279" s="16"/>
      <c r="C279" s="15"/>
      <c r="D279" s="16"/>
      <c r="E279" s="17"/>
      <c r="F279" s="17"/>
      <c r="H279" s="19"/>
      <c r="I279" s="47"/>
      <c r="J279" s="48"/>
      <c r="K279" s="49"/>
    </row>
    <row r="280" spans="1:11" ht="12.75" hidden="1" x14ac:dyDescent="0.2">
      <c r="A280" s="16"/>
      <c r="B280" s="16"/>
      <c r="C280" s="15"/>
      <c r="D280" s="16"/>
      <c r="E280" s="17"/>
      <c r="F280" s="17"/>
      <c r="H280" s="19"/>
      <c r="I280" s="47"/>
      <c r="J280" s="48"/>
      <c r="K280" s="49"/>
    </row>
    <row r="281" spans="1:11" ht="12.75" hidden="1" x14ac:dyDescent="0.2">
      <c r="A281" s="16"/>
      <c r="B281" s="16"/>
      <c r="C281" s="15"/>
      <c r="D281" s="16"/>
      <c r="E281" s="17"/>
      <c r="F281" s="17"/>
      <c r="H281" s="19"/>
      <c r="I281" s="47"/>
      <c r="J281" s="48"/>
      <c r="K281" s="49"/>
    </row>
    <row r="282" spans="1:11" ht="12.75" hidden="1" x14ac:dyDescent="0.2">
      <c r="A282" s="16"/>
      <c r="B282" s="16"/>
      <c r="C282" s="15"/>
      <c r="D282" s="16"/>
      <c r="E282" s="17"/>
      <c r="F282" s="17"/>
      <c r="H282" s="19"/>
      <c r="I282" s="47"/>
      <c r="J282" s="48"/>
      <c r="K282" s="49"/>
    </row>
    <row r="283" spans="1:11" ht="12.75" hidden="1" x14ac:dyDescent="0.2">
      <c r="A283" s="16"/>
      <c r="B283" s="16"/>
      <c r="C283" s="15"/>
      <c r="D283" s="16"/>
      <c r="E283" s="17"/>
      <c r="F283" s="17"/>
      <c r="H283" s="19"/>
      <c r="I283" s="47"/>
      <c r="J283" s="48"/>
      <c r="K283" s="49"/>
    </row>
    <row r="284" spans="1:11" ht="12.75" hidden="1" x14ac:dyDescent="0.2">
      <c r="A284" s="16"/>
      <c r="B284" s="16"/>
      <c r="C284" s="15"/>
      <c r="D284" s="16"/>
      <c r="E284" s="17"/>
      <c r="F284" s="17"/>
      <c r="H284" s="19"/>
      <c r="I284" s="47"/>
      <c r="J284" s="48"/>
      <c r="K284" s="49"/>
    </row>
    <row r="285" spans="1:11" ht="12.75" hidden="1" x14ac:dyDescent="0.2">
      <c r="A285" s="16"/>
      <c r="B285" s="16"/>
      <c r="C285" s="15"/>
      <c r="D285" s="16"/>
      <c r="E285" s="17"/>
      <c r="F285" s="17"/>
      <c r="H285" s="19"/>
      <c r="I285" s="47"/>
      <c r="J285" s="48"/>
      <c r="K285" s="49"/>
    </row>
    <row r="286" spans="1:11" ht="12.75" hidden="1" x14ac:dyDescent="0.2">
      <c r="A286" s="16"/>
      <c r="B286" s="16"/>
      <c r="C286" s="15"/>
      <c r="D286" s="16"/>
      <c r="E286" s="17"/>
      <c r="F286" s="17"/>
      <c r="H286" s="19"/>
      <c r="I286" s="47"/>
      <c r="J286" s="48"/>
      <c r="K286" s="49"/>
    </row>
    <row r="287" spans="1:11" ht="12.75" hidden="1" x14ac:dyDescent="0.2">
      <c r="A287" s="16"/>
      <c r="B287" s="16"/>
      <c r="C287" s="15"/>
      <c r="D287" s="16"/>
      <c r="E287" s="17"/>
      <c r="F287" s="17"/>
      <c r="H287" s="19"/>
      <c r="I287" s="47"/>
      <c r="J287" s="48"/>
      <c r="K287" s="49"/>
    </row>
    <row r="288" spans="1:11" ht="12.75" hidden="1" x14ac:dyDescent="0.2">
      <c r="A288" s="16"/>
      <c r="B288" s="16"/>
      <c r="C288" s="15"/>
      <c r="D288" s="16"/>
      <c r="E288" s="17"/>
      <c r="F288" s="17"/>
      <c r="H288" s="19"/>
      <c r="I288" s="47"/>
      <c r="J288" s="48"/>
      <c r="K288" s="49"/>
    </row>
    <row r="289" spans="1:11" ht="12.75" hidden="1" x14ac:dyDescent="0.2">
      <c r="A289" s="16"/>
      <c r="B289" s="16"/>
      <c r="C289" s="15"/>
      <c r="D289" s="16"/>
      <c r="E289" s="17"/>
      <c r="F289" s="17"/>
      <c r="H289" s="19"/>
      <c r="I289" s="47"/>
      <c r="J289" s="48"/>
      <c r="K289" s="49"/>
    </row>
    <row r="290" spans="1:11" ht="12.75" hidden="1" x14ac:dyDescent="0.2">
      <c r="A290" s="16"/>
      <c r="B290" s="16"/>
      <c r="C290" s="15"/>
      <c r="D290" s="16"/>
      <c r="E290" s="17"/>
      <c r="F290" s="17"/>
      <c r="H290" s="19"/>
      <c r="I290" s="47"/>
      <c r="J290" s="48"/>
      <c r="K290" s="49"/>
    </row>
    <row r="291" spans="1:11" ht="12.75" hidden="1" x14ac:dyDescent="0.2">
      <c r="A291" s="16"/>
      <c r="B291" s="16"/>
      <c r="C291" s="15"/>
      <c r="D291" s="16"/>
      <c r="E291" s="17"/>
      <c r="F291" s="17"/>
      <c r="H291" s="19"/>
      <c r="I291" s="47"/>
      <c r="J291" s="48"/>
      <c r="K291" s="49"/>
    </row>
    <row r="292" spans="1:11" ht="12.75" hidden="1" x14ac:dyDescent="0.2">
      <c r="A292" s="16"/>
      <c r="B292" s="16"/>
      <c r="C292" s="15"/>
      <c r="D292" s="16"/>
      <c r="E292" s="17"/>
      <c r="F292" s="17"/>
      <c r="H292" s="19"/>
      <c r="I292" s="47"/>
      <c r="J292" s="48"/>
      <c r="K292" s="49"/>
    </row>
    <row r="293" spans="1:11" ht="12.75" hidden="1" x14ac:dyDescent="0.2">
      <c r="A293" s="16"/>
      <c r="B293" s="16"/>
      <c r="C293" s="15"/>
      <c r="D293" s="16"/>
      <c r="E293" s="17"/>
      <c r="F293" s="17"/>
      <c r="H293" s="19"/>
      <c r="I293" s="47"/>
      <c r="J293" s="48"/>
      <c r="K293" s="49"/>
    </row>
    <row r="294" spans="1:11" ht="12.75" hidden="1" x14ac:dyDescent="0.2">
      <c r="A294" s="16"/>
      <c r="B294" s="16"/>
      <c r="C294" s="15"/>
      <c r="D294" s="16"/>
      <c r="E294" s="17"/>
      <c r="F294" s="17"/>
      <c r="H294" s="19"/>
      <c r="I294" s="47"/>
      <c r="J294" s="48"/>
      <c r="K294" s="49"/>
    </row>
    <row r="295" spans="1:11" ht="12.75" hidden="1" x14ac:dyDescent="0.2">
      <c r="A295" s="16"/>
      <c r="B295" s="16"/>
      <c r="C295" s="15"/>
      <c r="D295" s="16"/>
      <c r="E295" s="17"/>
      <c r="F295" s="17"/>
      <c r="H295" s="19"/>
      <c r="I295" s="47"/>
      <c r="J295" s="48"/>
      <c r="K295" s="49"/>
    </row>
    <row r="296" spans="1:11" ht="12.75" hidden="1" x14ac:dyDescent="0.2">
      <c r="A296" s="16"/>
      <c r="B296" s="16"/>
      <c r="C296" s="15"/>
      <c r="D296" s="16"/>
      <c r="E296" s="17"/>
      <c r="F296" s="17"/>
      <c r="H296" s="19"/>
      <c r="I296" s="47"/>
      <c r="J296" s="48"/>
      <c r="K296" s="49"/>
    </row>
    <row r="297" spans="1:11" ht="12.75" hidden="1" x14ac:dyDescent="0.2">
      <c r="A297" s="16"/>
      <c r="B297" s="16"/>
      <c r="C297" s="15"/>
      <c r="D297" s="16"/>
      <c r="E297" s="17"/>
      <c r="F297" s="17"/>
      <c r="H297" s="19"/>
      <c r="I297" s="47"/>
      <c r="J297" s="48"/>
      <c r="K297" s="49"/>
    </row>
    <row r="298" spans="1:11" ht="12.75" hidden="1" x14ac:dyDescent="0.2">
      <c r="A298" s="16"/>
      <c r="B298" s="16"/>
      <c r="C298" s="15"/>
      <c r="D298" s="16"/>
      <c r="E298" s="17"/>
      <c r="F298" s="17"/>
      <c r="H298" s="19"/>
      <c r="I298" s="47"/>
      <c r="J298" s="48"/>
      <c r="K298" s="49"/>
    </row>
    <row r="299" spans="1:11" ht="12.75" hidden="1" x14ac:dyDescent="0.2">
      <c r="A299" s="16"/>
      <c r="B299" s="16"/>
      <c r="C299" s="15"/>
      <c r="D299" s="16"/>
      <c r="E299" s="17"/>
      <c r="F299" s="17"/>
      <c r="H299" s="19"/>
      <c r="I299" s="47"/>
      <c r="J299" s="48"/>
      <c r="K299" s="49"/>
    </row>
    <row r="300" spans="1:11" ht="12.75" hidden="1" x14ac:dyDescent="0.2">
      <c r="A300" s="16"/>
      <c r="B300" s="16"/>
      <c r="C300" s="15"/>
      <c r="D300" s="16"/>
      <c r="E300" s="17"/>
      <c r="F300" s="17"/>
      <c r="H300" s="19"/>
      <c r="I300" s="47"/>
      <c r="J300" s="48"/>
      <c r="K300" s="49"/>
    </row>
    <row r="301" spans="1:11" ht="12.75" hidden="1" x14ac:dyDescent="0.2">
      <c r="A301" s="16"/>
      <c r="B301" s="16"/>
      <c r="C301" s="15"/>
      <c r="D301" s="16"/>
      <c r="E301" s="17"/>
      <c r="F301" s="17"/>
      <c r="H301" s="19"/>
      <c r="I301" s="47"/>
      <c r="J301" s="48"/>
      <c r="K301" s="49"/>
    </row>
    <row r="302" spans="1:11" ht="12.75" hidden="1" x14ac:dyDescent="0.2">
      <c r="A302" s="16"/>
      <c r="B302" s="16"/>
      <c r="C302" s="15"/>
      <c r="D302" s="16"/>
      <c r="E302" s="17"/>
      <c r="F302" s="17"/>
      <c r="H302" s="19"/>
      <c r="I302" s="47"/>
      <c r="J302" s="48"/>
      <c r="K302" s="49"/>
    </row>
    <row r="303" spans="1:11" ht="12.75" hidden="1" x14ac:dyDescent="0.2">
      <c r="A303" s="16"/>
      <c r="B303" s="16"/>
      <c r="C303" s="15"/>
      <c r="D303" s="16"/>
      <c r="E303" s="17"/>
      <c r="F303" s="17"/>
      <c r="H303" s="19"/>
      <c r="I303" s="47"/>
      <c r="J303" s="48"/>
      <c r="K303" s="49"/>
    </row>
    <row r="304" spans="1:11" ht="12.75" hidden="1" x14ac:dyDescent="0.2">
      <c r="A304" s="16"/>
      <c r="B304" s="16"/>
      <c r="C304" s="15"/>
      <c r="D304" s="16"/>
      <c r="E304" s="17"/>
      <c r="F304" s="17"/>
      <c r="H304" s="19"/>
      <c r="I304" s="47"/>
      <c r="J304" s="48"/>
      <c r="K304" s="49"/>
    </row>
    <row r="305" spans="1:11" ht="12.75" hidden="1" x14ac:dyDescent="0.2">
      <c r="A305" s="16"/>
      <c r="B305" s="16"/>
      <c r="C305" s="15"/>
      <c r="D305" s="16"/>
      <c r="E305" s="17"/>
      <c r="F305" s="17"/>
      <c r="H305" s="19"/>
      <c r="I305" s="47"/>
      <c r="J305" s="48"/>
      <c r="K305" s="49"/>
    </row>
    <row r="306" spans="1:11" ht="12.75" hidden="1" x14ac:dyDescent="0.2">
      <c r="A306" s="16"/>
      <c r="B306" s="16"/>
      <c r="C306" s="15"/>
      <c r="D306" s="16"/>
      <c r="E306" s="17"/>
      <c r="F306" s="17"/>
      <c r="H306" s="19"/>
      <c r="I306" s="47"/>
      <c r="J306" s="48"/>
      <c r="K306" s="49"/>
    </row>
    <row r="307" spans="1:11" ht="12.75" hidden="1" x14ac:dyDescent="0.2">
      <c r="A307" s="16"/>
      <c r="B307" s="16"/>
      <c r="C307" s="15"/>
      <c r="D307" s="16"/>
      <c r="E307" s="17"/>
      <c r="F307" s="17"/>
      <c r="H307" s="19"/>
      <c r="I307" s="47"/>
      <c r="J307" s="48"/>
      <c r="K307" s="49"/>
    </row>
    <row r="308" spans="1:11" ht="12.75" hidden="1" x14ac:dyDescent="0.2">
      <c r="A308" s="16"/>
      <c r="B308" s="16"/>
      <c r="C308" s="15"/>
      <c r="D308" s="16"/>
      <c r="E308" s="17"/>
      <c r="F308" s="17"/>
      <c r="H308" s="19"/>
      <c r="I308" s="47"/>
      <c r="J308" s="48"/>
      <c r="K308" s="49"/>
    </row>
    <row r="309" spans="1:11" ht="12.75" hidden="1" x14ac:dyDescent="0.2">
      <c r="A309" s="16"/>
      <c r="B309" s="16"/>
      <c r="C309" s="15"/>
      <c r="D309" s="16"/>
      <c r="E309" s="17"/>
      <c r="F309" s="17"/>
      <c r="H309" s="19"/>
      <c r="I309" s="47"/>
      <c r="J309" s="48"/>
      <c r="K309" s="49"/>
    </row>
    <row r="310" spans="1:11" ht="12.75" hidden="1" x14ac:dyDescent="0.2">
      <c r="A310" s="16"/>
      <c r="B310" s="16"/>
      <c r="C310" s="15"/>
      <c r="D310" s="16"/>
      <c r="E310" s="17"/>
      <c r="F310" s="17"/>
      <c r="H310" s="19"/>
      <c r="I310" s="47"/>
      <c r="J310" s="48"/>
      <c r="K310" s="49"/>
    </row>
    <row r="311" spans="1:11" ht="12.75" hidden="1" x14ac:dyDescent="0.2">
      <c r="A311" s="16"/>
      <c r="B311" s="16"/>
      <c r="C311" s="15"/>
      <c r="D311" s="16"/>
      <c r="E311" s="17"/>
      <c r="F311" s="17"/>
      <c r="H311" s="19"/>
      <c r="I311" s="47"/>
      <c r="J311" s="48"/>
      <c r="K311" s="49"/>
    </row>
    <row r="312" spans="1:11" ht="12.75" hidden="1" x14ac:dyDescent="0.2">
      <c r="A312" s="16"/>
      <c r="B312" s="16"/>
      <c r="C312" s="15"/>
      <c r="D312" s="16"/>
      <c r="E312" s="17"/>
      <c r="F312" s="17"/>
      <c r="H312" s="19"/>
      <c r="I312" s="47"/>
      <c r="J312" s="48"/>
      <c r="K312" s="49"/>
    </row>
    <row r="313" spans="1:11" ht="12.75" hidden="1" x14ac:dyDescent="0.2">
      <c r="A313" s="16"/>
      <c r="B313" s="16"/>
      <c r="C313" s="15"/>
      <c r="D313" s="16"/>
      <c r="E313" s="17"/>
      <c r="F313" s="17"/>
      <c r="H313" s="19"/>
      <c r="I313" s="47"/>
      <c r="J313" s="48"/>
      <c r="K313" s="49"/>
    </row>
    <row r="314" spans="1:11" ht="12.75" hidden="1" x14ac:dyDescent="0.2">
      <c r="A314" s="16"/>
      <c r="B314" s="16"/>
      <c r="C314" s="15"/>
      <c r="D314" s="16"/>
      <c r="E314" s="17"/>
      <c r="F314" s="17"/>
      <c r="H314" s="19"/>
      <c r="I314" s="47"/>
      <c r="J314" s="48"/>
      <c r="K314" s="49"/>
    </row>
    <row r="315" spans="1:11" ht="12.75" hidden="1" x14ac:dyDescent="0.2">
      <c r="A315" s="16"/>
      <c r="B315" s="16"/>
      <c r="C315" s="15"/>
      <c r="D315" s="16"/>
      <c r="E315" s="17"/>
      <c r="F315" s="17"/>
      <c r="H315" s="19"/>
      <c r="I315" s="47"/>
      <c r="J315" s="48"/>
      <c r="K315" s="49"/>
    </row>
    <row r="316" spans="1:11" ht="12.75" hidden="1" x14ac:dyDescent="0.2">
      <c r="A316" s="16"/>
      <c r="B316" s="16"/>
      <c r="C316" s="15"/>
      <c r="D316" s="16"/>
      <c r="E316" s="17"/>
      <c r="F316" s="17"/>
      <c r="H316" s="19"/>
      <c r="I316" s="47"/>
      <c r="J316" s="48"/>
      <c r="K316" s="49"/>
    </row>
    <row r="317" spans="1:11" ht="12.75" hidden="1" x14ac:dyDescent="0.2">
      <c r="A317" s="16"/>
      <c r="B317" s="16"/>
      <c r="C317" s="15"/>
      <c r="D317" s="16"/>
      <c r="E317" s="17"/>
      <c r="F317" s="17"/>
      <c r="H317" s="19"/>
      <c r="I317" s="47"/>
      <c r="J317" s="48"/>
      <c r="K317" s="49"/>
    </row>
    <row r="318" spans="1:11" ht="12.75" hidden="1" x14ac:dyDescent="0.2">
      <c r="A318" s="16"/>
      <c r="B318" s="16"/>
      <c r="C318" s="15"/>
      <c r="D318" s="16"/>
      <c r="E318" s="17"/>
      <c r="F318" s="17"/>
      <c r="H318" s="19"/>
      <c r="I318" s="47"/>
      <c r="J318" s="48"/>
      <c r="K318" s="49"/>
    </row>
    <row r="319" spans="1:11" ht="12.75" hidden="1" x14ac:dyDescent="0.2">
      <c r="A319" s="16"/>
      <c r="B319" s="16"/>
      <c r="C319" s="15"/>
      <c r="D319" s="16"/>
      <c r="E319" s="17"/>
      <c r="F319" s="17"/>
      <c r="H319" s="19"/>
      <c r="I319" s="47"/>
      <c r="J319" s="48"/>
      <c r="K319" s="49"/>
    </row>
    <row r="320" spans="1:11" ht="12.75" hidden="1" x14ac:dyDescent="0.2">
      <c r="A320" s="16"/>
      <c r="B320" s="16"/>
      <c r="C320" s="15"/>
      <c r="D320" s="16"/>
      <c r="E320" s="17"/>
      <c r="F320" s="17"/>
      <c r="H320" s="19"/>
      <c r="I320" s="47"/>
      <c r="J320" s="48"/>
      <c r="K320" s="49"/>
    </row>
    <row r="321" spans="1:11" ht="12.75" hidden="1" x14ac:dyDescent="0.2">
      <c r="A321" s="16"/>
      <c r="B321" s="16"/>
      <c r="C321" s="15"/>
      <c r="D321" s="16"/>
      <c r="E321" s="17"/>
      <c r="F321" s="17"/>
      <c r="H321" s="19"/>
      <c r="I321" s="47"/>
      <c r="J321" s="48"/>
      <c r="K321" s="49"/>
    </row>
    <row r="322" spans="1:11" ht="12.75" hidden="1" x14ac:dyDescent="0.2">
      <c r="A322" s="16"/>
      <c r="B322" s="16"/>
      <c r="C322" s="15"/>
      <c r="D322" s="16"/>
      <c r="E322" s="17"/>
      <c r="F322" s="17"/>
      <c r="H322" s="19"/>
      <c r="I322" s="47"/>
      <c r="J322" s="48"/>
      <c r="K322" s="49"/>
    </row>
    <row r="323" spans="1:11" ht="12.75" hidden="1" x14ac:dyDescent="0.2">
      <c r="A323" s="16"/>
      <c r="B323" s="16"/>
      <c r="C323" s="15"/>
      <c r="D323" s="16"/>
      <c r="E323" s="17"/>
      <c r="F323" s="17"/>
      <c r="H323" s="19"/>
      <c r="I323" s="47"/>
      <c r="J323" s="48"/>
      <c r="K323" s="49"/>
    </row>
    <row r="324" spans="1:11" ht="12.75" hidden="1" x14ac:dyDescent="0.2">
      <c r="A324" s="16"/>
      <c r="B324" s="16"/>
      <c r="C324" s="15"/>
      <c r="D324" s="16"/>
      <c r="E324" s="17"/>
      <c r="F324" s="17"/>
      <c r="H324" s="19"/>
      <c r="I324" s="47"/>
      <c r="J324" s="48"/>
      <c r="K324" s="49"/>
    </row>
    <row r="325" spans="1:11" ht="12.75" hidden="1" x14ac:dyDescent="0.2">
      <c r="A325" s="16"/>
      <c r="B325" s="16"/>
      <c r="C325" s="15"/>
      <c r="D325" s="16"/>
      <c r="E325" s="17"/>
      <c r="F325" s="17"/>
      <c r="H325" s="19"/>
      <c r="I325" s="47"/>
      <c r="J325" s="48"/>
      <c r="K325" s="49"/>
    </row>
    <row r="326" spans="1:11" ht="12.75" hidden="1" x14ac:dyDescent="0.2">
      <c r="A326" s="16"/>
      <c r="B326" s="16"/>
      <c r="C326" s="15"/>
      <c r="D326" s="16"/>
      <c r="E326" s="17"/>
      <c r="F326" s="17"/>
      <c r="H326" s="19"/>
      <c r="I326" s="47"/>
      <c r="J326" s="48"/>
      <c r="K326" s="49"/>
    </row>
    <row r="327" spans="1:11" ht="12.75" hidden="1" x14ac:dyDescent="0.2">
      <c r="A327" s="16"/>
      <c r="B327" s="16"/>
      <c r="C327" s="15"/>
      <c r="D327" s="16"/>
      <c r="E327" s="17"/>
      <c r="F327" s="17"/>
      <c r="H327" s="19"/>
      <c r="I327" s="47"/>
      <c r="J327" s="48"/>
      <c r="K327" s="49"/>
    </row>
    <row r="328" spans="1:11" ht="12.75" hidden="1" x14ac:dyDescent="0.2">
      <c r="A328" s="16"/>
      <c r="B328" s="16"/>
      <c r="C328" s="15"/>
      <c r="D328" s="16"/>
      <c r="E328" s="17"/>
      <c r="F328" s="17"/>
      <c r="H328" s="19"/>
      <c r="I328" s="47"/>
      <c r="J328" s="48"/>
      <c r="K328" s="49"/>
    </row>
    <row r="329" spans="1:11" ht="12.75" hidden="1" x14ac:dyDescent="0.2">
      <c r="A329" s="16"/>
      <c r="B329" s="16"/>
      <c r="C329" s="15"/>
      <c r="D329" s="16"/>
      <c r="E329" s="17"/>
      <c r="F329" s="17"/>
      <c r="H329" s="19"/>
      <c r="I329" s="47"/>
      <c r="J329" s="48"/>
      <c r="K329" s="49"/>
    </row>
    <row r="330" spans="1:11" ht="12.75" hidden="1" x14ac:dyDescent="0.2">
      <c r="A330" s="16"/>
      <c r="B330" s="16"/>
      <c r="C330" s="15"/>
      <c r="D330" s="16"/>
      <c r="E330" s="17"/>
      <c r="F330" s="17"/>
      <c r="H330" s="19"/>
      <c r="I330" s="47"/>
      <c r="J330" s="48"/>
      <c r="K330" s="49"/>
    </row>
    <row r="331" spans="1:11" ht="12.75" hidden="1" x14ac:dyDescent="0.2">
      <c r="A331" s="16"/>
      <c r="B331" s="16"/>
      <c r="C331" s="15"/>
      <c r="D331" s="16"/>
      <c r="E331" s="17"/>
      <c r="F331" s="17"/>
      <c r="H331" s="19"/>
      <c r="I331" s="47"/>
      <c r="J331" s="48"/>
      <c r="K331" s="49"/>
    </row>
    <row r="332" spans="1:11" ht="12.75" hidden="1" x14ac:dyDescent="0.2">
      <c r="A332" s="16"/>
      <c r="B332" s="16"/>
      <c r="C332" s="15"/>
      <c r="D332" s="16"/>
      <c r="E332" s="17"/>
      <c r="F332" s="17"/>
      <c r="H332" s="19"/>
      <c r="I332" s="47"/>
      <c r="J332" s="48"/>
      <c r="K332" s="49"/>
    </row>
    <row r="333" spans="1:11" ht="12.75" hidden="1" x14ac:dyDescent="0.2">
      <c r="A333" s="16"/>
      <c r="B333" s="16"/>
      <c r="C333" s="15"/>
      <c r="D333" s="16"/>
      <c r="E333" s="17"/>
      <c r="F333" s="17"/>
      <c r="H333" s="19"/>
      <c r="I333" s="47"/>
      <c r="J333" s="48"/>
      <c r="K333" s="49"/>
    </row>
    <row r="334" spans="1:11" ht="12.75" hidden="1" x14ac:dyDescent="0.2">
      <c r="A334" s="16"/>
      <c r="B334" s="16"/>
      <c r="C334" s="15"/>
      <c r="D334" s="16"/>
      <c r="E334" s="17"/>
      <c r="F334" s="17"/>
      <c r="H334" s="19"/>
      <c r="I334" s="47"/>
      <c r="J334" s="48"/>
      <c r="K334" s="49"/>
    </row>
    <row r="335" spans="1:11" ht="12.75" hidden="1" x14ac:dyDescent="0.2">
      <c r="A335" s="16"/>
      <c r="B335" s="16"/>
      <c r="C335" s="15"/>
      <c r="D335" s="16"/>
      <c r="E335" s="17"/>
      <c r="F335" s="17"/>
      <c r="H335" s="19"/>
      <c r="I335" s="47"/>
      <c r="J335" s="48"/>
      <c r="K335" s="49"/>
    </row>
    <row r="336" spans="1:11" ht="12.75" hidden="1" x14ac:dyDescent="0.2">
      <c r="A336" s="16"/>
      <c r="B336" s="16"/>
      <c r="C336" s="15"/>
      <c r="D336" s="16"/>
      <c r="E336" s="17"/>
      <c r="F336" s="17"/>
      <c r="H336" s="19"/>
      <c r="I336" s="47"/>
      <c r="J336" s="48"/>
      <c r="K336" s="49"/>
    </row>
    <row r="337" spans="1:11" ht="12.75" hidden="1" x14ac:dyDescent="0.2">
      <c r="A337" s="16"/>
      <c r="B337" s="16"/>
      <c r="C337" s="15"/>
      <c r="D337" s="16"/>
      <c r="E337" s="17"/>
      <c r="F337" s="17"/>
      <c r="H337" s="19"/>
      <c r="I337" s="47"/>
      <c r="J337" s="48"/>
      <c r="K337" s="49"/>
    </row>
    <row r="338" spans="1:11" ht="12.75" hidden="1" x14ac:dyDescent="0.2">
      <c r="A338" s="16"/>
      <c r="B338" s="16"/>
      <c r="C338" s="15"/>
      <c r="D338" s="16"/>
      <c r="E338" s="17"/>
      <c r="F338" s="17"/>
      <c r="H338" s="19"/>
      <c r="I338" s="47"/>
      <c r="J338" s="48"/>
      <c r="K338" s="49"/>
    </row>
    <row r="339" spans="1:11" ht="12.75" hidden="1" x14ac:dyDescent="0.2">
      <c r="A339" s="16"/>
      <c r="B339" s="16"/>
      <c r="C339" s="15"/>
      <c r="D339" s="16"/>
      <c r="E339" s="17"/>
      <c r="F339" s="17"/>
      <c r="H339" s="19"/>
      <c r="I339" s="47"/>
      <c r="J339" s="48"/>
      <c r="K339" s="49"/>
    </row>
    <row r="340" spans="1:11" ht="12.75" hidden="1" x14ac:dyDescent="0.2">
      <c r="A340" s="16"/>
      <c r="B340" s="16"/>
      <c r="C340" s="15"/>
      <c r="D340" s="16"/>
      <c r="E340" s="17"/>
      <c r="F340" s="17"/>
      <c r="H340" s="19"/>
      <c r="I340" s="47"/>
      <c r="J340" s="48"/>
      <c r="K340" s="49"/>
    </row>
    <row r="341" spans="1:11" ht="12.75" hidden="1" x14ac:dyDescent="0.2">
      <c r="A341" s="16"/>
      <c r="B341" s="16"/>
      <c r="C341" s="15"/>
      <c r="D341" s="16"/>
      <c r="E341" s="17"/>
      <c r="F341" s="17"/>
      <c r="H341" s="19"/>
      <c r="I341" s="47"/>
      <c r="J341" s="48"/>
      <c r="K341" s="49"/>
    </row>
    <row r="342" spans="1:11" ht="12.75" hidden="1" x14ac:dyDescent="0.2">
      <c r="A342" s="16"/>
      <c r="B342" s="16"/>
      <c r="C342" s="15"/>
      <c r="D342" s="16"/>
      <c r="E342" s="17"/>
      <c r="F342" s="17"/>
      <c r="H342" s="19"/>
      <c r="I342" s="47"/>
      <c r="J342" s="48"/>
      <c r="K342" s="49"/>
    </row>
    <row r="343" spans="1:11" ht="12.75" hidden="1" x14ac:dyDescent="0.2">
      <c r="A343" s="16"/>
      <c r="B343" s="16"/>
      <c r="C343" s="15"/>
      <c r="D343" s="16"/>
      <c r="E343" s="17"/>
      <c r="F343" s="17"/>
      <c r="H343" s="19"/>
      <c r="I343" s="47"/>
      <c r="J343" s="48"/>
      <c r="K343" s="49"/>
    </row>
    <row r="344" spans="1:11" ht="12.75" hidden="1" x14ac:dyDescent="0.2">
      <c r="A344" s="16"/>
      <c r="B344" s="16"/>
      <c r="C344" s="15"/>
      <c r="D344" s="16"/>
      <c r="E344" s="17"/>
      <c r="F344" s="17"/>
      <c r="H344" s="19"/>
      <c r="I344" s="47"/>
      <c r="J344" s="48"/>
      <c r="K344" s="49"/>
    </row>
    <row r="345" spans="1:11" ht="12.75" hidden="1" x14ac:dyDescent="0.2">
      <c r="A345" s="16"/>
      <c r="B345" s="16"/>
      <c r="C345" s="15"/>
      <c r="D345" s="16"/>
      <c r="E345" s="17"/>
      <c r="F345" s="17"/>
      <c r="H345" s="19"/>
      <c r="I345" s="47"/>
      <c r="J345" s="48"/>
      <c r="K345" s="49"/>
    </row>
    <row r="346" spans="1:11" ht="12.75" hidden="1" x14ac:dyDescent="0.2">
      <c r="A346" s="16"/>
      <c r="B346" s="16"/>
      <c r="C346" s="15"/>
      <c r="D346" s="16"/>
      <c r="E346" s="17"/>
      <c r="F346" s="17"/>
      <c r="H346" s="19"/>
      <c r="I346" s="47"/>
      <c r="J346" s="48"/>
      <c r="K346" s="49"/>
    </row>
    <row r="347" spans="1:11" ht="12.75" hidden="1" x14ac:dyDescent="0.2">
      <c r="A347" s="16"/>
      <c r="B347" s="16"/>
      <c r="C347" s="15"/>
      <c r="D347" s="16"/>
      <c r="E347" s="17"/>
      <c r="F347" s="17"/>
      <c r="H347" s="19"/>
      <c r="I347" s="47"/>
      <c r="J347" s="48"/>
      <c r="K347" s="49"/>
    </row>
    <row r="348" spans="1:11" ht="12.75" hidden="1" x14ac:dyDescent="0.2">
      <c r="A348" s="16"/>
      <c r="B348" s="16"/>
      <c r="C348" s="15"/>
      <c r="D348" s="16"/>
      <c r="E348" s="17"/>
      <c r="F348" s="17"/>
      <c r="H348" s="19"/>
      <c r="I348" s="47"/>
      <c r="J348" s="48"/>
      <c r="K348" s="49"/>
    </row>
    <row r="349" spans="1:11" ht="12.75" hidden="1" x14ac:dyDescent="0.2">
      <c r="A349" s="16"/>
      <c r="B349" s="16"/>
      <c r="C349" s="15"/>
      <c r="D349" s="16"/>
      <c r="E349" s="17"/>
      <c r="F349" s="17"/>
      <c r="H349" s="19"/>
      <c r="I349" s="47"/>
      <c r="J349" s="48"/>
      <c r="K349" s="49"/>
    </row>
    <row r="350" spans="1:11" ht="12.75" hidden="1" x14ac:dyDescent="0.2">
      <c r="A350" s="16"/>
      <c r="B350" s="16"/>
      <c r="C350" s="15"/>
      <c r="D350" s="16"/>
      <c r="E350" s="17"/>
      <c r="F350" s="17"/>
      <c r="H350" s="19"/>
      <c r="I350" s="47"/>
      <c r="J350" s="48"/>
      <c r="K350" s="49"/>
    </row>
    <row r="351" spans="1:11" ht="12.75" hidden="1" x14ac:dyDescent="0.2">
      <c r="A351" s="16"/>
      <c r="B351" s="16"/>
      <c r="C351" s="15"/>
      <c r="D351" s="16"/>
      <c r="E351" s="17"/>
      <c r="F351" s="17"/>
      <c r="H351" s="19"/>
      <c r="I351" s="47"/>
      <c r="J351" s="48"/>
      <c r="K351" s="49"/>
    </row>
    <row r="352" spans="1:11" ht="12.75" hidden="1" x14ac:dyDescent="0.2">
      <c r="A352" s="16"/>
      <c r="B352" s="16"/>
      <c r="C352" s="15"/>
      <c r="D352" s="16"/>
      <c r="E352" s="17"/>
      <c r="F352" s="17"/>
      <c r="H352" s="19"/>
      <c r="I352" s="47"/>
      <c r="J352" s="48"/>
      <c r="K352" s="49"/>
    </row>
    <row r="353" spans="1:11" ht="12.75" hidden="1" x14ac:dyDescent="0.2">
      <c r="A353" s="16"/>
      <c r="B353" s="16"/>
      <c r="C353" s="15"/>
      <c r="D353" s="16"/>
      <c r="E353" s="17"/>
      <c r="F353" s="17"/>
      <c r="H353" s="19"/>
      <c r="I353" s="47"/>
      <c r="J353" s="48"/>
      <c r="K353" s="49"/>
    </row>
    <row r="354" spans="1:11" ht="12.75" hidden="1" x14ac:dyDescent="0.2">
      <c r="A354" s="16"/>
      <c r="B354" s="16"/>
      <c r="C354" s="15"/>
      <c r="D354" s="16"/>
      <c r="E354" s="17"/>
      <c r="F354" s="17"/>
      <c r="H354" s="19"/>
      <c r="I354" s="47"/>
      <c r="J354" s="48"/>
      <c r="K354" s="49"/>
    </row>
    <row r="355" spans="1:11" ht="12.75" hidden="1" x14ac:dyDescent="0.2">
      <c r="A355" s="16"/>
      <c r="B355" s="16"/>
      <c r="C355" s="15"/>
      <c r="D355" s="16"/>
      <c r="E355" s="17"/>
      <c r="F355" s="17"/>
      <c r="H355" s="19"/>
      <c r="I355" s="47"/>
      <c r="J355" s="48"/>
      <c r="K355" s="49"/>
    </row>
    <row r="356" spans="1:11" ht="12.75" hidden="1" x14ac:dyDescent="0.2">
      <c r="A356" s="16"/>
      <c r="B356" s="16"/>
      <c r="C356" s="15"/>
      <c r="D356" s="16"/>
      <c r="E356" s="17"/>
      <c r="F356" s="17"/>
      <c r="H356" s="19"/>
      <c r="I356" s="47"/>
      <c r="J356" s="48"/>
      <c r="K356" s="49"/>
    </row>
    <row r="357" spans="1:11" ht="12.75" hidden="1" x14ac:dyDescent="0.2">
      <c r="A357" s="16"/>
      <c r="B357" s="16"/>
      <c r="C357" s="15"/>
      <c r="D357" s="16"/>
      <c r="E357" s="17"/>
      <c r="F357" s="17"/>
      <c r="H357" s="19"/>
      <c r="I357" s="47"/>
      <c r="J357" s="48"/>
      <c r="K357" s="49"/>
    </row>
    <row r="358" spans="1:11" ht="12.75" hidden="1" x14ac:dyDescent="0.2">
      <c r="A358" s="16"/>
      <c r="B358" s="16"/>
      <c r="C358" s="15"/>
      <c r="D358" s="16"/>
      <c r="E358" s="17"/>
      <c r="F358" s="17"/>
      <c r="H358" s="19"/>
      <c r="I358" s="47"/>
      <c r="J358" s="48"/>
      <c r="K358" s="49"/>
    </row>
    <row r="359" spans="1:11" ht="12.75" hidden="1" x14ac:dyDescent="0.2">
      <c r="A359" s="16"/>
      <c r="B359" s="16"/>
      <c r="C359" s="15"/>
      <c r="D359" s="16"/>
      <c r="E359" s="17"/>
      <c r="F359" s="17"/>
      <c r="H359" s="19"/>
      <c r="I359" s="47"/>
      <c r="J359" s="48"/>
      <c r="K359" s="49"/>
    </row>
    <row r="360" spans="1:11" ht="12.75" hidden="1" x14ac:dyDescent="0.2">
      <c r="A360" s="16"/>
      <c r="B360" s="16"/>
      <c r="C360" s="15"/>
      <c r="D360" s="16"/>
      <c r="E360" s="17"/>
      <c r="F360" s="17"/>
      <c r="H360" s="19"/>
      <c r="I360" s="47"/>
      <c r="J360" s="48"/>
      <c r="K360" s="49"/>
    </row>
    <row r="361" spans="1:11" ht="12.75" hidden="1" x14ac:dyDescent="0.2">
      <c r="A361" s="16"/>
      <c r="B361" s="16"/>
      <c r="C361" s="15"/>
      <c r="D361" s="16"/>
      <c r="E361" s="17"/>
      <c r="F361" s="17"/>
      <c r="H361" s="19"/>
      <c r="I361" s="47"/>
      <c r="J361" s="48"/>
      <c r="K361" s="49"/>
    </row>
    <row r="362" spans="1:11" ht="12.75" hidden="1" x14ac:dyDescent="0.2">
      <c r="A362" s="16"/>
      <c r="B362" s="16"/>
      <c r="C362" s="15"/>
      <c r="D362" s="16"/>
      <c r="E362" s="17"/>
      <c r="F362" s="17"/>
      <c r="H362" s="19"/>
      <c r="I362" s="47"/>
      <c r="J362" s="48"/>
      <c r="K362" s="49"/>
    </row>
    <row r="363" spans="1:11" ht="12.75" hidden="1" x14ac:dyDescent="0.2">
      <c r="A363" s="16"/>
      <c r="B363" s="16"/>
      <c r="C363" s="15"/>
      <c r="D363" s="16"/>
      <c r="E363" s="17"/>
      <c r="F363" s="17"/>
      <c r="H363" s="19"/>
      <c r="I363" s="47"/>
      <c r="J363" s="48"/>
      <c r="K363" s="49"/>
    </row>
    <row r="364" spans="1:11" ht="12.75" hidden="1" x14ac:dyDescent="0.2">
      <c r="A364" s="16"/>
      <c r="B364" s="16"/>
      <c r="C364" s="15"/>
      <c r="D364" s="16"/>
      <c r="E364" s="17"/>
      <c r="F364" s="17"/>
      <c r="H364" s="19"/>
      <c r="I364" s="47"/>
      <c r="J364" s="48"/>
      <c r="K364" s="49"/>
    </row>
    <row r="365" spans="1:11" ht="12.75" hidden="1" x14ac:dyDescent="0.2">
      <c r="A365" s="16"/>
      <c r="B365" s="16"/>
      <c r="C365" s="15"/>
      <c r="D365" s="16"/>
      <c r="E365" s="17"/>
      <c r="F365" s="17"/>
      <c r="H365" s="19"/>
      <c r="I365" s="47"/>
      <c r="J365" s="48"/>
      <c r="K365" s="49"/>
    </row>
    <row r="366" spans="1:11" ht="12.75" hidden="1" x14ac:dyDescent="0.2">
      <c r="A366" s="16"/>
      <c r="B366" s="16"/>
      <c r="C366" s="15"/>
      <c r="D366" s="16"/>
      <c r="E366" s="17"/>
      <c r="F366" s="17"/>
      <c r="H366" s="19"/>
      <c r="I366" s="47"/>
      <c r="J366" s="48"/>
      <c r="K366" s="49"/>
    </row>
    <row r="367" spans="1:11" ht="12.75" hidden="1" x14ac:dyDescent="0.2">
      <c r="A367" s="16"/>
      <c r="B367" s="16"/>
      <c r="C367" s="15"/>
      <c r="D367" s="16"/>
      <c r="E367" s="17"/>
      <c r="F367" s="17"/>
      <c r="H367" s="19"/>
      <c r="I367" s="47"/>
      <c r="J367" s="48"/>
      <c r="K367" s="49"/>
    </row>
    <row r="368" spans="1:11" ht="12.75" hidden="1" x14ac:dyDescent="0.2">
      <c r="A368" s="16"/>
      <c r="B368" s="16"/>
      <c r="C368" s="15"/>
      <c r="D368" s="16"/>
      <c r="E368" s="17"/>
      <c r="F368" s="17"/>
      <c r="H368" s="19"/>
      <c r="I368" s="47"/>
      <c r="J368" s="48"/>
      <c r="K368" s="49"/>
    </row>
    <row r="369" spans="1:11" ht="12.75" hidden="1" x14ac:dyDescent="0.2">
      <c r="A369" s="16"/>
      <c r="B369" s="16"/>
      <c r="C369" s="15"/>
      <c r="D369" s="16"/>
      <c r="E369" s="17"/>
      <c r="F369" s="17"/>
      <c r="H369" s="19"/>
      <c r="I369" s="47"/>
      <c r="J369" s="48"/>
      <c r="K369" s="49"/>
    </row>
    <row r="370" spans="1:11" ht="12.75" hidden="1" x14ac:dyDescent="0.2">
      <c r="A370" s="16"/>
      <c r="B370" s="16"/>
      <c r="C370" s="15"/>
      <c r="D370" s="16"/>
      <c r="E370" s="17"/>
      <c r="F370" s="17"/>
      <c r="H370" s="19"/>
      <c r="I370" s="47"/>
      <c r="J370" s="48"/>
      <c r="K370" s="49"/>
    </row>
    <row r="371" spans="1:11" ht="12.75" hidden="1" x14ac:dyDescent="0.2">
      <c r="A371" s="16"/>
      <c r="B371" s="16"/>
      <c r="C371" s="15"/>
      <c r="D371" s="16"/>
      <c r="E371" s="17"/>
      <c r="F371" s="17"/>
      <c r="H371" s="19"/>
      <c r="I371" s="47"/>
      <c r="J371" s="48"/>
      <c r="K371" s="49"/>
    </row>
    <row r="372" spans="1:11" ht="12.75" hidden="1" x14ac:dyDescent="0.2">
      <c r="A372" s="16"/>
      <c r="B372" s="16"/>
      <c r="C372" s="15"/>
      <c r="D372" s="16"/>
      <c r="E372" s="17"/>
      <c r="F372" s="17"/>
      <c r="H372" s="19"/>
      <c r="I372" s="47"/>
      <c r="J372" s="48"/>
      <c r="K372" s="49"/>
    </row>
    <row r="373" spans="1:11" ht="12.75" hidden="1" x14ac:dyDescent="0.2">
      <c r="A373" s="16"/>
      <c r="B373" s="16"/>
      <c r="C373" s="15"/>
      <c r="D373" s="16"/>
      <c r="E373" s="17"/>
      <c r="F373" s="17"/>
      <c r="H373" s="19"/>
      <c r="I373" s="47"/>
      <c r="J373" s="48"/>
      <c r="K373" s="49"/>
    </row>
    <row r="374" spans="1:11" ht="12.75" hidden="1" x14ac:dyDescent="0.2">
      <c r="A374" s="16"/>
      <c r="B374" s="16"/>
      <c r="C374" s="15"/>
      <c r="D374" s="16"/>
      <c r="E374" s="17"/>
      <c r="F374" s="17"/>
      <c r="H374" s="19"/>
      <c r="I374" s="47"/>
      <c r="J374" s="48"/>
      <c r="K374" s="49"/>
    </row>
    <row r="375" spans="1:11" ht="12.75" hidden="1" x14ac:dyDescent="0.2">
      <c r="A375" s="16"/>
      <c r="B375" s="16"/>
      <c r="C375" s="15"/>
      <c r="D375" s="16"/>
      <c r="E375" s="17"/>
      <c r="F375" s="17"/>
      <c r="H375" s="19"/>
      <c r="I375" s="47"/>
      <c r="J375" s="48"/>
      <c r="K375" s="49"/>
    </row>
    <row r="376" spans="1:11" ht="12.75" hidden="1" x14ac:dyDescent="0.2">
      <c r="A376" s="16"/>
      <c r="B376" s="16"/>
      <c r="C376" s="15"/>
      <c r="D376" s="16"/>
      <c r="E376" s="17"/>
      <c r="F376" s="17"/>
      <c r="H376" s="19"/>
      <c r="I376" s="47"/>
      <c r="J376" s="48"/>
      <c r="K376" s="49"/>
    </row>
    <row r="377" spans="1:11" ht="12.75" hidden="1" x14ac:dyDescent="0.2">
      <c r="A377" s="16"/>
      <c r="B377" s="16"/>
      <c r="C377" s="15"/>
      <c r="D377" s="16"/>
      <c r="E377" s="17"/>
      <c r="F377" s="17"/>
      <c r="H377" s="19"/>
      <c r="I377" s="47"/>
      <c r="J377" s="48"/>
      <c r="K377" s="49"/>
    </row>
    <row r="378" spans="1:11" ht="12.75" hidden="1" x14ac:dyDescent="0.2">
      <c r="A378" s="16"/>
      <c r="B378" s="16"/>
      <c r="C378" s="15"/>
      <c r="D378" s="16"/>
      <c r="E378" s="17"/>
      <c r="F378" s="17"/>
      <c r="H378" s="19"/>
      <c r="I378" s="47"/>
      <c r="J378" s="48"/>
      <c r="K378" s="49"/>
    </row>
    <row r="379" spans="1:11" ht="12.75" hidden="1" x14ac:dyDescent="0.2">
      <c r="A379" s="16"/>
      <c r="B379" s="16"/>
      <c r="C379" s="15"/>
      <c r="D379" s="16"/>
      <c r="E379" s="17"/>
      <c r="F379" s="17"/>
      <c r="H379" s="19"/>
      <c r="I379" s="47"/>
      <c r="J379" s="48"/>
      <c r="K379" s="49"/>
    </row>
    <row r="380" spans="1:11" ht="12.75" hidden="1" x14ac:dyDescent="0.2">
      <c r="A380" s="16"/>
      <c r="B380" s="16"/>
      <c r="C380" s="15"/>
      <c r="D380" s="16"/>
      <c r="E380" s="17"/>
      <c r="F380" s="17"/>
      <c r="H380" s="19"/>
      <c r="I380" s="47"/>
      <c r="J380" s="48"/>
      <c r="K380" s="49"/>
    </row>
    <row r="381" spans="1:11" ht="12.75" hidden="1" x14ac:dyDescent="0.2">
      <c r="A381" s="16"/>
      <c r="B381" s="16"/>
      <c r="C381" s="15"/>
      <c r="D381" s="16"/>
      <c r="E381" s="17"/>
      <c r="F381" s="17"/>
      <c r="H381" s="19"/>
      <c r="I381" s="47"/>
      <c r="J381" s="48"/>
      <c r="K381" s="49"/>
    </row>
    <row r="382" spans="1:11" ht="12.75" hidden="1" x14ac:dyDescent="0.2">
      <c r="A382" s="16"/>
      <c r="B382" s="16"/>
      <c r="C382" s="15"/>
      <c r="D382" s="16"/>
      <c r="E382" s="17"/>
      <c r="F382" s="17"/>
      <c r="H382" s="19"/>
      <c r="I382" s="47"/>
      <c r="J382" s="48"/>
      <c r="K382" s="49"/>
    </row>
    <row r="383" spans="1:11" ht="12.75" hidden="1" x14ac:dyDescent="0.2">
      <c r="A383" s="16"/>
      <c r="B383" s="16"/>
      <c r="C383" s="15"/>
      <c r="D383" s="16"/>
      <c r="E383" s="17"/>
      <c r="F383" s="17"/>
      <c r="H383" s="19"/>
      <c r="I383" s="47"/>
      <c r="J383" s="48"/>
      <c r="K383" s="49"/>
    </row>
    <row r="384" spans="1:11" ht="12.75" hidden="1" x14ac:dyDescent="0.2">
      <c r="A384" s="16"/>
      <c r="B384" s="16"/>
      <c r="C384" s="15"/>
      <c r="D384" s="16"/>
      <c r="E384" s="17"/>
      <c r="F384" s="17"/>
      <c r="H384" s="19"/>
      <c r="I384" s="47"/>
      <c r="J384" s="48"/>
      <c r="K384" s="49"/>
    </row>
    <row r="385" spans="1:11" ht="12.75" hidden="1" x14ac:dyDescent="0.2">
      <c r="A385" s="16"/>
      <c r="B385" s="16"/>
      <c r="C385" s="15"/>
      <c r="D385" s="16"/>
      <c r="E385" s="17"/>
      <c r="F385" s="17"/>
      <c r="H385" s="19"/>
      <c r="I385" s="47"/>
      <c r="J385" s="48"/>
      <c r="K385" s="49"/>
    </row>
    <row r="386" spans="1:11" ht="12.75" hidden="1" x14ac:dyDescent="0.2">
      <c r="A386" s="16"/>
      <c r="B386" s="16"/>
      <c r="C386" s="15"/>
      <c r="D386" s="16"/>
      <c r="E386" s="17"/>
      <c r="F386" s="17"/>
      <c r="H386" s="19"/>
      <c r="I386" s="47"/>
      <c r="J386" s="48"/>
      <c r="K386" s="49"/>
    </row>
    <row r="387" spans="1:11" ht="12.75" hidden="1" x14ac:dyDescent="0.2">
      <c r="A387" s="16"/>
      <c r="B387" s="16"/>
      <c r="C387" s="15"/>
      <c r="D387" s="16"/>
      <c r="E387" s="17"/>
      <c r="F387" s="17"/>
      <c r="H387" s="19"/>
      <c r="I387" s="47"/>
      <c r="J387" s="48"/>
      <c r="K387" s="49"/>
    </row>
    <row r="388" spans="1:11" ht="12.75" hidden="1" x14ac:dyDescent="0.2">
      <c r="A388" s="16"/>
      <c r="B388" s="16"/>
      <c r="C388" s="15"/>
      <c r="D388" s="16"/>
      <c r="E388" s="17"/>
      <c r="F388" s="17"/>
      <c r="H388" s="19"/>
      <c r="I388" s="47"/>
      <c r="J388" s="48"/>
      <c r="K388" s="49"/>
    </row>
    <row r="389" spans="1:11" ht="12.75" hidden="1" x14ac:dyDescent="0.2">
      <c r="A389" s="16"/>
      <c r="B389" s="16"/>
      <c r="C389" s="15"/>
      <c r="D389" s="16"/>
      <c r="E389" s="17"/>
      <c r="F389" s="17"/>
      <c r="H389" s="19"/>
      <c r="I389" s="47"/>
      <c r="J389" s="48"/>
      <c r="K389" s="49"/>
    </row>
    <row r="390" spans="1:11" ht="12.75" hidden="1" x14ac:dyDescent="0.2">
      <c r="A390" s="16"/>
      <c r="B390" s="16"/>
      <c r="C390" s="15"/>
      <c r="D390" s="16"/>
      <c r="E390" s="17"/>
      <c r="F390" s="17"/>
      <c r="H390" s="19"/>
      <c r="I390" s="47"/>
      <c r="J390" s="48"/>
      <c r="K390" s="49"/>
    </row>
    <row r="391" spans="1:11" ht="12.75" hidden="1" x14ac:dyDescent="0.2">
      <c r="A391" s="16"/>
      <c r="B391" s="16"/>
      <c r="C391" s="15"/>
      <c r="D391" s="16"/>
      <c r="E391" s="17"/>
      <c r="F391" s="17"/>
      <c r="H391" s="19"/>
      <c r="I391" s="47"/>
      <c r="J391" s="48"/>
      <c r="K391" s="49"/>
    </row>
    <row r="392" spans="1:11" ht="12.75" hidden="1" x14ac:dyDescent="0.2">
      <c r="A392" s="16"/>
      <c r="B392" s="16"/>
      <c r="C392" s="15"/>
      <c r="D392" s="16"/>
      <c r="E392" s="17"/>
      <c r="F392" s="17"/>
      <c r="H392" s="19"/>
      <c r="I392" s="47"/>
      <c r="J392" s="48"/>
      <c r="K392" s="49"/>
    </row>
    <row r="393" spans="1:11" ht="12.75" hidden="1" x14ac:dyDescent="0.2">
      <c r="A393" s="16"/>
      <c r="B393" s="16"/>
      <c r="C393" s="15"/>
      <c r="D393" s="16"/>
      <c r="E393" s="17"/>
      <c r="F393" s="17"/>
      <c r="H393" s="19"/>
      <c r="I393" s="47"/>
      <c r="J393" s="48"/>
      <c r="K393" s="49"/>
    </row>
    <row r="394" spans="1:11" ht="12.75" hidden="1" x14ac:dyDescent="0.2">
      <c r="A394" s="16"/>
      <c r="B394" s="16"/>
      <c r="C394" s="15"/>
      <c r="D394" s="16"/>
      <c r="E394" s="17"/>
      <c r="F394" s="17"/>
      <c r="H394" s="19"/>
      <c r="I394" s="47"/>
      <c r="J394" s="48"/>
      <c r="K394" s="49"/>
    </row>
    <row r="395" spans="1:11" ht="12.75" hidden="1" x14ac:dyDescent="0.2">
      <c r="A395" s="16"/>
      <c r="B395" s="16"/>
      <c r="C395" s="15"/>
      <c r="D395" s="16"/>
      <c r="E395" s="17"/>
      <c r="F395" s="17"/>
      <c r="H395" s="19"/>
      <c r="I395" s="47"/>
      <c r="J395" s="48"/>
      <c r="K395" s="49"/>
    </row>
    <row r="396" spans="1:11" ht="12.75" hidden="1" x14ac:dyDescent="0.2">
      <c r="A396" s="16"/>
      <c r="B396" s="16"/>
      <c r="C396" s="15"/>
      <c r="D396" s="16"/>
      <c r="E396" s="17"/>
      <c r="F396" s="17"/>
      <c r="H396" s="19"/>
      <c r="I396" s="47"/>
      <c r="J396" s="48"/>
      <c r="K396" s="49"/>
    </row>
    <row r="397" spans="1:11" ht="12.75" hidden="1" x14ac:dyDescent="0.2">
      <c r="A397" s="16"/>
      <c r="B397" s="16"/>
      <c r="C397" s="15"/>
      <c r="D397" s="16"/>
      <c r="E397" s="17"/>
      <c r="F397" s="17"/>
      <c r="H397" s="19"/>
      <c r="I397" s="47"/>
      <c r="J397" s="48"/>
      <c r="K397" s="49"/>
    </row>
    <row r="398" spans="1:11" ht="12.75" hidden="1" x14ac:dyDescent="0.2">
      <c r="A398" s="16"/>
      <c r="B398" s="16"/>
      <c r="C398" s="15"/>
      <c r="D398" s="16"/>
      <c r="E398" s="17"/>
      <c r="F398" s="17"/>
      <c r="H398" s="19"/>
      <c r="I398" s="47"/>
      <c r="J398" s="48"/>
      <c r="K398" s="49"/>
    </row>
    <row r="399" spans="1:11" ht="12.75" hidden="1" x14ac:dyDescent="0.2">
      <c r="A399" s="16"/>
      <c r="B399" s="16"/>
      <c r="C399" s="15"/>
      <c r="D399" s="16"/>
      <c r="E399" s="17"/>
      <c r="F399" s="17"/>
      <c r="H399" s="19"/>
      <c r="I399" s="47"/>
      <c r="J399" s="48"/>
      <c r="K399" s="49"/>
    </row>
    <row r="400" spans="1:11" ht="12.75" hidden="1" x14ac:dyDescent="0.2">
      <c r="A400" s="16"/>
      <c r="B400" s="16"/>
      <c r="C400" s="15"/>
      <c r="D400" s="16"/>
      <c r="E400" s="17"/>
      <c r="F400" s="17"/>
      <c r="H400" s="19"/>
      <c r="I400" s="47"/>
      <c r="J400" s="48"/>
      <c r="K400" s="49"/>
    </row>
    <row r="401" spans="1:11" ht="12.75" hidden="1" x14ac:dyDescent="0.2">
      <c r="A401" s="16"/>
      <c r="B401" s="16"/>
      <c r="C401" s="15"/>
      <c r="D401" s="16"/>
      <c r="E401" s="17"/>
      <c r="F401" s="17"/>
      <c r="H401" s="19"/>
      <c r="I401" s="47"/>
      <c r="J401" s="48"/>
      <c r="K401" s="49"/>
    </row>
    <row r="402" spans="1:11" ht="12.75" hidden="1" x14ac:dyDescent="0.2">
      <c r="A402" s="16"/>
      <c r="B402" s="16"/>
      <c r="C402" s="15"/>
      <c r="D402" s="16"/>
      <c r="E402" s="17"/>
      <c r="F402" s="17"/>
      <c r="H402" s="19"/>
      <c r="I402" s="47"/>
      <c r="J402" s="48"/>
      <c r="K402" s="49"/>
    </row>
    <row r="403" spans="1:11" ht="12.75" hidden="1" x14ac:dyDescent="0.2">
      <c r="A403" s="16"/>
      <c r="B403" s="16"/>
      <c r="C403" s="15"/>
      <c r="D403" s="16"/>
      <c r="E403" s="17"/>
      <c r="F403" s="17"/>
      <c r="H403" s="19"/>
      <c r="I403" s="47"/>
      <c r="J403" s="48"/>
      <c r="K403" s="49"/>
    </row>
    <row r="404" spans="1:11" ht="12.75" hidden="1" x14ac:dyDescent="0.2">
      <c r="A404" s="16"/>
      <c r="B404" s="16"/>
      <c r="C404" s="15"/>
      <c r="D404" s="16"/>
      <c r="E404" s="17"/>
      <c r="F404" s="17"/>
      <c r="H404" s="19"/>
      <c r="I404" s="47"/>
      <c r="J404" s="48"/>
      <c r="K404" s="49"/>
    </row>
    <row r="405" spans="1:11" ht="12.75" hidden="1" x14ac:dyDescent="0.2">
      <c r="A405" s="16"/>
      <c r="B405" s="16"/>
      <c r="C405" s="15"/>
      <c r="D405" s="16"/>
      <c r="E405" s="17"/>
      <c r="F405" s="17"/>
      <c r="H405" s="19"/>
      <c r="I405" s="47"/>
      <c r="J405" s="48"/>
      <c r="K405" s="49"/>
    </row>
    <row r="406" spans="1:11" ht="12.75" hidden="1" x14ac:dyDescent="0.2">
      <c r="A406" s="16"/>
      <c r="B406" s="16"/>
      <c r="C406" s="15"/>
      <c r="D406" s="16"/>
      <c r="E406" s="17"/>
      <c r="F406" s="17"/>
      <c r="H406" s="19"/>
      <c r="I406" s="47"/>
      <c r="J406" s="48"/>
      <c r="K406" s="49"/>
    </row>
    <row r="407" spans="1:11" ht="12.75" hidden="1" x14ac:dyDescent="0.2">
      <c r="A407" s="16"/>
      <c r="B407" s="16"/>
      <c r="C407" s="15"/>
      <c r="D407" s="16"/>
      <c r="E407" s="17"/>
      <c r="F407" s="17"/>
      <c r="H407" s="19"/>
      <c r="I407" s="47"/>
      <c r="J407" s="48"/>
      <c r="K407" s="49"/>
    </row>
    <row r="408" spans="1:11" ht="12.75" hidden="1" x14ac:dyDescent="0.2">
      <c r="A408" s="16"/>
      <c r="B408" s="16"/>
      <c r="C408" s="15"/>
      <c r="D408" s="16"/>
      <c r="E408" s="17"/>
      <c r="F408" s="17"/>
      <c r="H408" s="19"/>
      <c r="I408" s="47"/>
      <c r="J408" s="48"/>
      <c r="K408" s="49"/>
    </row>
    <row r="409" spans="1:11" ht="12.75" hidden="1" x14ac:dyDescent="0.2">
      <c r="A409" s="16"/>
      <c r="B409" s="16"/>
      <c r="C409" s="15"/>
      <c r="D409" s="16"/>
      <c r="E409" s="17"/>
      <c r="F409" s="17"/>
      <c r="H409" s="19"/>
      <c r="I409" s="47"/>
      <c r="J409" s="48"/>
      <c r="K409" s="49"/>
    </row>
    <row r="410" spans="1:11" ht="12.75" hidden="1" x14ac:dyDescent="0.2">
      <c r="A410" s="16"/>
      <c r="B410" s="16"/>
      <c r="C410" s="15"/>
      <c r="D410" s="16"/>
      <c r="E410" s="17"/>
      <c r="F410" s="17"/>
      <c r="H410" s="19"/>
      <c r="I410" s="47"/>
      <c r="J410" s="48"/>
      <c r="K410" s="49"/>
    </row>
    <row r="411" spans="1:11" ht="12.75" hidden="1" x14ac:dyDescent="0.2">
      <c r="A411" s="16"/>
      <c r="B411" s="16"/>
      <c r="C411" s="15"/>
      <c r="D411" s="16"/>
      <c r="E411" s="17"/>
      <c r="F411" s="17"/>
      <c r="H411" s="19"/>
      <c r="I411" s="47"/>
      <c r="J411" s="48"/>
      <c r="K411" s="49"/>
    </row>
    <row r="412" spans="1:11" ht="12.75" hidden="1" x14ac:dyDescent="0.2">
      <c r="A412" s="16"/>
      <c r="B412" s="16"/>
      <c r="C412" s="15"/>
      <c r="D412" s="16"/>
      <c r="E412" s="17"/>
      <c r="F412" s="17"/>
      <c r="H412" s="19"/>
      <c r="I412" s="47"/>
      <c r="J412" s="48"/>
      <c r="K412" s="49"/>
    </row>
    <row r="413" spans="1:11" ht="12.75" hidden="1" x14ac:dyDescent="0.2">
      <c r="A413" s="16"/>
      <c r="B413" s="16"/>
      <c r="C413" s="15"/>
      <c r="D413" s="16"/>
      <c r="E413" s="17"/>
      <c r="F413" s="17"/>
      <c r="H413" s="19"/>
      <c r="I413" s="47"/>
      <c r="J413" s="48"/>
      <c r="K413" s="49"/>
    </row>
    <row r="414" spans="1:11" ht="12.75" hidden="1" x14ac:dyDescent="0.2">
      <c r="A414" s="16"/>
      <c r="B414" s="16"/>
      <c r="C414" s="15"/>
      <c r="D414" s="16"/>
      <c r="E414" s="17"/>
      <c r="F414" s="17"/>
      <c r="H414" s="19"/>
      <c r="I414" s="47"/>
      <c r="J414" s="48"/>
      <c r="K414" s="49"/>
    </row>
    <row r="415" spans="1:11" ht="12.75" hidden="1" x14ac:dyDescent="0.2">
      <c r="A415" s="16"/>
      <c r="B415" s="16"/>
      <c r="C415" s="15"/>
      <c r="D415" s="16"/>
      <c r="E415" s="17"/>
      <c r="F415" s="17"/>
      <c r="H415" s="19"/>
      <c r="I415" s="47"/>
      <c r="J415" s="48"/>
      <c r="K415" s="49"/>
    </row>
    <row r="416" spans="1:11" ht="12.75" hidden="1" x14ac:dyDescent="0.2">
      <c r="A416" s="16"/>
      <c r="B416" s="16"/>
      <c r="C416" s="15"/>
      <c r="D416" s="16"/>
      <c r="E416" s="17"/>
      <c r="F416" s="17"/>
      <c r="H416" s="19"/>
      <c r="I416" s="47"/>
      <c r="J416" s="48"/>
      <c r="K416" s="49"/>
    </row>
    <row r="417" spans="1:11" ht="12.75" hidden="1" x14ac:dyDescent="0.2">
      <c r="A417" s="16"/>
      <c r="B417" s="16"/>
      <c r="C417" s="15"/>
      <c r="D417" s="16"/>
      <c r="E417" s="17"/>
      <c r="F417" s="17"/>
      <c r="H417" s="19"/>
      <c r="I417" s="47"/>
      <c r="J417" s="48"/>
      <c r="K417" s="49"/>
    </row>
    <row r="418" spans="1:11" ht="12.75" hidden="1" x14ac:dyDescent="0.2">
      <c r="A418" s="16"/>
      <c r="B418" s="16"/>
      <c r="C418" s="15"/>
      <c r="D418" s="16"/>
      <c r="E418" s="17"/>
      <c r="F418" s="17"/>
      <c r="H418" s="19"/>
      <c r="I418" s="47"/>
      <c r="J418" s="48"/>
      <c r="K418" s="49"/>
    </row>
    <row r="419" spans="1:11" ht="12.75" hidden="1" x14ac:dyDescent="0.2">
      <c r="A419" s="16"/>
      <c r="B419" s="16"/>
      <c r="C419" s="15"/>
      <c r="D419" s="16"/>
      <c r="E419" s="17"/>
      <c r="F419" s="17"/>
      <c r="H419" s="19"/>
      <c r="I419" s="47"/>
      <c r="J419" s="48"/>
      <c r="K419" s="49"/>
    </row>
    <row r="420" spans="1:11" ht="12.75" hidden="1" x14ac:dyDescent="0.2">
      <c r="A420" s="16"/>
      <c r="B420" s="16"/>
      <c r="C420" s="15"/>
      <c r="D420" s="16"/>
      <c r="E420" s="17"/>
      <c r="F420" s="17"/>
      <c r="H420" s="19"/>
      <c r="I420" s="47"/>
      <c r="J420" s="48"/>
      <c r="K420" s="49"/>
    </row>
    <row r="421" spans="1:11" ht="12.75" hidden="1" x14ac:dyDescent="0.2">
      <c r="A421" s="16"/>
      <c r="B421" s="16"/>
      <c r="C421" s="15"/>
      <c r="D421" s="16"/>
      <c r="E421" s="17"/>
      <c r="F421" s="17"/>
      <c r="H421" s="19"/>
      <c r="I421" s="47"/>
      <c r="J421" s="48"/>
      <c r="K421" s="49"/>
    </row>
    <row r="422" spans="1:11" ht="12.75" hidden="1" x14ac:dyDescent="0.2">
      <c r="A422" s="16"/>
      <c r="B422" s="16"/>
      <c r="C422" s="15"/>
      <c r="D422" s="16"/>
      <c r="E422" s="17"/>
      <c r="F422" s="17"/>
      <c r="H422" s="19"/>
      <c r="I422" s="47"/>
      <c r="J422" s="48"/>
      <c r="K422" s="49"/>
    </row>
    <row r="423" spans="1:11" ht="12.75" hidden="1" x14ac:dyDescent="0.2">
      <c r="A423" s="16"/>
      <c r="B423" s="16"/>
      <c r="C423" s="15"/>
      <c r="D423" s="16"/>
      <c r="E423" s="17"/>
      <c r="F423" s="17"/>
      <c r="H423" s="19"/>
      <c r="I423" s="47"/>
      <c r="J423" s="48"/>
      <c r="K423" s="49"/>
    </row>
    <row r="424" spans="1:11" ht="12.75" hidden="1" x14ac:dyDescent="0.2">
      <c r="A424" s="16"/>
      <c r="B424" s="16"/>
      <c r="C424" s="15"/>
      <c r="D424" s="16"/>
      <c r="E424" s="17"/>
      <c r="F424" s="17"/>
      <c r="H424" s="19"/>
      <c r="I424" s="47"/>
      <c r="J424" s="48"/>
      <c r="K424" s="49"/>
    </row>
    <row r="425" spans="1:11" ht="12.75" hidden="1" x14ac:dyDescent="0.2">
      <c r="A425" s="16"/>
      <c r="B425" s="16"/>
      <c r="C425" s="15"/>
      <c r="D425" s="16"/>
      <c r="E425" s="17"/>
      <c r="F425" s="17"/>
      <c r="H425" s="19"/>
      <c r="I425" s="47"/>
      <c r="J425" s="48"/>
      <c r="K425" s="49"/>
    </row>
    <row r="426" spans="1:11" ht="12.75" hidden="1" x14ac:dyDescent="0.2">
      <c r="A426" s="16"/>
      <c r="B426" s="16"/>
      <c r="C426" s="15"/>
      <c r="D426" s="16"/>
      <c r="E426" s="17"/>
      <c r="F426" s="17"/>
      <c r="H426" s="19"/>
      <c r="I426" s="47"/>
      <c r="J426" s="48"/>
      <c r="K426" s="49"/>
    </row>
    <row r="427" spans="1:11" ht="12.75" hidden="1" x14ac:dyDescent="0.2">
      <c r="A427" s="16"/>
      <c r="B427" s="16"/>
      <c r="C427" s="15"/>
      <c r="D427" s="16"/>
      <c r="E427" s="17"/>
      <c r="F427" s="17"/>
      <c r="H427" s="19"/>
      <c r="I427" s="47"/>
      <c r="J427" s="48"/>
      <c r="K427" s="49"/>
    </row>
    <row r="428" spans="1:11" ht="12.75" hidden="1" x14ac:dyDescent="0.2">
      <c r="A428" s="16"/>
      <c r="B428" s="16"/>
      <c r="C428" s="15"/>
      <c r="D428" s="16"/>
      <c r="E428" s="17"/>
      <c r="F428" s="17"/>
      <c r="H428" s="19"/>
      <c r="I428" s="47"/>
      <c r="J428" s="48"/>
      <c r="K428" s="49"/>
    </row>
    <row r="429" spans="1:11" ht="12.75" hidden="1" x14ac:dyDescent="0.2">
      <c r="A429" s="16"/>
      <c r="B429" s="16"/>
      <c r="C429" s="15"/>
      <c r="D429" s="16"/>
      <c r="E429" s="17"/>
      <c r="F429" s="17"/>
      <c r="H429" s="19"/>
      <c r="I429" s="47"/>
      <c r="J429" s="48"/>
      <c r="K429" s="49"/>
    </row>
    <row r="430" spans="1:11" ht="12.75" hidden="1" x14ac:dyDescent="0.2">
      <c r="A430" s="16"/>
      <c r="B430" s="16"/>
      <c r="C430" s="15"/>
      <c r="D430" s="16"/>
      <c r="E430" s="17"/>
      <c r="F430" s="17"/>
      <c r="H430" s="19"/>
      <c r="I430" s="47"/>
      <c r="J430" s="48"/>
      <c r="K430" s="49"/>
    </row>
    <row r="431" spans="1:11" ht="12.75" hidden="1" x14ac:dyDescent="0.2">
      <c r="A431" s="16"/>
      <c r="B431" s="16"/>
      <c r="C431" s="15"/>
      <c r="D431" s="16"/>
      <c r="E431" s="17"/>
      <c r="F431" s="17"/>
      <c r="H431" s="19"/>
      <c r="I431" s="47"/>
      <c r="J431" s="48"/>
      <c r="K431" s="49"/>
    </row>
    <row r="432" spans="1:11" ht="12.75" hidden="1" x14ac:dyDescent="0.2">
      <c r="A432" s="16"/>
      <c r="B432" s="16"/>
      <c r="C432" s="15"/>
      <c r="D432" s="16"/>
      <c r="E432" s="17"/>
      <c r="F432" s="17"/>
      <c r="H432" s="19"/>
      <c r="I432" s="47"/>
      <c r="J432" s="48"/>
      <c r="K432" s="49"/>
    </row>
    <row r="433" spans="1:11" ht="12.75" hidden="1" x14ac:dyDescent="0.2">
      <c r="A433" s="16"/>
      <c r="B433" s="16"/>
      <c r="C433" s="15"/>
      <c r="D433" s="16"/>
      <c r="E433" s="17"/>
      <c r="F433" s="17"/>
      <c r="H433" s="19"/>
      <c r="I433" s="47"/>
      <c r="J433" s="48"/>
      <c r="K433" s="49"/>
    </row>
    <row r="434" spans="1:11" ht="12.75" hidden="1" x14ac:dyDescent="0.2">
      <c r="A434" s="16"/>
      <c r="B434" s="16"/>
      <c r="C434" s="15"/>
      <c r="D434" s="16"/>
      <c r="E434" s="17"/>
      <c r="F434" s="17"/>
      <c r="H434" s="19"/>
      <c r="I434" s="47"/>
      <c r="J434" s="48"/>
      <c r="K434" s="49"/>
    </row>
    <row r="435" spans="1:11" ht="12.75" hidden="1" x14ac:dyDescent="0.2">
      <c r="A435" s="16"/>
      <c r="B435" s="16"/>
      <c r="C435" s="15"/>
      <c r="D435" s="16"/>
      <c r="E435" s="17"/>
      <c r="F435" s="17"/>
      <c r="H435" s="19"/>
      <c r="I435" s="47"/>
      <c r="J435" s="48"/>
      <c r="K435" s="49"/>
    </row>
    <row r="436" spans="1:11" ht="12.75" hidden="1" x14ac:dyDescent="0.2">
      <c r="A436" s="16"/>
      <c r="B436" s="16"/>
      <c r="C436" s="15"/>
      <c r="D436" s="16"/>
      <c r="E436" s="17"/>
      <c r="F436" s="17"/>
      <c r="H436" s="19"/>
      <c r="I436" s="47"/>
      <c r="J436" s="48"/>
      <c r="K436" s="49"/>
    </row>
    <row r="437" spans="1:11" ht="12.75" hidden="1" x14ac:dyDescent="0.2">
      <c r="A437" s="16"/>
      <c r="B437" s="16"/>
      <c r="C437" s="15"/>
      <c r="D437" s="16"/>
      <c r="E437" s="17"/>
      <c r="F437" s="17"/>
      <c r="H437" s="19"/>
      <c r="I437" s="47"/>
      <c r="J437" s="48"/>
      <c r="K437" s="49"/>
    </row>
    <row r="438" spans="1:11" ht="12.75" hidden="1" x14ac:dyDescent="0.2">
      <c r="A438" s="16"/>
      <c r="B438" s="16"/>
      <c r="C438" s="15"/>
      <c r="D438" s="16"/>
      <c r="E438" s="17"/>
      <c r="F438" s="17"/>
      <c r="H438" s="19"/>
      <c r="I438" s="47"/>
      <c r="J438" s="48"/>
      <c r="K438" s="49"/>
    </row>
    <row r="439" spans="1:11" ht="12.75" hidden="1" x14ac:dyDescent="0.2">
      <c r="A439" s="16"/>
      <c r="B439" s="16"/>
      <c r="C439" s="15"/>
      <c r="D439" s="16"/>
      <c r="E439" s="17"/>
      <c r="F439" s="17"/>
      <c r="H439" s="19"/>
      <c r="I439" s="47"/>
      <c r="J439" s="48"/>
      <c r="K439" s="49"/>
    </row>
    <row r="440" spans="1:11" ht="12.75" hidden="1" x14ac:dyDescent="0.2">
      <c r="A440" s="16"/>
      <c r="B440" s="16"/>
      <c r="C440" s="15"/>
      <c r="D440" s="16"/>
      <c r="E440" s="17"/>
      <c r="F440" s="17"/>
      <c r="H440" s="19"/>
      <c r="I440" s="47"/>
      <c r="J440" s="48"/>
      <c r="K440" s="49"/>
    </row>
    <row r="441" spans="1:11" ht="12.75" hidden="1" x14ac:dyDescent="0.2">
      <c r="A441" s="16"/>
      <c r="B441" s="16"/>
      <c r="C441" s="15"/>
      <c r="D441" s="16"/>
      <c r="E441" s="17"/>
      <c r="F441" s="17"/>
      <c r="H441" s="19"/>
      <c r="I441" s="47"/>
      <c r="J441" s="48"/>
      <c r="K441" s="49"/>
    </row>
    <row r="442" spans="1:11" ht="12.75" hidden="1" x14ac:dyDescent="0.2">
      <c r="A442" s="16"/>
      <c r="B442" s="16"/>
      <c r="C442" s="15"/>
      <c r="D442" s="16"/>
      <c r="E442" s="17"/>
      <c r="F442" s="17"/>
      <c r="H442" s="19"/>
      <c r="I442" s="47"/>
      <c r="J442" s="48"/>
      <c r="K442" s="49"/>
    </row>
    <row r="443" spans="1:11" ht="12.75" hidden="1" x14ac:dyDescent="0.2">
      <c r="A443" s="16"/>
      <c r="B443" s="16"/>
      <c r="C443" s="15"/>
      <c r="D443" s="16"/>
      <c r="E443" s="17"/>
      <c r="F443" s="17"/>
      <c r="H443" s="19"/>
      <c r="I443" s="47"/>
      <c r="J443" s="48"/>
      <c r="K443" s="49"/>
    </row>
    <row r="444" spans="1:11" ht="12.75" hidden="1" x14ac:dyDescent="0.2">
      <c r="A444" s="16"/>
      <c r="B444" s="16"/>
      <c r="C444" s="15"/>
      <c r="D444" s="16"/>
      <c r="E444" s="17"/>
      <c r="F444" s="17"/>
      <c r="H444" s="19"/>
      <c r="I444" s="47"/>
      <c r="J444" s="48"/>
      <c r="K444" s="49"/>
    </row>
    <row r="445" spans="1:11" ht="12.75" hidden="1" x14ac:dyDescent="0.2">
      <c r="A445" s="16"/>
      <c r="B445" s="16"/>
      <c r="C445" s="15"/>
      <c r="D445" s="16"/>
      <c r="E445" s="17"/>
      <c r="F445" s="17"/>
      <c r="H445" s="19"/>
      <c r="I445" s="47"/>
      <c r="J445" s="48"/>
      <c r="K445" s="49"/>
    </row>
    <row r="446" spans="1:11" ht="12.75" hidden="1" x14ac:dyDescent="0.2">
      <c r="A446" s="16"/>
      <c r="B446" s="16"/>
      <c r="C446" s="15"/>
      <c r="D446" s="16"/>
      <c r="E446" s="17"/>
      <c r="F446" s="17"/>
      <c r="H446" s="19"/>
      <c r="I446" s="47"/>
      <c r="J446" s="48"/>
      <c r="K446" s="49"/>
    </row>
    <row r="447" spans="1:11" ht="12.75" hidden="1" x14ac:dyDescent="0.2">
      <c r="A447" s="16"/>
      <c r="B447" s="16"/>
      <c r="C447" s="15"/>
      <c r="D447" s="16"/>
      <c r="E447" s="17"/>
      <c r="F447" s="17"/>
      <c r="H447" s="19"/>
      <c r="I447" s="47"/>
      <c r="J447" s="48"/>
      <c r="K447" s="49"/>
    </row>
    <row r="448" spans="1:11" ht="12.75" hidden="1" x14ac:dyDescent="0.2">
      <c r="A448" s="16"/>
      <c r="B448" s="16"/>
      <c r="C448" s="15"/>
      <c r="D448" s="16"/>
      <c r="E448" s="17"/>
      <c r="F448" s="17"/>
      <c r="H448" s="19"/>
      <c r="I448" s="47"/>
      <c r="J448" s="48"/>
      <c r="K448" s="49"/>
    </row>
    <row r="449" spans="1:11" ht="12.75" hidden="1" x14ac:dyDescent="0.2">
      <c r="A449" s="16"/>
      <c r="B449" s="16"/>
      <c r="C449" s="15"/>
      <c r="D449" s="16"/>
      <c r="E449" s="17"/>
      <c r="F449" s="17"/>
      <c r="H449" s="19"/>
      <c r="I449" s="47"/>
      <c r="J449" s="48"/>
      <c r="K449" s="49"/>
    </row>
    <row r="450" spans="1:11" ht="12.75" hidden="1" x14ac:dyDescent="0.2">
      <c r="A450" s="16"/>
      <c r="B450" s="16"/>
      <c r="C450" s="15"/>
      <c r="D450" s="16"/>
      <c r="E450" s="17"/>
      <c r="F450" s="17"/>
      <c r="H450" s="19"/>
      <c r="I450" s="47"/>
      <c r="J450" s="48"/>
      <c r="K450" s="49"/>
    </row>
    <row r="451" spans="1:11" ht="12.75" hidden="1" x14ac:dyDescent="0.2">
      <c r="A451" s="16"/>
      <c r="B451" s="16"/>
      <c r="C451" s="15"/>
      <c r="D451" s="16"/>
      <c r="E451" s="17"/>
      <c r="F451" s="17"/>
      <c r="H451" s="19"/>
      <c r="I451" s="47"/>
      <c r="J451" s="48"/>
      <c r="K451" s="49"/>
    </row>
    <row r="452" spans="1:11" ht="12.75" hidden="1" x14ac:dyDescent="0.2">
      <c r="A452" s="16"/>
      <c r="B452" s="16"/>
      <c r="C452" s="15"/>
      <c r="D452" s="16"/>
      <c r="E452" s="17"/>
      <c r="F452" s="17"/>
      <c r="H452" s="19"/>
      <c r="I452" s="47"/>
      <c r="J452" s="48"/>
      <c r="K452" s="49"/>
    </row>
    <row r="453" spans="1:11" ht="12.75" hidden="1" x14ac:dyDescent="0.2">
      <c r="A453" s="16"/>
      <c r="B453" s="16"/>
      <c r="C453" s="15"/>
      <c r="D453" s="16"/>
      <c r="E453" s="17"/>
      <c r="F453" s="17"/>
      <c r="H453" s="19"/>
      <c r="I453" s="47"/>
      <c r="J453" s="48"/>
      <c r="K453" s="49"/>
    </row>
    <row r="454" spans="1:11" ht="12.75" hidden="1" x14ac:dyDescent="0.2">
      <c r="A454" s="16"/>
      <c r="B454" s="16"/>
      <c r="C454" s="15"/>
      <c r="D454" s="16"/>
      <c r="E454" s="17"/>
      <c r="F454" s="17"/>
      <c r="H454" s="19"/>
      <c r="I454" s="47"/>
      <c r="J454" s="48"/>
      <c r="K454" s="49"/>
    </row>
    <row r="455" spans="1:11" ht="12.75" hidden="1" x14ac:dyDescent="0.2">
      <c r="A455" s="16"/>
      <c r="B455" s="16"/>
      <c r="C455" s="15"/>
      <c r="D455" s="16"/>
      <c r="E455" s="17"/>
      <c r="F455" s="17"/>
      <c r="H455" s="19"/>
      <c r="I455" s="47"/>
      <c r="J455" s="48"/>
      <c r="K455" s="49"/>
    </row>
    <row r="456" spans="1:11" ht="12.75" hidden="1" x14ac:dyDescent="0.2">
      <c r="A456" s="16"/>
      <c r="B456" s="16"/>
      <c r="C456" s="15"/>
      <c r="D456" s="16"/>
      <c r="E456" s="17"/>
      <c r="F456" s="17"/>
      <c r="H456" s="19"/>
      <c r="I456" s="47"/>
      <c r="J456" s="48"/>
      <c r="K456" s="49"/>
    </row>
    <row r="457" spans="1:11" ht="12.75" hidden="1" x14ac:dyDescent="0.2">
      <c r="A457" s="16"/>
      <c r="B457" s="16"/>
      <c r="C457" s="15"/>
      <c r="D457" s="16"/>
      <c r="E457" s="17"/>
      <c r="F457" s="17"/>
      <c r="H457" s="19"/>
      <c r="I457" s="47"/>
      <c r="J457" s="48"/>
      <c r="K457" s="49"/>
    </row>
    <row r="458" spans="1:11" ht="12.75" hidden="1" x14ac:dyDescent="0.2">
      <c r="A458" s="16"/>
      <c r="B458" s="16"/>
      <c r="C458" s="15"/>
      <c r="D458" s="16"/>
      <c r="E458" s="17"/>
      <c r="F458" s="17"/>
      <c r="H458" s="19"/>
      <c r="I458" s="47"/>
      <c r="J458" s="48"/>
      <c r="K458" s="49"/>
    </row>
    <row r="459" spans="1:11" ht="12.75" hidden="1" x14ac:dyDescent="0.2">
      <c r="A459" s="16"/>
      <c r="B459" s="16"/>
      <c r="C459" s="15"/>
      <c r="D459" s="16"/>
      <c r="E459" s="17"/>
      <c r="F459" s="17"/>
      <c r="H459" s="19"/>
      <c r="I459" s="47"/>
      <c r="J459" s="48"/>
      <c r="K459" s="49"/>
    </row>
    <row r="460" spans="1:11" ht="12.75" hidden="1" x14ac:dyDescent="0.2">
      <c r="A460" s="16"/>
      <c r="B460" s="16"/>
      <c r="C460" s="15"/>
      <c r="D460" s="16"/>
      <c r="E460" s="17"/>
      <c r="F460" s="17"/>
      <c r="H460" s="19"/>
      <c r="I460" s="47"/>
      <c r="J460" s="48"/>
      <c r="K460" s="49"/>
    </row>
    <row r="461" spans="1:11" ht="12.75" hidden="1" x14ac:dyDescent="0.2">
      <c r="A461" s="16"/>
      <c r="B461" s="16"/>
      <c r="C461" s="15"/>
      <c r="D461" s="16"/>
      <c r="E461" s="17"/>
      <c r="F461" s="17"/>
      <c r="H461" s="19"/>
      <c r="I461" s="47"/>
      <c r="J461" s="48"/>
      <c r="K461" s="49"/>
    </row>
    <row r="462" spans="1:11" ht="12.75" hidden="1" x14ac:dyDescent="0.2">
      <c r="A462" s="16"/>
      <c r="B462" s="16"/>
      <c r="C462" s="15"/>
      <c r="D462" s="16"/>
      <c r="E462" s="17"/>
      <c r="F462" s="17"/>
      <c r="H462" s="19"/>
      <c r="I462" s="47"/>
      <c r="J462" s="48"/>
      <c r="K462" s="49"/>
    </row>
    <row r="463" spans="1:11" ht="12.75" hidden="1" x14ac:dyDescent="0.2">
      <c r="A463" s="16"/>
      <c r="B463" s="16"/>
      <c r="C463" s="15"/>
      <c r="D463" s="16"/>
      <c r="E463" s="17"/>
      <c r="F463" s="17"/>
      <c r="H463" s="19"/>
      <c r="I463" s="47"/>
      <c r="J463" s="48"/>
      <c r="K463" s="49"/>
    </row>
    <row r="464" spans="1:11" ht="12.75" hidden="1" x14ac:dyDescent="0.2">
      <c r="A464" s="16"/>
      <c r="B464" s="16"/>
      <c r="C464" s="15"/>
      <c r="D464" s="16"/>
      <c r="E464" s="17"/>
      <c r="F464" s="17"/>
      <c r="H464" s="19"/>
      <c r="I464" s="47"/>
      <c r="J464" s="48"/>
      <c r="K464" s="49"/>
    </row>
    <row r="465" spans="1:11" ht="12.75" hidden="1" x14ac:dyDescent="0.2">
      <c r="A465" s="16"/>
      <c r="B465" s="16"/>
      <c r="C465" s="15"/>
      <c r="D465" s="16"/>
      <c r="E465" s="17"/>
      <c r="F465" s="17"/>
      <c r="H465" s="19"/>
      <c r="I465" s="47"/>
      <c r="J465" s="48"/>
      <c r="K465" s="49"/>
    </row>
    <row r="466" spans="1:11" ht="12.75" hidden="1" x14ac:dyDescent="0.2">
      <c r="A466" s="16"/>
      <c r="B466" s="16"/>
      <c r="C466" s="15"/>
      <c r="D466" s="16"/>
      <c r="E466" s="17"/>
      <c r="F466" s="17"/>
      <c r="H466" s="19"/>
      <c r="I466" s="47"/>
      <c r="J466" s="48"/>
      <c r="K466" s="49"/>
    </row>
    <row r="467" spans="1:11" ht="12.75" hidden="1" x14ac:dyDescent="0.2">
      <c r="A467" s="16"/>
      <c r="B467" s="16"/>
      <c r="C467" s="15"/>
      <c r="D467" s="16"/>
      <c r="E467" s="17"/>
      <c r="F467" s="17"/>
      <c r="H467" s="19"/>
      <c r="I467" s="47"/>
      <c r="J467" s="48"/>
      <c r="K467" s="49"/>
    </row>
    <row r="468" spans="1:11" ht="12.75" hidden="1" x14ac:dyDescent="0.2">
      <c r="A468" s="16"/>
      <c r="B468" s="16"/>
      <c r="C468" s="15"/>
      <c r="D468" s="16"/>
      <c r="E468" s="17"/>
      <c r="F468" s="17"/>
      <c r="H468" s="19"/>
      <c r="I468" s="47"/>
      <c r="J468" s="48"/>
      <c r="K468" s="49"/>
    </row>
    <row r="469" spans="1:11" ht="12.75" hidden="1" x14ac:dyDescent="0.2">
      <c r="A469" s="16"/>
      <c r="B469" s="16"/>
      <c r="C469" s="15"/>
      <c r="D469" s="16"/>
      <c r="E469" s="17"/>
      <c r="F469" s="17"/>
      <c r="H469" s="19"/>
      <c r="I469" s="47"/>
      <c r="J469" s="48"/>
      <c r="K469" s="49"/>
    </row>
    <row r="470" spans="1:11" ht="12.75" hidden="1" x14ac:dyDescent="0.2">
      <c r="A470" s="16"/>
      <c r="B470" s="16"/>
      <c r="C470" s="15"/>
      <c r="D470" s="16"/>
      <c r="E470" s="17"/>
      <c r="F470" s="17"/>
      <c r="H470" s="19"/>
      <c r="I470" s="47"/>
      <c r="J470" s="48"/>
      <c r="K470" s="49"/>
    </row>
    <row r="471" spans="1:11" ht="12.75" hidden="1" x14ac:dyDescent="0.2">
      <c r="A471" s="16"/>
      <c r="B471" s="16"/>
      <c r="C471" s="15"/>
      <c r="D471" s="16"/>
      <c r="E471" s="17"/>
      <c r="F471" s="17"/>
      <c r="H471" s="19"/>
      <c r="I471" s="47"/>
      <c r="J471" s="48"/>
      <c r="K471" s="49"/>
    </row>
    <row r="472" spans="1:11" ht="12.75" hidden="1" x14ac:dyDescent="0.2">
      <c r="A472" s="16"/>
      <c r="B472" s="16"/>
      <c r="C472" s="15"/>
      <c r="D472" s="16"/>
      <c r="E472" s="17"/>
      <c r="F472" s="17"/>
      <c r="H472" s="19"/>
      <c r="I472" s="47"/>
      <c r="J472" s="48"/>
      <c r="K472" s="49"/>
    </row>
    <row r="473" spans="1:11" ht="12.75" hidden="1" x14ac:dyDescent="0.2">
      <c r="A473" s="16"/>
      <c r="B473" s="16"/>
      <c r="C473" s="15"/>
      <c r="D473" s="16"/>
      <c r="E473" s="17"/>
      <c r="F473" s="17"/>
      <c r="H473" s="19"/>
      <c r="I473" s="47"/>
      <c r="J473" s="48"/>
      <c r="K473" s="49"/>
    </row>
    <row r="474" spans="1:11" ht="12.75" hidden="1" x14ac:dyDescent="0.2">
      <c r="A474" s="16"/>
      <c r="B474" s="16"/>
      <c r="C474" s="15"/>
      <c r="D474" s="16"/>
      <c r="E474" s="17"/>
      <c r="F474" s="17"/>
      <c r="H474" s="19"/>
      <c r="I474" s="47"/>
      <c r="J474" s="48"/>
      <c r="K474" s="49"/>
    </row>
    <row r="475" spans="1:11" ht="12.75" hidden="1" x14ac:dyDescent="0.2">
      <c r="A475" s="16"/>
      <c r="B475" s="16"/>
      <c r="C475" s="15"/>
      <c r="D475" s="16"/>
      <c r="E475" s="17"/>
      <c r="F475" s="17"/>
      <c r="H475" s="19"/>
      <c r="I475" s="47"/>
      <c r="J475" s="48"/>
      <c r="K475" s="49"/>
    </row>
    <row r="476" spans="1:11" ht="12.75" hidden="1" x14ac:dyDescent="0.2">
      <c r="A476" s="16"/>
      <c r="B476" s="16"/>
      <c r="C476" s="15"/>
      <c r="D476" s="16"/>
      <c r="E476" s="17"/>
      <c r="F476" s="17"/>
      <c r="H476" s="19"/>
      <c r="I476" s="47"/>
      <c r="J476" s="48"/>
      <c r="K476" s="49"/>
    </row>
    <row r="477" spans="1:11" ht="12.75" hidden="1" x14ac:dyDescent="0.2">
      <c r="A477" s="16"/>
      <c r="B477" s="16"/>
      <c r="C477" s="15"/>
      <c r="D477" s="16"/>
      <c r="E477" s="17"/>
      <c r="F477" s="17"/>
      <c r="H477" s="19"/>
      <c r="I477" s="47"/>
      <c r="J477" s="48"/>
      <c r="K477" s="49"/>
    </row>
    <row r="478" spans="1:11" ht="12.75" hidden="1" x14ac:dyDescent="0.2">
      <c r="A478" s="16"/>
      <c r="B478" s="16"/>
      <c r="C478" s="15"/>
      <c r="D478" s="16"/>
      <c r="E478" s="17"/>
      <c r="F478" s="17"/>
      <c r="H478" s="19"/>
      <c r="I478" s="47"/>
      <c r="J478" s="48"/>
      <c r="K478" s="49"/>
    </row>
    <row r="479" spans="1:11" ht="12.75" hidden="1" x14ac:dyDescent="0.2">
      <c r="A479" s="16"/>
      <c r="B479" s="16"/>
      <c r="C479" s="15"/>
      <c r="D479" s="16"/>
      <c r="E479" s="17"/>
      <c r="F479" s="17"/>
      <c r="H479" s="19"/>
      <c r="I479" s="47"/>
      <c r="J479" s="48"/>
      <c r="K479" s="49"/>
    </row>
    <row r="480" spans="1:11" ht="12.75" hidden="1" x14ac:dyDescent="0.2">
      <c r="A480" s="16"/>
      <c r="B480" s="16"/>
      <c r="C480" s="15"/>
      <c r="D480" s="16"/>
      <c r="E480" s="17"/>
      <c r="F480" s="17"/>
      <c r="H480" s="19"/>
      <c r="I480" s="47"/>
      <c r="J480" s="48"/>
      <c r="K480" s="49"/>
    </row>
    <row r="481" spans="1:11" ht="12.75" hidden="1" x14ac:dyDescent="0.2">
      <c r="A481" s="16"/>
      <c r="B481" s="16"/>
      <c r="C481" s="15"/>
      <c r="D481" s="16"/>
      <c r="E481" s="17"/>
      <c r="F481" s="17"/>
      <c r="H481" s="19"/>
      <c r="I481" s="47"/>
      <c r="J481" s="48"/>
      <c r="K481" s="49"/>
    </row>
    <row r="482" spans="1:11" ht="12.75" hidden="1" x14ac:dyDescent="0.2">
      <c r="A482" s="16"/>
      <c r="B482" s="16"/>
      <c r="C482" s="15"/>
      <c r="D482" s="16"/>
      <c r="E482" s="17"/>
      <c r="F482" s="17"/>
      <c r="H482" s="19"/>
      <c r="I482" s="47"/>
      <c r="J482" s="48"/>
      <c r="K482" s="49"/>
    </row>
    <row r="483" spans="1:11" ht="12.75" hidden="1" x14ac:dyDescent="0.2">
      <c r="A483" s="16"/>
      <c r="B483" s="16"/>
      <c r="C483" s="15"/>
      <c r="D483" s="16"/>
      <c r="E483" s="17"/>
      <c r="F483" s="17"/>
      <c r="H483" s="19"/>
      <c r="I483" s="47"/>
      <c r="J483" s="48"/>
      <c r="K483" s="49"/>
    </row>
    <row r="484" spans="1:11" ht="12.75" hidden="1" x14ac:dyDescent="0.2">
      <c r="A484" s="16"/>
      <c r="B484" s="16"/>
      <c r="C484" s="15"/>
      <c r="D484" s="16"/>
      <c r="E484" s="17"/>
      <c r="F484" s="17"/>
      <c r="H484" s="19"/>
      <c r="I484" s="47"/>
      <c r="J484" s="48"/>
      <c r="K484" s="49"/>
    </row>
    <row r="485" spans="1:11" ht="12.75" hidden="1" x14ac:dyDescent="0.2">
      <c r="A485" s="16"/>
      <c r="B485" s="16"/>
      <c r="C485" s="15"/>
      <c r="D485" s="16"/>
      <c r="E485" s="17"/>
      <c r="F485" s="17"/>
      <c r="H485" s="19"/>
      <c r="I485" s="47"/>
      <c r="J485" s="48"/>
      <c r="K485" s="49"/>
    </row>
    <row r="486" spans="1:11" ht="12.75" hidden="1" x14ac:dyDescent="0.2">
      <c r="A486" s="16"/>
      <c r="B486" s="16"/>
      <c r="C486" s="15"/>
      <c r="D486" s="16"/>
      <c r="E486" s="17"/>
      <c r="F486" s="17"/>
      <c r="H486" s="19"/>
      <c r="I486" s="47"/>
      <c r="J486" s="48"/>
      <c r="K486" s="49"/>
    </row>
    <row r="487" spans="1:11" ht="12.75" hidden="1" x14ac:dyDescent="0.2">
      <c r="A487" s="16"/>
      <c r="B487" s="16"/>
      <c r="C487" s="15"/>
      <c r="D487" s="16"/>
      <c r="E487" s="17"/>
      <c r="F487" s="17"/>
      <c r="H487" s="19"/>
      <c r="I487" s="47"/>
      <c r="J487" s="48"/>
      <c r="K487" s="49"/>
    </row>
    <row r="488" spans="1:11" ht="12.75" hidden="1" x14ac:dyDescent="0.2">
      <c r="A488" s="16"/>
      <c r="B488" s="16"/>
      <c r="C488" s="15"/>
      <c r="D488" s="16"/>
      <c r="E488" s="17"/>
      <c r="F488" s="17"/>
      <c r="H488" s="19"/>
      <c r="I488" s="47"/>
      <c r="J488" s="48"/>
      <c r="K488" s="49"/>
    </row>
    <row r="489" spans="1:11" ht="12.75" hidden="1" x14ac:dyDescent="0.2">
      <c r="A489" s="16"/>
      <c r="B489" s="16"/>
      <c r="C489" s="15"/>
      <c r="D489" s="16"/>
      <c r="E489" s="17"/>
      <c r="F489" s="17"/>
      <c r="H489" s="19"/>
      <c r="I489" s="47"/>
      <c r="J489" s="48"/>
      <c r="K489" s="49"/>
    </row>
    <row r="490" spans="1:11" ht="12.75" hidden="1" x14ac:dyDescent="0.2">
      <c r="A490" s="16"/>
      <c r="B490" s="16"/>
      <c r="C490" s="15"/>
      <c r="D490" s="16"/>
      <c r="E490" s="17"/>
      <c r="F490" s="17"/>
      <c r="H490" s="19"/>
      <c r="I490" s="47"/>
      <c r="J490" s="48"/>
      <c r="K490" s="49"/>
    </row>
    <row r="491" spans="1:11" ht="12.75" hidden="1" x14ac:dyDescent="0.2">
      <c r="A491" s="16"/>
      <c r="B491" s="16"/>
      <c r="C491" s="15"/>
      <c r="D491" s="16"/>
      <c r="E491" s="17"/>
      <c r="F491" s="17"/>
      <c r="H491" s="19"/>
      <c r="I491" s="47"/>
      <c r="J491" s="48"/>
      <c r="K491" s="49"/>
    </row>
    <row r="492" spans="1:11" ht="12.75" hidden="1" x14ac:dyDescent="0.2">
      <c r="A492" s="16"/>
      <c r="B492" s="16"/>
      <c r="C492" s="15"/>
      <c r="D492" s="16"/>
      <c r="E492" s="17"/>
      <c r="F492" s="17"/>
      <c r="H492" s="19"/>
      <c r="I492" s="47"/>
      <c r="J492" s="48"/>
      <c r="K492" s="49"/>
    </row>
    <row r="493" spans="1:11" ht="12.75" hidden="1" x14ac:dyDescent="0.2">
      <c r="A493" s="16"/>
      <c r="B493" s="16"/>
      <c r="C493" s="15"/>
      <c r="D493" s="16"/>
      <c r="E493" s="17"/>
      <c r="F493" s="17"/>
      <c r="H493" s="19"/>
      <c r="I493" s="47"/>
      <c r="J493" s="48"/>
      <c r="K493" s="49"/>
    </row>
    <row r="494" spans="1:11" ht="12.75" hidden="1" x14ac:dyDescent="0.2">
      <c r="A494" s="16"/>
      <c r="B494" s="16"/>
      <c r="C494" s="15"/>
      <c r="D494" s="16"/>
      <c r="E494" s="17"/>
      <c r="F494" s="17"/>
      <c r="H494" s="19"/>
      <c r="I494" s="47"/>
      <c r="J494" s="48"/>
      <c r="K494" s="49"/>
    </row>
    <row r="495" spans="1:11" ht="12.75" hidden="1" x14ac:dyDescent="0.2">
      <c r="A495" s="16"/>
      <c r="B495" s="16"/>
      <c r="C495" s="15"/>
      <c r="D495" s="16"/>
      <c r="E495" s="17"/>
      <c r="F495" s="17"/>
      <c r="H495" s="19"/>
      <c r="I495" s="47"/>
      <c r="J495" s="48"/>
      <c r="K495" s="49"/>
    </row>
    <row r="496" spans="1:11" ht="12.75" hidden="1" x14ac:dyDescent="0.2">
      <c r="A496" s="16"/>
      <c r="B496" s="16"/>
      <c r="C496" s="15"/>
      <c r="D496" s="16"/>
      <c r="E496" s="17"/>
      <c r="F496" s="17"/>
      <c r="H496" s="19"/>
      <c r="I496" s="47"/>
      <c r="J496" s="48"/>
      <c r="K496" s="49"/>
    </row>
    <row r="497" spans="1:11" ht="12.75" hidden="1" x14ac:dyDescent="0.2">
      <c r="A497" s="16"/>
      <c r="B497" s="16"/>
      <c r="C497" s="15"/>
      <c r="D497" s="16"/>
      <c r="E497" s="17"/>
      <c r="F497" s="17"/>
      <c r="H497" s="19"/>
      <c r="I497" s="47"/>
      <c r="J497" s="48"/>
      <c r="K497" s="49"/>
    </row>
    <row r="498" spans="1:11" ht="12.75" hidden="1" x14ac:dyDescent="0.2">
      <c r="A498" s="16"/>
      <c r="B498" s="16"/>
      <c r="C498" s="15"/>
      <c r="D498" s="16"/>
      <c r="E498" s="17"/>
      <c r="F498" s="17"/>
      <c r="H498" s="19"/>
      <c r="I498" s="47"/>
      <c r="J498" s="48"/>
      <c r="K498" s="49"/>
    </row>
    <row r="499" spans="1:11" ht="12.75" hidden="1" x14ac:dyDescent="0.2">
      <c r="A499" s="16"/>
      <c r="B499" s="16"/>
      <c r="C499" s="15"/>
      <c r="D499" s="16"/>
      <c r="E499" s="17"/>
      <c r="F499" s="17"/>
      <c r="H499" s="19"/>
      <c r="I499" s="47"/>
      <c r="J499" s="48"/>
      <c r="K499" s="49"/>
    </row>
    <row r="500" spans="1:11" ht="12.75" hidden="1" x14ac:dyDescent="0.2">
      <c r="A500" s="16"/>
      <c r="B500" s="16"/>
      <c r="C500" s="15"/>
      <c r="D500" s="16"/>
      <c r="E500" s="17"/>
      <c r="F500" s="17"/>
      <c r="H500" s="19"/>
      <c r="I500" s="47"/>
      <c r="J500" s="48"/>
      <c r="K500" s="49"/>
    </row>
    <row r="501" spans="1:11" ht="12.75" hidden="1" x14ac:dyDescent="0.2">
      <c r="A501" s="16"/>
      <c r="B501" s="16"/>
      <c r="C501" s="15"/>
      <c r="D501" s="16"/>
      <c r="E501" s="17"/>
      <c r="F501" s="17"/>
      <c r="H501" s="19"/>
      <c r="I501" s="47"/>
      <c r="J501" s="48"/>
      <c r="K501" s="49"/>
    </row>
    <row r="502" spans="1:11" ht="12.75" hidden="1" x14ac:dyDescent="0.2">
      <c r="A502" s="16"/>
      <c r="B502" s="16"/>
      <c r="C502" s="15"/>
      <c r="D502" s="16"/>
      <c r="E502" s="17"/>
      <c r="F502" s="17"/>
      <c r="H502" s="19"/>
      <c r="I502" s="47"/>
      <c r="J502" s="48"/>
      <c r="K502" s="49"/>
    </row>
    <row r="503" spans="1:11" ht="12.75" hidden="1" x14ac:dyDescent="0.2">
      <c r="A503" s="16"/>
      <c r="B503" s="16"/>
      <c r="C503" s="15"/>
      <c r="D503" s="16"/>
      <c r="E503" s="17"/>
      <c r="F503" s="17"/>
      <c r="H503" s="19"/>
      <c r="I503" s="47"/>
      <c r="J503" s="48"/>
      <c r="K503" s="49"/>
    </row>
    <row r="504" spans="1:11" ht="12.75" hidden="1" x14ac:dyDescent="0.2">
      <c r="A504" s="16"/>
      <c r="B504" s="16"/>
      <c r="C504" s="15"/>
      <c r="D504" s="16"/>
      <c r="E504" s="17"/>
      <c r="F504" s="17"/>
      <c r="H504" s="19"/>
      <c r="I504" s="47"/>
      <c r="J504" s="48"/>
      <c r="K504" s="49"/>
    </row>
    <row r="505" spans="1:11" ht="12.75" hidden="1" x14ac:dyDescent="0.2">
      <c r="A505" s="16"/>
      <c r="B505" s="16"/>
      <c r="C505" s="15"/>
      <c r="D505" s="16"/>
      <c r="E505" s="17"/>
      <c r="F505" s="17"/>
      <c r="H505" s="19"/>
      <c r="I505" s="47"/>
      <c r="J505" s="48"/>
      <c r="K505" s="49"/>
    </row>
    <row r="506" spans="1:11" ht="12.75" hidden="1" x14ac:dyDescent="0.2">
      <c r="A506" s="16"/>
      <c r="B506" s="16"/>
      <c r="C506" s="15"/>
      <c r="D506" s="16"/>
      <c r="E506" s="17"/>
      <c r="F506" s="17"/>
      <c r="H506" s="19"/>
      <c r="I506" s="47"/>
      <c r="J506" s="48"/>
      <c r="K506" s="49"/>
    </row>
    <row r="507" spans="1:11" ht="12.75" hidden="1" x14ac:dyDescent="0.2">
      <c r="A507" s="16"/>
      <c r="B507" s="16"/>
      <c r="C507" s="15"/>
      <c r="D507" s="16"/>
      <c r="E507" s="17"/>
      <c r="F507" s="17"/>
      <c r="H507" s="19"/>
      <c r="I507" s="47"/>
      <c r="J507" s="48"/>
      <c r="K507" s="49"/>
    </row>
    <row r="508" spans="1:11" ht="12.75" hidden="1" x14ac:dyDescent="0.2">
      <c r="A508" s="16"/>
      <c r="B508" s="16"/>
      <c r="C508" s="15"/>
      <c r="D508" s="16"/>
      <c r="E508" s="17"/>
      <c r="F508" s="17"/>
      <c r="H508" s="19"/>
      <c r="I508" s="47"/>
      <c r="J508" s="48"/>
      <c r="K508" s="49"/>
    </row>
    <row r="509" spans="1:11" ht="12.75" hidden="1" x14ac:dyDescent="0.2">
      <c r="A509" s="16"/>
      <c r="B509" s="16"/>
      <c r="C509" s="15"/>
      <c r="D509" s="16"/>
      <c r="E509" s="17"/>
      <c r="F509" s="17"/>
      <c r="H509" s="19"/>
      <c r="I509" s="47"/>
      <c r="J509" s="48"/>
      <c r="K509" s="49"/>
    </row>
    <row r="510" spans="1:11" ht="12.75" hidden="1" x14ac:dyDescent="0.2">
      <c r="A510" s="16"/>
      <c r="B510" s="16"/>
      <c r="C510" s="15"/>
      <c r="D510" s="16"/>
      <c r="E510" s="17"/>
      <c r="F510" s="17"/>
      <c r="H510" s="19"/>
      <c r="I510" s="47"/>
      <c r="J510" s="48"/>
      <c r="K510" s="49"/>
    </row>
    <row r="511" spans="1:11" ht="12.75" hidden="1" x14ac:dyDescent="0.2">
      <c r="A511" s="16"/>
      <c r="B511" s="16"/>
      <c r="C511" s="15"/>
      <c r="D511" s="16"/>
      <c r="E511" s="17"/>
      <c r="F511" s="17"/>
      <c r="H511" s="19"/>
      <c r="I511" s="47"/>
      <c r="J511" s="48"/>
      <c r="K511" s="49"/>
    </row>
    <row r="512" spans="1:11" ht="12.75" hidden="1" x14ac:dyDescent="0.2">
      <c r="A512" s="16"/>
      <c r="B512" s="16"/>
      <c r="C512" s="15"/>
      <c r="D512" s="16"/>
      <c r="E512" s="17"/>
      <c r="F512" s="17"/>
      <c r="H512" s="19"/>
      <c r="I512" s="47"/>
      <c r="J512" s="48"/>
      <c r="K512" s="49"/>
    </row>
    <row r="513" spans="1:11" ht="12.75" hidden="1" x14ac:dyDescent="0.2">
      <c r="A513" s="16"/>
      <c r="B513" s="16"/>
      <c r="C513" s="15"/>
      <c r="D513" s="16"/>
      <c r="E513" s="17"/>
      <c r="F513" s="17"/>
      <c r="H513" s="19"/>
      <c r="I513" s="47"/>
      <c r="J513" s="48"/>
      <c r="K513" s="49"/>
    </row>
    <row r="514" spans="1:11" ht="12.75" hidden="1" x14ac:dyDescent="0.2">
      <c r="A514" s="16"/>
      <c r="B514" s="16"/>
      <c r="C514" s="15"/>
      <c r="D514" s="16"/>
      <c r="E514" s="17"/>
      <c r="F514" s="17"/>
      <c r="H514" s="19"/>
      <c r="I514" s="47"/>
      <c r="J514" s="48"/>
      <c r="K514" s="49"/>
    </row>
    <row r="515" spans="1:11" ht="12.75" hidden="1" x14ac:dyDescent="0.2">
      <c r="A515" s="16"/>
      <c r="B515" s="16"/>
      <c r="C515" s="15"/>
      <c r="D515" s="16"/>
      <c r="E515" s="17"/>
      <c r="F515" s="17"/>
      <c r="H515" s="19"/>
      <c r="I515" s="47"/>
      <c r="J515" s="48"/>
      <c r="K515" s="49"/>
    </row>
    <row r="516" spans="1:11" ht="12.75" hidden="1" x14ac:dyDescent="0.2">
      <c r="A516" s="16"/>
      <c r="B516" s="16"/>
      <c r="C516" s="15"/>
      <c r="D516" s="16"/>
      <c r="E516" s="17"/>
      <c r="F516" s="17"/>
      <c r="H516" s="19"/>
      <c r="I516" s="47"/>
      <c r="J516" s="48"/>
      <c r="K516" s="49"/>
    </row>
    <row r="517" spans="1:11" ht="12.75" hidden="1" x14ac:dyDescent="0.2">
      <c r="A517" s="16"/>
      <c r="B517" s="16"/>
      <c r="C517" s="15"/>
      <c r="D517" s="16"/>
      <c r="E517" s="17"/>
      <c r="F517" s="17"/>
      <c r="H517" s="19"/>
      <c r="I517" s="47"/>
      <c r="J517" s="48"/>
      <c r="K517" s="49"/>
    </row>
    <row r="518" spans="1:11" ht="12.75" hidden="1" x14ac:dyDescent="0.2">
      <c r="A518" s="16"/>
      <c r="B518" s="16"/>
      <c r="C518" s="15"/>
      <c r="D518" s="16"/>
      <c r="E518" s="17"/>
      <c r="F518" s="17"/>
      <c r="H518" s="19"/>
      <c r="I518" s="47"/>
      <c r="J518" s="48"/>
      <c r="K518" s="49"/>
    </row>
    <row r="519" spans="1:11" ht="12.75" hidden="1" x14ac:dyDescent="0.2">
      <c r="A519" s="16"/>
      <c r="B519" s="16"/>
      <c r="C519" s="15"/>
      <c r="D519" s="16"/>
      <c r="E519" s="17"/>
      <c r="F519" s="17"/>
      <c r="H519" s="19"/>
      <c r="I519" s="47"/>
      <c r="J519" s="48"/>
      <c r="K519" s="49"/>
    </row>
    <row r="520" spans="1:11" ht="12.75" hidden="1" x14ac:dyDescent="0.2">
      <c r="A520" s="16"/>
      <c r="B520" s="16"/>
      <c r="C520" s="15"/>
      <c r="D520" s="16"/>
      <c r="E520" s="17"/>
      <c r="F520" s="17"/>
      <c r="H520" s="19"/>
      <c r="I520" s="47"/>
      <c r="J520" s="48"/>
      <c r="K520" s="49"/>
    </row>
    <row r="521" spans="1:11" ht="12.75" hidden="1" x14ac:dyDescent="0.2">
      <c r="A521" s="16"/>
      <c r="B521" s="16"/>
      <c r="C521" s="15"/>
      <c r="D521" s="16"/>
      <c r="E521" s="17"/>
      <c r="F521" s="17"/>
      <c r="H521" s="19"/>
      <c r="I521" s="47"/>
      <c r="J521" s="48"/>
      <c r="K521" s="49"/>
    </row>
    <row r="522" spans="1:11" ht="12.75" hidden="1" x14ac:dyDescent="0.2">
      <c r="A522" s="16"/>
      <c r="B522" s="16"/>
      <c r="C522" s="15"/>
      <c r="D522" s="16"/>
      <c r="E522" s="17"/>
      <c r="F522" s="17"/>
      <c r="H522" s="19"/>
      <c r="I522" s="47"/>
      <c r="J522" s="48"/>
      <c r="K522" s="49"/>
    </row>
    <row r="523" spans="1:11" ht="12.75" hidden="1" x14ac:dyDescent="0.2">
      <c r="A523" s="16"/>
      <c r="B523" s="16"/>
      <c r="C523" s="15"/>
      <c r="D523" s="16"/>
      <c r="E523" s="17"/>
      <c r="F523" s="17"/>
      <c r="H523" s="19"/>
      <c r="I523" s="47"/>
      <c r="J523" s="48"/>
      <c r="K523" s="49"/>
    </row>
    <row r="524" spans="1:11" ht="12.75" hidden="1" x14ac:dyDescent="0.2">
      <c r="A524" s="16"/>
      <c r="B524" s="16"/>
      <c r="C524" s="15"/>
      <c r="D524" s="16"/>
      <c r="E524" s="17"/>
      <c r="F524" s="17"/>
      <c r="H524" s="19"/>
      <c r="I524" s="47"/>
      <c r="J524" s="48"/>
      <c r="K524" s="49"/>
    </row>
    <row r="525" spans="1:11" ht="12.75" hidden="1" x14ac:dyDescent="0.2">
      <c r="A525" s="16"/>
      <c r="B525" s="16"/>
      <c r="C525" s="15"/>
      <c r="D525" s="16"/>
      <c r="E525" s="17"/>
      <c r="F525" s="17"/>
      <c r="H525" s="19"/>
      <c r="I525" s="47"/>
      <c r="J525" s="48"/>
      <c r="K525" s="49"/>
    </row>
    <row r="526" spans="1:11" ht="12.75" hidden="1" x14ac:dyDescent="0.2">
      <c r="A526" s="16"/>
      <c r="B526" s="16"/>
      <c r="C526" s="15"/>
      <c r="D526" s="16"/>
      <c r="E526" s="17"/>
      <c r="F526" s="17"/>
      <c r="H526" s="19"/>
      <c r="I526" s="47"/>
      <c r="J526" s="48"/>
      <c r="K526" s="49"/>
    </row>
    <row r="527" spans="1:11" ht="12.75" hidden="1" x14ac:dyDescent="0.2">
      <c r="A527" s="16"/>
      <c r="B527" s="16"/>
      <c r="C527" s="15"/>
      <c r="D527" s="16"/>
      <c r="E527" s="17"/>
      <c r="F527" s="17"/>
      <c r="H527" s="19"/>
      <c r="I527" s="47"/>
      <c r="J527" s="48"/>
      <c r="K527" s="49"/>
    </row>
    <row r="528" spans="1:11" ht="12.75" hidden="1" x14ac:dyDescent="0.2">
      <c r="A528" s="16"/>
      <c r="B528" s="16"/>
      <c r="C528" s="15"/>
      <c r="D528" s="16"/>
      <c r="E528" s="17"/>
      <c r="F528" s="17"/>
      <c r="H528" s="19"/>
      <c r="I528" s="47"/>
      <c r="J528" s="48"/>
      <c r="K528" s="49"/>
    </row>
    <row r="529" spans="1:11" ht="12.75" hidden="1" x14ac:dyDescent="0.2">
      <c r="A529" s="16"/>
      <c r="B529" s="16"/>
      <c r="C529" s="15"/>
      <c r="D529" s="16"/>
      <c r="E529" s="17"/>
      <c r="F529" s="17"/>
      <c r="H529" s="19"/>
      <c r="I529" s="47"/>
      <c r="J529" s="48"/>
      <c r="K529" s="49"/>
    </row>
    <row r="530" spans="1:11" ht="12.75" hidden="1" x14ac:dyDescent="0.2">
      <c r="A530" s="16"/>
      <c r="B530" s="16"/>
      <c r="C530" s="15"/>
      <c r="D530" s="16"/>
      <c r="E530" s="17"/>
      <c r="F530" s="17"/>
      <c r="H530" s="19"/>
      <c r="I530" s="47"/>
      <c r="J530" s="48"/>
      <c r="K530" s="49"/>
    </row>
    <row r="531" spans="1:11" ht="12.75" hidden="1" x14ac:dyDescent="0.2">
      <c r="A531" s="16"/>
      <c r="B531" s="16"/>
      <c r="C531" s="15"/>
      <c r="D531" s="16"/>
      <c r="E531" s="17"/>
      <c r="F531" s="17"/>
      <c r="H531" s="19"/>
      <c r="I531" s="47"/>
      <c r="J531" s="48"/>
      <c r="K531" s="49"/>
    </row>
    <row r="532" spans="1:11" ht="12.75" hidden="1" x14ac:dyDescent="0.2">
      <c r="A532" s="16"/>
      <c r="B532" s="16"/>
      <c r="C532" s="15"/>
      <c r="D532" s="16"/>
      <c r="E532" s="17"/>
      <c r="F532" s="17"/>
      <c r="H532" s="19"/>
      <c r="I532" s="47"/>
      <c r="J532" s="48"/>
      <c r="K532" s="49"/>
    </row>
    <row r="533" spans="1:11" ht="12.75" hidden="1" x14ac:dyDescent="0.2">
      <c r="A533" s="16"/>
      <c r="B533" s="16"/>
      <c r="C533" s="15"/>
      <c r="D533" s="16"/>
      <c r="E533" s="17"/>
      <c r="F533" s="17"/>
      <c r="H533" s="19"/>
      <c r="I533" s="47"/>
      <c r="J533" s="48"/>
      <c r="K533" s="49"/>
    </row>
    <row r="534" spans="1:11" ht="12.75" hidden="1" x14ac:dyDescent="0.2">
      <c r="A534" s="16"/>
      <c r="B534" s="16"/>
      <c r="C534" s="15"/>
      <c r="D534" s="16"/>
      <c r="E534" s="17"/>
      <c r="F534" s="17"/>
      <c r="H534" s="19"/>
      <c r="I534" s="47"/>
      <c r="J534" s="48"/>
      <c r="K534" s="49"/>
    </row>
    <row r="535" spans="1:11" ht="12.75" hidden="1" x14ac:dyDescent="0.2">
      <c r="A535" s="16"/>
      <c r="B535" s="16"/>
      <c r="C535" s="15"/>
      <c r="D535" s="16"/>
      <c r="E535" s="17"/>
      <c r="F535" s="17"/>
      <c r="H535" s="19"/>
      <c r="I535" s="47"/>
      <c r="J535" s="48"/>
      <c r="K535" s="49"/>
    </row>
    <row r="536" spans="1:11" ht="12.75" hidden="1" x14ac:dyDescent="0.2">
      <c r="A536" s="16"/>
      <c r="B536" s="16"/>
      <c r="C536" s="15"/>
      <c r="D536" s="16"/>
      <c r="E536" s="17"/>
      <c r="F536" s="17"/>
      <c r="H536" s="19"/>
      <c r="I536" s="47"/>
      <c r="J536" s="48"/>
      <c r="K536" s="49"/>
    </row>
    <row r="537" spans="1:11" ht="12.75" hidden="1" x14ac:dyDescent="0.2">
      <c r="A537" s="16"/>
      <c r="B537" s="16"/>
      <c r="C537" s="15"/>
      <c r="D537" s="16"/>
      <c r="E537" s="17"/>
      <c r="F537" s="17"/>
      <c r="H537" s="19"/>
      <c r="I537" s="47"/>
      <c r="J537" s="48"/>
      <c r="K537" s="49"/>
    </row>
    <row r="538" spans="1:11" ht="12.75" hidden="1" x14ac:dyDescent="0.2">
      <c r="A538" s="16"/>
      <c r="B538" s="16"/>
      <c r="C538" s="15"/>
      <c r="D538" s="16"/>
      <c r="E538" s="17"/>
      <c r="F538" s="17"/>
      <c r="H538" s="19"/>
      <c r="I538" s="47"/>
      <c r="J538" s="48"/>
      <c r="K538" s="49"/>
    </row>
    <row r="539" spans="1:11" ht="12.75" hidden="1" x14ac:dyDescent="0.2">
      <c r="A539" s="16"/>
      <c r="B539" s="16"/>
      <c r="C539" s="15"/>
      <c r="D539" s="16"/>
      <c r="E539" s="17"/>
      <c r="F539" s="17"/>
      <c r="H539" s="19"/>
      <c r="I539" s="47"/>
      <c r="J539" s="48"/>
      <c r="K539" s="49"/>
    </row>
    <row r="540" spans="1:11" ht="12.75" hidden="1" x14ac:dyDescent="0.2">
      <c r="A540" s="16"/>
      <c r="B540" s="16"/>
      <c r="C540" s="15"/>
      <c r="D540" s="16"/>
      <c r="E540" s="17"/>
      <c r="F540" s="17"/>
      <c r="H540" s="19"/>
      <c r="I540" s="47"/>
      <c r="J540" s="48"/>
      <c r="K540" s="49"/>
    </row>
    <row r="541" spans="1:11" ht="12.75" hidden="1" x14ac:dyDescent="0.2">
      <c r="A541" s="16"/>
      <c r="B541" s="16"/>
      <c r="C541" s="15"/>
      <c r="D541" s="16"/>
      <c r="E541" s="17"/>
      <c r="F541" s="17"/>
      <c r="H541" s="19"/>
      <c r="I541" s="47"/>
      <c r="J541" s="48"/>
      <c r="K541" s="49"/>
    </row>
    <row r="542" spans="1:11" ht="12.75" hidden="1" x14ac:dyDescent="0.2">
      <c r="A542" s="16"/>
      <c r="B542" s="16"/>
      <c r="C542" s="15"/>
      <c r="D542" s="16"/>
      <c r="E542" s="17"/>
      <c r="F542" s="17"/>
      <c r="H542" s="19"/>
      <c r="I542" s="47"/>
      <c r="J542" s="48"/>
      <c r="K542" s="49"/>
    </row>
    <row r="543" spans="1:11" ht="12.75" hidden="1" x14ac:dyDescent="0.2">
      <c r="A543" s="16"/>
      <c r="B543" s="16"/>
      <c r="C543" s="15"/>
      <c r="D543" s="16"/>
      <c r="E543" s="17"/>
      <c r="F543" s="17"/>
      <c r="H543" s="19"/>
      <c r="I543" s="47"/>
      <c r="J543" s="48"/>
      <c r="K543" s="49"/>
    </row>
    <row r="544" spans="1:11" ht="12.75" hidden="1" x14ac:dyDescent="0.2">
      <c r="A544" s="16"/>
      <c r="B544" s="16"/>
      <c r="C544" s="15"/>
      <c r="D544" s="16"/>
      <c r="E544" s="17"/>
      <c r="F544" s="17"/>
      <c r="H544" s="19"/>
      <c r="I544" s="47"/>
      <c r="J544" s="48"/>
      <c r="K544" s="49"/>
    </row>
    <row r="545" spans="1:11" ht="12.75" hidden="1" x14ac:dyDescent="0.2">
      <c r="A545" s="16"/>
      <c r="B545" s="16"/>
      <c r="C545" s="15"/>
      <c r="D545" s="16"/>
      <c r="E545" s="17"/>
      <c r="F545" s="17"/>
      <c r="H545" s="19"/>
      <c r="I545" s="47"/>
      <c r="J545" s="48"/>
      <c r="K545" s="49"/>
    </row>
    <row r="546" spans="1:11" ht="12.75" hidden="1" x14ac:dyDescent="0.2">
      <c r="A546" s="16"/>
      <c r="B546" s="16"/>
      <c r="C546" s="15"/>
      <c r="D546" s="16"/>
      <c r="E546" s="17"/>
      <c r="F546" s="17"/>
      <c r="H546" s="19"/>
      <c r="I546" s="47"/>
      <c r="J546" s="48"/>
      <c r="K546" s="49"/>
    </row>
    <row r="547" spans="1:11" ht="12.75" hidden="1" x14ac:dyDescent="0.2">
      <c r="A547" s="16"/>
      <c r="B547" s="16"/>
      <c r="C547" s="15"/>
      <c r="D547" s="16"/>
      <c r="E547" s="17"/>
      <c r="F547" s="17"/>
      <c r="H547" s="19"/>
      <c r="I547" s="47"/>
      <c r="J547" s="48"/>
      <c r="K547" s="49"/>
    </row>
    <row r="548" spans="1:11" ht="12.75" hidden="1" x14ac:dyDescent="0.2">
      <c r="A548" s="16"/>
      <c r="B548" s="16"/>
      <c r="C548" s="15"/>
      <c r="D548" s="16"/>
      <c r="E548" s="17"/>
      <c r="F548" s="17"/>
      <c r="H548" s="19"/>
      <c r="I548" s="47"/>
      <c r="J548" s="48"/>
      <c r="K548" s="49"/>
    </row>
    <row r="549" spans="1:11" ht="12.75" hidden="1" x14ac:dyDescent="0.2">
      <c r="A549" s="16"/>
      <c r="B549" s="16"/>
      <c r="C549" s="15"/>
      <c r="D549" s="16"/>
      <c r="E549" s="17"/>
      <c r="F549" s="17"/>
      <c r="H549" s="19"/>
      <c r="I549" s="47"/>
      <c r="J549" s="48"/>
      <c r="K549" s="49"/>
    </row>
    <row r="550" spans="1:11" ht="12.75" hidden="1" x14ac:dyDescent="0.2">
      <c r="A550" s="16"/>
      <c r="B550" s="16"/>
      <c r="C550" s="15"/>
      <c r="D550" s="16"/>
      <c r="E550" s="17"/>
      <c r="F550" s="17"/>
      <c r="H550" s="19"/>
      <c r="I550" s="47"/>
      <c r="J550" s="48"/>
      <c r="K550" s="49"/>
    </row>
    <row r="551" spans="1:11" ht="12.75" hidden="1" x14ac:dyDescent="0.2">
      <c r="A551" s="16"/>
      <c r="B551" s="16"/>
      <c r="C551" s="15"/>
      <c r="D551" s="16"/>
      <c r="E551" s="17"/>
      <c r="F551" s="17"/>
      <c r="H551" s="19"/>
      <c r="I551" s="47"/>
      <c r="J551" s="48"/>
      <c r="K551" s="49"/>
    </row>
    <row r="552" spans="1:11" ht="12.75" hidden="1" x14ac:dyDescent="0.2">
      <c r="A552" s="16"/>
      <c r="B552" s="16"/>
      <c r="C552" s="15"/>
      <c r="D552" s="16"/>
      <c r="E552" s="17"/>
      <c r="F552" s="17"/>
      <c r="H552" s="19"/>
      <c r="I552" s="47"/>
      <c r="J552" s="48"/>
      <c r="K552" s="49"/>
    </row>
    <row r="553" spans="1:11" ht="12.75" hidden="1" x14ac:dyDescent="0.2">
      <c r="A553" s="16"/>
      <c r="B553" s="16"/>
      <c r="C553" s="15"/>
      <c r="D553" s="16"/>
      <c r="E553" s="17"/>
      <c r="F553" s="17"/>
      <c r="H553" s="19"/>
      <c r="I553" s="47"/>
      <c r="J553" s="48"/>
      <c r="K553" s="49"/>
    </row>
    <row r="554" spans="1:11" ht="12.75" hidden="1" x14ac:dyDescent="0.2">
      <c r="A554" s="16"/>
      <c r="B554" s="16"/>
      <c r="C554" s="15"/>
      <c r="D554" s="16"/>
      <c r="E554" s="17"/>
      <c r="F554" s="17"/>
      <c r="H554" s="19"/>
      <c r="I554" s="47"/>
      <c r="J554" s="48"/>
      <c r="K554" s="49"/>
    </row>
    <row r="555" spans="1:11" ht="12.75" hidden="1" x14ac:dyDescent="0.2">
      <c r="A555" s="16"/>
      <c r="B555" s="16"/>
      <c r="C555" s="15"/>
      <c r="D555" s="16"/>
      <c r="E555" s="17"/>
      <c r="F555" s="17"/>
      <c r="H555" s="19"/>
      <c r="I555" s="47"/>
      <c r="J555" s="48"/>
      <c r="K555" s="49"/>
    </row>
    <row r="556" spans="1:11" ht="12.75" hidden="1" x14ac:dyDescent="0.2">
      <c r="A556" s="16"/>
      <c r="B556" s="16"/>
      <c r="C556" s="15"/>
      <c r="D556" s="16"/>
      <c r="E556" s="17"/>
      <c r="F556" s="17"/>
      <c r="H556" s="19"/>
      <c r="I556" s="47"/>
      <c r="J556" s="48"/>
      <c r="K556" s="49"/>
    </row>
    <row r="557" spans="1:11" ht="12.75" hidden="1" x14ac:dyDescent="0.2">
      <c r="A557" s="16"/>
      <c r="B557" s="16"/>
      <c r="C557" s="15"/>
      <c r="D557" s="16"/>
      <c r="E557" s="17"/>
      <c r="F557" s="17"/>
      <c r="H557" s="19"/>
      <c r="I557" s="47"/>
      <c r="J557" s="48"/>
      <c r="K557" s="49"/>
    </row>
    <row r="558" spans="1:11" ht="12.75" hidden="1" x14ac:dyDescent="0.2">
      <c r="A558" s="16"/>
      <c r="B558" s="16"/>
      <c r="C558" s="15"/>
      <c r="D558" s="16"/>
      <c r="E558" s="17"/>
      <c r="F558" s="17"/>
      <c r="H558" s="19"/>
      <c r="I558" s="47"/>
      <c r="J558" s="48"/>
      <c r="K558" s="49"/>
    </row>
    <row r="559" spans="1:11" ht="12.75" hidden="1" x14ac:dyDescent="0.2">
      <c r="A559" s="16"/>
      <c r="B559" s="16"/>
      <c r="C559" s="15"/>
      <c r="D559" s="16"/>
      <c r="E559" s="17"/>
      <c r="F559" s="17"/>
      <c r="H559" s="19"/>
      <c r="I559" s="47"/>
      <c r="J559" s="48"/>
      <c r="K559" s="49"/>
    </row>
    <row r="560" spans="1:11" ht="12.75" hidden="1" x14ac:dyDescent="0.2">
      <c r="A560" s="16"/>
      <c r="B560" s="16"/>
      <c r="C560" s="15"/>
      <c r="D560" s="16"/>
      <c r="E560" s="17"/>
      <c r="F560" s="17"/>
      <c r="H560" s="19"/>
      <c r="I560" s="47"/>
      <c r="J560" s="48"/>
      <c r="K560" s="49"/>
    </row>
    <row r="561" spans="1:11" ht="12.75" hidden="1" x14ac:dyDescent="0.2">
      <c r="A561" s="16"/>
      <c r="B561" s="16"/>
      <c r="C561" s="15"/>
      <c r="D561" s="16"/>
      <c r="E561" s="17"/>
      <c r="F561" s="17"/>
      <c r="H561" s="19"/>
      <c r="I561" s="47"/>
      <c r="J561" s="48"/>
      <c r="K561" s="49"/>
    </row>
    <row r="562" spans="1:11" ht="12.75" hidden="1" x14ac:dyDescent="0.2">
      <c r="A562" s="16"/>
      <c r="B562" s="16"/>
      <c r="C562" s="15"/>
      <c r="D562" s="16"/>
      <c r="E562" s="17"/>
      <c r="F562" s="17"/>
      <c r="H562" s="19"/>
      <c r="I562" s="47"/>
      <c r="J562" s="48"/>
      <c r="K562" s="49"/>
    </row>
    <row r="563" spans="1:11" ht="12.75" hidden="1" x14ac:dyDescent="0.2">
      <c r="A563" s="16"/>
      <c r="B563" s="16"/>
      <c r="C563" s="15"/>
      <c r="D563" s="16"/>
      <c r="E563" s="17"/>
      <c r="F563" s="17"/>
      <c r="H563" s="19"/>
      <c r="I563" s="47"/>
      <c r="J563" s="48"/>
      <c r="K563" s="49"/>
    </row>
    <row r="564" spans="1:11" ht="12.75" hidden="1" x14ac:dyDescent="0.2">
      <c r="A564" s="16"/>
      <c r="B564" s="16"/>
      <c r="C564" s="15"/>
      <c r="D564" s="16"/>
      <c r="E564" s="17"/>
      <c r="F564" s="17"/>
      <c r="H564" s="19"/>
      <c r="I564" s="47"/>
      <c r="J564" s="48"/>
      <c r="K564" s="49"/>
    </row>
    <row r="565" spans="1:11" ht="12.75" hidden="1" x14ac:dyDescent="0.2">
      <c r="A565" s="16"/>
      <c r="B565" s="16"/>
      <c r="C565" s="15"/>
      <c r="D565" s="16"/>
      <c r="E565" s="17"/>
      <c r="F565" s="17"/>
      <c r="H565" s="19"/>
      <c r="I565" s="47"/>
      <c r="J565" s="48"/>
      <c r="K565" s="49"/>
    </row>
    <row r="566" spans="1:11" ht="12.75" hidden="1" x14ac:dyDescent="0.2">
      <c r="A566" s="16"/>
      <c r="B566" s="16"/>
      <c r="C566" s="15"/>
      <c r="D566" s="16"/>
      <c r="E566" s="17"/>
      <c r="F566" s="17"/>
      <c r="H566" s="19"/>
      <c r="I566" s="47"/>
      <c r="J566" s="48"/>
      <c r="K566" s="49"/>
    </row>
    <row r="567" spans="1:11" ht="12.75" hidden="1" x14ac:dyDescent="0.2">
      <c r="A567" s="16"/>
      <c r="B567" s="16"/>
      <c r="C567" s="15"/>
      <c r="D567" s="16"/>
      <c r="E567" s="17"/>
      <c r="F567" s="17"/>
      <c r="H567" s="19"/>
      <c r="I567" s="47"/>
      <c r="J567" s="48"/>
      <c r="K567" s="49"/>
    </row>
    <row r="568" spans="1:11" ht="12.75" hidden="1" x14ac:dyDescent="0.2">
      <c r="A568" s="16"/>
      <c r="B568" s="16"/>
      <c r="C568" s="15"/>
      <c r="D568" s="16"/>
      <c r="E568" s="17"/>
      <c r="F568" s="17"/>
      <c r="H568" s="19"/>
      <c r="I568" s="47"/>
      <c r="J568" s="48"/>
      <c r="K568" s="49"/>
    </row>
    <row r="569" spans="1:11" ht="12.75" hidden="1" x14ac:dyDescent="0.2">
      <c r="A569" s="16"/>
      <c r="B569" s="16"/>
      <c r="C569" s="15"/>
      <c r="D569" s="16"/>
      <c r="E569" s="17"/>
      <c r="F569" s="17"/>
      <c r="H569" s="19"/>
      <c r="I569" s="47"/>
      <c r="J569" s="48"/>
      <c r="K569" s="49"/>
    </row>
    <row r="570" spans="1:11" ht="12.75" hidden="1" x14ac:dyDescent="0.2">
      <c r="A570" s="16"/>
      <c r="B570" s="16"/>
      <c r="C570" s="15"/>
      <c r="D570" s="16"/>
      <c r="E570" s="17"/>
      <c r="F570" s="17"/>
      <c r="H570" s="19"/>
      <c r="I570" s="47"/>
      <c r="J570" s="48"/>
      <c r="K570" s="49"/>
    </row>
    <row r="571" spans="1:11" ht="12.75" hidden="1" x14ac:dyDescent="0.2">
      <c r="A571" s="16"/>
      <c r="B571" s="16"/>
      <c r="C571" s="15"/>
      <c r="D571" s="16"/>
      <c r="E571" s="17"/>
      <c r="F571" s="17"/>
      <c r="H571" s="19"/>
      <c r="I571" s="47"/>
      <c r="J571" s="48"/>
      <c r="K571" s="49"/>
    </row>
    <row r="572" spans="1:11" ht="12.75" hidden="1" x14ac:dyDescent="0.2">
      <c r="A572" s="16"/>
      <c r="B572" s="16"/>
      <c r="C572" s="15"/>
      <c r="D572" s="16"/>
      <c r="E572" s="17"/>
      <c r="F572" s="17"/>
      <c r="H572" s="19"/>
      <c r="I572" s="47"/>
      <c r="J572" s="48"/>
      <c r="K572" s="49"/>
    </row>
    <row r="573" spans="1:11" ht="12.75" hidden="1" x14ac:dyDescent="0.2">
      <c r="A573" s="16"/>
      <c r="B573" s="16"/>
      <c r="C573" s="15"/>
      <c r="D573" s="16"/>
      <c r="E573" s="17"/>
      <c r="F573" s="17"/>
      <c r="H573" s="19"/>
      <c r="I573" s="47"/>
      <c r="J573" s="48"/>
      <c r="K573" s="49"/>
    </row>
    <row r="574" spans="1:11" ht="12.75" hidden="1" x14ac:dyDescent="0.2">
      <c r="A574" s="16"/>
      <c r="B574" s="16"/>
      <c r="C574" s="15"/>
      <c r="D574" s="16"/>
      <c r="E574" s="17"/>
      <c r="F574" s="17"/>
      <c r="H574" s="19"/>
      <c r="I574" s="47"/>
      <c r="J574" s="48"/>
      <c r="K574" s="49"/>
    </row>
    <row r="575" spans="1:11" ht="12.75" hidden="1" x14ac:dyDescent="0.2">
      <c r="A575" s="16"/>
      <c r="B575" s="16"/>
      <c r="C575" s="15"/>
      <c r="D575" s="16"/>
      <c r="E575" s="17"/>
      <c r="F575" s="17"/>
      <c r="H575" s="19"/>
      <c r="I575" s="47"/>
      <c r="J575" s="48"/>
      <c r="K575" s="49"/>
    </row>
    <row r="576" spans="1:11" ht="12.75" hidden="1" x14ac:dyDescent="0.2">
      <c r="A576" s="16"/>
      <c r="B576" s="16"/>
      <c r="C576" s="15"/>
      <c r="D576" s="16"/>
      <c r="E576" s="17"/>
      <c r="F576" s="17"/>
      <c r="H576" s="19"/>
      <c r="I576" s="47"/>
      <c r="J576" s="48"/>
      <c r="K576" s="49"/>
    </row>
    <row r="577" spans="1:11" ht="12.75" hidden="1" x14ac:dyDescent="0.2">
      <c r="A577" s="16"/>
      <c r="B577" s="16"/>
      <c r="C577" s="15"/>
      <c r="D577" s="16"/>
      <c r="E577" s="17"/>
      <c r="F577" s="17"/>
      <c r="H577" s="19"/>
      <c r="I577" s="47"/>
      <c r="J577" s="48"/>
      <c r="K577" s="49"/>
    </row>
    <row r="578" spans="1:11" ht="12.75" hidden="1" x14ac:dyDescent="0.2">
      <c r="A578" s="16"/>
      <c r="B578" s="16"/>
      <c r="C578" s="15"/>
      <c r="D578" s="16"/>
      <c r="E578" s="17"/>
      <c r="F578" s="17"/>
      <c r="H578" s="19"/>
      <c r="I578" s="47"/>
      <c r="J578" s="48"/>
      <c r="K578" s="49"/>
    </row>
    <row r="579" spans="1:11" ht="12.75" hidden="1" x14ac:dyDescent="0.2">
      <c r="A579" s="16"/>
      <c r="B579" s="16"/>
      <c r="C579" s="15"/>
      <c r="D579" s="16"/>
      <c r="E579" s="17"/>
      <c r="F579" s="17"/>
      <c r="H579" s="19"/>
      <c r="I579" s="47"/>
      <c r="J579" s="48"/>
      <c r="K579" s="49"/>
    </row>
    <row r="580" spans="1:11" ht="12.75" hidden="1" x14ac:dyDescent="0.2">
      <c r="A580" s="16"/>
      <c r="B580" s="16"/>
      <c r="C580" s="15"/>
      <c r="D580" s="16"/>
      <c r="E580" s="17"/>
      <c r="F580" s="17"/>
      <c r="H580" s="19"/>
      <c r="I580" s="47"/>
      <c r="J580" s="48"/>
      <c r="K580" s="49"/>
    </row>
    <row r="581" spans="1:11" ht="12.75" hidden="1" x14ac:dyDescent="0.2">
      <c r="A581" s="16"/>
      <c r="B581" s="16"/>
      <c r="C581" s="15"/>
      <c r="D581" s="16"/>
      <c r="E581" s="17"/>
      <c r="F581" s="17"/>
      <c r="H581" s="19"/>
      <c r="I581" s="47"/>
      <c r="J581" s="48"/>
      <c r="K581" s="49"/>
    </row>
    <row r="582" spans="1:11" ht="12.75" hidden="1" x14ac:dyDescent="0.2">
      <c r="A582" s="16"/>
      <c r="B582" s="16"/>
      <c r="C582" s="15"/>
      <c r="D582" s="16"/>
      <c r="E582" s="17"/>
      <c r="F582" s="17"/>
      <c r="H582" s="19"/>
      <c r="I582" s="47"/>
      <c r="J582" s="48"/>
      <c r="K582" s="49"/>
    </row>
    <row r="583" spans="1:11" ht="12.75" hidden="1" x14ac:dyDescent="0.2">
      <c r="A583" s="16"/>
      <c r="B583" s="16"/>
      <c r="C583" s="15"/>
      <c r="D583" s="16"/>
      <c r="E583" s="17"/>
      <c r="F583" s="17"/>
      <c r="H583" s="19"/>
      <c r="I583" s="47"/>
      <c r="J583" s="48"/>
      <c r="K583" s="49"/>
    </row>
    <row r="584" spans="1:11" ht="12.75" hidden="1" x14ac:dyDescent="0.2">
      <c r="A584" s="16"/>
      <c r="B584" s="16"/>
      <c r="C584" s="15"/>
      <c r="D584" s="16"/>
      <c r="E584" s="17"/>
      <c r="F584" s="17"/>
      <c r="H584" s="19"/>
      <c r="I584" s="47"/>
      <c r="J584" s="48"/>
      <c r="K584" s="49"/>
    </row>
    <row r="585" spans="1:11" ht="12.75" hidden="1" x14ac:dyDescent="0.2">
      <c r="A585" s="16"/>
      <c r="B585" s="16"/>
      <c r="C585" s="15"/>
      <c r="D585" s="16"/>
      <c r="E585" s="17"/>
      <c r="F585" s="17"/>
      <c r="H585" s="19"/>
      <c r="I585" s="47"/>
      <c r="J585" s="48"/>
      <c r="K585" s="49"/>
    </row>
    <row r="586" spans="1:11" ht="12.75" hidden="1" x14ac:dyDescent="0.2">
      <c r="A586" s="16"/>
      <c r="B586" s="16"/>
      <c r="C586" s="15"/>
      <c r="D586" s="16"/>
      <c r="E586" s="17"/>
      <c r="F586" s="17"/>
      <c r="H586" s="19"/>
      <c r="I586" s="47"/>
      <c r="J586" s="48"/>
      <c r="K586" s="49"/>
    </row>
    <row r="587" spans="1:11" ht="12.75" hidden="1" x14ac:dyDescent="0.2">
      <c r="A587" s="16"/>
      <c r="B587" s="16"/>
      <c r="C587" s="15"/>
      <c r="D587" s="16"/>
      <c r="E587" s="17"/>
      <c r="F587" s="17"/>
      <c r="H587" s="19"/>
      <c r="I587" s="47"/>
      <c r="J587" s="48"/>
      <c r="K587" s="49"/>
    </row>
    <row r="588" spans="1:11" ht="12.75" hidden="1" x14ac:dyDescent="0.2">
      <c r="A588" s="16"/>
      <c r="B588" s="16"/>
      <c r="C588" s="15"/>
      <c r="D588" s="16"/>
      <c r="E588" s="17"/>
      <c r="F588" s="17"/>
      <c r="H588" s="19"/>
      <c r="I588" s="47"/>
      <c r="J588" s="48"/>
      <c r="K588" s="49"/>
    </row>
    <row r="589" spans="1:11" ht="12.75" hidden="1" x14ac:dyDescent="0.2">
      <c r="A589" s="16"/>
      <c r="B589" s="16"/>
      <c r="C589" s="15"/>
      <c r="D589" s="16"/>
      <c r="E589" s="17"/>
      <c r="F589" s="17"/>
      <c r="H589" s="19"/>
      <c r="I589" s="47"/>
      <c r="J589" s="48"/>
      <c r="K589" s="49"/>
    </row>
    <row r="590" spans="1:11" ht="12.75" hidden="1" x14ac:dyDescent="0.2">
      <c r="A590" s="16"/>
      <c r="B590" s="16"/>
      <c r="C590" s="15"/>
      <c r="D590" s="16"/>
      <c r="E590" s="17"/>
      <c r="F590" s="17"/>
      <c r="H590" s="19"/>
      <c r="I590" s="47"/>
      <c r="J590" s="48"/>
      <c r="K590" s="49"/>
    </row>
    <row r="591" spans="1:11" ht="12.75" hidden="1" x14ac:dyDescent="0.2">
      <c r="A591" s="16"/>
      <c r="B591" s="16"/>
      <c r="C591" s="15"/>
      <c r="D591" s="16"/>
      <c r="E591" s="17"/>
      <c r="F591" s="17"/>
      <c r="H591" s="19"/>
      <c r="I591" s="47"/>
      <c r="J591" s="48"/>
      <c r="K591" s="49"/>
    </row>
    <row r="592" spans="1:11" ht="12.75" hidden="1" x14ac:dyDescent="0.2">
      <c r="A592" s="16"/>
      <c r="B592" s="16"/>
      <c r="C592" s="15"/>
      <c r="D592" s="16"/>
      <c r="E592" s="17"/>
      <c r="F592" s="17"/>
      <c r="H592" s="19"/>
      <c r="I592" s="47"/>
      <c r="J592" s="48"/>
      <c r="K592" s="49"/>
    </row>
    <row r="593" spans="1:11" ht="12.75" hidden="1" x14ac:dyDescent="0.2">
      <c r="A593" s="16"/>
      <c r="B593" s="16"/>
      <c r="C593" s="15"/>
      <c r="D593" s="16"/>
      <c r="E593" s="17"/>
      <c r="F593" s="17"/>
      <c r="H593" s="19"/>
      <c r="I593" s="47"/>
      <c r="J593" s="48"/>
      <c r="K593" s="49"/>
    </row>
    <row r="594" spans="1:11" ht="12.75" hidden="1" x14ac:dyDescent="0.2">
      <c r="A594" s="16"/>
      <c r="B594" s="16"/>
      <c r="C594" s="15"/>
      <c r="D594" s="16"/>
      <c r="E594" s="17"/>
      <c r="F594" s="17"/>
      <c r="H594" s="19"/>
      <c r="I594" s="47"/>
      <c r="J594" s="48"/>
      <c r="K594" s="49"/>
    </row>
    <row r="595" spans="1:11" ht="12.75" hidden="1" x14ac:dyDescent="0.2">
      <c r="A595" s="16"/>
      <c r="B595" s="16"/>
      <c r="C595" s="15"/>
      <c r="D595" s="16"/>
      <c r="E595" s="17"/>
      <c r="F595" s="17"/>
      <c r="H595" s="19"/>
      <c r="I595" s="47"/>
      <c r="J595" s="48"/>
      <c r="K595" s="49"/>
    </row>
    <row r="596" spans="1:11" ht="12.75" hidden="1" x14ac:dyDescent="0.2">
      <c r="A596" s="16"/>
      <c r="B596" s="16"/>
      <c r="C596" s="15"/>
      <c r="D596" s="16"/>
      <c r="E596" s="17"/>
      <c r="F596" s="17"/>
      <c r="H596" s="19"/>
      <c r="I596" s="47"/>
      <c r="J596" s="48"/>
      <c r="K596" s="49"/>
    </row>
    <row r="597" spans="1:11" ht="12.75" hidden="1" x14ac:dyDescent="0.2">
      <c r="A597" s="16"/>
      <c r="B597" s="16"/>
      <c r="C597" s="15"/>
      <c r="D597" s="16"/>
      <c r="E597" s="17"/>
      <c r="F597" s="17"/>
      <c r="H597" s="19"/>
      <c r="I597" s="47"/>
      <c r="J597" s="48"/>
      <c r="K597" s="49"/>
    </row>
    <row r="598" spans="1:11" ht="12.75" hidden="1" x14ac:dyDescent="0.2">
      <c r="A598" s="16"/>
      <c r="B598" s="16"/>
      <c r="C598" s="15"/>
      <c r="D598" s="16"/>
      <c r="E598" s="17"/>
      <c r="F598" s="17"/>
      <c r="H598" s="19"/>
      <c r="I598" s="47"/>
      <c r="J598" s="48"/>
      <c r="K598" s="49"/>
    </row>
    <row r="599" spans="1:11" ht="12.75" hidden="1" x14ac:dyDescent="0.2">
      <c r="A599" s="16"/>
      <c r="B599" s="16"/>
      <c r="C599" s="15"/>
      <c r="D599" s="16"/>
      <c r="E599" s="17"/>
      <c r="F599" s="17"/>
      <c r="H599" s="19"/>
      <c r="I599" s="47"/>
      <c r="J599" s="48"/>
      <c r="K599" s="49"/>
    </row>
    <row r="600" spans="1:11" ht="12.75" hidden="1" x14ac:dyDescent="0.2">
      <c r="A600" s="16"/>
      <c r="B600" s="16"/>
      <c r="C600" s="15"/>
      <c r="D600" s="16"/>
      <c r="E600" s="17"/>
      <c r="F600" s="17"/>
      <c r="H600" s="19"/>
      <c r="I600" s="47"/>
      <c r="J600" s="48"/>
      <c r="K600" s="49"/>
    </row>
    <row r="601" spans="1:11" ht="12.75" hidden="1" x14ac:dyDescent="0.2">
      <c r="A601" s="16"/>
      <c r="B601" s="16"/>
      <c r="C601" s="15"/>
      <c r="D601" s="16"/>
      <c r="E601" s="17"/>
      <c r="F601" s="17"/>
      <c r="H601" s="19"/>
      <c r="I601" s="47"/>
      <c r="J601" s="48"/>
      <c r="K601" s="49"/>
    </row>
    <row r="602" spans="1:11" ht="12.75" hidden="1" x14ac:dyDescent="0.2">
      <c r="A602" s="16"/>
      <c r="B602" s="16"/>
      <c r="C602" s="15"/>
      <c r="D602" s="16"/>
      <c r="E602" s="17"/>
      <c r="F602" s="17"/>
      <c r="H602" s="19"/>
      <c r="I602" s="47"/>
      <c r="J602" s="48"/>
      <c r="K602" s="49"/>
    </row>
    <row r="603" spans="1:11" ht="12.75" hidden="1" x14ac:dyDescent="0.2">
      <c r="A603" s="16"/>
      <c r="B603" s="16"/>
      <c r="C603" s="15"/>
      <c r="D603" s="16"/>
      <c r="E603" s="17"/>
      <c r="F603" s="17"/>
      <c r="H603" s="19"/>
      <c r="I603" s="47"/>
      <c r="J603" s="48"/>
      <c r="K603" s="49"/>
    </row>
    <row r="604" spans="1:11" ht="12.75" hidden="1" x14ac:dyDescent="0.2">
      <c r="A604" s="16"/>
      <c r="B604" s="16"/>
      <c r="C604" s="15"/>
      <c r="D604" s="16"/>
      <c r="E604" s="17"/>
      <c r="F604" s="17"/>
      <c r="H604" s="19"/>
      <c r="I604" s="47"/>
      <c r="J604" s="48"/>
      <c r="K604" s="49"/>
    </row>
    <row r="605" spans="1:11" ht="12.75" hidden="1" x14ac:dyDescent="0.2">
      <c r="A605" s="16"/>
      <c r="B605" s="16"/>
      <c r="C605" s="15"/>
      <c r="D605" s="16"/>
      <c r="E605" s="17"/>
      <c r="F605" s="17"/>
      <c r="H605" s="19"/>
      <c r="I605" s="47"/>
      <c r="J605" s="48"/>
      <c r="K605" s="49"/>
    </row>
    <row r="606" spans="1:11" ht="12.75" hidden="1" x14ac:dyDescent="0.2">
      <c r="A606" s="16"/>
      <c r="B606" s="16"/>
      <c r="C606" s="15"/>
      <c r="D606" s="16"/>
      <c r="E606" s="17"/>
      <c r="F606" s="17"/>
      <c r="H606" s="19"/>
      <c r="I606" s="47"/>
      <c r="J606" s="48"/>
      <c r="K606" s="49"/>
    </row>
    <row r="607" spans="1:11" ht="12.75" hidden="1" x14ac:dyDescent="0.2">
      <c r="A607" s="16"/>
      <c r="B607" s="16"/>
      <c r="C607" s="15"/>
      <c r="D607" s="16"/>
      <c r="E607" s="17"/>
      <c r="F607" s="17"/>
      <c r="H607" s="19"/>
      <c r="I607" s="47"/>
      <c r="J607" s="48"/>
      <c r="K607" s="49"/>
    </row>
    <row r="608" spans="1:11" ht="12.75" hidden="1" x14ac:dyDescent="0.2">
      <c r="A608" s="16"/>
      <c r="B608" s="16"/>
      <c r="C608" s="15"/>
      <c r="D608" s="16"/>
      <c r="E608" s="17"/>
      <c r="F608" s="17"/>
      <c r="H608" s="19"/>
      <c r="I608" s="47"/>
      <c r="J608" s="48"/>
      <c r="K608" s="49"/>
    </row>
    <row r="609" spans="1:11" ht="12.75" hidden="1" x14ac:dyDescent="0.2">
      <c r="A609" s="16"/>
      <c r="B609" s="16"/>
      <c r="C609" s="15"/>
      <c r="D609" s="16"/>
      <c r="E609" s="17"/>
      <c r="F609" s="17"/>
      <c r="H609" s="19"/>
      <c r="I609" s="47"/>
      <c r="J609" s="48"/>
      <c r="K609" s="49"/>
    </row>
    <row r="610" spans="1:11" ht="12.75" hidden="1" x14ac:dyDescent="0.2">
      <c r="A610" s="16"/>
      <c r="B610" s="16"/>
      <c r="C610" s="15"/>
      <c r="D610" s="16"/>
      <c r="E610" s="17"/>
      <c r="F610" s="17"/>
      <c r="H610" s="19"/>
      <c r="I610" s="47"/>
      <c r="J610" s="48"/>
      <c r="K610" s="49"/>
    </row>
    <row r="611" spans="1:11" ht="12.75" hidden="1" x14ac:dyDescent="0.2">
      <c r="A611" s="16"/>
      <c r="B611" s="16"/>
      <c r="C611" s="15"/>
      <c r="D611" s="16"/>
      <c r="E611" s="17"/>
      <c r="F611" s="17"/>
      <c r="H611" s="19"/>
      <c r="I611" s="47"/>
      <c r="J611" s="48"/>
      <c r="K611" s="49"/>
    </row>
    <row r="612" spans="1:11" ht="12.75" hidden="1" x14ac:dyDescent="0.2">
      <c r="A612" s="16"/>
      <c r="B612" s="16"/>
      <c r="C612" s="15"/>
      <c r="D612" s="16"/>
      <c r="E612" s="17"/>
      <c r="F612" s="17"/>
      <c r="H612" s="19"/>
      <c r="I612" s="47"/>
      <c r="J612" s="48"/>
      <c r="K612" s="49"/>
    </row>
    <row r="613" spans="1:11" ht="12.75" hidden="1" x14ac:dyDescent="0.2">
      <c r="A613" s="16"/>
      <c r="B613" s="16"/>
      <c r="C613" s="15"/>
      <c r="D613" s="16"/>
      <c r="E613" s="17"/>
      <c r="F613" s="17"/>
      <c r="H613" s="19"/>
      <c r="I613" s="47"/>
      <c r="J613" s="48"/>
      <c r="K613" s="49"/>
    </row>
    <row r="614" spans="1:11" ht="12.75" hidden="1" x14ac:dyDescent="0.2">
      <c r="A614" s="16"/>
      <c r="B614" s="16"/>
      <c r="C614" s="15"/>
      <c r="D614" s="16"/>
      <c r="E614" s="17"/>
      <c r="F614" s="17"/>
      <c r="H614" s="19"/>
      <c r="I614" s="47"/>
      <c r="J614" s="48"/>
      <c r="K614" s="49"/>
    </row>
    <row r="615" spans="1:11" ht="12.75" hidden="1" x14ac:dyDescent="0.2">
      <c r="A615" s="16"/>
      <c r="B615" s="16"/>
      <c r="C615" s="15"/>
      <c r="D615" s="16"/>
      <c r="E615" s="17"/>
      <c r="F615" s="17"/>
      <c r="H615" s="19"/>
      <c r="I615" s="47"/>
      <c r="J615" s="48"/>
      <c r="K615" s="49"/>
    </row>
    <row r="616" spans="1:11" ht="12.75" hidden="1" x14ac:dyDescent="0.2">
      <c r="A616" s="16"/>
      <c r="B616" s="16"/>
      <c r="C616" s="15"/>
      <c r="D616" s="16"/>
      <c r="E616" s="17"/>
      <c r="F616" s="17"/>
      <c r="H616" s="19"/>
      <c r="I616" s="47"/>
      <c r="J616" s="48"/>
      <c r="K616" s="49"/>
    </row>
    <row r="617" spans="1:11" ht="12.75" hidden="1" x14ac:dyDescent="0.2">
      <c r="A617" s="16"/>
      <c r="B617" s="16"/>
      <c r="C617" s="15"/>
      <c r="D617" s="16"/>
      <c r="E617" s="17"/>
      <c r="F617" s="17"/>
      <c r="H617" s="19"/>
      <c r="I617" s="47"/>
      <c r="J617" s="48"/>
      <c r="K617" s="49"/>
    </row>
    <row r="618" spans="1:11" ht="12.75" hidden="1" x14ac:dyDescent="0.2">
      <c r="A618" s="16"/>
      <c r="B618" s="16"/>
      <c r="C618" s="15"/>
      <c r="D618" s="16"/>
      <c r="E618" s="17"/>
      <c r="F618" s="17"/>
      <c r="H618" s="19"/>
      <c r="I618" s="47"/>
      <c r="J618" s="48"/>
      <c r="K618" s="49"/>
    </row>
    <row r="619" spans="1:11" ht="12.75" hidden="1" x14ac:dyDescent="0.2">
      <c r="A619" s="16"/>
      <c r="B619" s="16"/>
      <c r="C619" s="15"/>
      <c r="D619" s="16"/>
      <c r="E619" s="17"/>
      <c r="F619" s="17"/>
      <c r="H619" s="19"/>
      <c r="I619" s="47"/>
      <c r="J619" s="48"/>
      <c r="K619" s="49"/>
    </row>
    <row r="620" spans="1:11" ht="12.75" hidden="1" x14ac:dyDescent="0.2">
      <c r="A620" s="16"/>
      <c r="B620" s="16"/>
      <c r="C620" s="15"/>
      <c r="D620" s="16"/>
      <c r="E620" s="17"/>
      <c r="F620" s="17"/>
      <c r="H620" s="19"/>
      <c r="I620" s="47"/>
      <c r="J620" s="48"/>
      <c r="K620" s="49"/>
    </row>
    <row r="621" spans="1:11" ht="12.75" hidden="1" x14ac:dyDescent="0.2">
      <c r="A621" s="16"/>
      <c r="B621" s="16"/>
      <c r="C621" s="15"/>
      <c r="D621" s="16"/>
      <c r="E621" s="17"/>
      <c r="F621" s="17"/>
      <c r="H621" s="19"/>
      <c r="I621" s="47"/>
      <c r="J621" s="48"/>
      <c r="K621" s="49"/>
    </row>
    <row r="622" spans="1:11" ht="12.75" hidden="1" x14ac:dyDescent="0.2">
      <c r="A622" s="16"/>
      <c r="B622" s="16"/>
      <c r="C622" s="15"/>
      <c r="D622" s="16"/>
      <c r="E622" s="17"/>
      <c r="F622" s="17"/>
      <c r="H622" s="19"/>
      <c r="I622" s="47"/>
      <c r="J622" s="48"/>
      <c r="K622" s="49"/>
    </row>
    <row r="623" spans="1:11" ht="12.75" hidden="1" x14ac:dyDescent="0.2">
      <c r="A623" s="16"/>
      <c r="B623" s="16"/>
      <c r="C623" s="15"/>
      <c r="D623" s="16"/>
      <c r="E623" s="17"/>
      <c r="F623" s="17"/>
      <c r="H623" s="19"/>
      <c r="I623" s="47"/>
      <c r="J623" s="48"/>
      <c r="K623" s="49"/>
    </row>
    <row r="624" spans="1:11" ht="12.75" hidden="1" x14ac:dyDescent="0.2">
      <c r="A624" s="16"/>
      <c r="B624" s="16"/>
      <c r="C624" s="15"/>
      <c r="D624" s="16"/>
      <c r="E624" s="17"/>
      <c r="F624" s="17"/>
      <c r="H624" s="19"/>
      <c r="I624" s="47"/>
      <c r="J624" s="48"/>
      <c r="K624" s="49"/>
    </row>
    <row r="625" spans="1:11" ht="12.75" hidden="1" x14ac:dyDescent="0.2">
      <c r="A625" s="16"/>
      <c r="B625" s="16"/>
      <c r="C625" s="15"/>
      <c r="D625" s="16"/>
      <c r="E625" s="17"/>
      <c r="F625" s="17"/>
      <c r="H625" s="19"/>
      <c r="I625" s="47"/>
      <c r="J625" s="48"/>
      <c r="K625" s="49"/>
    </row>
    <row r="626" spans="1:11" ht="12.75" hidden="1" x14ac:dyDescent="0.2">
      <c r="A626" s="16"/>
      <c r="B626" s="16"/>
      <c r="C626" s="15"/>
      <c r="D626" s="16"/>
      <c r="E626" s="17"/>
      <c r="F626" s="17"/>
      <c r="H626" s="19"/>
      <c r="I626" s="47"/>
      <c r="J626" s="48"/>
      <c r="K626" s="49"/>
    </row>
    <row r="627" spans="1:11" ht="12.75" hidden="1" x14ac:dyDescent="0.2">
      <c r="A627" s="16"/>
      <c r="B627" s="16"/>
      <c r="C627" s="15"/>
      <c r="D627" s="16"/>
      <c r="E627" s="17"/>
      <c r="F627" s="17"/>
      <c r="H627" s="19"/>
      <c r="I627" s="47"/>
      <c r="J627" s="48"/>
      <c r="K627" s="49"/>
    </row>
    <row r="628" spans="1:11" ht="12.75" hidden="1" x14ac:dyDescent="0.2">
      <c r="A628" s="16"/>
      <c r="B628" s="16"/>
      <c r="C628" s="15"/>
      <c r="D628" s="16"/>
      <c r="E628" s="17"/>
      <c r="F628" s="17"/>
      <c r="H628" s="19"/>
      <c r="I628" s="47"/>
      <c r="J628" s="48"/>
      <c r="K628" s="49"/>
    </row>
    <row r="629" spans="1:11" ht="12.75" hidden="1" x14ac:dyDescent="0.2">
      <c r="A629" s="16"/>
      <c r="B629" s="16"/>
      <c r="C629" s="15"/>
      <c r="D629" s="16"/>
      <c r="E629" s="17"/>
      <c r="F629" s="17"/>
      <c r="H629" s="19"/>
      <c r="I629" s="47"/>
      <c r="J629" s="48"/>
      <c r="K629" s="49"/>
    </row>
    <row r="630" spans="1:11" ht="12.75" hidden="1" x14ac:dyDescent="0.2">
      <c r="A630" s="16"/>
      <c r="B630" s="16"/>
      <c r="C630" s="15"/>
      <c r="D630" s="16"/>
      <c r="E630" s="17"/>
      <c r="F630" s="17"/>
      <c r="H630" s="19"/>
      <c r="I630" s="47"/>
      <c r="J630" s="48"/>
      <c r="K630" s="49"/>
    </row>
    <row r="631" spans="1:11" ht="12.75" hidden="1" x14ac:dyDescent="0.2">
      <c r="A631" s="16"/>
      <c r="B631" s="16"/>
      <c r="C631" s="15"/>
      <c r="D631" s="16"/>
      <c r="E631" s="17"/>
      <c r="F631" s="17"/>
      <c r="H631" s="19"/>
      <c r="I631" s="47"/>
      <c r="J631" s="48"/>
      <c r="K631" s="49"/>
    </row>
    <row r="632" spans="1:11" ht="12.75" hidden="1" x14ac:dyDescent="0.2">
      <c r="A632" s="16"/>
      <c r="B632" s="16"/>
      <c r="C632" s="15"/>
      <c r="D632" s="16"/>
      <c r="E632" s="17"/>
      <c r="F632" s="17"/>
      <c r="H632" s="19"/>
      <c r="I632" s="47"/>
      <c r="J632" s="48"/>
      <c r="K632" s="49"/>
    </row>
    <row r="633" spans="1:11" ht="12.75" hidden="1" x14ac:dyDescent="0.2">
      <c r="A633" s="16"/>
      <c r="B633" s="16"/>
      <c r="C633" s="15"/>
      <c r="D633" s="16"/>
      <c r="E633" s="17"/>
      <c r="F633" s="17"/>
      <c r="H633" s="19"/>
      <c r="I633" s="47"/>
      <c r="J633" s="48"/>
      <c r="K633" s="49"/>
    </row>
    <row r="634" spans="1:11" ht="12.75" hidden="1" x14ac:dyDescent="0.2">
      <c r="A634" s="16"/>
      <c r="B634" s="16"/>
      <c r="C634" s="15"/>
      <c r="D634" s="16"/>
      <c r="E634" s="17"/>
      <c r="F634" s="17"/>
      <c r="H634" s="19"/>
      <c r="I634" s="47"/>
      <c r="J634" s="48"/>
      <c r="K634" s="49"/>
    </row>
    <row r="635" spans="1:11" ht="12.75" hidden="1" x14ac:dyDescent="0.2">
      <c r="A635" s="16"/>
      <c r="B635" s="16"/>
      <c r="C635" s="15"/>
      <c r="D635" s="16"/>
      <c r="E635" s="17"/>
      <c r="F635" s="17"/>
      <c r="H635" s="19"/>
      <c r="I635" s="47"/>
      <c r="J635" s="48"/>
      <c r="K635" s="49"/>
    </row>
    <row r="636" spans="1:11" ht="12.75" hidden="1" x14ac:dyDescent="0.2">
      <c r="A636" s="16"/>
      <c r="B636" s="16"/>
      <c r="C636" s="15"/>
      <c r="D636" s="16"/>
      <c r="E636" s="17"/>
      <c r="F636" s="17"/>
      <c r="H636" s="19"/>
      <c r="I636" s="47"/>
      <c r="J636" s="48"/>
      <c r="K636" s="49"/>
    </row>
    <row r="637" spans="1:11" ht="12.75" hidden="1" x14ac:dyDescent="0.2">
      <c r="A637" s="16"/>
      <c r="B637" s="16"/>
      <c r="C637" s="15"/>
      <c r="D637" s="16"/>
      <c r="E637" s="17"/>
      <c r="F637" s="17"/>
      <c r="H637" s="19"/>
      <c r="I637" s="47"/>
      <c r="J637" s="48"/>
      <c r="K637" s="49"/>
    </row>
    <row r="638" spans="1:11" ht="12.75" hidden="1" x14ac:dyDescent="0.2">
      <c r="A638" s="16"/>
      <c r="B638" s="16"/>
      <c r="C638" s="15"/>
      <c r="D638" s="16"/>
      <c r="E638" s="17"/>
      <c r="F638" s="17"/>
      <c r="H638" s="19"/>
      <c r="I638" s="47"/>
      <c r="J638" s="48"/>
      <c r="K638" s="49"/>
    </row>
    <row r="639" spans="1:11" ht="12.75" hidden="1" x14ac:dyDescent="0.2">
      <c r="A639" s="16"/>
      <c r="B639" s="16"/>
      <c r="C639" s="15"/>
      <c r="D639" s="16"/>
      <c r="E639" s="17"/>
      <c r="F639" s="17"/>
      <c r="H639" s="19"/>
      <c r="I639" s="47"/>
      <c r="J639" s="48"/>
      <c r="K639" s="49"/>
    </row>
    <row r="640" spans="1:11" ht="12.75" hidden="1" x14ac:dyDescent="0.2">
      <c r="A640" s="16"/>
      <c r="B640" s="16"/>
      <c r="C640" s="15"/>
      <c r="D640" s="16"/>
      <c r="E640" s="17"/>
      <c r="F640" s="17"/>
      <c r="H640" s="19"/>
      <c r="I640" s="47"/>
      <c r="J640" s="48"/>
      <c r="K640" s="49"/>
    </row>
    <row r="641" spans="1:11" ht="12.75" hidden="1" x14ac:dyDescent="0.2">
      <c r="A641" s="16"/>
      <c r="B641" s="16"/>
      <c r="C641" s="15"/>
      <c r="D641" s="16"/>
      <c r="E641" s="17"/>
      <c r="F641" s="17"/>
      <c r="H641" s="19"/>
      <c r="I641" s="47"/>
      <c r="J641" s="48"/>
      <c r="K641" s="49"/>
    </row>
    <row r="642" spans="1:11" ht="12.75" hidden="1" x14ac:dyDescent="0.2">
      <c r="A642" s="16"/>
      <c r="B642" s="16"/>
      <c r="C642" s="15"/>
      <c r="D642" s="16"/>
      <c r="E642" s="17"/>
      <c r="F642" s="17"/>
      <c r="H642" s="19"/>
      <c r="I642" s="47"/>
      <c r="J642" s="48"/>
      <c r="K642" s="49"/>
    </row>
    <row r="643" spans="1:11" ht="12.75" hidden="1" x14ac:dyDescent="0.2">
      <c r="A643" s="16"/>
      <c r="B643" s="16"/>
      <c r="C643" s="15"/>
      <c r="D643" s="16"/>
      <c r="E643" s="17"/>
      <c r="F643" s="17"/>
      <c r="H643" s="19"/>
      <c r="I643" s="47"/>
      <c r="J643" s="48"/>
      <c r="K643" s="49"/>
    </row>
    <row r="644" spans="1:11" ht="12.75" hidden="1" x14ac:dyDescent="0.2">
      <c r="A644" s="16"/>
      <c r="B644" s="16"/>
      <c r="C644" s="15"/>
      <c r="D644" s="16"/>
      <c r="E644" s="17"/>
      <c r="F644" s="17"/>
      <c r="H644" s="19"/>
      <c r="I644" s="47"/>
      <c r="J644" s="48"/>
      <c r="K644" s="49"/>
    </row>
    <row r="645" spans="1:11" ht="12.75" hidden="1" x14ac:dyDescent="0.2">
      <c r="A645" s="16"/>
      <c r="B645" s="16"/>
      <c r="C645" s="15"/>
      <c r="D645" s="16"/>
      <c r="E645" s="17"/>
      <c r="F645" s="17"/>
      <c r="H645" s="19"/>
      <c r="I645" s="47"/>
      <c r="J645" s="48"/>
      <c r="K645" s="49"/>
    </row>
    <row r="646" spans="1:11" ht="12.75" hidden="1" x14ac:dyDescent="0.2">
      <c r="A646" s="16"/>
      <c r="B646" s="16"/>
      <c r="C646" s="15"/>
      <c r="D646" s="16"/>
      <c r="E646" s="17"/>
      <c r="F646" s="17"/>
      <c r="H646" s="19"/>
      <c r="I646" s="47"/>
      <c r="J646" s="48"/>
      <c r="K646" s="49"/>
    </row>
    <row r="647" spans="1:11" ht="12.75" hidden="1" x14ac:dyDescent="0.2">
      <c r="A647" s="16"/>
      <c r="B647" s="16"/>
      <c r="C647" s="15"/>
      <c r="D647" s="16"/>
      <c r="E647" s="17"/>
      <c r="F647" s="17"/>
      <c r="H647" s="19"/>
      <c r="I647" s="47"/>
      <c r="J647" s="48"/>
      <c r="K647" s="49"/>
    </row>
    <row r="648" spans="1:11" ht="12.75" hidden="1" x14ac:dyDescent="0.2">
      <c r="A648" s="16"/>
      <c r="B648" s="16"/>
      <c r="C648" s="15"/>
      <c r="D648" s="16"/>
      <c r="E648" s="17"/>
      <c r="F648" s="17"/>
      <c r="H648" s="19"/>
      <c r="I648" s="47"/>
      <c r="J648" s="48"/>
      <c r="K648" s="49"/>
    </row>
    <row r="649" spans="1:11" ht="12.75" hidden="1" x14ac:dyDescent="0.2">
      <c r="A649" s="16"/>
      <c r="B649" s="16"/>
      <c r="C649" s="15"/>
      <c r="D649" s="16"/>
      <c r="E649" s="17"/>
      <c r="F649" s="17"/>
      <c r="H649" s="19"/>
      <c r="I649" s="47"/>
      <c r="J649" s="48"/>
      <c r="K649" s="49"/>
    </row>
    <row r="650" spans="1:11" ht="12.75" hidden="1" x14ac:dyDescent="0.2">
      <c r="A650" s="16"/>
      <c r="B650" s="16"/>
      <c r="C650" s="15"/>
      <c r="D650" s="16"/>
      <c r="E650" s="17"/>
      <c r="F650" s="17"/>
      <c r="H650" s="19"/>
      <c r="I650" s="47"/>
      <c r="J650" s="48"/>
      <c r="K650" s="49"/>
    </row>
    <row r="651" spans="1:11" ht="12.75" hidden="1" x14ac:dyDescent="0.2">
      <c r="A651" s="16"/>
      <c r="B651" s="16"/>
      <c r="C651" s="15"/>
      <c r="D651" s="16"/>
      <c r="E651" s="17"/>
      <c r="F651" s="17"/>
      <c r="H651" s="19"/>
      <c r="I651" s="47"/>
      <c r="J651" s="48"/>
      <c r="K651" s="49"/>
    </row>
    <row r="652" spans="1:11" ht="12.75" hidden="1" x14ac:dyDescent="0.2">
      <c r="A652" s="16"/>
      <c r="B652" s="16"/>
      <c r="C652" s="15"/>
      <c r="D652" s="16"/>
      <c r="E652" s="17"/>
      <c r="F652" s="17"/>
      <c r="H652" s="19"/>
      <c r="I652" s="47"/>
      <c r="J652" s="48"/>
      <c r="K652" s="49"/>
    </row>
    <row r="653" spans="1:11" ht="12.75" hidden="1" x14ac:dyDescent="0.2">
      <c r="A653" s="16"/>
      <c r="B653" s="16"/>
      <c r="C653" s="15"/>
      <c r="D653" s="16"/>
      <c r="E653" s="17"/>
      <c r="F653" s="17"/>
      <c r="H653" s="19"/>
      <c r="I653" s="47"/>
      <c r="J653" s="48"/>
      <c r="K653" s="49"/>
    </row>
    <row r="654" spans="1:11" ht="12.75" hidden="1" x14ac:dyDescent="0.2">
      <c r="A654" s="16"/>
      <c r="B654" s="16"/>
      <c r="C654" s="15"/>
      <c r="D654" s="16"/>
      <c r="E654" s="17"/>
      <c r="F654" s="17"/>
      <c r="H654" s="19"/>
      <c r="I654" s="47"/>
      <c r="J654" s="48"/>
      <c r="K654" s="49"/>
    </row>
    <row r="655" spans="1:11" ht="12.75" hidden="1" x14ac:dyDescent="0.2">
      <c r="A655" s="16"/>
      <c r="B655" s="16"/>
      <c r="C655" s="15"/>
      <c r="D655" s="16"/>
      <c r="E655" s="17"/>
      <c r="F655" s="17"/>
      <c r="H655" s="19"/>
      <c r="I655" s="47"/>
      <c r="J655" s="48"/>
      <c r="K655" s="49"/>
    </row>
    <row r="656" spans="1:11" ht="12.75" hidden="1" x14ac:dyDescent="0.2">
      <c r="A656" s="16"/>
      <c r="B656" s="16"/>
      <c r="C656" s="15"/>
      <c r="D656" s="16"/>
      <c r="E656" s="17"/>
      <c r="F656" s="17"/>
      <c r="H656" s="19"/>
      <c r="I656" s="47"/>
      <c r="J656" s="48"/>
      <c r="K656" s="49"/>
    </row>
    <row r="657" spans="1:11" ht="12.75" hidden="1" x14ac:dyDescent="0.2">
      <c r="A657" s="16"/>
      <c r="B657" s="16"/>
      <c r="C657" s="15"/>
      <c r="D657" s="16"/>
      <c r="E657" s="17"/>
      <c r="F657" s="17"/>
      <c r="H657" s="19"/>
      <c r="I657" s="47"/>
      <c r="J657" s="48"/>
      <c r="K657" s="49"/>
    </row>
    <row r="658" spans="1:11" ht="12.75" hidden="1" x14ac:dyDescent="0.2">
      <c r="A658" s="16"/>
      <c r="B658" s="16"/>
      <c r="C658" s="15"/>
      <c r="D658" s="16"/>
      <c r="E658" s="17"/>
      <c r="F658" s="17"/>
      <c r="H658" s="19"/>
      <c r="I658" s="47"/>
      <c r="J658" s="48"/>
      <c r="K658" s="49"/>
    </row>
    <row r="659" spans="1:11" ht="12.75" hidden="1" x14ac:dyDescent="0.2">
      <c r="A659" s="16"/>
      <c r="B659" s="16"/>
      <c r="C659" s="15"/>
      <c r="D659" s="16"/>
      <c r="E659" s="17"/>
      <c r="F659" s="17"/>
      <c r="H659" s="19"/>
      <c r="I659" s="47"/>
      <c r="J659" s="48"/>
      <c r="K659" s="49"/>
    </row>
    <row r="660" spans="1:11" ht="12.75" hidden="1" x14ac:dyDescent="0.2">
      <c r="A660" s="16"/>
      <c r="B660" s="16"/>
      <c r="C660" s="15"/>
      <c r="D660" s="16"/>
      <c r="E660" s="17"/>
      <c r="F660" s="17"/>
      <c r="H660" s="19"/>
      <c r="I660" s="47"/>
      <c r="J660" s="48"/>
      <c r="K660" s="49"/>
    </row>
    <row r="661" spans="1:11" ht="12.75" hidden="1" x14ac:dyDescent="0.2">
      <c r="A661" s="16"/>
      <c r="B661" s="16"/>
      <c r="C661" s="15"/>
      <c r="D661" s="16"/>
      <c r="E661" s="17"/>
      <c r="F661" s="17"/>
      <c r="H661" s="19"/>
      <c r="I661" s="47"/>
      <c r="J661" s="48"/>
      <c r="K661" s="49"/>
    </row>
    <row r="662" spans="1:11" ht="12.75" hidden="1" x14ac:dyDescent="0.2">
      <c r="A662" s="16"/>
      <c r="B662" s="16"/>
      <c r="C662" s="15"/>
      <c r="D662" s="16"/>
      <c r="E662" s="17"/>
      <c r="F662" s="17"/>
      <c r="H662" s="19"/>
      <c r="I662" s="47"/>
      <c r="J662" s="48"/>
      <c r="K662" s="49"/>
    </row>
    <row r="663" spans="1:11" ht="12.75" hidden="1" x14ac:dyDescent="0.2">
      <c r="A663" s="16"/>
      <c r="B663" s="16"/>
      <c r="C663" s="15"/>
      <c r="D663" s="16"/>
      <c r="E663" s="17"/>
      <c r="F663" s="17"/>
      <c r="H663" s="19"/>
      <c r="I663" s="47"/>
      <c r="J663" s="48"/>
      <c r="K663" s="49"/>
    </row>
    <row r="664" spans="1:11" ht="12.75" hidden="1" x14ac:dyDescent="0.2">
      <c r="A664" s="16"/>
      <c r="B664" s="16"/>
      <c r="C664" s="15"/>
      <c r="D664" s="16"/>
      <c r="E664" s="17"/>
      <c r="F664" s="17"/>
      <c r="H664" s="19"/>
      <c r="I664" s="47"/>
      <c r="J664" s="48"/>
      <c r="K664" s="49"/>
    </row>
    <row r="665" spans="1:11" ht="12.75" hidden="1" x14ac:dyDescent="0.2">
      <c r="A665" s="16"/>
      <c r="B665" s="16"/>
      <c r="C665" s="15"/>
      <c r="D665" s="16"/>
      <c r="E665" s="17"/>
      <c r="F665" s="17"/>
      <c r="H665" s="19"/>
      <c r="I665" s="47"/>
      <c r="J665" s="48"/>
      <c r="K665" s="49"/>
    </row>
    <row r="666" spans="1:11" ht="12.75" hidden="1" x14ac:dyDescent="0.2">
      <c r="A666" s="16"/>
      <c r="B666" s="16"/>
      <c r="C666" s="15"/>
      <c r="D666" s="16"/>
      <c r="E666" s="17"/>
      <c r="F666" s="17"/>
      <c r="H666" s="19"/>
      <c r="I666" s="47"/>
      <c r="J666" s="48"/>
      <c r="K666" s="49"/>
    </row>
    <row r="667" spans="1:11" ht="12.75" hidden="1" x14ac:dyDescent="0.2">
      <c r="A667" s="16"/>
      <c r="B667" s="16"/>
      <c r="C667" s="15"/>
      <c r="D667" s="16"/>
      <c r="E667" s="17"/>
      <c r="F667" s="17"/>
      <c r="H667" s="19"/>
      <c r="I667" s="47"/>
      <c r="J667" s="48"/>
      <c r="K667" s="49"/>
    </row>
    <row r="668" spans="1:11" ht="12.75" hidden="1" x14ac:dyDescent="0.2">
      <c r="A668" s="16"/>
      <c r="B668" s="16"/>
      <c r="C668" s="15"/>
      <c r="D668" s="16"/>
      <c r="E668" s="17"/>
      <c r="F668" s="17"/>
      <c r="H668" s="19"/>
      <c r="I668" s="47"/>
      <c r="J668" s="48"/>
      <c r="K668" s="49"/>
    </row>
    <row r="669" spans="1:11" ht="12.75" hidden="1" x14ac:dyDescent="0.2">
      <c r="A669" s="16"/>
      <c r="B669" s="16"/>
      <c r="C669" s="15"/>
      <c r="D669" s="16"/>
      <c r="E669" s="17"/>
      <c r="F669" s="17"/>
      <c r="H669" s="19"/>
      <c r="I669" s="47"/>
      <c r="J669" s="48"/>
      <c r="K669" s="49"/>
    </row>
    <row r="670" spans="1:11" ht="12.75" hidden="1" x14ac:dyDescent="0.2">
      <c r="A670" s="16"/>
      <c r="B670" s="16"/>
      <c r="C670" s="15"/>
      <c r="D670" s="16"/>
      <c r="E670" s="17"/>
      <c r="F670" s="17"/>
      <c r="H670" s="19"/>
      <c r="I670" s="47"/>
      <c r="J670" s="48"/>
      <c r="K670" s="49"/>
    </row>
    <row r="671" spans="1:11" ht="12.75" hidden="1" x14ac:dyDescent="0.2">
      <c r="A671" s="16"/>
      <c r="B671" s="16"/>
      <c r="C671" s="15"/>
      <c r="D671" s="16"/>
      <c r="E671" s="17"/>
      <c r="F671" s="17"/>
      <c r="H671" s="19"/>
      <c r="I671" s="47"/>
      <c r="J671" s="48"/>
      <c r="K671" s="49"/>
    </row>
    <row r="672" spans="1:11" ht="12.75" hidden="1" x14ac:dyDescent="0.2">
      <c r="A672" s="16"/>
      <c r="B672" s="16"/>
      <c r="C672" s="15"/>
      <c r="D672" s="16"/>
      <c r="E672" s="17"/>
      <c r="F672" s="17"/>
      <c r="H672" s="19"/>
      <c r="I672" s="47"/>
      <c r="J672" s="48"/>
      <c r="K672" s="49"/>
    </row>
    <row r="673" spans="1:11" ht="12.75" hidden="1" x14ac:dyDescent="0.2">
      <c r="A673" s="16"/>
      <c r="B673" s="16"/>
      <c r="C673" s="15"/>
      <c r="D673" s="16"/>
      <c r="E673" s="17"/>
      <c r="F673" s="17"/>
      <c r="H673" s="19"/>
      <c r="I673" s="47"/>
      <c r="J673" s="48"/>
      <c r="K673" s="49"/>
    </row>
    <row r="674" spans="1:11" ht="12.75" hidden="1" x14ac:dyDescent="0.2">
      <c r="A674" s="16"/>
      <c r="B674" s="16"/>
      <c r="C674" s="15"/>
      <c r="D674" s="16"/>
      <c r="E674" s="17"/>
      <c r="F674" s="17"/>
      <c r="H674" s="19"/>
      <c r="I674" s="47"/>
      <c r="J674" s="48"/>
      <c r="K674" s="49"/>
    </row>
    <row r="675" spans="1:11" ht="12.75" hidden="1" x14ac:dyDescent="0.2">
      <c r="A675" s="16"/>
      <c r="B675" s="16"/>
      <c r="C675" s="15"/>
      <c r="D675" s="16"/>
      <c r="E675" s="17"/>
      <c r="F675" s="17"/>
      <c r="H675" s="19"/>
      <c r="I675" s="47"/>
      <c r="J675" s="48"/>
      <c r="K675" s="49"/>
    </row>
    <row r="676" spans="1:11" ht="12.75" hidden="1" x14ac:dyDescent="0.2">
      <c r="A676" s="16"/>
      <c r="B676" s="16"/>
      <c r="C676" s="15"/>
      <c r="D676" s="16"/>
      <c r="E676" s="17"/>
      <c r="F676" s="17"/>
      <c r="H676" s="19"/>
      <c r="I676" s="47"/>
      <c r="J676" s="48"/>
      <c r="K676" s="49"/>
    </row>
    <row r="677" spans="1:11" ht="12.75" hidden="1" x14ac:dyDescent="0.2">
      <c r="A677" s="16"/>
      <c r="B677" s="16"/>
      <c r="C677" s="15"/>
      <c r="D677" s="16"/>
      <c r="E677" s="17"/>
      <c r="F677" s="17"/>
      <c r="H677" s="19"/>
      <c r="I677" s="47"/>
      <c r="J677" s="48"/>
      <c r="K677" s="49"/>
    </row>
    <row r="678" spans="1:11" ht="12.75" hidden="1" x14ac:dyDescent="0.2">
      <c r="A678" s="16"/>
      <c r="B678" s="16"/>
      <c r="C678" s="15"/>
      <c r="D678" s="16"/>
      <c r="E678" s="17"/>
      <c r="F678" s="17"/>
      <c r="H678" s="19"/>
      <c r="I678" s="47"/>
      <c r="J678" s="48"/>
      <c r="K678" s="49"/>
    </row>
    <row r="679" spans="1:11" ht="12.75" hidden="1" x14ac:dyDescent="0.2">
      <c r="A679" s="16"/>
      <c r="B679" s="16"/>
      <c r="C679" s="15"/>
      <c r="D679" s="16"/>
      <c r="E679" s="17"/>
      <c r="F679" s="17"/>
      <c r="H679" s="19"/>
      <c r="I679" s="47"/>
      <c r="J679" s="48"/>
      <c r="K679" s="49"/>
    </row>
    <row r="680" spans="1:11" ht="12.75" hidden="1" x14ac:dyDescent="0.2">
      <c r="A680" s="16"/>
      <c r="B680" s="16"/>
      <c r="C680" s="15"/>
      <c r="D680" s="16"/>
      <c r="E680" s="17"/>
      <c r="F680" s="17"/>
      <c r="H680" s="19"/>
      <c r="I680" s="47"/>
      <c r="J680" s="48"/>
      <c r="K680" s="49"/>
    </row>
    <row r="681" spans="1:11" ht="12.75" hidden="1" x14ac:dyDescent="0.2">
      <c r="A681" s="16"/>
      <c r="B681" s="16"/>
      <c r="C681" s="15"/>
      <c r="D681" s="16"/>
      <c r="E681" s="17"/>
      <c r="F681" s="17"/>
      <c r="H681" s="19"/>
      <c r="I681" s="47"/>
      <c r="J681" s="48"/>
      <c r="K681" s="49"/>
    </row>
    <row r="682" spans="1:11" ht="12.75" hidden="1" x14ac:dyDescent="0.2">
      <c r="A682" s="16"/>
      <c r="B682" s="16"/>
      <c r="C682" s="15"/>
      <c r="D682" s="16"/>
      <c r="E682" s="17"/>
      <c r="F682" s="17"/>
      <c r="H682" s="19"/>
      <c r="I682" s="47"/>
      <c r="J682" s="48"/>
      <c r="K682" s="49"/>
    </row>
    <row r="683" spans="1:11" ht="12.75" hidden="1" x14ac:dyDescent="0.2">
      <c r="A683" s="16"/>
      <c r="B683" s="16"/>
      <c r="C683" s="15"/>
      <c r="D683" s="16"/>
      <c r="E683" s="17"/>
      <c r="F683" s="17"/>
      <c r="H683" s="19"/>
      <c r="I683" s="47"/>
      <c r="J683" s="48"/>
      <c r="K683" s="49"/>
    </row>
    <row r="684" spans="1:11" ht="12.75" hidden="1" x14ac:dyDescent="0.2">
      <c r="A684" s="16"/>
      <c r="B684" s="16"/>
      <c r="C684" s="15"/>
      <c r="D684" s="16"/>
      <c r="E684" s="17"/>
      <c r="F684" s="17"/>
      <c r="H684" s="19"/>
      <c r="I684" s="47"/>
      <c r="J684" s="48"/>
      <c r="K684" s="49"/>
    </row>
    <row r="685" spans="1:11" ht="12.75" hidden="1" x14ac:dyDescent="0.2">
      <c r="A685" s="16"/>
      <c r="B685" s="16"/>
      <c r="C685" s="15"/>
      <c r="D685" s="16"/>
      <c r="E685" s="17"/>
      <c r="F685" s="17"/>
      <c r="H685" s="19"/>
      <c r="I685" s="47"/>
      <c r="J685" s="48"/>
      <c r="K685" s="49"/>
    </row>
    <row r="686" spans="1:11" ht="12.75" hidden="1" x14ac:dyDescent="0.2">
      <c r="A686" s="16"/>
      <c r="B686" s="16"/>
      <c r="C686" s="15"/>
      <c r="D686" s="16"/>
      <c r="E686" s="17"/>
      <c r="F686" s="17"/>
      <c r="H686" s="19"/>
      <c r="I686" s="47"/>
      <c r="J686" s="48"/>
      <c r="K686" s="49"/>
    </row>
    <row r="687" spans="1:11" ht="12.75" hidden="1" x14ac:dyDescent="0.2">
      <c r="A687" s="16"/>
      <c r="B687" s="16"/>
      <c r="C687" s="15"/>
      <c r="D687" s="16"/>
      <c r="E687" s="17"/>
      <c r="F687" s="17"/>
      <c r="H687" s="19"/>
      <c r="I687" s="47"/>
      <c r="J687" s="48"/>
      <c r="K687" s="49"/>
    </row>
    <row r="688" spans="1:11" ht="12.75" hidden="1" x14ac:dyDescent="0.2">
      <c r="A688" s="16"/>
      <c r="B688" s="16"/>
      <c r="C688" s="15"/>
      <c r="D688" s="16"/>
      <c r="E688" s="17"/>
      <c r="F688" s="17"/>
      <c r="H688" s="19"/>
      <c r="I688" s="47"/>
      <c r="J688" s="48"/>
      <c r="K688" s="49"/>
    </row>
    <row r="689" spans="1:11" ht="12.75" hidden="1" x14ac:dyDescent="0.2">
      <c r="A689" s="16"/>
      <c r="B689" s="16"/>
      <c r="C689" s="15"/>
      <c r="D689" s="16"/>
      <c r="E689" s="17"/>
      <c r="F689" s="17"/>
      <c r="H689" s="19"/>
      <c r="I689" s="47"/>
      <c r="J689" s="48"/>
      <c r="K689" s="49"/>
    </row>
    <row r="690" spans="1:11" ht="12.75" hidden="1" x14ac:dyDescent="0.2">
      <c r="A690" s="16"/>
      <c r="B690" s="16"/>
      <c r="C690" s="15"/>
      <c r="D690" s="16"/>
      <c r="E690" s="17"/>
      <c r="F690" s="17"/>
      <c r="H690" s="19"/>
      <c r="I690" s="47"/>
      <c r="J690" s="48"/>
      <c r="K690" s="49"/>
    </row>
    <row r="691" spans="1:11" ht="12.75" hidden="1" x14ac:dyDescent="0.2">
      <c r="A691" s="16"/>
      <c r="B691" s="16"/>
      <c r="C691" s="15"/>
      <c r="D691" s="16"/>
      <c r="E691" s="17"/>
      <c r="F691" s="17"/>
      <c r="H691" s="19"/>
      <c r="I691" s="47"/>
      <c r="J691" s="48"/>
      <c r="K691" s="49"/>
    </row>
    <row r="692" spans="1:11" ht="12.75" hidden="1" x14ac:dyDescent="0.2">
      <c r="A692" s="16"/>
      <c r="B692" s="16"/>
      <c r="C692" s="15"/>
      <c r="D692" s="16"/>
      <c r="E692" s="17"/>
      <c r="F692" s="17"/>
      <c r="H692" s="19"/>
      <c r="I692" s="47"/>
      <c r="J692" s="48"/>
      <c r="K692" s="49"/>
    </row>
    <row r="693" spans="1:11" ht="12.75" hidden="1" x14ac:dyDescent="0.2">
      <c r="A693" s="16"/>
      <c r="B693" s="16"/>
      <c r="C693" s="15"/>
      <c r="D693" s="16"/>
      <c r="E693" s="17"/>
      <c r="F693" s="17"/>
      <c r="H693" s="19"/>
      <c r="I693" s="47"/>
      <c r="J693" s="48"/>
      <c r="K693" s="49"/>
    </row>
    <row r="694" spans="1:11" ht="12.75" hidden="1" x14ac:dyDescent="0.2">
      <c r="A694" s="16"/>
      <c r="B694" s="16"/>
      <c r="C694" s="15"/>
      <c r="D694" s="16"/>
      <c r="E694" s="17"/>
      <c r="F694" s="17"/>
      <c r="H694" s="19"/>
      <c r="I694" s="47"/>
      <c r="J694" s="48"/>
      <c r="K694" s="49"/>
    </row>
    <row r="695" spans="1:11" ht="12.75" hidden="1" x14ac:dyDescent="0.2">
      <c r="A695" s="16"/>
      <c r="B695" s="16"/>
      <c r="C695" s="15"/>
      <c r="D695" s="16"/>
      <c r="E695" s="17"/>
      <c r="F695" s="17"/>
      <c r="H695" s="19"/>
      <c r="I695" s="47"/>
      <c r="J695" s="48"/>
      <c r="K695" s="49"/>
    </row>
    <row r="696" spans="1:11" ht="12.75" hidden="1" x14ac:dyDescent="0.2">
      <c r="A696" s="16"/>
      <c r="B696" s="16"/>
      <c r="C696" s="15"/>
      <c r="D696" s="16"/>
      <c r="E696" s="17"/>
      <c r="F696" s="17"/>
      <c r="H696" s="19"/>
      <c r="I696" s="47"/>
      <c r="J696" s="48"/>
      <c r="K696" s="49"/>
    </row>
    <row r="697" spans="1:11" ht="12.75" hidden="1" x14ac:dyDescent="0.2">
      <c r="A697" s="16"/>
      <c r="B697" s="16"/>
      <c r="C697" s="15"/>
      <c r="D697" s="16"/>
      <c r="E697" s="17"/>
      <c r="F697" s="17"/>
      <c r="H697" s="19"/>
      <c r="I697" s="47"/>
      <c r="J697" s="48"/>
      <c r="K697" s="49"/>
    </row>
    <row r="698" spans="1:11" ht="12.75" hidden="1" x14ac:dyDescent="0.2">
      <c r="A698" s="16"/>
      <c r="B698" s="16"/>
      <c r="C698" s="15"/>
      <c r="D698" s="16"/>
      <c r="E698" s="17"/>
      <c r="F698" s="17"/>
      <c r="H698" s="19"/>
      <c r="I698" s="47"/>
      <c r="J698" s="48"/>
      <c r="K698" s="49"/>
    </row>
    <row r="699" spans="1:11" ht="12.75" hidden="1" x14ac:dyDescent="0.2">
      <c r="A699" s="16"/>
      <c r="B699" s="16"/>
      <c r="C699" s="15"/>
      <c r="D699" s="16"/>
      <c r="E699" s="17"/>
      <c r="F699" s="17"/>
      <c r="H699" s="19"/>
      <c r="I699" s="47"/>
      <c r="J699" s="48"/>
      <c r="K699" s="49"/>
    </row>
    <row r="700" spans="1:11" ht="12.75" hidden="1" x14ac:dyDescent="0.2">
      <c r="A700" s="16"/>
      <c r="B700" s="16"/>
      <c r="C700" s="15"/>
      <c r="D700" s="16"/>
      <c r="E700" s="17"/>
      <c r="F700" s="17"/>
      <c r="H700" s="19"/>
      <c r="I700" s="47"/>
      <c r="J700" s="48"/>
      <c r="K700" s="49"/>
    </row>
    <row r="701" spans="1:11" ht="12.75" hidden="1" x14ac:dyDescent="0.2">
      <c r="A701" s="16"/>
      <c r="B701" s="16"/>
      <c r="C701" s="15"/>
      <c r="D701" s="16"/>
      <c r="E701" s="17"/>
      <c r="F701" s="17"/>
      <c r="H701" s="19"/>
      <c r="I701" s="47"/>
      <c r="J701" s="48"/>
      <c r="K701" s="49"/>
    </row>
    <row r="702" spans="1:11" ht="12.75" hidden="1" x14ac:dyDescent="0.2">
      <c r="A702" s="16"/>
      <c r="B702" s="16"/>
      <c r="C702" s="15"/>
      <c r="D702" s="16"/>
      <c r="E702" s="17"/>
      <c r="F702" s="17"/>
      <c r="H702" s="19"/>
      <c r="I702" s="47"/>
      <c r="J702" s="48"/>
      <c r="K702" s="49"/>
    </row>
    <row r="703" spans="1:11" ht="12.75" hidden="1" x14ac:dyDescent="0.2">
      <c r="A703" s="16"/>
      <c r="B703" s="16"/>
      <c r="C703" s="15"/>
      <c r="D703" s="16"/>
      <c r="E703" s="17"/>
      <c r="F703" s="17"/>
      <c r="H703" s="19"/>
      <c r="I703" s="47"/>
      <c r="J703" s="48"/>
      <c r="K703" s="49"/>
    </row>
    <row r="704" spans="1:11" ht="12.75" hidden="1" x14ac:dyDescent="0.2">
      <c r="A704" s="16"/>
      <c r="B704" s="16"/>
      <c r="C704" s="15"/>
      <c r="D704" s="16"/>
      <c r="E704" s="17"/>
      <c r="F704" s="17"/>
      <c r="H704" s="19"/>
      <c r="I704" s="47"/>
      <c r="J704" s="48"/>
      <c r="K704" s="49"/>
    </row>
    <row r="705" spans="1:11" ht="12.75" hidden="1" x14ac:dyDescent="0.2">
      <c r="A705" s="16"/>
      <c r="B705" s="16"/>
      <c r="C705" s="15"/>
      <c r="D705" s="16"/>
      <c r="E705" s="17"/>
      <c r="F705" s="17"/>
      <c r="H705" s="19"/>
      <c r="I705" s="47"/>
      <c r="J705" s="48"/>
      <c r="K705" s="49"/>
    </row>
    <row r="706" spans="1:11" ht="12.75" hidden="1" x14ac:dyDescent="0.2">
      <c r="A706" s="16"/>
      <c r="B706" s="16"/>
      <c r="C706" s="15"/>
      <c r="D706" s="16"/>
      <c r="E706" s="17"/>
      <c r="F706" s="17"/>
      <c r="H706" s="19"/>
      <c r="I706" s="47"/>
      <c r="J706" s="48"/>
      <c r="K706" s="49"/>
    </row>
    <row r="707" spans="1:11" ht="12.75" hidden="1" x14ac:dyDescent="0.2">
      <c r="A707" s="16"/>
      <c r="B707" s="16"/>
      <c r="C707" s="15"/>
      <c r="D707" s="16"/>
      <c r="E707" s="17"/>
      <c r="F707" s="17"/>
      <c r="H707" s="19"/>
      <c r="I707" s="47"/>
      <c r="J707" s="48"/>
      <c r="K707" s="49"/>
    </row>
    <row r="708" spans="1:11" ht="12.75" hidden="1" x14ac:dyDescent="0.2">
      <c r="A708" s="16"/>
      <c r="B708" s="16"/>
      <c r="C708" s="15"/>
      <c r="D708" s="16"/>
      <c r="E708" s="17"/>
      <c r="F708" s="17"/>
      <c r="H708" s="19"/>
      <c r="I708" s="47"/>
      <c r="J708" s="48"/>
      <c r="K708" s="49"/>
    </row>
    <row r="709" spans="1:11" ht="12.75" hidden="1" x14ac:dyDescent="0.2">
      <c r="A709" s="16"/>
      <c r="B709" s="16"/>
      <c r="C709" s="15"/>
      <c r="D709" s="16"/>
      <c r="E709" s="17"/>
      <c r="F709" s="17"/>
      <c r="H709" s="19"/>
      <c r="I709" s="47"/>
      <c r="J709" s="48"/>
      <c r="K709" s="49"/>
    </row>
    <row r="710" spans="1:11" ht="12.75" hidden="1" x14ac:dyDescent="0.2">
      <c r="A710" s="16"/>
      <c r="B710" s="16"/>
      <c r="C710" s="15"/>
      <c r="D710" s="16"/>
      <c r="E710" s="17"/>
      <c r="F710" s="17"/>
      <c r="H710" s="19"/>
      <c r="I710" s="47"/>
      <c r="J710" s="48"/>
      <c r="K710" s="49"/>
    </row>
    <row r="711" spans="1:11" ht="12.75" hidden="1" x14ac:dyDescent="0.2">
      <c r="A711" s="16"/>
      <c r="B711" s="16"/>
      <c r="C711" s="15"/>
      <c r="D711" s="16"/>
      <c r="E711" s="17"/>
      <c r="F711" s="17"/>
      <c r="H711" s="19"/>
      <c r="I711" s="47"/>
      <c r="J711" s="48"/>
      <c r="K711" s="49"/>
    </row>
    <row r="712" spans="1:11" ht="12.75" hidden="1" x14ac:dyDescent="0.2">
      <c r="A712" s="16"/>
      <c r="B712" s="16"/>
      <c r="C712" s="15"/>
      <c r="D712" s="16"/>
      <c r="E712" s="17"/>
      <c r="F712" s="17"/>
      <c r="H712" s="19"/>
      <c r="I712" s="47"/>
      <c r="J712" s="48"/>
      <c r="K712" s="49"/>
    </row>
    <row r="713" spans="1:11" ht="12.75" hidden="1" x14ac:dyDescent="0.2">
      <c r="A713" s="16"/>
      <c r="B713" s="16"/>
      <c r="C713" s="15"/>
      <c r="D713" s="16"/>
      <c r="E713" s="17"/>
      <c r="F713" s="17"/>
      <c r="H713" s="19"/>
      <c r="I713" s="47"/>
      <c r="J713" s="48"/>
      <c r="K713" s="49"/>
    </row>
    <row r="714" spans="1:11" ht="12.75" hidden="1" x14ac:dyDescent="0.2">
      <c r="A714" s="16"/>
      <c r="B714" s="16"/>
      <c r="C714" s="15"/>
      <c r="D714" s="16"/>
      <c r="E714" s="17"/>
      <c r="F714" s="17"/>
      <c r="H714" s="19"/>
      <c r="I714" s="47"/>
      <c r="J714" s="48"/>
      <c r="K714" s="49"/>
    </row>
    <row r="715" spans="1:11" ht="12.75" hidden="1" x14ac:dyDescent="0.2">
      <c r="A715" s="16"/>
      <c r="B715" s="16"/>
      <c r="C715" s="15"/>
      <c r="D715" s="16"/>
      <c r="E715" s="17"/>
      <c r="F715" s="17"/>
      <c r="H715" s="19"/>
      <c r="I715" s="47"/>
      <c r="J715" s="48"/>
      <c r="K715" s="49"/>
    </row>
    <row r="716" spans="1:11" ht="12.75" hidden="1" x14ac:dyDescent="0.2">
      <c r="A716" s="16"/>
      <c r="B716" s="16"/>
      <c r="C716" s="15"/>
      <c r="D716" s="16"/>
      <c r="E716" s="17"/>
      <c r="F716" s="17"/>
      <c r="H716" s="19"/>
      <c r="I716" s="47"/>
      <c r="J716" s="48"/>
      <c r="K716" s="49"/>
    </row>
    <row r="717" spans="1:11" ht="12.75" hidden="1" x14ac:dyDescent="0.2">
      <c r="A717" s="16"/>
      <c r="B717" s="16"/>
      <c r="C717" s="15"/>
      <c r="D717" s="16"/>
      <c r="E717" s="17"/>
      <c r="F717" s="17"/>
      <c r="H717" s="19"/>
      <c r="I717" s="47"/>
      <c r="J717" s="48"/>
      <c r="K717" s="49"/>
    </row>
    <row r="718" spans="1:11" ht="12.75" hidden="1" x14ac:dyDescent="0.2">
      <c r="A718" s="16"/>
      <c r="B718" s="16"/>
      <c r="C718" s="15"/>
      <c r="D718" s="16"/>
      <c r="E718" s="17"/>
      <c r="F718" s="17"/>
      <c r="H718" s="19"/>
      <c r="I718" s="47"/>
      <c r="J718" s="48"/>
      <c r="K718" s="49"/>
    </row>
    <row r="719" spans="1:11" ht="12.75" hidden="1" x14ac:dyDescent="0.2">
      <c r="A719" s="16"/>
      <c r="B719" s="16"/>
      <c r="C719" s="15"/>
      <c r="D719" s="16"/>
      <c r="E719" s="17"/>
      <c r="F719" s="17"/>
      <c r="H719" s="19"/>
      <c r="I719" s="47"/>
      <c r="J719" s="48"/>
      <c r="K719" s="49"/>
    </row>
    <row r="720" spans="1:11" ht="12.75" hidden="1" x14ac:dyDescent="0.2">
      <c r="A720" s="16"/>
      <c r="B720" s="16"/>
      <c r="C720" s="15"/>
      <c r="D720" s="16"/>
      <c r="E720" s="17"/>
      <c r="F720" s="17"/>
      <c r="H720" s="19"/>
      <c r="I720" s="47"/>
      <c r="J720" s="48"/>
      <c r="K720" s="49"/>
    </row>
    <row r="721" spans="1:11" ht="12.75" hidden="1" x14ac:dyDescent="0.2">
      <c r="A721" s="16"/>
      <c r="B721" s="16"/>
      <c r="C721" s="15"/>
      <c r="D721" s="16"/>
      <c r="E721" s="17"/>
      <c r="F721" s="17"/>
      <c r="H721" s="19"/>
      <c r="I721" s="47"/>
      <c r="J721" s="48"/>
      <c r="K721" s="49"/>
    </row>
    <row r="722" spans="1:11" ht="12.75" hidden="1" x14ac:dyDescent="0.2">
      <c r="A722" s="16"/>
      <c r="B722" s="16"/>
      <c r="C722" s="15"/>
      <c r="D722" s="16"/>
      <c r="E722" s="17"/>
      <c r="F722" s="17"/>
      <c r="H722" s="19"/>
      <c r="I722" s="47"/>
      <c r="J722" s="48"/>
      <c r="K722" s="49"/>
    </row>
    <row r="723" spans="1:11" ht="12.75" hidden="1" x14ac:dyDescent="0.2">
      <c r="A723" s="16"/>
      <c r="B723" s="16"/>
      <c r="C723" s="15"/>
      <c r="D723" s="16"/>
      <c r="E723" s="17"/>
      <c r="F723" s="17"/>
      <c r="H723" s="19"/>
      <c r="I723" s="47"/>
      <c r="J723" s="48"/>
      <c r="K723" s="49"/>
    </row>
    <row r="724" spans="1:11" ht="12.75" hidden="1" x14ac:dyDescent="0.2">
      <c r="A724" s="16"/>
      <c r="B724" s="16"/>
      <c r="C724" s="15"/>
      <c r="D724" s="16"/>
      <c r="E724" s="17"/>
      <c r="F724" s="17"/>
      <c r="H724" s="19"/>
      <c r="I724" s="47"/>
      <c r="J724" s="48"/>
      <c r="K724" s="49"/>
    </row>
    <row r="725" spans="1:11" ht="12.75" hidden="1" x14ac:dyDescent="0.2">
      <c r="A725" s="16"/>
      <c r="B725" s="16"/>
      <c r="C725" s="15"/>
      <c r="D725" s="16"/>
      <c r="E725" s="17"/>
      <c r="F725" s="17"/>
      <c r="H725" s="19"/>
      <c r="I725" s="47"/>
      <c r="J725" s="48"/>
      <c r="K725" s="49"/>
    </row>
    <row r="726" spans="1:11" ht="12.75" hidden="1" x14ac:dyDescent="0.2">
      <c r="A726" s="16"/>
      <c r="B726" s="16"/>
      <c r="C726" s="15"/>
      <c r="D726" s="16"/>
      <c r="E726" s="17"/>
      <c r="F726" s="17"/>
      <c r="H726" s="19"/>
      <c r="I726" s="47"/>
      <c r="J726" s="48"/>
      <c r="K726" s="49"/>
    </row>
    <row r="727" spans="1:11" ht="12.75" hidden="1" x14ac:dyDescent="0.2">
      <c r="A727" s="16"/>
      <c r="B727" s="16"/>
      <c r="C727" s="15"/>
      <c r="D727" s="16"/>
      <c r="E727" s="17"/>
      <c r="F727" s="17"/>
      <c r="H727" s="19"/>
      <c r="I727" s="47"/>
      <c r="J727" s="48"/>
      <c r="K727" s="49"/>
    </row>
    <row r="728" spans="1:11" ht="12.75" hidden="1" x14ac:dyDescent="0.2">
      <c r="A728" s="16"/>
      <c r="B728" s="16"/>
      <c r="C728" s="15"/>
      <c r="D728" s="16"/>
      <c r="E728" s="17"/>
      <c r="F728" s="17"/>
      <c r="H728" s="19"/>
      <c r="I728" s="47"/>
      <c r="J728" s="48"/>
      <c r="K728" s="49"/>
    </row>
    <row r="729" spans="1:11" ht="12.75" hidden="1" x14ac:dyDescent="0.2">
      <c r="A729" s="16"/>
      <c r="B729" s="16"/>
      <c r="C729" s="15"/>
      <c r="D729" s="16"/>
      <c r="E729" s="17"/>
      <c r="F729" s="17"/>
      <c r="H729" s="19"/>
      <c r="I729" s="47"/>
      <c r="J729" s="48"/>
      <c r="K729" s="49"/>
    </row>
    <row r="730" spans="1:11" ht="12.75" hidden="1" x14ac:dyDescent="0.2">
      <c r="A730" s="16"/>
      <c r="B730" s="16"/>
      <c r="C730" s="15"/>
      <c r="D730" s="16"/>
      <c r="E730" s="17"/>
      <c r="F730" s="17"/>
      <c r="H730" s="19"/>
      <c r="I730" s="47"/>
      <c r="J730" s="48"/>
      <c r="K730" s="49"/>
    </row>
    <row r="731" spans="1:11" ht="12.75" hidden="1" x14ac:dyDescent="0.2">
      <c r="A731" s="16"/>
      <c r="B731" s="16"/>
      <c r="C731" s="15"/>
      <c r="D731" s="16"/>
      <c r="E731" s="17"/>
      <c r="F731" s="17"/>
      <c r="H731" s="19"/>
      <c r="I731" s="47"/>
      <c r="J731" s="48"/>
      <c r="K731" s="49"/>
    </row>
    <row r="732" spans="1:11" ht="12.75" hidden="1" x14ac:dyDescent="0.2">
      <c r="A732" s="16"/>
      <c r="B732" s="16"/>
      <c r="C732" s="15"/>
      <c r="D732" s="16"/>
      <c r="E732" s="17"/>
      <c r="F732" s="17"/>
      <c r="H732" s="19"/>
      <c r="I732" s="47"/>
      <c r="J732" s="48"/>
      <c r="K732" s="49"/>
    </row>
    <row r="733" spans="1:11" ht="12.75" hidden="1" x14ac:dyDescent="0.2">
      <c r="A733" s="16"/>
      <c r="B733" s="16"/>
      <c r="C733" s="15"/>
      <c r="D733" s="16"/>
      <c r="E733" s="17"/>
      <c r="F733" s="17"/>
      <c r="H733" s="19"/>
      <c r="I733" s="47"/>
      <c r="J733" s="48"/>
      <c r="K733" s="49"/>
    </row>
    <row r="734" spans="1:11" ht="12.75" hidden="1" x14ac:dyDescent="0.2">
      <c r="A734" s="16"/>
      <c r="B734" s="16"/>
      <c r="C734" s="15"/>
      <c r="D734" s="16"/>
      <c r="E734" s="17"/>
      <c r="F734" s="17"/>
      <c r="H734" s="19"/>
      <c r="I734" s="47"/>
      <c r="J734" s="48"/>
      <c r="K734" s="49"/>
    </row>
    <row r="735" spans="1:11" ht="12.75" hidden="1" x14ac:dyDescent="0.2">
      <c r="A735" s="16"/>
      <c r="B735" s="16"/>
      <c r="C735" s="15"/>
      <c r="D735" s="16"/>
      <c r="E735" s="17"/>
      <c r="F735" s="17"/>
      <c r="H735" s="19"/>
      <c r="I735" s="47"/>
      <c r="J735" s="48"/>
      <c r="K735" s="49"/>
    </row>
    <row r="736" spans="1:11" ht="12.75" hidden="1" x14ac:dyDescent="0.2">
      <c r="A736" s="16"/>
      <c r="B736" s="16"/>
      <c r="C736" s="15"/>
      <c r="D736" s="16"/>
      <c r="E736" s="17"/>
      <c r="F736" s="17"/>
      <c r="H736" s="19"/>
      <c r="I736" s="47"/>
      <c r="J736" s="48"/>
      <c r="K736" s="49"/>
    </row>
    <row r="737" spans="1:11" ht="12.75" hidden="1" x14ac:dyDescent="0.2">
      <c r="A737" s="16"/>
      <c r="B737" s="16"/>
      <c r="C737" s="15"/>
      <c r="D737" s="16"/>
      <c r="E737" s="17"/>
      <c r="F737" s="17"/>
      <c r="H737" s="19"/>
      <c r="I737" s="47"/>
      <c r="J737" s="48"/>
      <c r="K737" s="49"/>
    </row>
    <row r="738" spans="1:11" ht="12.75" hidden="1" x14ac:dyDescent="0.2">
      <c r="A738" s="16"/>
      <c r="B738" s="16"/>
      <c r="C738" s="15"/>
      <c r="D738" s="16"/>
      <c r="E738" s="17"/>
      <c r="F738" s="17"/>
      <c r="H738" s="19"/>
      <c r="I738" s="47"/>
      <c r="J738" s="48"/>
      <c r="K738" s="49"/>
    </row>
    <row r="739" spans="1:11" ht="12.75" hidden="1" x14ac:dyDescent="0.2">
      <c r="A739" s="16"/>
      <c r="B739" s="16"/>
      <c r="C739" s="15"/>
      <c r="D739" s="16"/>
      <c r="E739" s="17"/>
      <c r="F739" s="17"/>
      <c r="H739" s="19"/>
      <c r="I739" s="47"/>
      <c r="J739" s="48"/>
      <c r="K739" s="49"/>
    </row>
    <row r="740" spans="1:11" ht="12.75" hidden="1" x14ac:dyDescent="0.2">
      <c r="A740" s="16"/>
      <c r="B740" s="16"/>
      <c r="C740" s="15"/>
      <c r="D740" s="16"/>
      <c r="E740" s="17"/>
      <c r="F740" s="17"/>
      <c r="H740" s="19"/>
      <c r="I740" s="47"/>
      <c r="J740" s="48"/>
      <c r="K740" s="49"/>
    </row>
    <row r="741" spans="1:11" ht="12.75" hidden="1" x14ac:dyDescent="0.2">
      <c r="A741" s="16"/>
      <c r="B741" s="16"/>
      <c r="C741" s="15"/>
      <c r="D741" s="16"/>
      <c r="E741" s="17"/>
      <c r="F741" s="17"/>
      <c r="H741" s="19"/>
      <c r="I741" s="47"/>
      <c r="J741" s="48"/>
      <c r="K741" s="49"/>
    </row>
    <row r="742" spans="1:11" ht="12.75" hidden="1" x14ac:dyDescent="0.2">
      <c r="A742" s="16"/>
      <c r="B742" s="16"/>
      <c r="C742" s="15"/>
      <c r="D742" s="16"/>
      <c r="E742" s="17"/>
      <c r="F742" s="17"/>
      <c r="H742" s="19"/>
      <c r="I742" s="47"/>
      <c r="J742" s="48"/>
      <c r="K742" s="49"/>
    </row>
    <row r="743" spans="1:11" ht="12.75" hidden="1" x14ac:dyDescent="0.2">
      <c r="A743" s="16"/>
      <c r="B743" s="16"/>
      <c r="C743" s="15"/>
      <c r="D743" s="16"/>
      <c r="E743" s="17"/>
      <c r="F743" s="17"/>
      <c r="H743" s="19"/>
      <c r="I743" s="47"/>
      <c r="J743" s="48"/>
      <c r="K743" s="49"/>
    </row>
    <row r="744" spans="1:11" ht="12.75" hidden="1" x14ac:dyDescent="0.2">
      <c r="A744" s="16"/>
      <c r="B744" s="16"/>
      <c r="C744" s="15"/>
      <c r="D744" s="16"/>
      <c r="E744" s="17"/>
      <c r="F744" s="17"/>
      <c r="H744" s="19"/>
      <c r="I744" s="47"/>
      <c r="J744" s="48"/>
      <c r="K744" s="49"/>
    </row>
    <row r="745" spans="1:11" ht="12.75" hidden="1" x14ac:dyDescent="0.2">
      <c r="A745" s="16"/>
      <c r="B745" s="16"/>
      <c r="C745" s="15"/>
      <c r="D745" s="16"/>
      <c r="E745" s="17"/>
      <c r="F745" s="17"/>
      <c r="H745" s="19"/>
      <c r="I745" s="47"/>
      <c r="J745" s="48"/>
      <c r="K745" s="49"/>
    </row>
    <row r="746" spans="1:11" ht="12.75" hidden="1" x14ac:dyDescent="0.2">
      <c r="A746" s="16"/>
      <c r="B746" s="16"/>
      <c r="C746" s="15"/>
      <c r="D746" s="16"/>
      <c r="E746" s="17"/>
      <c r="F746" s="17"/>
      <c r="H746" s="19"/>
      <c r="I746" s="47"/>
      <c r="J746" s="48"/>
      <c r="K746" s="49"/>
    </row>
    <row r="747" spans="1:11" ht="12.75" hidden="1" x14ac:dyDescent="0.2">
      <c r="A747" s="16"/>
      <c r="B747" s="16"/>
      <c r="C747" s="15"/>
      <c r="D747" s="16"/>
      <c r="E747" s="17"/>
      <c r="F747" s="17"/>
      <c r="H747" s="19"/>
      <c r="I747" s="47"/>
      <c r="J747" s="48"/>
      <c r="K747" s="49"/>
    </row>
    <row r="748" spans="1:11" ht="12.75" hidden="1" x14ac:dyDescent="0.2">
      <c r="A748" s="16"/>
      <c r="B748" s="16"/>
      <c r="C748" s="15"/>
      <c r="D748" s="16"/>
      <c r="E748" s="17"/>
      <c r="F748" s="17"/>
      <c r="H748" s="19"/>
      <c r="I748" s="47"/>
      <c r="J748" s="48"/>
      <c r="K748" s="49"/>
    </row>
    <row r="749" spans="1:11" ht="12.75" hidden="1" x14ac:dyDescent="0.2">
      <c r="A749" s="16"/>
      <c r="B749" s="16"/>
      <c r="C749" s="15"/>
      <c r="D749" s="16"/>
      <c r="E749" s="17"/>
      <c r="F749" s="17"/>
      <c r="H749" s="19"/>
      <c r="I749" s="47"/>
      <c r="J749" s="48"/>
      <c r="K749" s="49"/>
    </row>
    <row r="750" spans="1:11" ht="12.75" hidden="1" x14ac:dyDescent="0.2">
      <c r="A750" s="16"/>
      <c r="B750" s="16"/>
      <c r="C750" s="15"/>
      <c r="D750" s="16"/>
      <c r="E750" s="17"/>
      <c r="F750" s="17"/>
      <c r="H750" s="19"/>
      <c r="I750" s="47"/>
      <c r="J750" s="48"/>
      <c r="K750" s="49"/>
    </row>
    <row r="751" spans="1:11" ht="12.75" hidden="1" x14ac:dyDescent="0.2">
      <c r="A751" s="16"/>
      <c r="B751" s="16"/>
      <c r="C751" s="15"/>
      <c r="D751" s="16"/>
      <c r="E751" s="17"/>
      <c r="F751" s="17"/>
      <c r="H751" s="19"/>
      <c r="I751" s="47"/>
      <c r="J751" s="48"/>
      <c r="K751" s="49"/>
    </row>
    <row r="752" spans="1:11" ht="12.75" hidden="1" x14ac:dyDescent="0.2">
      <c r="A752" s="16"/>
      <c r="B752" s="16"/>
      <c r="C752" s="15"/>
      <c r="D752" s="16"/>
      <c r="E752" s="17"/>
      <c r="F752" s="17"/>
      <c r="H752" s="19"/>
      <c r="I752" s="47"/>
      <c r="J752" s="48"/>
      <c r="K752" s="49"/>
    </row>
    <row r="753" spans="1:11" ht="12.75" hidden="1" x14ac:dyDescent="0.2">
      <c r="A753" s="16"/>
      <c r="B753" s="16"/>
      <c r="C753" s="15"/>
      <c r="D753" s="16"/>
      <c r="E753" s="17"/>
      <c r="F753" s="17"/>
      <c r="H753" s="19"/>
      <c r="I753" s="47"/>
      <c r="J753" s="48"/>
      <c r="K753" s="49"/>
    </row>
    <row r="754" spans="1:11" ht="12.75" hidden="1" x14ac:dyDescent="0.2">
      <c r="A754" s="16"/>
      <c r="B754" s="16"/>
      <c r="C754" s="15"/>
      <c r="D754" s="16"/>
      <c r="E754" s="17"/>
      <c r="F754" s="17"/>
      <c r="H754" s="19"/>
      <c r="I754" s="47"/>
      <c r="J754" s="48"/>
      <c r="K754" s="49"/>
    </row>
    <row r="755" spans="1:11" ht="12.75" hidden="1" x14ac:dyDescent="0.2">
      <c r="A755" s="16"/>
      <c r="B755" s="16"/>
      <c r="C755" s="15"/>
      <c r="D755" s="16"/>
      <c r="E755" s="17"/>
      <c r="F755" s="17"/>
      <c r="H755" s="19"/>
      <c r="I755" s="47"/>
      <c r="J755" s="48"/>
      <c r="K755" s="49"/>
    </row>
    <row r="756" spans="1:11" ht="12.75" hidden="1" x14ac:dyDescent="0.2">
      <c r="A756" s="16"/>
      <c r="B756" s="16"/>
      <c r="C756" s="15"/>
      <c r="D756" s="16"/>
      <c r="E756" s="17"/>
      <c r="F756" s="17"/>
      <c r="H756" s="19"/>
      <c r="I756" s="47"/>
      <c r="J756" s="48"/>
      <c r="K756" s="49"/>
    </row>
    <row r="757" spans="1:11" ht="12.75" hidden="1" x14ac:dyDescent="0.2">
      <c r="A757" s="16"/>
      <c r="B757" s="16"/>
      <c r="C757" s="15"/>
      <c r="D757" s="16"/>
      <c r="E757" s="17"/>
      <c r="F757" s="17"/>
      <c r="H757" s="19"/>
      <c r="I757" s="47"/>
      <c r="J757" s="48"/>
      <c r="K757" s="49"/>
    </row>
    <row r="758" spans="1:11" ht="12.75" hidden="1" x14ac:dyDescent="0.2">
      <c r="A758" s="16"/>
      <c r="B758" s="16"/>
      <c r="C758" s="15"/>
      <c r="D758" s="16"/>
      <c r="E758" s="17"/>
      <c r="F758" s="17"/>
      <c r="H758" s="19"/>
      <c r="I758" s="47"/>
      <c r="J758" s="48"/>
      <c r="K758" s="49"/>
    </row>
    <row r="759" spans="1:11" ht="12.75" hidden="1" x14ac:dyDescent="0.2">
      <c r="A759" s="16"/>
      <c r="B759" s="16"/>
      <c r="C759" s="15"/>
      <c r="D759" s="16"/>
      <c r="E759" s="17"/>
      <c r="F759" s="17"/>
      <c r="H759" s="19"/>
      <c r="I759" s="47"/>
      <c r="J759" s="48"/>
      <c r="K759" s="49"/>
    </row>
    <row r="760" spans="1:11" ht="12.75" hidden="1" x14ac:dyDescent="0.2">
      <c r="A760" s="16"/>
      <c r="B760" s="16"/>
      <c r="C760" s="15"/>
      <c r="D760" s="16"/>
      <c r="E760" s="17"/>
      <c r="F760" s="17"/>
      <c r="H760" s="19"/>
      <c r="I760" s="47"/>
      <c r="J760" s="48"/>
      <c r="K760" s="49"/>
    </row>
    <row r="761" spans="1:11" ht="12.75" hidden="1" x14ac:dyDescent="0.2">
      <c r="A761" s="16"/>
      <c r="B761" s="16"/>
      <c r="C761" s="15"/>
      <c r="D761" s="16"/>
      <c r="E761" s="17"/>
      <c r="F761" s="17"/>
      <c r="H761" s="19"/>
      <c r="I761" s="47"/>
      <c r="J761" s="48"/>
      <c r="K761" s="49"/>
    </row>
    <row r="762" spans="1:11" ht="12.75" hidden="1" x14ac:dyDescent="0.2">
      <c r="A762" s="16"/>
      <c r="B762" s="16"/>
      <c r="C762" s="15"/>
      <c r="D762" s="16"/>
      <c r="E762" s="17"/>
      <c r="F762" s="17"/>
      <c r="H762" s="19"/>
      <c r="I762" s="47"/>
      <c r="J762" s="48"/>
      <c r="K762" s="49"/>
    </row>
    <row r="763" spans="1:11" ht="12.75" hidden="1" x14ac:dyDescent="0.2">
      <c r="A763" s="16"/>
      <c r="B763" s="16"/>
      <c r="C763" s="15"/>
      <c r="D763" s="16"/>
      <c r="E763" s="17"/>
      <c r="F763" s="17"/>
      <c r="H763" s="19"/>
      <c r="I763" s="47"/>
      <c r="J763" s="48"/>
      <c r="K763" s="49"/>
    </row>
    <row r="764" spans="1:11" ht="12.75" hidden="1" x14ac:dyDescent="0.2">
      <c r="A764" s="16"/>
      <c r="B764" s="16"/>
      <c r="C764" s="15"/>
      <c r="D764" s="16"/>
      <c r="E764" s="17"/>
      <c r="F764" s="17"/>
      <c r="H764" s="19"/>
      <c r="I764" s="47"/>
      <c r="J764" s="48"/>
      <c r="K764" s="49"/>
    </row>
    <row r="765" spans="1:11" ht="12.75" hidden="1" x14ac:dyDescent="0.2">
      <c r="A765" s="16"/>
      <c r="B765" s="16"/>
      <c r="C765" s="15"/>
      <c r="D765" s="16"/>
      <c r="E765" s="17"/>
      <c r="F765" s="17"/>
      <c r="H765" s="19"/>
      <c r="I765" s="47"/>
      <c r="J765" s="48"/>
      <c r="K765" s="49"/>
    </row>
    <row r="766" spans="1:11" ht="12.75" hidden="1" x14ac:dyDescent="0.2">
      <c r="A766" s="16"/>
      <c r="B766" s="16"/>
      <c r="C766" s="15"/>
      <c r="D766" s="16"/>
      <c r="E766" s="17"/>
      <c r="F766" s="17"/>
      <c r="H766" s="19"/>
      <c r="I766" s="47"/>
      <c r="J766" s="48"/>
      <c r="K766" s="49"/>
    </row>
    <row r="767" spans="1:11" ht="12.75" hidden="1" x14ac:dyDescent="0.2">
      <c r="A767" s="16"/>
      <c r="B767" s="16"/>
      <c r="C767" s="15"/>
      <c r="D767" s="16"/>
      <c r="E767" s="17"/>
      <c r="F767" s="17"/>
      <c r="H767" s="19"/>
      <c r="I767" s="47"/>
      <c r="J767" s="48"/>
      <c r="K767" s="49"/>
    </row>
    <row r="768" spans="1:11" ht="12.75" hidden="1" x14ac:dyDescent="0.2">
      <c r="A768" s="16"/>
      <c r="B768" s="16"/>
      <c r="C768" s="15"/>
      <c r="D768" s="16"/>
      <c r="E768" s="17"/>
      <c r="F768" s="17"/>
      <c r="H768" s="19"/>
      <c r="I768" s="47"/>
      <c r="J768" s="48"/>
      <c r="K768" s="49"/>
    </row>
    <row r="769" spans="1:11" ht="12.75" hidden="1" x14ac:dyDescent="0.2">
      <c r="A769" s="16"/>
      <c r="B769" s="16"/>
      <c r="C769" s="15"/>
      <c r="D769" s="16"/>
      <c r="E769" s="17"/>
      <c r="F769" s="17"/>
      <c r="H769" s="19"/>
      <c r="I769" s="47"/>
      <c r="J769" s="48"/>
      <c r="K769" s="49"/>
    </row>
    <row r="770" spans="1:11" ht="12.75" hidden="1" x14ac:dyDescent="0.2">
      <c r="A770" s="16"/>
      <c r="B770" s="16"/>
      <c r="C770" s="15"/>
      <c r="D770" s="16"/>
      <c r="E770" s="17"/>
      <c r="F770" s="17"/>
      <c r="H770" s="19"/>
      <c r="I770" s="47"/>
      <c r="J770" s="48"/>
      <c r="K770" s="49"/>
    </row>
    <row r="771" spans="1:11" ht="12.75" hidden="1" x14ac:dyDescent="0.2">
      <c r="A771" s="16"/>
      <c r="B771" s="16"/>
      <c r="C771" s="15"/>
      <c r="D771" s="16"/>
      <c r="E771" s="17"/>
      <c r="F771" s="17"/>
      <c r="H771" s="19"/>
      <c r="I771" s="47"/>
      <c r="J771" s="48"/>
      <c r="K771" s="49"/>
    </row>
    <row r="772" spans="1:11" ht="12.75" hidden="1" x14ac:dyDescent="0.2">
      <c r="A772" s="16"/>
      <c r="B772" s="16"/>
      <c r="C772" s="15"/>
      <c r="D772" s="16"/>
      <c r="E772" s="17"/>
      <c r="F772" s="17"/>
      <c r="H772" s="19"/>
      <c r="I772" s="47"/>
      <c r="J772" s="48"/>
      <c r="K772" s="49"/>
    </row>
    <row r="773" spans="1:11" ht="12.75" hidden="1" x14ac:dyDescent="0.2">
      <c r="A773" s="16"/>
      <c r="B773" s="16"/>
      <c r="C773" s="15"/>
      <c r="D773" s="16"/>
      <c r="E773" s="17"/>
      <c r="F773" s="17"/>
      <c r="H773" s="19"/>
      <c r="I773" s="47"/>
      <c r="J773" s="48"/>
      <c r="K773" s="49"/>
    </row>
    <row r="774" spans="1:11" ht="12.75" hidden="1" x14ac:dyDescent="0.2">
      <c r="A774" s="16"/>
      <c r="B774" s="16"/>
      <c r="C774" s="15"/>
      <c r="D774" s="16"/>
      <c r="E774" s="17"/>
      <c r="F774" s="17"/>
      <c r="H774" s="19"/>
      <c r="I774" s="47"/>
      <c r="J774" s="48"/>
      <c r="K774" s="49"/>
    </row>
    <row r="775" spans="1:11" ht="12.75" hidden="1" x14ac:dyDescent="0.2">
      <c r="A775" s="16"/>
      <c r="B775" s="16"/>
      <c r="C775" s="15"/>
      <c r="D775" s="16"/>
      <c r="E775" s="17"/>
      <c r="F775" s="17"/>
      <c r="H775" s="19"/>
      <c r="I775" s="47"/>
      <c r="J775" s="48"/>
      <c r="K775" s="49"/>
    </row>
    <row r="776" spans="1:11" ht="12.75" hidden="1" x14ac:dyDescent="0.2">
      <c r="A776" s="16"/>
      <c r="B776" s="16"/>
      <c r="C776" s="15"/>
      <c r="D776" s="16"/>
      <c r="E776" s="17"/>
      <c r="F776" s="17"/>
      <c r="H776" s="19"/>
      <c r="I776" s="47"/>
      <c r="J776" s="48"/>
      <c r="K776" s="49"/>
    </row>
    <row r="777" spans="1:11" ht="12.75" hidden="1" x14ac:dyDescent="0.2">
      <c r="A777" s="16"/>
      <c r="B777" s="16"/>
      <c r="C777" s="15"/>
      <c r="D777" s="16"/>
      <c r="E777" s="17"/>
      <c r="F777" s="17"/>
      <c r="H777" s="19"/>
      <c r="I777" s="47"/>
      <c r="J777" s="48"/>
      <c r="K777" s="49"/>
    </row>
    <row r="778" spans="1:11" ht="12.75" hidden="1" x14ac:dyDescent="0.2">
      <c r="A778" s="16"/>
      <c r="B778" s="16"/>
      <c r="C778" s="15"/>
      <c r="D778" s="16"/>
      <c r="E778" s="17"/>
      <c r="F778" s="17"/>
      <c r="H778" s="19"/>
      <c r="I778" s="47"/>
      <c r="J778" s="48"/>
      <c r="K778" s="49"/>
    </row>
    <row r="779" spans="1:11" ht="12.75" hidden="1" x14ac:dyDescent="0.2">
      <c r="A779" s="16"/>
      <c r="B779" s="16"/>
      <c r="C779" s="15"/>
      <c r="D779" s="16"/>
      <c r="E779" s="17"/>
      <c r="F779" s="17"/>
      <c r="H779" s="19"/>
      <c r="I779" s="47"/>
      <c r="J779" s="48"/>
      <c r="K779" s="49"/>
    </row>
    <row r="780" spans="1:11" ht="12.75" hidden="1" x14ac:dyDescent="0.2">
      <c r="A780" s="16"/>
      <c r="B780" s="16"/>
      <c r="C780" s="15"/>
      <c r="D780" s="16"/>
      <c r="E780" s="17"/>
      <c r="F780" s="17"/>
      <c r="H780" s="19"/>
      <c r="I780" s="47"/>
      <c r="J780" s="48"/>
      <c r="K780" s="49"/>
    </row>
    <row r="781" spans="1:11" ht="12.75" hidden="1" x14ac:dyDescent="0.2">
      <c r="A781" s="16"/>
      <c r="B781" s="16"/>
      <c r="C781" s="15"/>
      <c r="D781" s="16"/>
      <c r="E781" s="17"/>
      <c r="F781" s="17"/>
      <c r="H781" s="19"/>
      <c r="I781" s="47"/>
      <c r="J781" s="48"/>
      <c r="K781" s="49"/>
    </row>
    <row r="782" spans="1:11" ht="12.75" hidden="1" x14ac:dyDescent="0.2">
      <c r="A782" s="16"/>
      <c r="B782" s="16"/>
      <c r="C782" s="15"/>
      <c r="D782" s="16"/>
      <c r="E782" s="17"/>
      <c r="F782" s="17"/>
      <c r="H782" s="19"/>
      <c r="I782" s="47"/>
      <c r="J782" s="48"/>
      <c r="K782" s="49"/>
    </row>
    <row r="783" spans="1:11" ht="12.75" hidden="1" x14ac:dyDescent="0.2">
      <c r="A783" s="16"/>
      <c r="B783" s="16"/>
      <c r="C783" s="15"/>
      <c r="D783" s="16"/>
      <c r="E783" s="17"/>
      <c r="F783" s="17"/>
      <c r="H783" s="19"/>
      <c r="I783" s="47"/>
      <c r="J783" s="48"/>
      <c r="K783" s="49"/>
    </row>
    <row r="784" spans="1:11" ht="12.75" hidden="1" x14ac:dyDescent="0.2">
      <c r="A784" s="16"/>
      <c r="B784" s="16"/>
      <c r="C784" s="15"/>
      <c r="D784" s="16"/>
      <c r="E784" s="17"/>
      <c r="F784" s="17"/>
      <c r="H784" s="19"/>
      <c r="I784" s="47"/>
      <c r="J784" s="48"/>
      <c r="K784" s="49"/>
    </row>
    <row r="785" spans="1:11" ht="12.75" hidden="1" x14ac:dyDescent="0.2">
      <c r="A785" s="16"/>
      <c r="B785" s="16"/>
      <c r="C785" s="15"/>
      <c r="D785" s="16"/>
      <c r="E785" s="17"/>
      <c r="F785" s="17"/>
      <c r="H785" s="19"/>
      <c r="I785" s="47"/>
      <c r="J785" s="48"/>
      <c r="K785" s="49"/>
    </row>
    <row r="786" spans="1:11" ht="12.75" hidden="1" x14ac:dyDescent="0.2">
      <c r="A786" s="16"/>
      <c r="B786" s="16"/>
      <c r="C786" s="15"/>
      <c r="D786" s="16"/>
      <c r="E786" s="17"/>
      <c r="F786" s="17"/>
      <c r="H786" s="19"/>
      <c r="I786" s="47"/>
      <c r="J786" s="48"/>
      <c r="K786" s="49"/>
    </row>
    <row r="787" spans="1:11" ht="12.75" hidden="1" x14ac:dyDescent="0.2">
      <c r="A787" s="16"/>
      <c r="B787" s="16"/>
      <c r="C787" s="15"/>
      <c r="D787" s="16"/>
      <c r="E787" s="17"/>
      <c r="F787" s="17"/>
      <c r="H787" s="19"/>
      <c r="I787" s="47"/>
      <c r="J787" s="48"/>
      <c r="K787" s="49"/>
    </row>
    <row r="788" spans="1:11" ht="12.75" hidden="1" x14ac:dyDescent="0.2">
      <c r="A788" s="16"/>
      <c r="B788" s="16"/>
      <c r="C788" s="15"/>
      <c r="D788" s="16"/>
      <c r="E788" s="17"/>
      <c r="F788" s="17"/>
      <c r="H788" s="19"/>
      <c r="I788" s="47"/>
      <c r="J788" s="48"/>
      <c r="K788" s="49"/>
    </row>
    <row r="789" spans="1:11" ht="12.75" hidden="1" x14ac:dyDescent="0.2">
      <c r="A789" s="16"/>
      <c r="B789" s="16"/>
      <c r="C789" s="15"/>
      <c r="D789" s="16"/>
      <c r="E789" s="17"/>
      <c r="F789" s="17"/>
      <c r="H789" s="19"/>
      <c r="I789" s="47"/>
      <c r="J789" s="48"/>
      <c r="K789" s="49"/>
    </row>
    <row r="790" spans="1:11" ht="12.75" hidden="1" x14ac:dyDescent="0.2">
      <c r="A790" s="16"/>
      <c r="B790" s="16"/>
      <c r="C790" s="15"/>
      <c r="D790" s="16"/>
      <c r="E790" s="17"/>
      <c r="F790" s="17"/>
      <c r="H790" s="19"/>
      <c r="I790" s="47"/>
      <c r="J790" s="48"/>
      <c r="K790" s="49"/>
    </row>
    <row r="791" spans="1:11" ht="12.75" hidden="1" x14ac:dyDescent="0.2">
      <c r="A791" s="16"/>
      <c r="B791" s="16"/>
      <c r="C791" s="15"/>
      <c r="D791" s="16"/>
      <c r="E791" s="17"/>
      <c r="F791" s="17"/>
      <c r="H791" s="19"/>
      <c r="I791" s="47"/>
      <c r="J791" s="48"/>
      <c r="K791" s="49"/>
    </row>
    <row r="792" spans="1:11" ht="12.75" hidden="1" x14ac:dyDescent="0.2">
      <c r="A792" s="16"/>
      <c r="B792" s="16"/>
      <c r="C792" s="15"/>
      <c r="D792" s="16"/>
      <c r="E792" s="17"/>
      <c r="F792" s="17"/>
      <c r="H792" s="19"/>
      <c r="I792" s="47"/>
      <c r="J792" s="48"/>
      <c r="K792" s="49"/>
    </row>
    <row r="793" spans="1:11" ht="12.75" hidden="1" x14ac:dyDescent="0.2">
      <c r="A793" s="16"/>
      <c r="B793" s="16"/>
      <c r="C793" s="15"/>
      <c r="D793" s="16"/>
      <c r="E793" s="17"/>
      <c r="F793" s="17"/>
      <c r="H793" s="19"/>
      <c r="I793" s="47"/>
      <c r="J793" s="48"/>
      <c r="K793" s="49"/>
    </row>
    <row r="794" spans="1:11" ht="12.75" hidden="1" x14ac:dyDescent="0.2">
      <c r="A794" s="16"/>
      <c r="B794" s="16"/>
      <c r="C794" s="15"/>
      <c r="D794" s="16"/>
      <c r="E794" s="17"/>
      <c r="F794" s="17"/>
      <c r="H794" s="19"/>
      <c r="I794" s="47"/>
      <c r="J794" s="48"/>
      <c r="K794" s="49"/>
    </row>
    <row r="795" spans="1:11" ht="12.75" hidden="1" x14ac:dyDescent="0.2">
      <c r="A795" s="16"/>
      <c r="B795" s="16"/>
      <c r="C795" s="15"/>
      <c r="D795" s="16"/>
      <c r="E795" s="17"/>
      <c r="F795" s="17"/>
      <c r="H795" s="19"/>
      <c r="I795" s="47"/>
      <c r="J795" s="48"/>
      <c r="K795" s="49"/>
    </row>
    <row r="796" spans="1:11" ht="12.75" hidden="1" x14ac:dyDescent="0.2">
      <c r="A796" s="16"/>
      <c r="B796" s="16"/>
      <c r="C796" s="15"/>
      <c r="D796" s="16"/>
      <c r="E796" s="17"/>
      <c r="F796" s="17"/>
      <c r="H796" s="19"/>
      <c r="I796" s="47"/>
      <c r="J796" s="48"/>
      <c r="K796" s="49"/>
    </row>
    <row r="797" spans="1:11" ht="12.75" hidden="1" x14ac:dyDescent="0.2">
      <c r="A797" s="16"/>
      <c r="B797" s="16"/>
      <c r="C797" s="15"/>
      <c r="D797" s="16"/>
      <c r="E797" s="17"/>
      <c r="F797" s="17"/>
      <c r="H797" s="19"/>
      <c r="I797" s="47"/>
      <c r="J797" s="48"/>
      <c r="K797" s="49"/>
    </row>
    <row r="798" spans="1:11" ht="12.75" hidden="1" x14ac:dyDescent="0.2">
      <c r="A798" s="16"/>
      <c r="B798" s="16"/>
      <c r="C798" s="15"/>
      <c r="D798" s="16"/>
      <c r="E798" s="17"/>
      <c r="F798" s="17"/>
      <c r="H798" s="19"/>
      <c r="I798" s="47"/>
      <c r="J798" s="48"/>
      <c r="K798" s="49"/>
    </row>
    <row r="799" spans="1:11" ht="12.75" hidden="1" x14ac:dyDescent="0.2">
      <c r="A799" s="16"/>
      <c r="B799" s="16"/>
      <c r="C799" s="15"/>
      <c r="D799" s="16"/>
      <c r="E799" s="17"/>
      <c r="F799" s="17"/>
      <c r="H799" s="19"/>
      <c r="I799" s="47"/>
      <c r="J799" s="48"/>
      <c r="K799" s="49"/>
    </row>
    <row r="800" spans="1:11" ht="12.75" hidden="1" x14ac:dyDescent="0.2">
      <c r="A800" s="16"/>
      <c r="B800" s="16"/>
      <c r="C800" s="15"/>
      <c r="D800" s="16"/>
      <c r="E800" s="17"/>
      <c r="F800" s="17"/>
      <c r="H800" s="19"/>
      <c r="I800" s="47"/>
      <c r="J800" s="48"/>
      <c r="K800" s="49"/>
    </row>
    <row r="801" spans="1:11" ht="12.75" hidden="1" x14ac:dyDescent="0.2">
      <c r="A801" s="16"/>
      <c r="B801" s="16"/>
      <c r="C801" s="15"/>
      <c r="D801" s="16"/>
      <c r="E801" s="17"/>
      <c r="F801" s="17"/>
      <c r="H801" s="19"/>
      <c r="I801" s="47"/>
      <c r="J801" s="48"/>
      <c r="K801" s="49"/>
    </row>
    <row r="802" spans="1:11" ht="12.75" hidden="1" x14ac:dyDescent="0.2">
      <c r="A802" s="16"/>
      <c r="B802" s="16"/>
      <c r="C802" s="15"/>
      <c r="D802" s="16"/>
      <c r="E802" s="17"/>
      <c r="F802" s="17"/>
      <c r="H802" s="19"/>
      <c r="I802" s="47"/>
      <c r="J802" s="48"/>
      <c r="K802" s="49"/>
    </row>
    <row r="803" spans="1:11" ht="12.75" hidden="1" x14ac:dyDescent="0.2">
      <c r="A803" s="16"/>
      <c r="B803" s="16"/>
      <c r="C803" s="15"/>
      <c r="D803" s="16"/>
      <c r="E803" s="17"/>
      <c r="F803" s="17"/>
      <c r="H803" s="19"/>
      <c r="I803" s="47"/>
      <c r="J803" s="48"/>
      <c r="K803" s="49"/>
    </row>
    <row r="804" spans="1:11" ht="12.75" hidden="1" x14ac:dyDescent="0.2">
      <c r="A804" s="16"/>
      <c r="B804" s="16"/>
      <c r="C804" s="15"/>
      <c r="D804" s="16"/>
      <c r="E804" s="17"/>
      <c r="F804" s="17"/>
      <c r="H804" s="19"/>
      <c r="I804" s="47"/>
      <c r="J804" s="48"/>
      <c r="K804" s="49"/>
    </row>
    <row r="805" spans="1:11" ht="12.75" hidden="1" x14ac:dyDescent="0.2">
      <c r="A805" s="16"/>
      <c r="B805" s="16"/>
      <c r="C805" s="15"/>
      <c r="D805" s="16"/>
      <c r="E805" s="17"/>
      <c r="F805" s="17"/>
      <c r="H805" s="19"/>
      <c r="I805" s="47"/>
      <c r="J805" s="48"/>
      <c r="K805" s="49"/>
    </row>
    <row r="806" spans="1:11" ht="12.75" hidden="1" x14ac:dyDescent="0.2">
      <c r="A806" s="16"/>
      <c r="B806" s="16"/>
      <c r="C806" s="15"/>
      <c r="D806" s="16"/>
      <c r="E806" s="17"/>
      <c r="F806" s="17"/>
      <c r="H806" s="19"/>
      <c r="I806" s="47"/>
      <c r="J806" s="48"/>
      <c r="K806" s="49"/>
    </row>
    <row r="807" spans="1:11" ht="12.75" hidden="1" x14ac:dyDescent="0.2">
      <c r="A807" s="16"/>
      <c r="B807" s="16"/>
      <c r="C807" s="15"/>
      <c r="D807" s="16"/>
      <c r="E807" s="17"/>
      <c r="F807" s="17"/>
      <c r="H807" s="19"/>
      <c r="I807" s="47"/>
      <c r="J807" s="48"/>
      <c r="K807" s="49"/>
    </row>
    <row r="808" spans="1:11" ht="12.75" hidden="1" x14ac:dyDescent="0.2">
      <c r="A808" s="16"/>
      <c r="B808" s="16"/>
      <c r="C808" s="15"/>
      <c r="D808" s="16"/>
      <c r="E808" s="17"/>
      <c r="F808" s="17"/>
      <c r="H808" s="19"/>
      <c r="I808" s="47"/>
      <c r="J808" s="48"/>
      <c r="K808" s="49"/>
    </row>
    <row r="809" spans="1:11" ht="12.75" hidden="1" x14ac:dyDescent="0.2">
      <c r="A809" s="16"/>
      <c r="B809" s="16"/>
      <c r="C809" s="15"/>
      <c r="D809" s="16"/>
      <c r="E809" s="17"/>
      <c r="F809" s="17"/>
      <c r="H809" s="19"/>
      <c r="I809" s="47"/>
      <c r="J809" s="48"/>
      <c r="K809" s="49"/>
    </row>
    <row r="810" spans="1:11" ht="12.75" hidden="1" x14ac:dyDescent="0.2">
      <c r="A810" s="16"/>
      <c r="B810" s="16"/>
      <c r="C810" s="15"/>
      <c r="D810" s="16"/>
      <c r="E810" s="17"/>
      <c r="F810" s="17"/>
      <c r="H810" s="19"/>
      <c r="I810" s="47"/>
      <c r="J810" s="48"/>
      <c r="K810" s="49"/>
    </row>
    <row r="811" spans="1:11" ht="12.75" hidden="1" x14ac:dyDescent="0.2">
      <c r="A811" s="16"/>
      <c r="B811" s="16"/>
      <c r="C811" s="15"/>
      <c r="D811" s="16"/>
      <c r="E811" s="17"/>
      <c r="F811" s="17"/>
      <c r="H811" s="19"/>
      <c r="I811" s="47"/>
      <c r="J811" s="48"/>
      <c r="K811" s="49"/>
    </row>
    <row r="812" spans="1:11" ht="12.75" hidden="1" x14ac:dyDescent="0.2">
      <c r="A812" s="16"/>
      <c r="B812" s="16"/>
      <c r="C812" s="15"/>
      <c r="D812" s="16"/>
      <c r="E812" s="17"/>
      <c r="F812" s="17"/>
      <c r="H812" s="19"/>
      <c r="I812" s="47"/>
      <c r="J812" s="48"/>
      <c r="K812" s="49"/>
    </row>
    <row r="813" spans="1:11" ht="12.75" hidden="1" x14ac:dyDescent="0.2">
      <c r="A813" s="16"/>
      <c r="B813" s="16"/>
      <c r="C813" s="15"/>
      <c r="D813" s="16"/>
      <c r="E813" s="17"/>
      <c r="F813" s="17"/>
      <c r="H813" s="19"/>
      <c r="I813" s="47"/>
      <c r="J813" s="48"/>
      <c r="K813" s="49"/>
    </row>
    <row r="814" spans="1:11" ht="12.75" hidden="1" x14ac:dyDescent="0.2">
      <c r="A814" s="16"/>
      <c r="B814" s="16"/>
      <c r="C814" s="15"/>
      <c r="D814" s="16"/>
      <c r="E814" s="17"/>
      <c r="F814" s="17"/>
      <c r="H814" s="19"/>
      <c r="I814" s="47"/>
      <c r="J814" s="48"/>
      <c r="K814" s="49"/>
    </row>
    <row r="815" spans="1:11" ht="12.75" hidden="1" x14ac:dyDescent="0.2">
      <c r="A815" s="16"/>
      <c r="B815" s="16"/>
      <c r="C815" s="15"/>
      <c r="D815" s="16"/>
      <c r="E815" s="17"/>
      <c r="F815" s="17"/>
      <c r="H815" s="19"/>
      <c r="I815" s="47"/>
      <c r="J815" s="48"/>
      <c r="K815" s="49"/>
    </row>
    <row r="816" spans="1:11" ht="12.75" hidden="1" x14ac:dyDescent="0.2">
      <c r="A816" s="16"/>
      <c r="B816" s="16"/>
      <c r="C816" s="15"/>
      <c r="D816" s="16"/>
      <c r="E816" s="17"/>
      <c r="F816" s="17"/>
      <c r="H816" s="19"/>
      <c r="I816" s="47"/>
      <c r="J816" s="48"/>
      <c r="K816" s="49"/>
    </row>
    <row r="817" spans="1:11" ht="12.75" hidden="1" x14ac:dyDescent="0.2">
      <c r="A817" s="16"/>
      <c r="B817" s="16"/>
      <c r="C817" s="15"/>
      <c r="D817" s="16"/>
      <c r="E817" s="17"/>
      <c r="F817" s="17"/>
      <c r="H817" s="19"/>
      <c r="I817" s="47"/>
      <c r="J817" s="48"/>
      <c r="K817" s="49"/>
    </row>
    <row r="818" spans="1:11" ht="12.75" hidden="1" x14ac:dyDescent="0.2">
      <c r="A818" s="16"/>
      <c r="B818" s="16"/>
      <c r="C818" s="15"/>
      <c r="D818" s="16"/>
      <c r="E818" s="17"/>
      <c r="F818" s="17"/>
      <c r="H818" s="19"/>
      <c r="I818" s="47"/>
      <c r="J818" s="48"/>
      <c r="K818" s="49"/>
    </row>
    <row r="819" spans="1:11" ht="12.75" hidden="1" x14ac:dyDescent="0.2">
      <c r="A819" s="16"/>
      <c r="B819" s="16"/>
      <c r="C819" s="15"/>
      <c r="D819" s="16"/>
      <c r="E819" s="17"/>
      <c r="F819" s="17"/>
      <c r="H819" s="19"/>
      <c r="I819" s="47"/>
      <c r="J819" s="48"/>
      <c r="K819" s="49"/>
    </row>
    <row r="820" spans="1:11" ht="12.75" hidden="1" x14ac:dyDescent="0.2">
      <c r="A820" s="16"/>
      <c r="B820" s="16"/>
      <c r="C820" s="15"/>
      <c r="D820" s="16"/>
      <c r="E820" s="17"/>
      <c r="F820" s="17"/>
      <c r="H820" s="19"/>
      <c r="I820" s="47"/>
      <c r="J820" s="48"/>
      <c r="K820" s="49"/>
    </row>
    <row r="821" spans="1:11" ht="12.75" hidden="1" x14ac:dyDescent="0.2">
      <c r="A821" s="16"/>
      <c r="B821" s="16"/>
      <c r="C821" s="15"/>
      <c r="D821" s="16"/>
      <c r="E821" s="17"/>
      <c r="F821" s="17"/>
      <c r="H821" s="19"/>
      <c r="I821" s="47"/>
      <c r="J821" s="48"/>
      <c r="K821" s="49"/>
    </row>
    <row r="822" spans="1:11" ht="12.75" hidden="1" x14ac:dyDescent="0.2">
      <c r="A822" s="16"/>
      <c r="B822" s="16"/>
      <c r="C822" s="15"/>
      <c r="D822" s="16"/>
      <c r="E822" s="17"/>
      <c r="F822" s="17"/>
      <c r="H822" s="19"/>
      <c r="I822" s="47"/>
      <c r="J822" s="48"/>
      <c r="K822" s="49"/>
    </row>
    <row r="823" spans="1:11" ht="12.75" hidden="1" x14ac:dyDescent="0.2">
      <c r="A823" s="16"/>
      <c r="B823" s="16"/>
      <c r="C823" s="15"/>
      <c r="D823" s="16"/>
      <c r="E823" s="17"/>
      <c r="F823" s="17"/>
      <c r="H823" s="19"/>
      <c r="I823" s="47"/>
      <c r="J823" s="48"/>
      <c r="K823" s="49"/>
    </row>
    <row r="824" spans="1:11" ht="12.75" hidden="1" x14ac:dyDescent="0.2">
      <c r="A824" s="16"/>
      <c r="B824" s="16"/>
      <c r="C824" s="15"/>
      <c r="D824" s="16"/>
      <c r="E824" s="17"/>
      <c r="F824" s="17"/>
      <c r="H824" s="19"/>
      <c r="I824" s="47"/>
      <c r="J824" s="48"/>
      <c r="K824" s="49"/>
    </row>
    <row r="825" spans="1:11" ht="12.75" hidden="1" x14ac:dyDescent="0.2">
      <c r="A825" s="16"/>
      <c r="B825" s="16"/>
      <c r="C825" s="15"/>
      <c r="D825" s="16"/>
      <c r="E825" s="17"/>
      <c r="F825" s="17"/>
      <c r="H825" s="19"/>
      <c r="I825" s="47"/>
      <c r="J825" s="48"/>
      <c r="K825" s="49"/>
    </row>
    <row r="826" spans="1:11" ht="12.75" hidden="1" x14ac:dyDescent="0.2">
      <c r="A826" s="16"/>
      <c r="B826" s="16"/>
      <c r="C826" s="15"/>
      <c r="D826" s="16"/>
      <c r="E826" s="17"/>
      <c r="F826" s="17"/>
      <c r="H826" s="19"/>
      <c r="I826" s="47"/>
      <c r="J826" s="48"/>
      <c r="K826" s="49"/>
    </row>
    <row r="827" spans="1:11" ht="12.75" hidden="1" x14ac:dyDescent="0.2">
      <c r="A827" s="16"/>
      <c r="B827" s="16"/>
      <c r="C827" s="15"/>
      <c r="D827" s="16"/>
      <c r="E827" s="17"/>
      <c r="F827" s="17"/>
      <c r="H827" s="19"/>
      <c r="I827" s="47"/>
      <c r="J827" s="48"/>
      <c r="K827" s="49"/>
    </row>
    <row r="828" spans="1:11" ht="12.75" hidden="1" x14ac:dyDescent="0.2">
      <c r="A828" s="16"/>
      <c r="B828" s="16"/>
      <c r="C828" s="15"/>
      <c r="D828" s="16"/>
      <c r="E828" s="17"/>
      <c r="F828" s="17"/>
      <c r="H828" s="19"/>
      <c r="I828" s="47"/>
      <c r="J828" s="48"/>
      <c r="K828" s="49"/>
    </row>
    <row r="829" spans="1:11" ht="12.75" hidden="1" x14ac:dyDescent="0.2">
      <c r="A829" s="16"/>
      <c r="B829" s="16"/>
      <c r="C829" s="15"/>
      <c r="D829" s="16"/>
      <c r="E829" s="17"/>
      <c r="F829" s="17"/>
      <c r="H829" s="19"/>
      <c r="I829" s="47"/>
      <c r="J829" s="48"/>
      <c r="K829" s="49"/>
    </row>
    <row r="830" spans="1:11" ht="12.75" hidden="1" x14ac:dyDescent="0.2">
      <c r="A830" s="16"/>
      <c r="B830" s="16"/>
      <c r="C830" s="15"/>
      <c r="D830" s="16"/>
      <c r="E830" s="17"/>
      <c r="F830" s="17"/>
      <c r="H830" s="19"/>
      <c r="I830" s="47"/>
      <c r="J830" s="48"/>
      <c r="K830" s="49"/>
    </row>
    <row r="831" spans="1:11" ht="12.75" hidden="1" x14ac:dyDescent="0.2">
      <c r="A831" s="16"/>
      <c r="B831" s="16"/>
      <c r="C831" s="15"/>
      <c r="D831" s="16"/>
      <c r="E831" s="17"/>
      <c r="F831" s="17"/>
      <c r="H831" s="19"/>
      <c r="I831" s="47"/>
      <c r="J831" s="48"/>
      <c r="K831" s="49"/>
    </row>
    <row r="832" spans="1:11" ht="12.75" hidden="1" x14ac:dyDescent="0.2">
      <c r="A832" s="16"/>
      <c r="B832" s="16"/>
      <c r="C832" s="15"/>
      <c r="D832" s="16"/>
      <c r="E832" s="17"/>
      <c r="F832" s="17"/>
      <c r="H832" s="19"/>
      <c r="I832" s="47"/>
      <c r="J832" s="48"/>
      <c r="K832" s="49"/>
    </row>
    <row r="833" spans="1:11" ht="12.75" hidden="1" x14ac:dyDescent="0.2">
      <c r="A833" s="16"/>
      <c r="B833" s="16"/>
      <c r="C833" s="15"/>
      <c r="D833" s="16"/>
      <c r="E833" s="17"/>
      <c r="F833" s="17"/>
      <c r="H833" s="19"/>
      <c r="I833" s="47"/>
      <c r="J833" s="48"/>
      <c r="K833" s="49"/>
    </row>
    <row r="834" spans="1:11" ht="12.75" hidden="1" x14ac:dyDescent="0.2">
      <c r="A834" s="16"/>
      <c r="B834" s="16"/>
      <c r="C834" s="15"/>
      <c r="D834" s="16"/>
      <c r="E834" s="17"/>
      <c r="F834" s="17"/>
      <c r="H834" s="19"/>
      <c r="I834" s="47"/>
      <c r="J834" s="48"/>
      <c r="K834" s="49"/>
    </row>
    <row r="835" spans="1:11" ht="12.75" hidden="1" x14ac:dyDescent="0.2">
      <c r="A835" s="16"/>
      <c r="B835" s="16"/>
      <c r="C835" s="15"/>
      <c r="D835" s="16"/>
      <c r="E835" s="17"/>
      <c r="F835" s="17"/>
      <c r="H835" s="19"/>
      <c r="I835" s="47"/>
      <c r="J835" s="48"/>
      <c r="K835" s="49"/>
    </row>
    <row r="836" spans="1:11" ht="12.75" hidden="1" x14ac:dyDescent="0.2">
      <c r="A836" s="16"/>
      <c r="B836" s="16"/>
      <c r="C836" s="15"/>
      <c r="D836" s="16"/>
      <c r="E836" s="17"/>
      <c r="F836" s="17"/>
      <c r="H836" s="19"/>
      <c r="I836" s="47"/>
      <c r="J836" s="48"/>
      <c r="K836" s="49"/>
    </row>
    <row r="837" spans="1:11" ht="12.75" hidden="1" x14ac:dyDescent="0.2">
      <c r="A837" s="16"/>
      <c r="B837" s="16"/>
      <c r="C837" s="15"/>
      <c r="D837" s="16"/>
      <c r="E837" s="17"/>
      <c r="F837" s="17"/>
      <c r="H837" s="19"/>
      <c r="I837" s="47"/>
      <c r="J837" s="48"/>
      <c r="K837" s="49"/>
    </row>
    <row r="838" spans="1:11" ht="12.75" hidden="1" x14ac:dyDescent="0.2">
      <c r="A838" s="16"/>
      <c r="B838" s="16"/>
      <c r="C838" s="15"/>
      <c r="D838" s="16"/>
      <c r="E838" s="17"/>
      <c r="F838" s="17"/>
      <c r="H838" s="19"/>
      <c r="I838" s="47"/>
      <c r="J838" s="48"/>
      <c r="K838" s="49"/>
    </row>
    <row r="839" spans="1:11" ht="12.75" hidden="1" x14ac:dyDescent="0.2">
      <c r="A839" s="16"/>
      <c r="B839" s="16"/>
      <c r="C839" s="15"/>
      <c r="D839" s="16"/>
      <c r="E839" s="17"/>
      <c r="F839" s="17"/>
      <c r="H839" s="19"/>
      <c r="I839" s="47"/>
      <c r="J839" s="48"/>
      <c r="K839" s="49"/>
    </row>
    <row r="840" spans="1:11" ht="12.75" hidden="1" x14ac:dyDescent="0.2">
      <c r="A840" s="16"/>
      <c r="B840" s="16"/>
      <c r="C840" s="15"/>
      <c r="D840" s="16"/>
      <c r="E840" s="17"/>
      <c r="F840" s="17"/>
      <c r="H840" s="19"/>
      <c r="I840" s="47"/>
      <c r="J840" s="48"/>
      <c r="K840" s="49"/>
    </row>
    <row r="841" spans="1:11" ht="12.75" hidden="1" x14ac:dyDescent="0.2">
      <c r="A841" s="16"/>
      <c r="B841" s="16"/>
      <c r="C841" s="15"/>
      <c r="D841" s="16"/>
      <c r="E841" s="17"/>
      <c r="F841" s="17"/>
      <c r="H841" s="19"/>
      <c r="I841" s="47"/>
      <c r="J841" s="48"/>
      <c r="K841" s="49"/>
    </row>
    <row r="842" spans="1:11" ht="12.75" hidden="1" x14ac:dyDescent="0.2">
      <c r="A842" s="16"/>
      <c r="B842" s="16"/>
      <c r="C842" s="15"/>
      <c r="D842" s="16"/>
      <c r="E842" s="17"/>
      <c r="F842" s="17"/>
      <c r="H842" s="19"/>
      <c r="I842" s="47"/>
      <c r="J842" s="48"/>
      <c r="K842" s="49"/>
    </row>
    <row r="843" spans="1:11" ht="12.75" hidden="1" x14ac:dyDescent="0.2">
      <c r="A843" s="16"/>
      <c r="B843" s="16"/>
      <c r="C843" s="15"/>
      <c r="D843" s="16"/>
      <c r="E843" s="17"/>
      <c r="F843" s="17"/>
      <c r="H843" s="19"/>
      <c r="I843" s="47"/>
      <c r="J843" s="48"/>
      <c r="K843" s="49"/>
    </row>
    <row r="844" spans="1:11" ht="12.75" hidden="1" x14ac:dyDescent="0.2">
      <c r="A844" s="16"/>
      <c r="B844" s="16"/>
      <c r="C844" s="15"/>
      <c r="D844" s="16"/>
      <c r="E844" s="17"/>
      <c r="F844" s="17"/>
      <c r="H844" s="19"/>
      <c r="I844" s="47"/>
      <c r="J844" s="48"/>
      <c r="K844" s="49"/>
    </row>
    <row r="845" spans="1:11" ht="12.75" hidden="1" x14ac:dyDescent="0.2">
      <c r="A845" s="16"/>
      <c r="B845" s="16"/>
      <c r="C845" s="15"/>
      <c r="D845" s="16"/>
      <c r="E845" s="17"/>
      <c r="F845" s="17"/>
      <c r="H845" s="19"/>
      <c r="I845" s="47"/>
      <c r="J845" s="48"/>
      <c r="K845" s="49"/>
    </row>
    <row r="846" spans="1:11" ht="12.75" hidden="1" x14ac:dyDescent="0.2">
      <c r="A846" s="16"/>
      <c r="B846" s="16"/>
      <c r="C846" s="15"/>
      <c r="D846" s="16"/>
      <c r="E846" s="17"/>
      <c r="F846" s="17"/>
      <c r="H846" s="19"/>
      <c r="I846" s="47"/>
      <c r="J846" s="48"/>
      <c r="K846" s="49"/>
    </row>
    <row r="847" spans="1:11" ht="12.75" hidden="1" x14ac:dyDescent="0.2">
      <c r="A847" s="16"/>
      <c r="B847" s="16"/>
      <c r="C847" s="15"/>
      <c r="D847" s="16"/>
      <c r="E847" s="17"/>
      <c r="F847" s="17"/>
      <c r="H847" s="19"/>
      <c r="I847" s="47"/>
      <c r="J847" s="48"/>
      <c r="K847" s="49"/>
    </row>
    <row r="848" spans="1:11" ht="12.75" hidden="1" x14ac:dyDescent="0.2">
      <c r="A848" s="16"/>
      <c r="B848" s="16"/>
      <c r="C848" s="15"/>
      <c r="D848" s="16"/>
      <c r="E848" s="17"/>
      <c r="F848" s="17"/>
      <c r="H848" s="19"/>
      <c r="I848" s="47"/>
      <c r="J848" s="48"/>
      <c r="K848" s="49"/>
    </row>
    <row r="849" spans="1:11" ht="12.75" hidden="1" x14ac:dyDescent="0.2">
      <c r="A849" s="16"/>
      <c r="B849" s="16"/>
      <c r="C849" s="15"/>
      <c r="D849" s="16"/>
      <c r="E849" s="17"/>
      <c r="F849" s="17"/>
      <c r="H849" s="19"/>
      <c r="I849" s="47"/>
      <c r="J849" s="48"/>
      <c r="K849" s="49"/>
    </row>
    <row r="850" spans="1:11" ht="12.75" hidden="1" x14ac:dyDescent="0.2">
      <c r="A850" s="16"/>
      <c r="B850" s="16"/>
      <c r="C850" s="15"/>
      <c r="D850" s="16"/>
      <c r="E850" s="17"/>
      <c r="F850" s="17"/>
      <c r="H850" s="19"/>
      <c r="I850" s="47"/>
      <c r="J850" s="48"/>
      <c r="K850" s="49"/>
    </row>
    <row r="851" spans="1:11" ht="12.75" hidden="1" x14ac:dyDescent="0.2">
      <c r="A851" s="16"/>
      <c r="B851" s="16"/>
      <c r="C851" s="15"/>
      <c r="D851" s="16"/>
      <c r="E851" s="17"/>
      <c r="F851" s="17"/>
      <c r="H851" s="19"/>
      <c r="I851" s="47"/>
      <c r="J851" s="48"/>
      <c r="K851" s="49"/>
    </row>
    <row r="852" spans="1:11" ht="12.75" hidden="1" x14ac:dyDescent="0.2">
      <c r="A852" s="16"/>
      <c r="B852" s="16"/>
      <c r="C852" s="15"/>
      <c r="D852" s="16"/>
      <c r="E852" s="17"/>
      <c r="F852" s="17"/>
      <c r="H852" s="19"/>
      <c r="I852" s="47"/>
      <c r="J852" s="48"/>
      <c r="K852" s="49"/>
    </row>
    <row r="853" spans="1:11" ht="12.75" hidden="1" x14ac:dyDescent="0.2">
      <c r="A853" s="16"/>
      <c r="B853" s="16"/>
      <c r="C853" s="15"/>
      <c r="D853" s="16"/>
      <c r="E853" s="17"/>
      <c r="F853" s="17"/>
      <c r="H853" s="50"/>
      <c r="I853" s="51"/>
      <c r="J853" s="52"/>
      <c r="K853" s="53"/>
    </row>
  </sheetData>
  <autoFilter ref="A6:I215" xr:uid="{00000000-0009-0000-0000-000001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6:C853">
    <cfRule type="cellIs" dxfId="48" priority="4" operator="lessThan">
      <formula>"92%"</formula>
    </cfRule>
  </conditionalFormatting>
  <conditionalFormatting sqref="C7:C215">
    <cfRule type="cellIs" dxfId="47" priority="1" operator="lessThan">
      <formula>"90%"</formula>
    </cfRule>
    <cfRule type="cellIs" dxfId="46" priority="2" operator="lessThan">
      <formula>"94%"</formula>
    </cfRule>
  </conditionalFormatting>
  <conditionalFormatting sqref="K1:K853">
    <cfRule type="cellIs" dxfId="45" priority="3" operator="lessThan">
      <formula>0</formula>
    </cfRule>
  </conditionalFormatting>
  <dataValidations count="1">
    <dataValidation type="list" allowBlank="1" sqref="E7:E215" xr:uid="{00000000-0002-0000-0100-000000000000}">
      <formula1>"Weather,Health,Safety,Other"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  <outlinePr summaryBelow="0" summaryRight="0"/>
    <pageSetUpPr fitToPage="1"/>
  </sheetPr>
  <dimension ref="A1:K853"/>
  <sheetViews>
    <sheetView workbookViewId="0">
      <pane ySplit="6" topLeftCell="A148" activePane="bottomLeft" state="frozen"/>
      <selection pane="bottomLeft" activeCell="H158" sqref="H158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15.85546875" customWidth="1"/>
    <col min="6" max="6" width="16.7109375" customWidth="1"/>
    <col min="7" max="7" width="12.42578125" customWidth="1"/>
    <col min="8" max="8" width="11.7109375" customWidth="1"/>
    <col min="9" max="10" width="16.28515625" customWidth="1"/>
    <col min="11" max="11" width="17.42578125" customWidth="1"/>
  </cols>
  <sheetData>
    <row r="1" spans="1:11" ht="26.25" x14ac:dyDescent="0.35">
      <c r="A1" s="1"/>
      <c r="B1" s="1"/>
      <c r="C1" s="1"/>
      <c r="D1" s="1"/>
      <c r="E1" s="1"/>
      <c r="F1" s="1"/>
      <c r="G1" s="1"/>
      <c r="H1" s="2"/>
      <c r="I1" s="2"/>
      <c r="J1" s="3"/>
      <c r="K1" s="4">
        <f>SUM(K7:K215)</f>
        <v>-2074.8578999999972</v>
      </c>
    </row>
    <row r="2" spans="1:11" x14ac:dyDescent="0.25">
      <c r="A2" s="122" t="s">
        <v>56</v>
      </c>
      <c r="B2" s="119"/>
      <c r="C2" s="119"/>
      <c r="D2" s="119"/>
      <c r="E2" s="119"/>
      <c r="F2" s="119"/>
      <c r="G2" s="119"/>
      <c r="H2" s="131" t="s">
        <v>0</v>
      </c>
      <c r="I2" s="121"/>
      <c r="J2" s="5" t="s">
        <v>9</v>
      </c>
      <c r="K2" s="125" t="s">
        <v>57</v>
      </c>
    </row>
    <row r="3" spans="1:11" ht="23.25" x14ac:dyDescent="0.3">
      <c r="A3" s="119"/>
      <c r="B3" s="119"/>
      <c r="C3" s="119"/>
      <c r="D3" s="119"/>
      <c r="E3" s="119"/>
      <c r="F3" s="119"/>
      <c r="G3" s="119"/>
      <c r="H3" s="132">
        <f>SUM(I7:I128)</f>
        <v>219810.99799999991</v>
      </c>
      <c r="I3" s="124"/>
      <c r="J3" s="127">
        <v>0.95</v>
      </c>
      <c r="K3" s="124"/>
    </row>
    <row r="4" spans="1:11" ht="13.5" x14ac:dyDescent="0.25">
      <c r="A4" s="119"/>
      <c r="B4" s="119"/>
      <c r="C4" s="119"/>
      <c r="D4" s="119"/>
      <c r="E4" s="119"/>
      <c r="F4" s="119"/>
      <c r="G4" s="119"/>
      <c r="H4" s="133" t="s">
        <v>11</v>
      </c>
      <c r="I4" s="124"/>
      <c r="J4" s="128"/>
      <c r="K4" s="124"/>
    </row>
    <row r="5" spans="1:11" ht="15" x14ac:dyDescent="0.35">
      <c r="A5" s="119"/>
      <c r="B5" s="119"/>
      <c r="C5" s="119"/>
      <c r="D5" s="119"/>
      <c r="E5" s="119"/>
      <c r="F5" s="119"/>
      <c r="G5" s="119"/>
      <c r="H5" s="134">
        <v>55</v>
      </c>
      <c r="I5" s="135"/>
      <c r="J5" s="128"/>
      <c r="K5" s="124"/>
    </row>
    <row r="6" spans="1:11" ht="24" x14ac:dyDescent="0.2">
      <c r="A6" s="6" t="s">
        <v>12</v>
      </c>
      <c r="B6" s="7" t="s">
        <v>13</v>
      </c>
      <c r="C6" s="8" t="s">
        <v>14</v>
      </c>
      <c r="D6" s="7" t="s">
        <v>15</v>
      </c>
      <c r="E6" s="9" t="s">
        <v>16</v>
      </c>
      <c r="F6" s="7" t="s">
        <v>17</v>
      </c>
      <c r="G6" s="7" t="s">
        <v>18</v>
      </c>
      <c r="H6" s="54" t="s">
        <v>19</v>
      </c>
      <c r="I6" s="54" t="s">
        <v>20</v>
      </c>
      <c r="J6" s="12" t="s">
        <v>21</v>
      </c>
      <c r="K6" s="124"/>
    </row>
    <row r="7" spans="1:11" ht="12.75" x14ac:dyDescent="0.2">
      <c r="A7" s="13">
        <v>45516</v>
      </c>
      <c r="B7" s="14" t="s">
        <v>3</v>
      </c>
      <c r="C7" s="15">
        <v>1</v>
      </c>
      <c r="D7" s="16" t="s">
        <v>58</v>
      </c>
      <c r="E7" s="17"/>
      <c r="F7" s="17"/>
      <c r="G7" s="18">
        <v>472</v>
      </c>
      <c r="H7" s="19">
        <f t="shared" ref="H7:H37" si="0">G7-(C7*G7)</f>
        <v>0</v>
      </c>
      <c r="I7" s="20">
        <f t="shared" ref="I7:I215" si="1">H7*$H$5</f>
        <v>0</v>
      </c>
      <c r="J7" s="21">
        <v>0</v>
      </c>
      <c r="K7" s="22">
        <f t="shared" ref="K7:K32" si="2">J7-H7</f>
        <v>0</v>
      </c>
    </row>
    <row r="8" spans="1:11" ht="12.75" x14ac:dyDescent="0.2">
      <c r="A8" s="13">
        <v>45517</v>
      </c>
      <c r="B8" s="14" t="s">
        <v>4</v>
      </c>
      <c r="C8" s="15">
        <v>0.98729999999999996</v>
      </c>
      <c r="D8" s="16" t="s">
        <v>58</v>
      </c>
      <c r="E8" s="17"/>
      <c r="F8" s="17"/>
      <c r="G8" s="18">
        <v>485</v>
      </c>
      <c r="H8" s="19">
        <f t="shared" si="0"/>
        <v>6.1595000000000368</v>
      </c>
      <c r="I8" s="20">
        <f t="shared" si="1"/>
        <v>338.77250000000203</v>
      </c>
      <c r="J8" s="21">
        <f t="shared" ref="J8:J37" si="3">G8-(G8*J$3)</f>
        <v>24.25</v>
      </c>
      <c r="K8" s="22">
        <f t="shared" si="2"/>
        <v>18.090499999999963</v>
      </c>
    </row>
    <row r="9" spans="1:11" ht="12.75" x14ac:dyDescent="0.2">
      <c r="A9" s="13">
        <v>45518</v>
      </c>
      <c r="B9" s="14" t="s">
        <v>5</v>
      </c>
      <c r="C9" s="15">
        <v>0.98880000000000001</v>
      </c>
      <c r="D9" s="16" t="s">
        <v>58</v>
      </c>
      <c r="E9" s="17"/>
      <c r="F9" s="17"/>
      <c r="G9" s="18">
        <v>493</v>
      </c>
      <c r="H9" s="19">
        <f t="shared" si="0"/>
        <v>5.5215999999999781</v>
      </c>
      <c r="I9" s="20">
        <f t="shared" si="1"/>
        <v>303.68799999999879</v>
      </c>
      <c r="J9" s="21">
        <f t="shared" si="3"/>
        <v>24.650000000000034</v>
      </c>
      <c r="K9" s="22">
        <f t="shared" si="2"/>
        <v>19.128400000000056</v>
      </c>
    </row>
    <row r="10" spans="1:11" ht="12.75" x14ac:dyDescent="0.2">
      <c r="A10" s="13">
        <v>45519</v>
      </c>
      <c r="B10" s="14" t="s">
        <v>6</v>
      </c>
      <c r="C10" s="15">
        <v>0.9667</v>
      </c>
      <c r="D10" s="16" t="s">
        <v>58</v>
      </c>
      <c r="E10" s="17"/>
      <c r="F10" s="17"/>
      <c r="G10" s="18">
        <v>501</v>
      </c>
      <c r="H10" s="19">
        <f t="shared" si="0"/>
        <v>16.683299999999974</v>
      </c>
      <c r="I10" s="20">
        <f t="shared" si="1"/>
        <v>917.58149999999864</v>
      </c>
      <c r="J10" s="21">
        <f t="shared" si="3"/>
        <v>25.050000000000011</v>
      </c>
      <c r="K10" s="22">
        <f t="shared" si="2"/>
        <v>8.3667000000000371</v>
      </c>
    </row>
    <row r="11" spans="1:11" ht="12.75" x14ac:dyDescent="0.2">
      <c r="A11" s="13">
        <v>45520</v>
      </c>
      <c r="B11" s="14" t="s">
        <v>7</v>
      </c>
      <c r="C11" s="15">
        <v>0.94069999999999998</v>
      </c>
      <c r="D11" s="16" t="s">
        <v>58</v>
      </c>
      <c r="E11" s="17"/>
      <c r="F11" s="17"/>
      <c r="G11" s="18">
        <v>503</v>
      </c>
      <c r="H11" s="19">
        <f t="shared" si="0"/>
        <v>29.8279</v>
      </c>
      <c r="I11" s="20">
        <f t="shared" si="1"/>
        <v>1640.5345</v>
      </c>
      <c r="J11" s="21">
        <f t="shared" si="3"/>
        <v>25.150000000000034</v>
      </c>
      <c r="K11" s="22">
        <f t="shared" si="2"/>
        <v>-4.6778999999999655</v>
      </c>
    </row>
    <row r="12" spans="1:11" ht="12.75" x14ac:dyDescent="0.2">
      <c r="A12" s="13">
        <v>45523</v>
      </c>
      <c r="B12" s="14" t="s">
        <v>3</v>
      </c>
      <c r="C12" s="15">
        <v>0.93289999999999995</v>
      </c>
      <c r="D12" s="16" t="s">
        <v>58</v>
      </c>
      <c r="E12" s="17"/>
      <c r="F12" s="17"/>
      <c r="G12" s="18">
        <v>509</v>
      </c>
      <c r="H12" s="19">
        <f t="shared" si="0"/>
        <v>34.153900000000021</v>
      </c>
      <c r="I12" s="20">
        <f t="shared" si="1"/>
        <v>1878.4645000000012</v>
      </c>
      <c r="J12" s="21">
        <f t="shared" si="3"/>
        <v>25.450000000000045</v>
      </c>
      <c r="K12" s="22">
        <f t="shared" si="2"/>
        <v>-8.703899999999976</v>
      </c>
    </row>
    <row r="13" spans="1:11" ht="12.75" x14ac:dyDescent="0.2">
      <c r="A13" s="13">
        <v>45524</v>
      </c>
      <c r="B13" s="14" t="s">
        <v>4</v>
      </c>
      <c r="C13" s="15">
        <v>0.93589999999999995</v>
      </c>
      <c r="D13" s="16" t="s">
        <v>58</v>
      </c>
      <c r="E13" s="17"/>
      <c r="F13" s="17"/>
      <c r="G13" s="18">
        <v>514</v>
      </c>
      <c r="H13" s="19">
        <f t="shared" si="0"/>
        <v>32.947400000000016</v>
      </c>
      <c r="I13" s="20">
        <f t="shared" si="1"/>
        <v>1812.1070000000009</v>
      </c>
      <c r="J13" s="21">
        <f t="shared" si="3"/>
        <v>25.700000000000045</v>
      </c>
      <c r="K13" s="22">
        <f t="shared" si="2"/>
        <v>-7.2473999999999705</v>
      </c>
    </row>
    <row r="14" spans="1:11" ht="12.75" x14ac:dyDescent="0.2">
      <c r="A14" s="13">
        <v>45525</v>
      </c>
      <c r="B14" s="14" t="s">
        <v>5</v>
      </c>
      <c r="C14" s="15">
        <v>0.92930000000000001</v>
      </c>
      <c r="D14" s="16" t="s">
        <v>58</v>
      </c>
      <c r="E14" s="17"/>
      <c r="F14" s="17"/>
      <c r="G14" s="18">
        <v>519</v>
      </c>
      <c r="H14" s="19">
        <f t="shared" si="0"/>
        <v>36.693299999999965</v>
      </c>
      <c r="I14" s="20">
        <f t="shared" si="1"/>
        <v>2018.1314999999981</v>
      </c>
      <c r="J14" s="21">
        <f t="shared" si="3"/>
        <v>25.950000000000045</v>
      </c>
      <c r="K14" s="22">
        <f t="shared" si="2"/>
        <v>-10.74329999999992</v>
      </c>
    </row>
    <row r="15" spans="1:11" ht="12.75" x14ac:dyDescent="0.2">
      <c r="A15" s="13">
        <v>45526</v>
      </c>
      <c r="B15" s="14" t="s">
        <v>6</v>
      </c>
      <c r="C15" s="15">
        <v>0.94010000000000005</v>
      </c>
      <c r="D15" s="16" t="s">
        <v>58</v>
      </c>
      <c r="E15" s="17"/>
      <c r="F15" s="17"/>
      <c r="G15" s="18">
        <v>520</v>
      </c>
      <c r="H15" s="19">
        <f t="shared" si="0"/>
        <v>31.147999999999968</v>
      </c>
      <c r="I15" s="20">
        <f t="shared" si="1"/>
        <v>1713.1399999999983</v>
      </c>
      <c r="J15" s="21">
        <f t="shared" si="3"/>
        <v>26</v>
      </c>
      <c r="K15" s="22">
        <f t="shared" si="2"/>
        <v>-5.1479999999999677</v>
      </c>
    </row>
    <row r="16" spans="1:11" ht="12.75" x14ac:dyDescent="0.2">
      <c r="A16" s="13">
        <v>45527</v>
      </c>
      <c r="B16" s="14" t="s">
        <v>7</v>
      </c>
      <c r="C16" s="15">
        <v>0.92</v>
      </c>
      <c r="D16" s="16" t="s">
        <v>58</v>
      </c>
      <c r="E16" s="17"/>
      <c r="F16" s="17"/>
      <c r="G16" s="18">
        <v>523</v>
      </c>
      <c r="H16" s="19">
        <f t="shared" si="0"/>
        <v>41.839999999999975</v>
      </c>
      <c r="I16" s="20">
        <f t="shared" si="1"/>
        <v>2301.1999999999985</v>
      </c>
      <c r="J16" s="21">
        <f t="shared" si="3"/>
        <v>26.150000000000034</v>
      </c>
      <c r="K16" s="22">
        <f t="shared" si="2"/>
        <v>-15.689999999999941</v>
      </c>
    </row>
    <row r="17" spans="1:11" ht="12.75" x14ac:dyDescent="0.2">
      <c r="A17" s="13">
        <v>45530</v>
      </c>
      <c r="B17" s="14" t="s">
        <v>3</v>
      </c>
      <c r="C17" s="15">
        <v>0.93079999999999996</v>
      </c>
      <c r="D17" s="16" t="s">
        <v>58</v>
      </c>
      <c r="E17" s="17"/>
      <c r="F17" s="17"/>
      <c r="G17" s="18">
        <v>532</v>
      </c>
      <c r="H17" s="19">
        <f t="shared" si="0"/>
        <v>36.814400000000035</v>
      </c>
      <c r="I17" s="20">
        <f t="shared" si="1"/>
        <v>2024.792000000002</v>
      </c>
      <c r="J17" s="21">
        <f t="shared" si="3"/>
        <v>26.600000000000023</v>
      </c>
      <c r="K17" s="22">
        <f t="shared" si="2"/>
        <v>-10.214400000000012</v>
      </c>
    </row>
    <row r="18" spans="1:11" ht="12.75" x14ac:dyDescent="0.2">
      <c r="A18" s="13">
        <v>45531</v>
      </c>
      <c r="B18" s="14" t="s">
        <v>4</v>
      </c>
      <c r="C18" s="15">
        <v>0.94130000000000003</v>
      </c>
      <c r="D18" s="16" t="s">
        <v>58</v>
      </c>
      <c r="E18" s="17"/>
      <c r="F18" s="17"/>
      <c r="G18" s="18">
        <v>531</v>
      </c>
      <c r="H18" s="19">
        <f t="shared" si="0"/>
        <v>31.169699999999978</v>
      </c>
      <c r="I18" s="20">
        <f t="shared" si="1"/>
        <v>1714.3334999999988</v>
      </c>
      <c r="J18" s="21">
        <f t="shared" si="3"/>
        <v>26.550000000000011</v>
      </c>
      <c r="K18" s="22">
        <f t="shared" si="2"/>
        <v>-4.6196999999999662</v>
      </c>
    </row>
    <row r="19" spans="1:11" ht="12.75" x14ac:dyDescent="0.2">
      <c r="A19" s="13">
        <v>45532</v>
      </c>
      <c r="B19" s="14" t="s">
        <v>5</v>
      </c>
      <c r="C19" s="15">
        <v>0.93940000000000001</v>
      </c>
      <c r="D19" s="16" t="s">
        <v>58</v>
      </c>
      <c r="E19" s="17"/>
      <c r="F19" s="23"/>
      <c r="G19" s="18">
        <v>535</v>
      </c>
      <c r="H19" s="19">
        <f t="shared" si="0"/>
        <v>32.420999999999992</v>
      </c>
      <c r="I19" s="20">
        <f t="shared" si="1"/>
        <v>1783.1549999999995</v>
      </c>
      <c r="J19" s="21">
        <f t="shared" si="3"/>
        <v>26.75</v>
      </c>
      <c r="K19" s="22">
        <f t="shared" si="2"/>
        <v>-5.6709999999999923</v>
      </c>
    </row>
    <row r="20" spans="1:11" ht="12.75" x14ac:dyDescent="0.2">
      <c r="A20" s="13">
        <v>45533</v>
      </c>
      <c r="B20" s="14" t="s">
        <v>6</v>
      </c>
      <c r="C20" s="15">
        <v>0.92649999999999999</v>
      </c>
      <c r="D20" s="16" t="s">
        <v>58</v>
      </c>
      <c r="E20" s="17"/>
      <c r="F20" s="17"/>
      <c r="G20" s="18">
        <v>534</v>
      </c>
      <c r="H20" s="19">
        <f t="shared" si="0"/>
        <v>39.249000000000024</v>
      </c>
      <c r="I20" s="20">
        <f t="shared" si="1"/>
        <v>2158.6950000000015</v>
      </c>
      <c r="J20" s="21">
        <f t="shared" si="3"/>
        <v>26.700000000000045</v>
      </c>
      <c r="K20" s="22">
        <f t="shared" si="2"/>
        <v>-12.548999999999978</v>
      </c>
    </row>
    <row r="21" spans="1:11" ht="12.75" x14ac:dyDescent="0.2">
      <c r="A21" s="13">
        <v>45534</v>
      </c>
      <c r="B21" s="14" t="s">
        <v>7</v>
      </c>
      <c r="C21" s="15">
        <v>0.90900000000000003</v>
      </c>
      <c r="D21" s="16" t="s">
        <v>58</v>
      </c>
      <c r="E21" s="17"/>
      <c r="F21" s="17"/>
      <c r="G21" s="18">
        <v>535</v>
      </c>
      <c r="H21" s="19">
        <f t="shared" si="0"/>
        <v>48.685000000000002</v>
      </c>
      <c r="I21" s="20">
        <f t="shared" si="1"/>
        <v>2677.6750000000002</v>
      </c>
      <c r="J21" s="21">
        <f t="shared" si="3"/>
        <v>26.75</v>
      </c>
      <c r="K21" s="22">
        <f t="shared" si="2"/>
        <v>-21.935000000000002</v>
      </c>
    </row>
    <row r="22" spans="1:11" ht="12.75" x14ac:dyDescent="0.2">
      <c r="A22" s="24">
        <v>45537</v>
      </c>
      <c r="B22" s="25" t="s">
        <v>3</v>
      </c>
      <c r="C22" s="26"/>
      <c r="D22" s="27"/>
      <c r="E22" s="28"/>
      <c r="F22" s="28"/>
      <c r="G22" s="29"/>
      <c r="H22" s="19">
        <f t="shared" si="0"/>
        <v>0</v>
      </c>
      <c r="I22" s="20">
        <f t="shared" si="1"/>
        <v>0</v>
      </c>
      <c r="J22" s="21">
        <f t="shared" si="3"/>
        <v>0</v>
      </c>
      <c r="K22" s="22">
        <f t="shared" si="2"/>
        <v>0</v>
      </c>
    </row>
    <row r="23" spans="1:11" ht="12.75" x14ac:dyDescent="0.2">
      <c r="A23" s="13">
        <v>45538</v>
      </c>
      <c r="B23" s="14" t="s">
        <v>4</v>
      </c>
      <c r="C23" s="15">
        <v>0.91569999999999996</v>
      </c>
      <c r="D23" s="16" t="s">
        <v>58</v>
      </c>
      <c r="E23" s="17"/>
      <c r="F23" s="17"/>
      <c r="G23" s="18">
        <v>542</v>
      </c>
      <c r="H23" s="19">
        <f t="shared" si="0"/>
        <v>45.690600000000018</v>
      </c>
      <c r="I23" s="20">
        <f t="shared" si="1"/>
        <v>2512.9830000000011</v>
      </c>
      <c r="J23" s="21">
        <f t="shared" si="3"/>
        <v>27.100000000000023</v>
      </c>
      <c r="K23" s="22">
        <f t="shared" si="2"/>
        <v>-18.590599999999995</v>
      </c>
    </row>
    <row r="24" spans="1:11" ht="12.75" x14ac:dyDescent="0.2">
      <c r="A24" s="13">
        <v>45539</v>
      </c>
      <c r="B24" s="14" t="s">
        <v>5</v>
      </c>
      <c r="C24" s="15">
        <v>0.91990000000000005</v>
      </c>
      <c r="D24" s="16" t="s">
        <v>58</v>
      </c>
      <c r="E24" s="17"/>
      <c r="F24" s="17"/>
      <c r="G24" s="18">
        <v>547</v>
      </c>
      <c r="H24" s="19">
        <f t="shared" si="0"/>
        <v>43.814699999999959</v>
      </c>
      <c r="I24" s="20">
        <f t="shared" si="1"/>
        <v>2409.8084999999978</v>
      </c>
      <c r="J24" s="21">
        <f t="shared" si="3"/>
        <v>27.350000000000023</v>
      </c>
      <c r="K24" s="22">
        <f t="shared" si="2"/>
        <v>-16.464699999999937</v>
      </c>
    </row>
    <row r="25" spans="1:11" ht="12.75" x14ac:dyDescent="0.2">
      <c r="A25" s="13">
        <v>45540</v>
      </c>
      <c r="B25" s="14" t="s">
        <v>6</v>
      </c>
      <c r="C25" s="15">
        <v>0.94410000000000005</v>
      </c>
      <c r="D25" s="16" t="s">
        <v>58</v>
      </c>
      <c r="E25" s="17"/>
      <c r="F25" s="17"/>
      <c r="G25" s="18">
        <v>547</v>
      </c>
      <c r="H25" s="19">
        <f t="shared" si="0"/>
        <v>30.577299999999923</v>
      </c>
      <c r="I25" s="20">
        <f t="shared" si="1"/>
        <v>1681.7514999999958</v>
      </c>
      <c r="J25" s="21">
        <f t="shared" si="3"/>
        <v>27.350000000000023</v>
      </c>
      <c r="K25" s="22">
        <f t="shared" si="2"/>
        <v>-3.2272999999999001</v>
      </c>
    </row>
    <row r="26" spans="1:11" ht="12.75" x14ac:dyDescent="0.2">
      <c r="A26" s="13">
        <v>45541</v>
      </c>
      <c r="B26" s="14" t="s">
        <v>7</v>
      </c>
      <c r="C26" s="15">
        <v>0.91459999999999997</v>
      </c>
      <c r="D26" s="16" t="s">
        <v>58</v>
      </c>
      <c r="E26" s="17"/>
      <c r="F26" s="17"/>
      <c r="G26" s="18">
        <v>548</v>
      </c>
      <c r="H26" s="19">
        <f t="shared" si="0"/>
        <v>46.799200000000042</v>
      </c>
      <c r="I26" s="20">
        <f t="shared" si="1"/>
        <v>2573.9560000000024</v>
      </c>
      <c r="J26" s="21">
        <f t="shared" si="3"/>
        <v>27.399999999999977</v>
      </c>
      <c r="K26" s="22">
        <f t="shared" si="2"/>
        <v>-19.399200000000064</v>
      </c>
    </row>
    <row r="27" spans="1:11" ht="12.75" x14ac:dyDescent="0.2">
      <c r="A27" s="13">
        <v>45544</v>
      </c>
      <c r="B27" s="14" t="s">
        <v>3</v>
      </c>
      <c r="C27" s="15">
        <v>0.93620000000000003</v>
      </c>
      <c r="D27" s="16" t="s">
        <v>58</v>
      </c>
      <c r="E27" s="17"/>
      <c r="F27" s="17"/>
      <c r="G27" s="18">
        <v>548</v>
      </c>
      <c r="H27" s="19">
        <f t="shared" si="0"/>
        <v>34.962400000000002</v>
      </c>
      <c r="I27" s="20">
        <f t="shared" si="1"/>
        <v>1922.9320000000002</v>
      </c>
      <c r="J27" s="21">
        <f t="shared" si="3"/>
        <v>27.399999999999977</v>
      </c>
      <c r="K27" s="22">
        <f t="shared" si="2"/>
        <v>-7.5624000000000251</v>
      </c>
    </row>
    <row r="28" spans="1:11" ht="12.75" x14ac:dyDescent="0.2">
      <c r="A28" s="13">
        <v>45545</v>
      </c>
      <c r="B28" s="14" t="s">
        <v>4</v>
      </c>
      <c r="C28" s="15">
        <v>0.93400000000000005</v>
      </c>
      <c r="D28" s="16" t="s">
        <v>58</v>
      </c>
      <c r="E28" s="17"/>
      <c r="F28" s="17"/>
      <c r="G28" s="18">
        <v>549</v>
      </c>
      <c r="H28" s="19">
        <f t="shared" si="0"/>
        <v>36.233999999999924</v>
      </c>
      <c r="I28" s="20">
        <f t="shared" si="1"/>
        <v>1992.8699999999958</v>
      </c>
      <c r="J28" s="21">
        <f t="shared" si="3"/>
        <v>27.450000000000045</v>
      </c>
      <c r="K28" s="22">
        <f t="shared" si="2"/>
        <v>-8.7839999999998781</v>
      </c>
    </row>
    <row r="29" spans="1:11" ht="12.75" x14ac:dyDescent="0.2">
      <c r="A29" s="13">
        <v>45546</v>
      </c>
      <c r="B29" s="14" t="s">
        <v>5</v>
      </c>
      <c r="C29" s="15">
        <v>0.92779999999999996</v>
      </c>
      <c r="D29" s="16" t="s">
        <v>58</v>
      </c>
      <c r="E29" s="17"/>
      <c r="F29" s="17"/>
      <c r="G29" s="18">
        <v>554</v>
      </c>
      <c r="H29" s="19">
        <f t="shared" si="0"/>
        <v>39.998800000000074</v>
      </c>
      <c r="I29" s="20">
        <f t="shared" si="1"/>
        <v>2199.9340000000038</v>
      </c>
      <c r="J29" s="21">
        <f t="shared" si="3"/>
        <v>27.700000000000045</v>
      </c>
      <c r="K29" s="22">
        <f t="shared" si="2"/>
        <v>-12.298800000000028</v>
      </c>
    </row>
    <row r="30" spans="1:11" ht="12.75" x14ac:dyDescent="0.2">
      <c r="A30" s="13">
        <v>45547</v>
      </c>
      <c r="B30" s="14" t="s">
        <v>6</v>
      </c>
      <c r="C30" s="15">
        <v>0.94379999999999997</v>
      </c>
      <c r="D30" s="16" t="s">
        <v>58</v>
      </c>
      <c r="E30" s="17"/>
      <c r="F30" s="17"/>
      <c r="G30" s="18">
        <v>555</v>
      </c>
      <c r="H30" s="19">
        <f t="shared" si="0"/>
        <v>31.191000000000031</v>
      </c>
      <c r="I30" s="20">
        <f t="shared" si="1"/>
        <v>1715.5050000000017</v>
      </c>
      <c r="J30" s="21">
        <f t="shared" si="3"/>
        <v>27.75</v>
      </c>
      <c r="K30" s="22">
        <f t="shared" si="2"/>
        <v>-3.4410000000000309</v>
      </c>
    </row>
    <row r="31" spans="1:11" ht="12.75" x14ac:dyDescent="0.2">
      <c r="A31" s="13">
        <v>45548</v>
      </c>
      <c r="B31" s="14" t="s">
        <v>7</v>
      </c>
      <c r="C31" s="15">
        <v>0.91310000000000002</v>
      </c>
      <c r="D31" s="16" t="s">
        <v>58</v>
      </c>
      <c r="E31" s="17"/>
      <c r="F31" s="17"/>
      <c r="G31" s="18">
        <v>553</v>
      </c>
      <c r="H31" s="19">
        <f t="shared" si="0"/>
        <v>48.055700000000002</v>
      </c>
      <c r="I31" s="20">
        <f t="shared" si="1"/>
        <v>2643.0635000000002</v>
      </c>
      <c r="J31" s="21">
        <f t="shared" si="3"/>
        <v>27.649999999999977</v>
      </c>
      <c r="K31" s="22">
        <f t="shared" si="2"/>
        <v>-20.405700000000024</v>
      </c>
    </row>
    <row r="32" spans="1:11" ht="12.75" x14ac:dyDescent="0.2">
      <c r="A32" s="30">
        <v>45551</v>
      </c>
      <c r="B32" s="31" t="s">
        <v>3</v>
      </c>
      <c r="C32" s="32"/>
      <c r="D32" s="33"/>
      <c r="E32" s="34"/>
      <c r="F32" s="34"/>
      <c r="G32" s="35"/>
      <c r="H32" s="19">
        <f t="shared" si="0"/>
        <v>0</v>
      </c>
      <c r="I32" s="20">
        <f t="shared" si="1"/>
        <v>0</v>
      </c>
      <c r="J32" s="21">
        <f t="shared" si="3"/>
        <v>0</v>
      </c>
      <c r="K32" s="22">
        <f t="shared" si="2"/>
        <v>0</v>
      </c>
    </row>
    <row r="33" spans="1:11" ht="12.75" x14ac:dyDescent="0.2">
      <c r="A33" s="13">
        <v>45552</v>
      </c>
      <c r="B33" s="14" t="s">
        <v>4</v>
      </c>
      <c r="C33" s="15">
        <v>0.94379999999999997</v>
      </c>
      <c r="D33" s="16" t="s">
        <v>58</v>
      </c>
      <c r="E33" s="17"/>
      <c r="F33" s="17"/>
      <c r="G33" s="18">
        <v>554</v>
      </c>
      <c r="H33" s="19">
        <f t="shared" si="0"/>
        <v>31.134800000000041</v>
      </c>
      <c r="I33" s="20">
        <f t="shared" si="1"/>
        <v>1712.4140000000023</v>
      </c>
      <c r="J33" s="21">
        <f t="shared" si="3"/>
        <v>27.700000000000045</v>
      </c>
      <c r="K33" s="22" t="s">
        <v>59</v>
      </c>
    </row>
    <row r="34" spans="1:11" ht="12.75" x14ac:dyDescent="0.2">
      <c r="A34" s="13">
        <v>45553</v>
      </c>
      <c r="B34" s="14" t="s">
        <v>5</v>
      </c>
      <c r="C34" s="15">
        <v>0.92449999999999999</v>
      </c>
      <c r="D34" s="16" t="s">
        <v>58</v>
      </c>
      <c r="E34" s="17"/>
      <c r="F34" s="17"/>
      <c r="G34" s="18">
        <v>554</v>
      </c>
      <c r="H34" s="19">
        <f t="shared" si="0"/>
        <v>41.826999999999998</v>
      </c>
      <c r="I34" s="20">
        <f t="shared" si="1"/>
        <v>2300.4849999999997</v>
      </c>
      <c r="J34" s="21">
        <f t="shared" si="3"/>
        <v>27.700000000000045</v>
      </c>
      <c r="K34" s="22">
        <f t="shared" ref="K34:K215" si="4">J34-H34</f>
        <v>-14.126999999999953</v>
      </c>
    </row>
    <row r="35" spans="1:11" ht="12.75" x14ac:dyDescent="0.2">
      <c r="A35" s="13">
        <v>45554</v>
      </c>
      <c r="B35" s="14" t="s">
        <v>6</v>
      </c>
      <c r="C35" s="15">
        <v>0.91220000000000001</v>
      </c>
      <c r="D35" s="16" t="s">
        <v>58</v>
      </c>
      <c r="E35" s="17"/>
      <c r="F35" s="17"/>
      <c r="G35" s="18">
        <v>554</v>
      </c>
      <c r="H35" s="19">
        <f t="shared" si="0"/>
        <v>48.641199999999969</v>
      </c>
      <c r="I35" s="20">
        <f t="shared" si="1"/>
        <v>2675.2659999999983</v>
      </c>
      <c r="J35" s="21">
        <f t="shared" si="3"/>
        <v>27.700000000000045</v>
      </c>
      <c r="K35" s="22">
        <f t="shared" si="4"/>
        <v>-20.941199999999924</v>
      </c>
    </row>
    <row r="36" spans="1:11" ht="12.75" x14ac:dyDescent="0.2">
      <c r="A36" s="13">
        <v>45555</v>
      </c>
      <c r="B36" s="14" t="s">
        <v>7</v>
      </c>
      <c r="C36" s="15">
        <v>0.92920000000000003</v>
      </c>
      <c r="D36" s="16" t="s">
        <v>58</v>
      </c>
      <c r="E36" s="17"/>
      <c r="F36" s="17"/>
      <c r="G36" s="18">
        <v>555</v>
      </c>
      <c r="H36" s="19">
        <f t="shared" si="0"/>
        <v>39.293999999999983</v>
      </c>
      <c r="I36" s="20">
        <f t="shared" si="1"/>
        <v>2161.1699999999992</v>
      </c>
      <c r="J36" s="21">
        <f t="shared" si="3"/>
        <v>27.75</v>
      </c>
      <c r="K36" s="22">
        <f t="shared" si="4"/>
        <v>-11.543999999999983</v>
      </c>
    </row>
    <row r="37" spans="1:11" ht="12.75" x14ac:dyDescent="0.2">
      <c r="A37" s="13">
        <v>45558</v>
      </c>
      <c r="B37" s="14" t="s">
        <v>3</v>
      </c>
      <c r="C37" s="15">
        <v>0.91249999999999998</v>
      </c>
      <c r="D37" s="16" t="s">
        <v>58</v>
      </c>
      <c r="E37" s="17"/>
      <c r="F37" s="17"/>
      <c r="G37" s="18">
        <v>557</v>
      </c>
      <c r="H37" s="19">
        <f t="shared" si="0"/>
        <v>48.737500000000011</v>
      </c>
      <c r="I37" s="20">
        <f t="shared" si="1"/>
        <v>2680.5625000000005</v>
      </c>
      <c r="J37" s="21">
        <f t="shared" si="3"/>
        <v>27.850000000000023</v>
      </c>
      <c r="K37" s="22">
        <f t="shared" si="4"/>
        <v>-20.887499999999989</v>
      </c>
    </row>
    <row r="38" spans="1:11" ht="12.75" x14ac:dyDescent="0.2">
      <c r="A38" s="13">
        <v>45559</v>
      </c>
      <c r="B38" s="14" t="s">
        <v>4</v>
      </c>
      <c r="C38" s="15">
        <v>0.94289999999999996</v>
      </c>
      <c r="D38" s="16" t="s">
        <v>58</v>
      </c>
      <c r="E38" s="17"/>
      <c r="F38" s="17"/>
      <c r="G38" s="18">
        <v>558</v>
      </c>
      <c r="H38" s="19">
        <f>G37-(C38*G37)</f>
        <v>31.804700000000025</v>
      </c>
      <c r="I38" s="20">
        <f t="shared" si="1"/>
        <v>1749.2585000000013</v>
      </c>
      <c r="J38" s="21">
        <f>G37-(G37*J$3)</f>
        <v>27.850000000000023</v>
      </c>
      <c r="K38" s="22">
        <f t="shared" si="4"/>
        <v>-3.9547000000000025</v>
      </c>
    </row>
    <row r="39" spans="1:11" ht="12.75" x14ac:dyDescent="0.2">
      <c r="A39" s="13">
        <v>45560</v>
      </c>
      <c r="B39" s="14" t="s">
        <v>5</v>
      </c>
      <c r="C39" s="15">
        <v>0.93620000000000003</v>
      </c>
      <c r="D39" s="16" t="s">
        <v>58</v>
      </c>
      <c r="E39" s="17"/>
      <c r="F39" s="17"/>
      <c r="G39" s="18">
        <v>558</v>
      </c>
      <c r="H39" s="19">
        <f t="shared" ref="H39:H215" si="5">G39-(C39*G39)</f>
        <v>35.600400000000036</v>
      </c>
      <c r="I39" s="20">
        <f t="shared" si="1"/>
        <v>1958.022000000002</v>
      </c>
      <c r="J39" s="21">
        <f t="shared" ref="J39:J215" si="6">G39-(G39*J$3)</f>
        <v>27.899999999999977</v>
      </c>
      <c r="K39" s="22">
        <f t="shared" si="4"/>
        <v>-7.7004000000000588</v>
      </c>
    </row>
    <row r="40" spans="1:11" ht="12.75" x14ac:dyDescent="0.2">
      <c r="A40" s="13">
        <v>45561</v>
      </c>
      <c r="B40" s="14" t="s">
        <v>6</v>
      </c>
      <c r="C40" s="15">
        <v>0.95520000000000005</v>
      </c>
      <c r="D40" s="16" t="s">
        <v>58</v>
      </c>
      <c r="E40" s="17"/>
      <c r="F40" s="17"/>
      <c r="G40" s="18">
        <v>558</v>
      </c>
      <c r="H40" s="19">
        <f t="shared" si="5"/>
        <v>24.998399999999947</v>
      </c>
      <c r="I40" s="20">
        <f t="shared" si="1"/>
        <v>1374.9119999999971</v>
      </c>
      <c r="J40" s="21">
        <f t="shared" si="6"/>
        <v>27.899999999999977</v>
      </c>
      <c r="K40" s="22">
        <f t="shared" si="4"/>
        <v>2.9016000000000304</v>
      </c>
    </row>
    <row r="41" spans="1:11" ht="12.75" x14ac:dyDescent="0.2">
      <c r="A41" s="13">
        <v>45562</v>
      </c>
      <c r="B41" s="14" t="s">
        <v>7</v>
      </c>
      <c r="C41" s="15">
        <v>0.9194</v>
      </c>
      <c r="D41" s="16" t="s">
        <v>58</v>
      </c>
      <c r="E41" s="17"/>
      <c r="F41" s="17"/>
      <c r="G41" s="18">
        <v>558</v>
      </c>
      <c r="H41" s="19">
        <f t="shared" si="5"/>
        <v>44.974799999999959</v>
      </c>
      <c r="I41" s="20">
        <f t="shared" si="1"/>
        <v>2473.6139999999978</v>
      </c>
      <c r="J41" s="21">
        <f t="shared" si="6"/>
        <v>27.899999999999977</v>
      </c>
      <c r="K41" s="22">
        <f t="shared" si="4"/>
        <v>-17.074799999999982</v>
      </c>
    </row>
    <row r="42" spans="1:11" ht="12.75" x14ac:dyDescent="0.2">
      <c r="A42" s="13">
        <v>45565</v>
      </c>
      <c r="B42" s="14" t="s">
        <v>3</v>
      </c>
      <c r="C42" s="15">
        <v>0.92830000000000001</v>
      </c>
      <c r="D42" s="16" t="s">
        <v>58</v>
      </c>
      <c r="E42" s="17"/>
      <c r="F42" s="17"/>
      <c r="G42" s="18">
        <v>558</v>
      </c>
      <c r="H42" s="19">
        <f t="shared" si="5"/>
        <v>40.008600000000001</v>
      </c>
      <c r="I42" s="20">
        <f t="shared" si="1"/>
        <v>2200.473</v>
      </c>
      <c r="J42" s="21">
        <f t="shared" si="6"/>
        <v>27.899999999999977</v>
      </c>
      <c r="K42" s="22">
        <f t="shared" si="4"/>
        <v>-12.108600000000024</v>
      </c>
    </row>
    <row r="43" spans="1:11" ht="12.75" x14ac:dyDescent="0.2">
      <c r="A43" s="13">
        <v>45566</v>
      </c>
      <c r="B43" s="14" t="s">
        <v>4</v>
      </c>
      <c r="C43" s="15">
        <v>0.92579999999999996</v>
      </c>
      <c r="D43" s="16" t="s">
        <v>58</v>
      </c>
      <c r="E43" s="17"/>
      <c r="F43" s="17"/>
      <c r="G43" s="18">
        <v>558</v>
      </c>
      <c r="H43" s="19">
        <f t="shared" si="5"/>
        <v>41.403599999999983</v>
      </c>
      <c r="I43" s="20">
        <f t="shared" si="1"/>
        <v>2277.197999999999</v>
      </c>
      <c r="J43" s="21">
        <f t="shared" si="6"/>
        <v>27.899999999999977</v>
      </c>
      <c r="K43" s="22">
        <f t="shared" si="4"/>
        <v>-13.503600000000006</v>
      </c>
    </row>
    <row r="44" spans="1:11" ht="12.75" x14ac:dyDescent="0.2">
      <c r="A44" s="13">
        <v>45567</v>
      </c>
      <c r="B44" s="14" t="s">
        <v>5</v>
      </c>
      <c r="C44" s="15">
        <v>0.91930000000000001</v>
      </c>
      <c r="D44" s="16" t="s">
        <v>58</v>
      </c>
      <c r="E44" s="17"/>
      <c r="F44" s="17"/>
      <c r="G44" s="18">
        <v>558</v>
      </c>
      <c r="H44" s="19">
        <f t="shared" si="5"/>
        <v>45.030600000000049</v>
      </c>
      <c r="I44" s="20">
        <f t="shared" si="1"/>
        <v>2476.6830000000027</v>
      </c>
      <c r="J44" s="21">
        <f t="shared" si="6"/>
        <v>27.899999999999977</v>
      </c>
      <c r="K44" s="22">
        <f t="shared" si="4"/>
        <v>-17.130600000000072</v>
      </c>
    </row>
    <row r="45" spans="1:11" ht="12.75" x14ac:dyDescent="0.2">
      <c r="A45" s="13">
        <v>45568</v>
      </c>
      <c r="B45" s="14" t="s">
        <v>6</v>
      </c>
      <c r="C45" s="15">
        <v>0.91479999999999995</v>
      </c>
      <c r="D45" s="16" t="s">
        <v>58</v>
      </c>
      <c r="E45" s="17"/>
      <c r="F45" s="17"/>
      <c r="G45" s="18">
        <v>558</v>
      </c>
      <c r="H45" s="19">
        <f t="shared" si="5"/>
        <v>47.541600000000017</v>
      </c>
      <c r="I45" s="20">
        <f t="shared" si="1"/>
        <v>2614.7880000000009</v>
      </c>
      <c r="J45" s="21">
        <f t="shared" si="6"/>
        <v>27.899999999999977</v>
      </c>
      <c r="K45" s="22">
        <f t="shared" si="4"/>
        <v>-19.641600000000039</v>
      </c>
    </row>
    <row r="46" spans="1:11" ht="25.5" x14ac:dyDescent="0.2">
      <c r="A46" s="13">
        <v>45569</v>
      </c>
      <c r="B46" s="14" t="s">
        <v>7</v>
      </c>
      <c r="C46" s="15">
        <v>0.88180000000000003</v>
      </c>
      <c r="D46" s="16" t="s">
        <v>60</v>
      </c>
      <c r="E46" s="17" t="s">
        <v>30</v>
      </c>
      <c r="F46" s="17" t="s">
        <v>61</v>
      </c>
      <c r="G46" s="18">
        <v>558</v>
      </c>
      <c r="H46" s="19">
        <f t="shared" si="5"/>
        <v>65.955600000000004</v>
      </c>
      <c r="I46" s="20">
        <f t="shared" si="1"/>
        <v>3627.558</v>
      </c>
      <c r="J46" s="21">
        <f t="shared" si="6"/>
        <v>27.899999999999977</v>
      </c>
      <c r="K46" s="22">
        <f t="shared" si="4"/>
        <v>-38.055600000000027</v>
      </c>
    </row>
    <row r="47" spans="1:11" ht="12.75" x14ac:dyDescent="0.2">
      <c r="A47" s="24">
        <v>45572</v>
      </c>
      <c r="B47" s="25" t="s">
        <v>3</v>
      </c>
      <c r="C47" s="26"/>
      <c r="D47" s="27"/>
      <c r="E47" s="28"/>
      <c r="F47" s="28"/>
      <c r="G47" s="29"/>
      <c r="H47" s="19">
        <f t="shared" si="5"/>
        <v>0</v>
      </c>
      <c r="I47" s="20">
        <f t="shared" si="1"/>
        <v>0</v>
      </c>
      <c r="J47" s="21">
        <f t="shared" si="6"/>
        <v>0</v>
      </c>
      <c r="K47" s="22">
        <f t="shared" si="4"/>
        <v>0</v>
      </c>
    </row>
    <row r="48" spans="1:11" ht="12.75" x14ac:dyDescent="0.2">
      <c r="A48" s="24">
        <v>45573</v>
      </c>
      <c r="B48" s="25" t="s">
        <v>4</v>
      </c>
      <c r="C48" s="26"/>
      <c r="D48" s="27"/>
      <c r="E48" s="28"/>
      <c r="F48" s="28"/>
      <c r="G48" s="29"/>
      <c r="H48" s="19">
        <f t="shared" si="5"/>
        <v>0</v>
      </c>
      <c r="I48" s="20">
        <f t="shared" si="1"/>
        <v>0</v>
      </c>
      <c r="J48" s="21">
        <f t="shared" si="6"/>
        <v>0</v>
      </c>
      <c r="K48" s="22">
        <f t="shared" si="4"/>
        <v>0</v>
      </c>
    </row>
    <row r="49" spans="1:11" ht="12.75" x14ac:dyDescent="0.2">
      <c r="A49" s="24">
        <v>45574</v>
      </c>
      <c r="B49" s="25" t="s">
        <v>5</v>
      </c>
      <c r="C49" s="26"/>
      <c r="D49" s="27"/>
      <c r="E49" s="28"/>
      <c r="F49" s="28"/>
      <c r="G49" s="29"/>
      <c r="H49" s="19">
        <f t="shared" si="5"/>
        <v>0</v>
      </c>
      <c r="I49" s="20">
        <f t="shared" si="1"/>
        <v>0</v>
      </c>
      <c r="J49" s="21">
        <f t="shared" si="6"/>
        <v>0</v>
      </c>
      <c r="K49" s="22">
        <f t="shared" si="4"/>
        <v>0</v>
      </c>
    </row>
    <row r="50" spans="1:11" ht="12.75" x14ac:dyDescent="0.2">
      <c r="A50" s="24">
        <v>45575</v>
      </c>
      <c r="B50" s="25" t="s">
        <v>6</v>
      </c>
      <c r="C50" s="26"/>
      <c r="D50" s="27"/>
      <c r="E50" s="28"/>
      <c r="F50" s="28"/>
      <c r="G50" s="29"/>
      <c r="H50" s="19">
        <f t="shared" si="5"/>
        <v>0</v>
      </c>
      <c r="I50" s="20">
        <f t="shared" si="1"/>
        <v>0</v>
      </c>
      <c r="J50" s="21">
        <f t="shared" si="6"/>
        <v>0</v>
      </c>
      <c r="K50" s="22">
        <f t="shared" si="4"/>
        <v>0</v>
      </c>
    </row>
    <row r="51" spans="1:11" ht="12.75" x14ac:dyDescent="0.2">
      <c r="A51" s="24">
        <v>45576</v>
      </c>
      <c r="B51" s="25" t="s">
        <v>7</v>
      </c>
      <c r="C51" s="26"/>
      <c r="D51" s="27"/>
      <c r="E51" s="28"/>
      <c r="F51" s="28"/>
      <c r="G51" s="29"/>
      <c r="H51" s="19">
        <f t="shared" si="5"/>
        <v>0</v>
      </c>
      <c r="I51" s="20">
        <f t="shared" si="1"/>
        <v>0</v>
      </c>
      <c r="J51" s="21">
        <f t="shared" si="6"/>
        <v>0</v>
      </c>
      <c r="K51" s="22">
        <f t="shared" si="4"/>
        <v>0</v>
      </c>
    </row>
    <row r="52" spans="1:11" ht="12.75" x14ac:dyDescent="0.2">
      <c r="A52" s="13">
        <v>45579</v>
      </c>
      <c r="B52" s="14" t="s">
        <v>3</v>
      </c>
      <c r="C52" s="15">
        <v>0.91269999999999996</v>
      </c>
      <c r="D52" s="16" t="s">
        <v>58</v>
      </c>
      <c r="E52" s="17"/>
      <c r="F52" s="17"/>
      <c r="G52" s="18">
        <v>559</v>
      </c>
      <c r="H52" s="19">
        <f t="shared" si="5"/>
        <v>48.800700000000006</v>
      </c>
      <c r="I52" s="20">
        <f t="shared" si="1"/>
        <v>2684.0385000000006</v>
      </c>
      <c r="J52" s="21">
        <f t="shared" si="6"/>
        <v>27.950000000000045</v>
      </c>
      <c r="K52" s="22">
        <f t="shared" si="4"/>
        <v>-20.850699999999961</v>
      </c>
    </row>
    <row r="53" spans="1:11" ht="12.75" x14ac:dyDescent="0.2">
      <c r="A53" s="13">
        <v>45580</v>
      </c>
      <c r="B53" s="14" t="s">
        <v>4</v>
      </c>
      <c r="C53" s="15">
        <v>0.94310000000000005</v>
      </c>
      <c r="D53" s="16" t="s">
        <v>58</v>
      </c>
      <c r="E53" s="17"/>
      <c r="F53" s="17"/>
      <c r="G53" s="18">
        <v>557</v>
      </c>
      <c r="H53" s="19">
        <f t="shared" si="5"/>
        <v>31.693300000000022</v>
      </c>
      <c r="I53" s="20">
        <f t="shared" si="1"/>
        <v>1743.1315000000013</v>
      </c>
      <c r="J53" s="21">
        <f t="shared" si="6"/>
        <v>27.850000000000023</v>
      </c>
      <c r="K53" s="22">
        <f t="shared" si="4"/>
        <v>-3.8432999999999993</v>
      </c>
    </row>
    <row r="54" spans="1:11" ht="12.75" x14ac:dyDescent="0.2">
      <c r="A54" s="13">
        <v>45581</v>
      </c>
      <c r="B54" s="14" t="s">
        <v>5</v>
      </c>
      <c r="C54" s="36">
        <v>0.95450000000000002</v>
      </c>
      <c r="D54" s="16" t="s">
        <v>58</v>
      </c>
      <c r="E54" s="17"/>
      <c r="F54" s="37"/>
      <c r="G54" s="18">
        <v>557</v>
      </c>
      <c r="H54" s="19">
        <f t="shared" si="5"/>
        <v>25.343499999999949</v>
      </c>
      <c r="I54" s="20">
        <f t="shared" si="1"/>
        <v>1393.8924999999972</v>
      </c>
      <c r="J54" s="21">
        <f t="shared" si="6"/>
        <v>27.850000000000023</v>
      </c>
      <c r="K54" s="22">
        <f t="shared" si="4"/>
        <v>2.5065000000000737</v>
      </c>
    </row>
    <row r="55" spans="1:11" ht="12.75" x14ac:dyDescent="0.2">
      <c r="A55" s="13">
        <v>45582</v>
      </c>
      <c r="B55" s="14" t="s">
        <v>6</v>
      </c>
      <c r="C55" s="15">
        <v>0.94989999999999997</v>
      </c>
      <c r="D55" s="16" t="s">
        <v>58</v>
      </c>
      <c r="E55" s="17"/>
      <c r="F55" s="17"/>
      <c r="G55" s="18">
        <v>557</v>
      </c>
      <c r="H55" s="19">
        <f t="shared" si="5"/>
        <v>27.905700000000024</v>
      </c>
      <c r="I55" s="20">
        <f t="shared" si="1"/>
        <v>1534.8135000000013</v>
      </c>
      <c r="J55" s="21">
        <f t="shared" si="6"/>
        <v>27.850000000000023</v>
      </c>
      <c r="K55" s="22">
        <f t="shared" si="4"/>
        <v>-5.5700000000001637E-2</v>
      </c>
    </row>
    <row r="56" spans="1:11" ht="12.75" x14ac:dyDescent="0.2">
      <c r="A56" s="13">
        <v>45583</v>
      </c>
      <c r="B56" s="14" t="s">
        <v>7</v>
      </c>
      <c r="C56" s="15">
        <v>0.9214</v>
      </c>
      <c r="D56" s="16" t="s">
        <v>58</v>
      </c>
      <c r="E56" s="17"/>
      <c r="F56" s="17"/>
      <c r="G56" s="18">
        <v>557</v>
      </c>
      <c r="H56" s="19">
        <f t="shared" si="5"/>
        <v>43.780200000000036</v>
      </c>
      <c r="I56" s="20">
        <f t="shared" si="1"/>
        <v>2407.9110000000019</v>
      </c>
      <c r="J56" s="21">
        <f t="shared" si="6"/>
        <v>27.850000000000023</v>
      </c>
      <c r="K56" s="22">
        <f t="shared" si="4"/>
        <v>-15.930200000000013</v>
      </c>
    </row>
    <row r="57" spans="1:11" ht="12.75" x14ac:dyDescent="0.2">
      <c r="A57" s="13">
        <v>45586</v>
      </c>
      <c r="B57" s="14" t="s">
        <v>3</v>
      </c>
      <c r="C57" s="15">
        <v>0.93959999999999999</v>
      </c>
      <c r="D57" s="16" t="s">
        <v>58</v>
      </c>
      <c r="E57" s="17"/>
      <c r="F57" s="17"/>
      <c r="G57" s="18">
        <v>557</v>
      </c>
      <c r="H57" s="19">
        <f t="shared" si="5"/>
        <v>33.642799999999966</v>
      </c>
      <c r="I57" s="20">
        <f t="shared" si="1"/>
        <v>1850.353999999998</v>
      </c>
      <c r="J57" s="21">
        <f t="shared" si="6"/>
        <v>27.850000000000023</v>
      </c>
      <c r="K57" s="22">
        <f t="shared" si="4"/>
        <v>-5.7927999999999429</v>
      </c>
    </row>
    <row r="58" spans="1:11" ht="12.75" x14ac:dyDescent="0.2">
      <c r="A58" s="13">
        <v>45587</v>
      </c>
      <c r="B58" s="14" t="s">
        <v>4</v>
      </c>
      <c r="C58" s="15">
        <v>0.94089999999999996</v>
      </c>
      <c r="D58" s="16" t="s">
        <v>58</v>
      </c>
      <c r="E58" s="17"/>
      <c r="F58" s="17"/>
      <c r="G58" s="18">
        <v>558</v>
      </c>
      <c r="H58" s="19">
        <f t="shared" si="5"/>
        <v>32.977800000000002</v>
      </c>
      <c r="I58" s="20">
        <f t="shared" si="1"/>
        <v>1813.779</v>
      </c>
      <c r="J58" s="21">
        <f t="shared" si="6"/>
        <v>27.899999999999977</v>
      </c>
      <c r="K58" s="22">
        <f t="shared" si="4"/>
        <v>-5.0778000000000247</v>
      </c>
    </row>
    <row r="59" spans="1:11" ht="12.75" x14ac:dyDescent="0.2">
      <c r="A59" s="13">
        <v>45588</v>
      </c>
      <c r="B59" s="14" t="s">
        <v>5</v>
      </c>
      <c r="C59" s="15">
        <v>0.92730000000000001</v>
      </c>
      <c r="D59" s="16" t="s">
        <v>58</v>
      </c>
      <c r="E59" s="17"/>
      <c r="F59" s="17"/>
      <c r="G59" s="18">
        <v>558</v>
      </c>
      <c r="H59" s="19">
        <f t="shared" si="5"/>
        <v>40.566599999999994</v>
      </c>
      <c r="I59" s="20">
        <f t="shared" si="1"/>
        <v>2231.1629999999996</v>
      </c>
      <c r="J59" s="21">
        <f t="shared" si="6"/>
        <v>27.899999999999977</v>
      </c>
      <c r="K59" s="22">
        <f t="shared" si="4"/>
        <v>-12.666600000000017</v>
      </c>
    </row>
    <row r="60" spans="1:11" ht="12.75" x14ac:dyDescent="0.2">
      <c r="A60" s="13">
        <v>45589</v>
      </c>
      <c r="B60" s="14" t="s">
        <v>6</v>
      </c>
      <c r="C60" s="15">
        <v>0.94320000000000004</v>
      </c>
      <c r="D60" s="16" t="s">
        <v>58</v>
      </c>
      <c r="E60" s="17"/>
      <c r="F60" s="17"/>
      <c r="G60" s="18">
        <v>558</v>
      </c>
      <c r="H60" s="19">
        <f t="shared" si="5"/>
        <v>31.694399999999973</v>
      </c>
      <c r="I60" s="20">
        <f t="shared" si="1"/>
        <v>1743.1919999999986</v>
      </c>
      <c r="J60" s="21">
        <f t="shared" si="6"/>
        <v>27.899999999999977</v>
      </c>
      <c r="K60" s="22">
        <f t="shared" si="4"/>
        <v>-3.794399999999996</v>
      </c>
    </row>
    <row r="61" spans="1:11" ht="12.75" x14ac:dyDescent="0.2">
      <c r="A61" s="13">
        <v>45590</v>
      </c>
      <c r="B61" s="14" t="s">
        <v>7</v>
      </c>
      <c r="C61" s="15">
        <v>0.90800000000000003</v>
      </c>
      <c r="D61" s="16" t="s">
        <v>58</v>
      </c>
      <c r="E61" s="17"/>
      <c r="F61" s="17"/>
      <c r="G61" s="18">
        <v>558</v>
      </c>
      <c r="H61" s="19">
        <f t="shared" si="5"/>
        <v>51.335999999999956</v>
      </c>
      <c r="I61" s="20">
        <f t="shared" si="1"/>
        <v>2823.4799999999977</v>
      </c>
      <c r="J61" s="21">
        <f t="shared" si="6"/>
        <v>27.899999999999977</v>
      </c>
      <c r="K61" s="22">
        <f t="shared" si="4"/>
        <v>-23.435999999999979</v>
      </c>
    </row>
    <row r="62" spans="1:11" ht="12.75" x14ac:dyDescent="0.2">
      <c r="A62" s="13">
        <v>45593</v>
      </c>
      <c r="B62" s="14" t="s">
        <v>3</v>
      </c>
      <c r="C62" s="15">
        <v>0.90859999999999996</v>
      </c>
      <c r="D62" s="16" t="s">
        <v>58</v>
      </c>
      <c r="E62" s="17"/>
      <c r="F62" s="17"/>
      <c r="G62" s="18">
        <v>555</v>
      </c>
      <c r="H62" s="19">
        <f t="shared" si="5"/>
        <v>50.727000000000032</v>
      </c>
      <c r="I62" s="20">
        <f t="shared" si="1"/>
        <v>2789.9850000000019</v>
      </c>
      <c r="J62" s="21">
        <f t="shared" si="6"/>
        <v>27.75</v>
      </c>
      <c r="K62" s="22">
        <f t="shared" si="4"/>
        <v>-22.977000000000032</v>
      </c>
    </row>
    <row r="63" spans="1:11" ht="12.75" x14ac:dyDescent="0.2">
      <c r="A63" s="13">
        <v>45594</v>
      </c>
      <c r="B63" s="14" t="s">
        <v>4</v>
      </c>
      <c r="C63" s="15">
        <v>0.91900000000000004</v>
      </c>
      <c r="D63" s="16" t="s">
        <v>58</v>
      </c>
      <c r="E63" s="17"/>
      <c r="F63" s="17"/>
      <c r="G63" s="18">
        <v>556</v>
      </c>
      <c r="H63" s="19">
        <f t="shared" si="5"/>
        <v>45.036000000000001</v>
      </c>
      <c r="I63" s="20">
        <f t="shared" si="1"/>
        <v>2476.98</v>
      </c>
      <c r="J63" s="21">
        <f t="shared" si="6"/>
        <v>27.800000000000068</v>
      </c>
      <c r="K63" s="22">
        <f t="shared" si="4"/>
        <v>-17.235999999999933</v>
      </c>
    </row>
    <row r="64" spans="1:11" ht="12.75" x14ac:dyDescent="0.2">
      <c r="A64" s="13">
        <v>45595</v>
      </c>
      <c r="B64" s="14" t="s">
        <v>5</v>
      </c>
      <c r="C64" s="15">
        <v>0.93589999999999995</v>
      </c>
      <c r="D64" s="16" t="s">
        <v>58</v>
      </c>
      <c r="E64" s="17"/>
      <c r="F64" s="17"/>
      <c r="G64" s="18">
        <v>556</v>
      </c>
      <c r="H64" s="19">
        <f t="shared" si="5"/>
        <v>35.639599999999973</v>
      </c>
      <c r="I64" s="20">
        <f t="shared" si="1"/>
        <v>1960.1779999999985</v>
      </c>
      <c r="J64" s="21">
        <f t="shared" si="6"/>
        <v>27.800000000000068</v>
      </c>
      <c r="K64" s="22">
        <f t="shared" si="4"/>
        <v>-7.8395999999999049</v>
      </c>
    </row>
    <row r="65" spans="1:11" ht="12.75" x14ac:dyDescent="0.2">
      <c r="A65" s="13">
        <v>45596</v>
      </c>
      <c r="B65" s="14" t="s">
        <v>6</v>
      </c>
      <c r="C65" s="15">
        <v>0.91669999999999996</v>
      </c>
      <c r="D65" s="16" t="s">
        <v>58</v>
      </c>
      <c r="E65" s="17"/>
      <c r="F65" s="17"/>
      <c r="G65" s="18">
        <v>555</v>
      </c>
      <c r="H65" s="19">
        <f t="shared" si="5"/>
        <v>46.23150000000004</v>
      </c>
      <c r="I65" s="20">
        <f t="shared" si="1"/>
        <v>2542.7325000000023</v>
      </c>
      <c r="J65" s="21">
        <f t="shared" si="6"/>
        <v>27.75</v>
      </c>
      <c r="K65" s="22">
        <f t="shared" si="4"/>
        <v>-18.48150000000004</v>
      </c>
    </row>
    <row r="66" spans="1:11" ht="25.5" x14ac:dyDescent="0.2">
      <c r="A66" s="13">
        <v>45597</v>
      </c>
      <c r="B66" s="14" t="s">
        <v>7</v>
      </c>
      <c r="C66" s="15">
        <v>0.87809999999999999</v>
      </c>
      <c r="D66" s="16" t="s">
        <v>60</v>
      </c>
      <c r="E66" s="17" t="s">
        <v>62</v>
      </c>
      <c r="F66" s="17"/>
      <c r="G66" s="18">
        <v>556</v>
      </c>
      <c r="H66" s="19">
        <f t="shared" si="5"/>
        <v>67.776400000000024</v>
      </c>
      <c r="I66" s="20">
        <f t="shared" si="1"/>
        <v>3727.7020000000011</v>
      </c>
      <c r="J66" s="21">
        <f t="shared" si="6"/>
        <v>27.800000000000068</v>
      </c>
      <c r="K66" s="22">
        <f t="shared" si="4"/>
        <v>-39.976399999999956</v>
      </c>
    </row>
    <row r="67" spans="1:11" ht="12.75" x14ac:dyDescent="0.2">
      <c r="A67" s="38">
        <v>45600</v>
      </c>
      <c r="B67" s="39" t="s">
        <v>3</v>
      </c>
      <c r="C67" s="40"/>
      <c r="D67" s="41"/>
      <c r="E67" s="42"/>
      <c r="F67" s="42"/>
      <c r="G67" s="43"/>
      <c r="H67" s="19">
        <f t="shared" si="5"/>
        <v>0</v>
      </c>
      <c r="I67" s="20">
        <f t="shared" si="1"/>
        <v>0</v>
      </c>
      <c r="J67" s="21">
        <f t="shared" si="6"/>
        <v>0</v>
      </c>
      <c r="K67" s="22">
        <f t="shared" si="4"/>
        <v>0</v>
      </c>
    </row>
    <row r="68" spans="1:11" ht="12.75" x14ac:dyDescent="0.2">
      <c r="A68" s="30">
        <v>45601</v>
      </c>
      <c r="B68" s="31" t="s">
        <v>4</v>
      </c>
      <c r="C68" s="32"/>
      <c r="D68" s="33"/>
      <c r="E68" s="34"/>
      <c r="F68" s="34"/>
      <c r="G68" s="35"/>
      <c r="H68" s="19">
        <f t="shared" si="5"/>
        <v>0</v>
      </c>
      <c r="I68" s="20">
        <f t="shared" si="1"/>
        <v>0</v>
      </c>
      <c r="J68" s="21">
        <f t="shared" si="6"/>
        <v>0</v>
      </c>
      <c r="K68" s="22">
        <f t="shared" si="4"/>
        <v>0</v>
      </c>
    </row>
    <row r="69" spans="1:11" ht="12.75" x14ac:dyDescent="0.2">
      <c r="A69" s="13">
        <v>45602</v>
      </c>
      <c r="B69" s="14" t="s">
        <v>5</v>
      </c>
      <c r="C69" s="15">
        <v>0.92210000000000003</v>
      </c>
      <c r="D69" s="16" t="s">
        <v>58</v>
      </c>
      <c r="E69" s="17"/>
      <c r="F69" s="17"/>
      <c r="G69" s="18">
        <v>560</v>
      </c>
      <c r="H69" s="19">
        <f t="shared" si="5"/>
        <v>43.624000000000024</v>
      </c>
      <c r="I69" s="20">
        <f t="shared" si="1"/>
        <v>2399.3200000000015</v>
      </c>
      <c r="J69" s="21">
        <f t="shared" si="6"/>
        <v>28</v>
      </c>
      <c r="K69" s="22">
        <f t="shared" si="4"/>
        <v>-15.624000000000024</v>
      </c>
    </row>
    <row r="70" spans="1:11" ht="12.75" x14ac:dyDescent="0.2">
      <c r="A70" s="13">
        <v>45603</v>
      </c>
      <c r="B70" s="14" t="s">
        <v>6</v>
      </c>
      <c r="C70" s="15">
        <v>0.91669999999999996</v>
      </c>
      <c r="D70" s="23" t="s">
        <v>58</v>
      </c>
      <c r="E70" s="17"/>
      <c r="F70" s="17"/>
      <c r="G70" s="18">
        <v>561</v>
      </c>
      <c r="H70" s="19">
        <f t="shared" si="5"/>
        <v>46.731300000000033</v>
      </c>
      <c r="I70" s="20">
        <f t="shared" si="1"/>
        <v>2570.2215000000019</v>
      </c>
      <c r="J70" s="21">
        <f t="shared" si="6"/>
        <v>28.050000000000068</v>
      </c>
      <c r="K70" s="22">
        <f t="shared" si="4"/>
        <v>-18.681299999999965</v>
      </c>
    </row>
    <row r="71" spans="1:11" ht="38.25" x14ac:dyDescent="0.2">
      <c r="A71" s="13">
        <v>45604</v>
      </c>
      <c r="B71" s="14" t="s">
        <v>7</v>
      </c>
      <c r="C71" s="15">
        <v>0.89190000000000003</v>
      </c>
      <c r="D71" s="23" t="s">
        <v>60</v>
      </c>
      <c r="E71" s="17" t="s">
        <v>63</v>
      </c>
      <c r="F71" s="17"/>
      <c r="G71" s="18">
        <v>561</v>
      </c>
      <c r="H71" s="19">
        <f t="shared" si="5"/>
        <v>60.64409999999998</v>
      </c>
      <c r="I71" s="20">
        <f t="shared" si="1"/>
        <v>3335.4254999999989</v>
      </c>
      <c r="J71" s="21">
        <f t="shared" si="6"/>
        <v>28.050000000000068</v>
      </c>
      <c r="K71" s="22">
        <f t="shared" si="4"/>
        <v>-32.594099999999912</v>
      </c>
    </row>
    <row r="72" spans="1:11" ht="12.75" x14ac:dyDescent="0.2">
      <c r="A72" s="13">
        <v>45607</v>
      </c>
      <c r="B72" s="14" t="s">
        <v>3</v>
      </c>
      <c r="C72" s="15">
        <v>0.92789999999999995</v>
      </c>
      <c r="D72" s="23" t="s">
        <v>58</v>
      </c>
      <c r="E72" s="17"/>
      <c r="F72" s="17"/>
      <c r="G72" s="18">
        <v>561</v>
      </c>
      <c r="H72" s="19">
        <f t="shared" si="5"/>
        <v>40.448100000000068</v>
      </c>
      <c r="I72" s="20">
        <f t="shared" si="1"/>
        <v>2224.6455000000037</v>
      </c>
      <c r="J72" s="21">
        <f t="shared" si="6"/>
        <v>28.050000000000068</v>
      </c>
      <c r="K72" s="22">
        <f t="shared" si="4"/>
        <v>-12.398099999999999</v>
      </c>
    </row>
    <row r="73" spans="1:11" ht="12.75" x14ac:dyDescent="0.2">
      <c r="A73" s="13">
        <v>45608</v>
      </c>
      <c r="B73" s="14" t="s">
        <v>4</v>
      </c>
      <c r="C73" s="15">
        <v>0.94469999999999998</v>
      </c>
      <c r="D73" s="16" t="s">
        <v>58</v>
      </c>
      <c r="E73" s="17"/>
      <c r="F73" s="17"/>
      <c r="G73" s="18">
        <v>560</v>
      </c>
      <c r="H73" s="19">
        <f t="shared" si="5"/>
        <v>30.967999999999961</v>
      </c>
      <c r="I73" s="20">
        <f t="shared" si="1"/>
        <v>1703.239999999998</v>
      </c>
      <c r="J73" s="21">
        <f t="shared" si="6"/>
        <v>28</v>
      </c>
      <c r="K73" s="22">
        <f t="shared" si="4"/>
        <v>-2.9679999999999609</v>
      </c>
    </row>
    <row r="74" spans="1:11" ht="12.75" x14ac:dyDescent="0.2">
      <c r="A74" s="13">
        <v>45609</v>
      </c>
      <c r="B74" s="14" t="s">
        <v>5</v>
      </c>
      <c r="C74" s="15">
        <v>0.92549999999999999</v>
      </c>
      <c r="D74" s="16" t="s">
        <v>58</v>
      </c>
      <c r="E74" s="17"/>
      <c r="F74" s="17"/>
      <c r="G74" s="18">
        <v>560</v>
      </c>
      <c r="H74" s="19">
        <f t="shared" si="5"/>
        <v>41.720000000000027</v>
      </c>
      <c r="I74" s="20">
        <f t="shared" si="1"/>
        <v>2294.6000000000013</v>
      </c>
      <c r="J74" s="21">
        <f t="shared" si="6"/>
        <v>28</v>
      </c>
      <c r="K74" s="22">
        <f t="shared" si="4"/>
        <v>-13.720000000000027</v>
      </c>
    </row>
    <row r="75" spans="1:11" ht="25.5" x14ac:dyDescent="0.2">
      <c r="A75" s="13">
        <v>45610</v>
      </c>
      <c r="B75" s="14" t="s">
        <v>6</v>
      </c>
      <c r="C75" s="15">
        <v>0.92</v>
      </c>
      <c r="D75" s="16" t="s">
        <v>58</v>
      </c>
      <c r="E75" s="17" t="s">
        <v>25</v>
      </c>
      <c r="F75" s="17" t="s">
        <v>64</v>
      </c>
      <c r="G75" s="18">
        <v>560</v>
      </c>
      <c r="H75" s="19">
        <f t="shared" si="5"/>
        <v>44.799999999999955</v>
      </c>
      <c r="I75" s="20">
        <f t="shared" si="1"/>
        <v>2463.9999999999973</v>
      </c>
      <c r="J75" s="21">
        <f t="shared" si="6"/>
        <v>28</v>
      </c>
      <c r="K75" s="22">
        <f t="shared" si="4"/>
        <v>-16.799999999999955</v>
      </c>
    </row>
    <row r="76" spans="1:11" ht="25.5" x14ac:dyDescent="0.2">
      <c r="A76" s="13">
        <v>45611</v>
      </c>
      <c r="B76" s="14" t="s">
        <v>7</v>
      </c>
      <c r="C76" s="15">
        <v>0.91100000000000003</v>
      </c>
      <c r="D76" s="16" t="s">
        <v>58</v>
      </c>
      <c r="E76" s="17" t="s">
        <v>25</v>
      </c>
      <c r="F76" s="17" t="s">
        <v>64</v>
      </c>
      <c r="G76" s="18">
        <v>560</v>
      </c>
      <c r="H76" s="19">
        <f t="shared" si="5"/>
        <v>49.839999999999975</v>
      </c>
      <c r="I76" s="20">
        <f t="shared" si="1"/>
        <v>2741.1999999999985</v>
      </c>
      <c r="J76" s="21">
        <f t="shared" si="6"/>
        <v>28</v>
      </c>
      <c r="K76" s="22">
        <f t="shared" si="4"/>
        <v>-21.839999999999975</v>
      </c>
    </row>
    <row r="77" spans="1:11" ht="25.5" x14ac:dyDescent="0.2">
      <c r="A77" s="13">
        <v>45614</v>
      </c>
      <c r="B77" s="14" t="s">
        <v>3</v>
      </c>
      <c r="C77" s="15">
        <v>0.91830000000000001</v>
      </c>
      <c r="D77" s="16" t="s">
        <v>58</v>
      </c>
      <c r="E77" s="17" t="s">
        <v>25</v>
      </c>
      <c r="F77" s="17" t="s">
        <v>64</v>
      </c>
      <c r="G77" s="18">
        <v>556</v>
      </c>
      <c r="H77" s="19">
        <f t="shared" si="5"/>
        <v>45.425200000000018</v>
      </c>
      <c r="I77" s="20">
        <f t="shared" si="1"/>
        <v>2498.3860000000009</v>
      </c>
      <c r="J77" s="21">
        <f t="shared" si="6"/>
        <v>27.800000000000068</v>
      </c>
      <c r="K77" s="22">
        <f t="shared" si="4"/>
        <v>-17.62519999999995</v>
      </c>
    </row>
    <row r="78" spans="1:11" ht="25.5" x14ac:dyDescent="0.2">
      <c r="A78" s="13">
        <v>45615</v>
      </c>
      <c r="B78" s="14" t="s">
        <v>4</v>
      </c>
      <c r="C78" s="15">
        <v>0.91710000000000003</v>
      </c>
      <c r="D78" s="16" t="s">
        <v>58</v>
      </c>
      <c r="E78" s="17" t="s">
        <v>25</v>
      </c>
      <c r="F78" s="17" t="s">
        <v>64</v>
      </c>
      <c r="G78" s="18">
        <v>556</v>
      </c>
      <c r="H78" s="19">
        <f t="shared" si="5"/>
        <v>46.092399999999998</v>
      </c>
      <c r="I78" s="20">
        <f t="shared" si="1"/>
        <v>2535.0819999999999</v>
      </c>
      <c r="J78" s="21">
        <f t="shared" si="6"/>
        <v>27.800000000000068</v>
      </c>
      <c r="K78" s="22">
        <f t="shared" si="4"/>
        <v>-18.29239999999993</v>
      </c>
    </row>
    <row r="79" spans="1:11" ht="25.5" x14ac:dyDescent="0.2">
      <c r="A79" s="13">
        <v>45616</v>
      </c>
      <c r="B79" s="14" t="s">
        <v>5</v>
      </c>
      <c r="C79" s="15">
        <v>0.90010000000000001</v>
      </c>
      <c r="D79" s="16" t="s">
        <v>58</v>
      </c>
      <c r="E79" s="17" t="s">
        <v>25</v>
      </c>
      <c r="F79" s="17" t="s">
        <v>64</v>
      </c>
      <c r="G79" s="18">
        <v>556</v>
      </c>
      <c r="H79" s="19">
        <f t="shared" si="5"/>
        <v>55.544399999999996</v>
      </c>
      <c r="I79" s="20">
        <f t="shared" si="1"/>
        <v>3054.942</v>
      </c>
      <c r="J79" s="21">
        <f t="shared" si="6"/>
        <v>27.800000000000068</v>
      </c>
      <c r="K79" s="22">
        <f t="shared" si="4"/>
        <v>-27.744399999999928</v>
      </c>
    </row>
    <row r="80" spans="1:11" ht="12.75" x14ac:dyDescent="0.2">
      <c r="A80" s="13">
        <v>45617</v>
      </c>
      <c r="B80" s="14" t="s">
        <v>6</v>
      </c>
      <c r="C80" s="15">
        <v>0.92279999999999995</v>
      </c>
      <c r="D80" s="16" t="s">
        <v>58</v>
      </c>
      <c r="E80" s="17"/>
      <c r="F80" s="17"/>
      <c r="G80" s="18">
        <v>556</v>
      </c>
      <c r="H80" s="19">
        <f t="shared" si="5"/>
        <v>42.923200000000065</v>
      </c>
      <c r="I80" s="20">
        <f t="shared" si="1"/>
        <v>2360.7760000000035</v>
      </c>
      <c r="J80" s="21">
        <f t="shared" si="6"/>
        <v>27.800000000000068</v>
      </c>
      <c r="K80" s="22">
        <f t="shared" si="4"/>
        <v>-15.123199999999997</v>
      </c>
    </row>
    <row r="81" spans="1:11" ht="38.25" x14ac:dyDescent="0.2">
      <c r="A81" s="13">
        <v>45618</v>
      </c>
      <c r="B81" s="14" t="s">
        <v>7</v>
      </c>
      <c r="C81" s="15">
        <v>0.86199999999999999</v>
      </c>
      <c r="D81" s="16" t="s">
        <v>60</v>
      </c>
      <c r="E81" s="17"/>
      <c r="F81" s="17" t="s">
        <v>65</v>
      </c>
      <c r="G81" s="18">
        <v>556</v>
      </c>
      <c r="H81" s="19">
        <f t="shared" si="5"/>
        <v>76.728000000000009</v>
      </c>
      <c r="I81" s="20">
        <f t="shared" si="1"/>
        <v>4220.0400000000009</v>
      </c>
      <c r="J81" s="21">
        <f t="shared" si="6"/>
        <v>27.800000000000068</v>
      </c>
      <c r="K81" s="22">
        <f t="shared" si="4"/>
        <v>-48.92799999999994</v>
      </c>
    </row>
    <row r="82" spans="1:11" ht="12.75" x14ac:dyDescent="0.2">
      <c r="A82" s="30">
        <v>45621</v>
      </c>
      <c r="B82" s="31" t="s">
        <v>3</v>
      </c>
      <c r="C82" s="32"/>
      <c r="D82" s="33"/>
      <c r="E82" s="34"/>
      <c r="F82" s="34"/>
      <c r="G82" s="35"/>
      <c r="H82" s="19">
        <f t="shared" si="5"/>
        <v>0</v>
      </c>
      <c r="I82" s="20">
        <f t="shared" si="1"/>
        <v>0</v>
      </c>
      <c r="J82" s="21">
        <f t="shared" si="6"/>
        <v>0</v>
      </c>
      <c r="K82" s="22">
        <f t="shared" si="4"/>
        <v>0</v>
      </c>
    </row>
    <row r="83" spans="1:11" ht="12.75" x14ac:dyDescent="0.2">
      <c r="A83" s="30">
        <v>45622</v>
      </c>
      <c r="B83" s="31" t="s">
        <v>4</v>
      </c>
      <c r="C83" s="32"/>
      <c r="D83" s="33"/>
      <c r="E83" s="34"/>
      <c r="F83" s="34"/>
      <c r="G83" s="35"/>
      <c r="H83" s="19">
        <f t="shared" si="5"/>
        <v>0</v>
      </c>
      <c r="I83" s="20">
        <f t="shared" si="1"/>
        <v>0</v>
      </c>
      <c r="J83" s="21">
        <f t="shared" si="6"/>
        <v>0</v>
      </c>
      <c r="K83" s="22">
        <f t="shared" si="4"/>
        <v>0</v>
      </c>
    </row>
    <row r="84" spans="1:11" ht="12.75" x14ac:dyDescent="0.2">
      <c r="A84" s="30">
        <v>45623</v>
      </c>
      <c r="B84" s="31" t="s">
        <v>5</v>
      </c>
      <c r="C84" s="32"/>
      <c r="D84" s="33"/>
      <c r="E84" s="34"/>
      <c r="F84" s="34"/>
      <c r="G84" s="35"/>
      <c r="H84" s="19">
        <f t="shared" si="5"/>
        <v>0</v>
      </c>
      <c r="I84" s="20">
        <f t="shared" si="1"/>
        <v>0</v>
      </c>
      <c r="J84" s="21">
        <f t="shared" si="6"/>
        <v>0</v>
      </c>
      <c r="K84" s="22">
        <f t="shared" si="4"/>
        <v>0</v>
      </c>
    </row>
    <row r="85" spans="1:11" ht="12.75" x14ac:dyDescent="0.2">
      <c r="A85" s="30">
        <v>45624</v>
      </c>
      <c r="B85" s="31" t="s">
        <v>6</v>
      </c>
      <c r="C85" s="32"/>
      <c r="D85" s="33"/>
      <c r="E85" s="34"/>
      <c r="F85" s="34"/>
      <c r="G85" s="35"/>
      <c r="H85" s="19">
        <f t="shared" si="5"/>
        <v>0</v>
      </c>
      <c r="I85" s="20">
        <f t="shared" si="1"/>
        <v>0</v>
      </c>
      <c r="J85" s="21">
        <f t="shared" si="6"/>
        <v>0</v>
      </c>
      <c r="K85" s="22">
        <f t="shared" si="4"/>
        <v>0</v>
      </c>
    </row>
    <row r="86" spans="1:11" ht="12.75" x14ac:dyDescent="0.2">
      <c r="A86" s="30">
        <v>45625</v>
      </c>
      <c r="B86" s="31" t="s">
        <v>7</v>
      </c>
      <c r="C86" s="32"/>
      <c r="D86" s="33"/>
      <c r="E86" s="34"/>
      <c r="F86" s="34"/>
      <c r="G86" s="35"/>
      <c r="H86" s="19">
        <f t="shared" si="5"/>
        <v>0</v>
      </c>
      <c r="I86" s="20">
        <f t="shared" si="1"/>
        <v>0</v>
      </c>
      <c r="J86" s="21">
        <f t="shared" si="6"/>
        <v>0</v>
      </c>
      <c r="K86" s="22">
        <f t="shared" si="4"/>
        <v>0</v>
      </c>
    </row>
    <row r="87" spans="1:11" ht="12.75" x14ac:dyDescent="0.2">
      <c r="A87" s="13">
        <v>45628</v>
      </c>
      <c r="B87" s="14" t="s">
        <v>3</v>
      </c>
      <c r="C87" s="15">
        <v>0.91120000000000001</v>
      </c>
      <c r="D87" s="16" t="s">
        <v>58</v>
      </c>
      <c r="E87" s="17"/>
      <c r="F87" s="17"/>
      <c r="G87" s="18">
        <v>560</v>
      </c>
      <c r="H87" s="19">
        <f t="shared" si="5"/>
        <v>49.728000000000009</v>
      </c>
      <c r="I87" s="20">
        <f t="shared" si="1"/>
        <v>2735.0400000000004</v>
      </c>
      <c r="J87" s="21">
        <f t="shared" si="6"/>
        <v>28</v>
      </c>
      <c r="K87" s="22">
        <f t="shared" si="4"/>
        <v>-21.728000000000009</v>
      </c>
    </row>
    <row r="88" spans="1:11" ht="12.75" x14ac:dyDescent="0.2">
      <c r="A88" s="13">
        <v>45629</v>
      </c>
      <c r="B88" s="14" t="s">
        <v>4</v>
      </c>
      <c r="C88" s="15">
        <v>0.96419999999999995</v>
      </c>
      <c r="D88" s="16" t="s">
        <v>58</v>
      </c>
      <c r="E88" s="17"/>
      <c r="F88" s="17"/>
      <c r="G88" s="18">
        <v>563</v>
      </c>
      <c r="H88" s="19">
        <f t="shared" si="5"/>
        <v>20.155399999999986</v>
      </c>
      <c r="I88" s="20">
        <f t="shared" si="1"/>
        <v>1108.5469999999991</v>
      </c>
      <c r="J88" s="21">
        <f t="shared" si="6"/>
        <v>28.149999999999977</v>
      </c>
      <c r="K88" s="22">
        <f t="shared" si="4"/>
        <v>7.9945999999999913</v>
      </c>
    </row>
    <row r="89" spans="1:11" ht="12.75" x14ac:dyDescent="0.2">
      <c r="A89" s="13">
        <v>45630</v>
      </c>
      <c r="B89" s="14" t="s">
        <v>5</v>
      </c>
      <c r="C89" s="15">
        <v>0.95199999999999996</v>
      </c>
      <c r="D89" s="16" t="s">
        <v>58</v>
      </c>
      <c r="E89" s="17"/>
      <c r="F89" s="17"/>
      <c r="G89" s="18">
        <v>564</v>
      </c>
      <c r="H89" s="19">
        <f t="shared" si="5"/>
        <v>27.072000000000003</v>
      </c>
      <c r="I89" s="20">
        <f t="shared" si="1"/>
        <v>1488.96</v>
      </c>
      <c r="J89" s="21">
        <f t="shared" si="6"/>
        <v>28.200000000000045</v>
      </c>
      <c r="K89" s="22">
        <f t="shared" si="4"/>
        <v>1.1280000000000427</v>
      </c>
    </row>
    <row r="90" spans="1:11" ht="12.75" x14ac:dyDescent="0.2">
      <c r="A90" s="13">
        <v>45631</v>
      </c>
      <c r="B90" s="14" t="s">
        <v>6</v>
      </c>
      <c r="C90" s="15">
        <v>0.95760000000000001</v>
      </c>
      <c r="D90" s="16" t="s">
        <v>58</v>
      </c>
      <c r="E90" s="17"/>
      <c r="F90" s="17"/>
      <c r="G90" s="18">
        <v>564</v>
      </c>
      <c r="H90" s="19">
        <f t="shared" si="5"/>
        <v>23.913599999999974</v>
      </c>
      <c r="I90" s="20">
        <f t="shared" si="1"/>
        <v>1315.2479999999987</v>
      </c>
      <c r="J90" s="21">
        <f t="shared" si="6"/>
        <v>28.200000000000045</v>
      </c>
      <c r="K90" s="22">
        <f t="shared" si="4"/>
        <v>4.2864000000000715</v>
      </c>
    </row>
    <row r="91" spans="1:11" ht="12.75" x14ac:dyDescent="0.2">
      <c r="A91" s="13">
        <v>45632</v>
      </c>
      <c r="B91" s="14" t="s">
        <v>7</v>
      </c>
      <c r="C91" s="15">
        <v>0.92630000000000001</v>
      </c>
      <c r="D91" s="16" t="s">
        <v>58</v>
      </c>
      <c r="E91" s="17"/>
      <c r="F91" s="17"/>
      <c r="G91" s="18">
        <v>564</v>
      </c>
      <c r="H91" s="19">
        <f t="shared" si="5"/>
        <v>41.566799999999944</v>
      </c>
      <c r="I91" s="20">
        <f t="shared" si="1"/>
        <v>2286.1739999999968</v>
      </c>
      <c r="J91" s="21">
        <f t="shared" si="6"/>
        <v>28.200000000000045</v>
      </c>
      <c r="K91" s="22">
        <f t="shared" si="4"/>
        <v>-13.366799999999898</v>
      </c>
    </row>
    <row r="92" spans="1:11" ht="25.5" x14ac:dyDescent="0.2">
      <c r="A92" s="13">
        <v>45635</v>
      </c>
      <c r="B92" s="14" t="s">
        <v>3</v>
      </c>
      <c r="C92" s="15">
        <v>0.90300000000000002</v>
      </c>
      <c r="D92" s="16" t="s">
        <v>58</v>
      </c>
      <c r="E92" s="17" t="s">
        <v>25</v>
      </c>
      <c r="F92" s="17" t="s">
        <v>66</v>
      </c>
      <c r="G92" s="18">
        <v>566</v>
      </c>
      <c r="H92" s="19">
        <f t="shared" si="5"/>
        <v>54.901999999999987</v>
      </c>
      <c r="I92" s="20">
        <f t="shared" si="1"/>
        <v>3019.6099999999992</v>
      </c>
      <c r="J92" s="21">
        <f t="shared" si="6"/>
        <v>28.300000000000068</v>
      </c>
      <c r="K92" s="22">
        <f t="shared" si="4"/>
        <v>-26.601999999999919</v>
      </c>
    </row>
    <row r="93" spans="1:11" ht="12.75" x14ac:dyDescent="0.2">
      <c r="A93" s="13">
        <v>45636</v>
      </c>
      <c r="B93" s="14" t="s">
        <v>4</v>
      </c>
      <c r="C93" s="15">
        <v>0.90859999999999996</v>
      </c>
      <c r="D93" s="16" t="s">
        <v>58</v>
      </c>
      <c r="E93" s="17" t="s">
        <v>25</v>
      </c>
      <c r="F93" s="17"/>
      <c r="G93" s="18">
        <v>567</v>
      </c>
      <c r="H93" s="19">
        <f t="shared" si="5"/>
        <v>51.823800000000006</v>
      </c>
      <c r="I93" s="20">
        <f t="shared" si="1"/>
        <v>2850.3090000000002</v>
      </c>
      <c r="J93" s="21">
        <f t="shared" si="6"/>
        <v>28.350000000000023</v>
      </c>
      <c r="K93" s="22">
        <f t="shared" si="4"/>
        <v>-23.473799999999983</v>
      </c>
    </row>
    <row r="94" spans="1:11" ht="12.75" x14ac:dyDescent="0.2">
      <c r="A94" s="13">
        <v>45637</v>
      </c>
      <c r="B94" s="14" t="s">
        <v>5</v>
      </c>
      <c r="C94" s="15">
        <v>0.91769999999999996</v>
      </c>
      <c r="D94" s="16" t="s">
        <v>58</v>
      </c>
      <c r="E94" s="17"/>
      <c r="F94" s="17"/>
      <c r="G94" s="18">
        <v>568</v>
      </c>
      <c r="H94" s="19">
        <f t="shared" si="5"/>
        <v>46.746399999999994</v>
      </c>
      <c r="I94" s="20">
        <f t="shared" si="1"/>
        <v>2571.0519999999997</v>
      </c>
      <c r="J94" s="21">
        <f t="shared" si="6"/>
        <v>28.399999999999977</v>
      </c>
      <c r="K94" s="22">
        <f t="shared" si="4"/>
        <v>-18.346400000000017</v>
      </c>
    </row>
    <row r="95" spans="1:11" ht="12.75" x14ac:dyDescent="0.2">
      <c r="A95" s="13">
        <v>45638</v>
      </c>
      <c r="B95" s="14" t="s">
        <v>6</v>
      </c>
      <c r="C95" s="15">
        <v>0.91659999999999997</v>
      </c>
      <c r="D95" s="16" t="s">
        <v>58</v>
      </c>
      <c r="E95" s="17"/>
      <c r="F95" s="17"/>
      <c r="G95" s="18">
        <v>568</v>
      </c>
      <c r="H95" s="19">
        <f t="shared" si="5"/>
        <v>47.371200000000044</v>
      </c>
      <c r="I95" s="20">
        <f t="shared" si="1"/>
        <v>2605.4160000000024</v>
      </c>
      <c r="J95" s="21">
        <f t="shared" si="6"/>
        <v>28.399999999999977</v>
      </c>
      <c r="K95" s="22">
        <f t="shared" si="4"/>
        <v>-18.971200000000067</v>
      </c>
    </row>
    <row r="96" spans="1:11" ht="63.75" x14ac:dyDescent="0.2">
      <c r="A96" s="13">
        <v>45639</v>
      </c>
      <c r="B96" s="14" t="s">
        <v>7</v>
      </c>
      <c r="C96" s="15">
        <v>0.89659999999999995</v>
      </c>
      <c r="D96" s="16" t="s">
        <v>60</v>
      </c>
      <c r="E96" s="17" t="s">
        <v>30</v>
      </c>
      <c r="F96" s="17" t="s">
        <v>67</v>
      </c>
      <c r="G96" s="18">
        <v>568</v>
      </c>
      <c r="H96" s="19">
        <f t="shared" si="5"/>
        <v>58.731200000000001</v>
      </c>
      <c r="I96" s="20">
        <f t="shared" si="1"/>
        <v>3230.2159999999999</v>
      </c>
      <c r="J96" s="21">
        <f t="shared" si="6"/>
        <v>28.399999999999977</v>
      </c>
      <c r="K96" s="22">
        <f t="shared" si="4"/>
        <v>-30.331200000000024</v>
      </c>
    </row>
    <row r="97" spans="1:11" ht="76.5" x14ac:dyDescent="0.2">
      <c r="A97" s="13">
        <v>45642</v>
      </c>
      <c r="B97" s="14" t="s">
        <v>3</v>
      </c>
      <c r="C97" s="15">
        <v>0.89070000000000005</v>
      </c>
      <c r="D97" s="16" t="s">
        <v>60</v>
      </c>
      <c r="E97" s="17" t="s">
        <v>25</v>
      </c>
      <c r="F97" s="17" t="s">
        <v>68</v>
      </c>
      <c r="G97" s="18">
        <v>567</v>
      </c>
      <c r="H97" s="19">
        <f t="shared" si="5"/>
        <v>61.973099999999988</v>
      </c>
      <c r="I97" s="20">
        <f t="shared" si="1"/>
        <v>3408.5204999999992</v>
      </c>
      <c r="J97" s="21">
        <f t="shared" si="6"/>
        <v>28.350000000000023</v>
      </c>
      <c r="K97" s="22">
        <f t="shared" si="4"/>
        <v>-33.623099999999965</v>
      </c>
    </row>
    <row r="98" spans="1:11" ht="51" x14ac:dyDescent="0.2">
      <c r="A98" s="13">
        <v>45643</v>
      </c>
      <c r="B98" s="14" t="s">
        <v>4</v>
      </c>
      <c r="C98" s="15">
        <v>0.91080000000000005</v>
      </c>
      <c r="D98" s="16" t="s">
        <v>58</v>
      </c>
      <c r="E98" s="17" t="s">
        <v>25</v>
      </c>
      <c r="F98" s="17" t="s">
        <v>69</v>
      </c>
      <c r="G98" s="18">
        <v>567</v>
      </c>
      <c r="H98" s="19">
        <f t="shared" si="5"/>
        <v>50.576399999999921</v>
      </c>
      <c r="I98" s="20">
        <f t="shared" si="1"/>
        <v>2781.7019999999957</v>
      </c>
      <c r="J98" s="21">
        <f t="shared" si="6"/>
        <v>28.350000000000023</v>
      </c>
      <c r="K98" s="22">
        <f t="shared" si="4"/>
        <v>-22.226399999999899</v>
      </c>
    </row>
    <row r="99" spans="1:11" ht="51" x14ac:dyDescent="0.2">
      <c r="A99" s="13">
        <v>45644</v>
      </c>
      <c r="B99" s="14" t="s">
        <v>5</v>
      </c>
      <c r="C99" s="15">
        <v>0.91520000000000001</v>
      </c>
      <c r="D99" s="16" t="s">
        <v>58</v>
      </c>
      <c r="E99" s="17"/>
      <c r="F99" s="17" t="s">
        <v>69</v>
      </c>
      <c r="G99" s="18">
        <v>566</v>
      </c>
      <c r="H99" s="19">
        <f t="shared" si="5"/>
        <v>47.996800000000007</v>
      </c>
      <c r="I99" s="20">
        <f t="shared" si="1"/>
        <v>2639.8240000000005</v>
      </c>
      <c r="J99" s="21">
        <f t="shared" si="6"/>
        <v>28.300000000000068</v>
      </c>
      <c r="K99" s="22">
        <f t="shared" si="4"/>
        <v>-19.696799999999939</v>
      </c>
    </row>
    <row r="100" spans="1:11" ht="12.75" x14ac:dyDescent="0.2">
      <c r="A100" s="13">
        <v>45645</v>
      </c>
      <c r="B100" s="14" t="s">
        <v>6</v>
      </c>
      <c r="C100" s="15">
        <v>0.93640000000000001</v>
      </c>
      <c r="D100" s="16" t="s">
        <v>58</v>
      </c>
      <c r="E100" s="17"/>
      <c r="F100" s="17" t="s">
        <v>70</v>
      </c>
      <c r="G100" s="18">
        <v>566</v>
      </c>
      <c r="H100" s="19">
        <f t="shared" si="5"/>
        <v>35.997600000000034</v>
      </c>
      <c r="I100" s="20">
        <f t="shared" si="1"/>
        <v>1979.8680000000018</v>
      </c>
      <c r="J100" s="21">
        <f t="shared" si="6"/>
        <v>28.300000000000068</v>
      </c>
      <c r="K100" s="22">
        <f t="shared" si="4"/>
        <v>-7.6975999999999658</v>
      </c>
    </row>
    <row r="101" spans="1:11" ht="25.5" x14ac:dyDescent="0.2">
      <c r="A101" s="13">
        <v>45646</v>
      </c>
      <c r="B101" s="14" t="s">
        <v>7</v>
      </c>
      <c r="C101" s="15">
        <v>0.66739999999999999</v>
      </c>
      <c r="D101" s="16"/>
      <c r="E101" s="17"/>
      <c r="F101" s="17" t="s">
        <v>71</v>
      </c>
      <c r="G101" s="18">
        <v>566</v>
      </c>
      <c r="H101" s="19">
        <f t="shared" si="5"/>
        <v>188.2516</v>
      </c>
      <c r="I101" s="20">
        <f t="shared" si="1"/>
        <v>10353.838</v>
      </c>
      <c r="J101" s="21">
        <f t="shared" si="6"/>
        <v>28.300000000000068</v>
      </c>
      <c r="K101" s="22">
        <f t="shared" si="4"/>
        <v>-159.95159999999993</v>
      </c>
    </row>
    <row r="102" spans="1:11" ht="12.75" x14ac:dyDescent="0.2">
      <c r="A102" s="24">
        <v>45649</v>
      </c>
      <c r="B102" s="25" t="s">
        <v>3</v>
      </c>
      <c r="C102" s="26"/>
      <c r="D102" s="27"/>
      <c r="E102" s="28"/>
      <c r="F102" s="28"/>
      <c r="G102" s="29"/>
      <c r="H102" s="19">
        <f t="shared" si="5"/>
        <v>0</v>
      </c>
      <c r="I102" s="20">
        <f t="shared" si="1"/>
        <v>0</v>
      </c>
      <c r="J102" s="21">
        <f t="shared" si="6"/>
        <v>0</v>
      </c>
      <c r="K102" s="22">
        <f t="shared" si="4"/>
        <v>0</v>
      </c>
    </row>
    <row r="103" spans="1:11" ht="12.75" x14ac:dyDescent="0.2">
      <c r="A103" s="24">
        <v>45650</v>
      </c>
      <c r="B103" s="25" t="s">
        <v>4</v>
      </c>
      <c r="C103" s="26"/>
      <c r="D103" s="27"/>
      <c r="E103" s="28"/>
      <c r="F103" s="28"/>
      <c r="G103" s="29"/>
      <c r="H103" s="19">
        <f t="shared" si="5"/>
        <v>0</v>
      </c>
      <c r="I103" s="20">
        <f t="shared" si="1"/>
        <v>0</v>
      </c>
      <c r="J103" s="21">
        <f t="shared" si="6"/>
        <v>0</v>
      </c>
      <c r="K103" s="22">
        <f t="shared" si="4"/>
        <v>0</v>
      </c>
    </row>
    <row r="104" spans="1:11" ht="12.75" x14ac:dyDescent="0.2">
      <c r="A104" s="24">
        <v>45651</v>
      </c>
      <c r="B104" s="25" t="s">
        <v>5</v>
      </c>
      <c r="C104" s="26"/>
      <c r="D104" s="27"/>
      <c r="E104" s="28"/>
      <c r="F104" s="28"/>
      <c r="G104" s="29"/>
      <c r="H104" s="19">
        <f t="shared" si="5"/>
        <v>0</v>
      </c>
      <c r="I104" s="20">
        <f t="shared" si="1"/>
        <v>0</v>
      </c>
      <c r="J104" s="21">
        <f t="shared" si="6"/>
        <v>0</v>
      </c>
      <c r="K104" s="22">
        <f t="shared" si="4"/>
        <v>0</v>
      </c>
    </row>
    <row r="105" spans="1:11" ht="12.75" x14ac:dyDescent="0.2">
      <c r="A105" s="24">
        <v>45652</v>
      </c>
      <c r="B105" s="25" t="s">
        <v>6</v>
      </c>
      <c r="C105" s="26"/>
      <c r="D105" s="27"/>
      <c r="E105" s="28"/>
      <c r="F105" s="28"/>
      <c r="G105" s="29"/>
      <c r="H105" s="19">
        <f t="shared" si="5"/>
        <v>0</v>
      </c>
      <c r="I105" s="20">
        <f t="shared" si="1"/>
        <v>0</v>
      </c>
      <c r="J105" s="21">
        <f t="shared" si="6"/>
        <v>0</v>
      </c>
      <c r="K105" s="22">
        <f t="shared" si="4"/>
        <v>0</v>
      </c>
    </row>
    <row r="106" spans="1:11" ht="12.75" x14ac:dyDescent="0.2">
      <c r="A106" s="24">
        <v>45653</v>
      </c>
      <c r="B106" s="25" t="s">
        <v>7</v>
      </c>
      <c r="C106" s="26"/>
      <c r="D106" s="27"/>
      <c r="E106" s="28"/>
      <c r="F106" s="28"/>
      <c r="G106" s="29"/>
      <c r="H106" s="19">
        <f t="shared" si="5"/>
        <v>0</v>
      </c>
      <c r="I106" s="20">
        <f t="shared" si="1"/>
        <v>0</v>
      </c>
      <c r="J106" s="21">
        <f t="shared" si="6"/>
        <v>0</v>
      </c>
      <c r="K106" s="22">
        <f t="shared" si="4"/>
        <v>0</v>
      </c>
    </row>
    <row r="107" spans="1:11" ht="12.75" x14ac:dyDescent="0.2">
      <c r="A107" s="24">
        <v>45656</v>
      </c>
      <c r="B107" s="25" t="s">
        <v>3</v>
      </c>
      <c r="C107" s="26"/>
      <c r="D107" s="27"/>
      <c r="E107" s="28"/>
      <c r="F107" s="28"/>
      <c r="G107" s="29"/>
      <c r="H107" s="19">
        <f t="shared" si="5"/>
        <v>0</v>
      </c>
      <c r="I107" s="20">
        <f t="shared" si="1"/>
        <v>0</v>
      </c>
      <c r="J107" s="21">
        <f t="shared" si="6"/>
        <v>0</v>
      </c>
      <c r="K107" s="22">
        <f t="shared" si="4"/>
        <v>0</v>
      </c>
    </row>
    <row r="108" spans="1:11" ht="12.75" x14ac:dyDescent="0.2">
      <c r="A108" s="24">
        <v>45657</v>
      </c>
      <c r="B108" s="25" t="s">
        <v>4</v>
      </c>
      <c r="C108" s="26"/>
      <c r="D108" s="27"/>
      <c r="E108" s="28"/>
      <c r="F108" s="28"/>
      <c r="G108" s="29"/>
      <c r="H108" s="19">
        <f t="shared" si="5"/>
        <v>0</v>
      </c>
      <c r="I108" s="20">
        <f t="shared" si="1"/>
        <v>0</v>
      </c>
      <c r="J108" s="21">
        <f t="shared" si="6"/>
        <v>0</v>
      </c>
      <c r="K108" s="22">
        <f t="shared" si="4"/>
        <v>0</v>
      </c>
    </row>
    <row r="109" spans="1:11" ht="12.75" x14ac:dyDescent="0.2">
      <c r="A109" s="24">
        <v>45658</v>
      </c>
      <c r="B109" s="25" t="s">
        <v>5</v>
      </c>
      <c r="C109" s="26"/>
      <c r="D109" s="27"/>
      <c r="E109" s="28"/>
      <c r="F109" s="28"/>
      <c r="G109" s="29"/>
      <c r="H109" s="19">
        <f t="shared" si="5"/>
        <v>0</v>
      </c>
      <c r="I109" s="20">
        <f t="shared" si="1"/>
        <v>0</v>
      </c>
      <c r="J109" s="21">
        <f t="shared" si="6"/>
        <v>0</v>
      </c>
      <c r="K109" s="22">
        <f t="shared" si="4"/>
        <v>0</v>
      </c>
    </row>
    <row r="110" spans="1:11" ht="12.75" x14ac:dyDescent="0.2">
      <c r="A110" s="24">
        <v>45659</v>
      </c>
      <c r="B110" s="25" t="s">
        <v>6</v>
      </c>
      <c r="C110" s="26"/>
      <c r="D110" s="27"/>
      <c r="E110" s="28"/>
      <c r="F110" s="28"/>
      <c r="G110" s="29"/>
      <c r="H110" s="19">
        <f t="shared" si="5"/>
        <v>0</v>
      </c>
      <c r="I110" s="20">
        <f t="shared" si="1"/>
        <v>0</v>
      </c>
      <c r="J110" s="21">
        <f t="shared" si="6"/>
        <v>0</v>
      </c>
      <c r="K110" s="22">
        <f t="shared" si="4"/>
        <v>0</v>
      </c>
    </row>
    <row r="111" spans="1:11" ht="12.75" x14ac:dyDescent="0.2">
      <c r="A111" s="24">
        <v>45660</v>
      </c>
      <c r="B111" s="25" t="s">
        <v>7</v>
      </c>
      <c r="C111" s="26"/>
      <c r="D111" s="27"/>
      <c r="E111" s="28"/>
      <c r="F111" s="28"/>
      <c r="G111" s="29"/>
      <c r="H111" s="19">
        <f t="shared" si="5"/>
        <v>0</v>
      </c>
      <c r="I111" s="20">
        <f t="shared" si="1"/>
        <v>0</v>
      </c>
      <c r="J111" s="21">
        <f t="shared" si="6"/>
        <v>0</v>
      </c>
      <c r="K111" s="22">
        <f t="shared" si="4"/>
        <v>0</v>
      </c>
    </row>
    <row r="112" spans="1:11" ht="12.75" x14ac:dyDescent="0.2">
      <c r="A112" s="30">
        <v>45663</v>
      </c>
      <c r="B112" s="31" t="s">
        <v>3</v>
      </c>
      <c r="C112" s="32"/>
      <c r="D112" s="33"/>
      <c r="E112" s="34"/>
      <c r="F112" s="34"/>
      <c r="G112" s="35"/>
      <c r="H112" s="19">
        <f t="shared" si="5"/>
        <v>0</v>
      </c>
      <c r="I112" s="20">
        <f t="shared" si="1"/>
        <v>0</v>
      </c>
      <c r="J112" s="21">
        <f t="shared" si="6"/>
        <v>0</v>
      </c>
      <c r="K112" s="22">
        <f t="shared" si="4"/>
        <v>0</v>
      </c>
    </row>
    <row r="113" spans="1:11" ht="12.75" x14ac:dyDescent="0.2">
      <c r="A113" s="30">
        <v>45664</v>
      </c>
      <c r="B113" s="31" t="s">
        <v>4</v>
      </c>
      <c r="C113" s="32"/>
      <c r="D113" s="33"/>
      <c r="E113" s="34"/>
      <c r="F113" s="34"/>
      <c r="G113" s="35"/>
      <c r="H113" s="19">
        <f t="shared" si="5"/>
        <v>0</v>
      </c>
      <c r="I113" s="20">
        <f t="shared" si="1"/>
        <v>0</v>
      </c>
      <c r="J113" s="21">
        <f t="shared" si="6"/>
        <v>0</v>
      </c>
      <c r="K113" s="22">
        <f t="shared" si="4"/>
        <v>0</v>
      </c>
    </row>
    <row r="114" spans="1:11" ht="38.25" x14ac:dyDescent="0.2">
      <c r="A114" s="13">
        <v>45665</v>
      </c>
      <c r="B114" s="14" t="s">
        <v>5</v>
      </c>
      <c r="C114" s="15">
        <v>0.90749999999999997</v>
      </c>
      <c r="D114" s="16"/>
      <c r="E114" s="17"/>
      <c r="F114" s="17" t="s">
        <v>72</v>
      </c>
      <c r="G114" s="18">
        <v>567</v>
      </c>
      <c r="H114" s="19">
        <f t="shared" si="5"/>
        <v>52.447499999999991</v>
      </c>
      <c r="I114" s="20">
        <f t="shared" si="1"/>
        <v>2884.6124999999993</v>
      </c>
      <c r="J114" s="21">
        <f t="shared" si="6"/>
        <v>28.350000000000023</v>
      </c>
      <c r="K114" s="22">
        <f t="shared" si="4"/>
        <v>-24.097499999999968</v>
      </c>
    </row>
    <row r="115" spans="1:11" ht="12.75" x14ac:dyDescent="0.2">
      <c r="A115" s="13">
        <v>45666</v>
      </c>
      <c r="B115" s="14" t="s">
        <v>6</v>
      </c>
      <c r="C115" s="15">
        <v>0.89880000000000004</v>
      </c>
      <c r="D115" s="16"/>
      <c r="E115" s="17"/>
      <c r="F115" s="17" t="s">
        <v>48</v>
      </c>
      <c r="G115" s="18">
        <v>568</v>
      </c>
      <c r="H115" s="19">
        <f t="shared" si="5"/>
        <v>57.481599999999958</v>
      </c>
      <c r="I115" s="20">
        <f t="shared" si="1"/>
        <v>3161.4879999999976</v>
      </c>
      <c r="J115" s="21">
        <f t="shared" si="6"/>
        <v>28.399999999999977</v>
      </c>
      <c r="K115" s="22">
        <f t="shared" si="4"/>
        <v>-29.08159999999998</v>
      </c>
    </row>
    <row r="116" spans="1:11" ht="63.75" x14ac:dyDescent="0.2">
      <c r="A116" s="13">
        <v>45667</v>
      </c>
      <c r="B116" s="14" t="s">
        <v>7</v>
      </c>
      <c r="C116" s="15">
        <v>0.88429999999999997</v>
      </c>
      <c r="D116" s="16"/>
      <c r="E116" s="17"/>
      <c r="F116" s="17" t="s">
        <v>73</v>
      </c>
      <c r="G116" s="18">
        <v>568</v>
      </c>
      <c r="H116" s="19">
        <f t="shared" si="5"/>
        <v>65.717600000000004</v>
      </c>
      <c r="I116" s="20">
        <f t="shared" si="1"/>
        <v>3614.4680000000003</v>
      </c>
      <c r="J116" s="21">
        <f t="shared" si="6"/>
        <v>28.399999999999977</v>
      </c>
      <c r="K116" s="22">
        <f t="shared" si="4"/>
        <v>-37.317600000000027</v>
      </c>
    </row>
    <row r="117" spans="1:11" ht="12.75" x14ac:dyDescent="0.2">
      <c r="A117" s="13">
        <v>45670</v>
      </c>
      <c r="B117" s="14" t="s">
        <v>3</v>
      </c>
      <c r="C117" s="15">
        <v>0.94799999999999995</v>
      </c>
      <c r="D117" s="16" t="s">
        <v>22</v>
      </c>
      <c r="E117" s="17"/>
      <c r="F117" s="17"/>
      <c r="G117" s="18">
        <v>571</v>
      </c>
      <c r="H117" s="19">
        <f t="shared" si="5"/>
        <v>29.692000000000007</v>
      </c>
      <c r="I117" s="20">
        <f t="shared" si="1"/>
        <v>1633.0600000000004</v>
      </c>
      <c r="J117" s="21">
        <f t="shared" si="6"/>
        <v>28.550000000000068</v>
      </c>
      <c r="K117" s="22">
        <f t="shared" si="4"/>
        <v>-1.1419999999999391</v>
      </c>
    </row>
    <row r="118" spans="1:11" ht="12.75" x14ac:dyDescent="0.2">
      <c r="A118" s="13">
        <v>45671</v>
      </c>
      <c r="B118" s="14" t="s">
        <v>4</v>
      </c>
      <c r="C118" s="15">
        <v>0.95240000000000002</v>
      </c>
      <c r="D118" s="16" t="s">
        <v>22</v>
      </c>
      <c r="E118" s="17"/>
      <c r="F118" s="17"/>
      <c r="G118" s="18">
        <v>572</v>
      </c>
      <c r="H118" s="19">
        <f t="shared" si="5"/>
        <v>27.227200000000039</v>
      </c>
      <c r="I118" s="20">
        <f t="shared" si="1"/>
        <v>1497.4960000000021</v>
      </c>
      <c r="J118" s="21">
        <f t="shared" si="6"/>
        <v>28.600000000000023</v>
      </c>
      <c r="K118" s="22">
        <f t="shared" si="4"/>
        <v>1.3727999999999838</v>
      </c>
    </row>
    <row r="119" spans="1:11" ht="12.75" x14ac:dyDescent="0.2">
      <c r="A119" s="13">
        <v>45672</v>
      </c>
      <c r="B119" s="14" t="s">
        <v>5</v>
      </c>
      <c r="C119" s="15">
        <v>0.9446</v>
      </c>
      <c r="D119" s="16" t="s">
        <v>22</v>
      </c>
      <c r="E119" s="17"/>
      <c r="F119" s="17"/>
      <c r="G119" s="18">
        <v>571</v>
      </c>
      <c r="H119" s="19">
        <f t="shared" si="5"/>
        <v>31.633400000000051</v>
      </c>
      <c r="I119" s="20">
        <f t="shared" si="1"/>
        <v>1739.8370000000027</v>
      </c>
      <c r="J119" s="21">
        <f t="shared" si="6"/>
        <v>28.550000000000068</v>
      </c>
      <c r="K119" s="22">
        <f t="shared" si="4"/>
        <v>-3.0833999999999833</v>
      </c>
    </row>
    <row r="120" spans="1:11" ht="12.75" x14ac:dyDescent="0.2">
      <c r="A120" s="13">
        <v>45673</v>
      </c>
      <c r="B120" s="14" t="s">
        <v>6</v>
      </c>
      <c r="C120" s="15">
        <v>0.93469999999999998</v>
      </c>
      <c r="D120" s="16" t="s">
        <v>22</v>
      </c>
      <c r="E120" s="17"/>
      <c r="F120" s="17"/>
      <c r="G120" s="18">
        <v>572</v>
      </c>
      <c r="H120" s="19">
        <f t="shared" si="5"/>
        <v>37.351599999999962</v>
      </c>
      <c r="I120" s="20">
        <f t="shared" si="1"/>
        <v>2054.3379999999979</v>
      </c>
      <c r="J120" s="21">
        <f t="shared" si="6"/>
        <v>28.600000000000023</v>
      </c>
      <c r="K120" s="22">
        <f t="shared" si="4"/>
        <v>-8.7515999999999394</v>
      </c>
    </row>
    <row r="121" spans="1:11" ht="12.75" x14ac:dyDescent="0.2">
      <c r="A121" s="13">
        <v>45674</v>
      </c>
      <c r="B121" s="14" t="s">
        <v>7</v>
      </c>
      <c r="C121" s="15">
        <v>0.93020000000000003</v>
      </c>
      <c r="D121" s="16" t="s">
        <v>22</v>
      </c>
      <c r="E121" s="17"/>
      <c r="F121" s="17"/>
      <c r="G121" s="18">
        <v>571</v>
      </c>
      <c r="H121" s="19">
        <f t="shared" si="5"/>
        <v>39.855799999999931</v>
      </c>
      <c r="I121" s="20">
        <f t="shared" si="1"/>
        <v>2192.0689999999963</v>
      </c>
      <c r="J121" s="21">
        <f t="shared" si="6"/>
        <v>28.550000000000068</v>
      </c>
      <c r="K121" s="22">
        <f t="shared" si="4"/>
        <v>-11.305799999999863</v>
      </c>
    </row>
    <row r="122" spans="1:11" ht="12.75" x14ac:dyDescent="0.2">
      <c r="A122" s="24">
        <v>45677</v>
      </c>
      <c r="B122" s="25" t="s">
        <v>3</v>
      </c>
      <c r="C122" s="26"/>
      <c r="D122" s="27"/>
      <c r="E122" s="28"/>
      <c r="F122" s="28"/>
      <c r="G122" s="29"/>
      <c r="H122" s="19">
        <f t="shared" si="5"/>
        <v>0</v>
      </c>
      <c r="I122" s="20">
        <f t="shared" si="1"/>
        <v>0</v>
      </c>
      <c r="J122" s="21">
        <f t="shared" si="6"/>
        <v>0</v>
      </c>
      <c r="K122" s="22">
        <f t="shared" si="4"/>
        <v>0</v>
      </c>
    </row>
    <row r="123" spans="1:11" ht="25.5" x14ac:dyDescent="0.2">
      <c r="A123" s="13">
        <v>45678</v>
      </c>
      <c r="B123" s="14" t="s">
        <v>4</v>
      </c>
      <c r="C123" s="15"/>
      <c r="D123" s="16"/>
      <c r="E123" s="17"/>
      <c r="F123" s="17" t="s">
        <v>74</v>
      </c>
      <c r="H123" s="19">
        <f t="shared" si="5"/>
        <v>0</v>
      </c>
      <c r="I123" s="20">
        <f t="shared" si="1"/>
        <v>0</v>
      </c>
      <c r="J123" s="21">
        <f t="shared" si="6"/>
        <v>0</v>
      </c>
      <c r="K123" s="22">
        <f t="shared" si="4"/>
        <v>0</v>
      </c>
    </row>
    <row r="124" spans="1:11" ht="25.5" x14ac:dyDescent="0.2">
      <c r="A124" s="13">
        <v>45679</v>
      </c>
      <c r="B124" s="14" t="s">
        <v>5</v>
      </c>
      <c r="C124" s="15"/>
      <c r="D124" s="16"/>
      <c r="E124" s="17"/>
      <c r="F124" s="17" t="s">
        <v>74</v>
      </c>
      <c r="H124" s="19">
        <f t="shared" si="5"/>
        <v>0</v>
      </c>
      <c r="I124" s="20">
        <f t="shared" si="1"/>
        <v>0</v>
      </c>
      <c r="J124" s="21">
        <f t="shared" si="6"/>
        <v>0</v>
      </c>
      <c r="K124" s="22">
        <f t="shared" si="4"/>
        <v>0</v>
      </c>
    </row>
    <row r="125" spans="1:11" ht="38.25" x14ac:dyDescent="0.2">
      <c r="A125" s="13">
        <v>45680</v>
      </c>
      <c r="B125" s="14" t="s">
        <v>6</v>
      </c>
      <c r="C125" s="15">
        <v>0.81540000000000001</v>
      </c>
      <c r="D125" s="16" t="s">
        <v>75</v>
      </c>
      <c r="E125" s="17" t="s">
        <v>43</v>
      </c>
      <c r="F125" s="17" t="s">
        <v>76</v>
      </c>
      <c r="G125" s="18">
        <v>571</v>
      </c>
      <c r="H125" s="19">
        <f t="shared" si="5"/>
        <v>105.40659999999997</v>
      </c>
      <c r="I125" s="20">
        <f t="shared" si="1"/>
        <v>5797.3629999999985</v>
      </c>
      <c r="J125" s="21">
        <f t="shared" si="6"/>
        <v>28.550000000000068</v>
      </c>
      <c r="K125" s="22">
        <f t="shared" si="4"/>
        <v>-76.856599999999901</v>
      </c>
    </row>
    <row r="126" spans="1:11" ht="25.5" x14ac:dyDescent="0.2">
      <c r="A126" s="13">
        <v>45681</v>
      </c>
      <c r="B126" s="14" t="s">
        <v>7</v>
      </c>
      <c r="C126" s="15">
        <v>0.89470000000000005</v>
      </c>
      <c r="D126" s="16" t="s">
        <v>75</v>
      </c>
      <c r="E126" s="17" t="s">
        <v>77</v>
      </c>
      <c r="F126" s="17" t="s">
        <v>78</v>
      </c>
      <c r="G126" s="18">
        <v>571</v>
      </c>
      <c r="H126" s="19">
        <f t="shared" si="5"/>
        <v>60.126299999999958</v>
      </c>
      <c r="I126" s="20">
        <f t="shared" si="1"/>
        <v>3306.9464999999977</v>
      </c>
      <c r="J126" s="21">
        <f t="shared" si="6"/>
        <v>28.550000000000068</v>
      </c>
      <c r="K126" s="22">
        <f t="shared" si="4"/>
        <v>-31.57629999999989</v>
      </c>
    </row>
    <row r="127" spans="1:11" ht="12.75" x14ac:dyDescent="0.2">
      <c r="A127" s="13">
        <v>45684</v>
      </c>
      <c r="B127" s="14" t="s">
        <v>3</v>
      </c>
      <c r="C127" s="15">
        <v>0.93659999999999999</v>
      </c>
      <c r="D127" s="16"/>
      <c r="E127" s="17"/>
      <c r="F127" s="17"/>
      <c r="G127" s="18">
        <v>569</v>
      </c>
      <c r="H127" s="19">
        <f t="shared" si="5"/>
        <v>36.074600000000032</v>
      </c>
      <c r="I127" s="20">
        <f t="shared" si="1"/>
        <v>1984.1030000000019</v>
      </c>
      <c r="J127" s="21">
        <f t="shared" si="6"/>
        <v>28.450000000000045</v>
      </c>
      <c r="K127" s="22">
        <f t="shared" si="4"/>
        <v>-7.6245999999999867</v>
      </c>
    </row>
    <row r="128" spans="1:11" ht="12.75" x14ac:dyDescent="0.2">
      <c r="A128" s="13">
        <v>45685</v>
      </c>
      <c r="B128" s="14" t="s">
        <v>4</v>
      </c>
      <c r="C128" s="15">
        <v>0.92879999999999996</v>
      </c>
      <c r="D128" s="16" t="s">
        <v>79</v>
      </c>
      <c r="E128" s="17"/>
      <c r="F128" s="17"/>
      <c r="G128" s="18">
        <v>569</v>
      </c>
      <c r="H128" s="19">
        <f t="shared" si="5"/>
        <v>40.51279999999997</v>
      </c>
      <c r="I128" s="20">
        <f t="shared" si="1"/>
        <v>2228.2039999999984</v>
      </c>
      <c r="J128" s="21">
        <f t="shared" si="6"/>
        <v>28.450000000000045</v>
      </c>
      <c r="K128" s="22">
        <f t="shared" si="4"/>
        <v>-12.062799999999925</v>
      </c>
    </row>
    <row r="129" spans="1:11" ht="12.75" x14ac:dyDescent="0.2">
      <c r="A129" s="13">
        <v>45686</v>
      </c>
      <c r="B129" s="14" t="s">
        <v>5</v>
      </c>
      <c r="C129" s="15">
        <v>0.90529999999999999</v>
      </c>
      <c r="D129" s="16"/>
      <c r="E129" s="17"/>
      <c r="F129" s="17"/>
      <c r="G129" s="18">
        <v>569</v>
      </c>
      <c r="H129" s="19">
        <f t="shared" si="5"/>
        <v>53.884300000000053</v>
      </c>
      <c r="I129" s="20">
        <f t="shared" si="1"/>
        <v>2963.6365000000028</v>
      </c>
      <c r="J129" s="21">
        <f t="shared" si="6"/>
        <v>28.450000000000045</v>
      </c>
      <c r="K129" s="22">
        <f t="shared" si="4"/>
        <v>-25.434300000000007</v>
      </c>
    </row>
    <row r="130" spans="1:11" ht="12.75" x14ac:dyDescent="0.2">
      <c r="A130" s="13">
        <v>45687</v>
      </c>
      <c r="B130" s="14" t="s">
        <v>6</v>
      </c>
      <c r="C130" s="15">
        <v>0.94099999999999995</v>
      </c>
      <c r="D130" s="16" t="s">
        <v>22</v>
      </c>
      <c r="E130" s="17"/>
      <c r="F130" s="17"/>
      <c r="G130" s="18">
        <v>569</v>
      </c>
      <c r="H130" s="19">
        <f t="shared" si="5"/>
        <v>33.571000000000026</v>
      </c>
      <c r="I130" s="20">
        <f t="shared" si="1"/>
        <v>1846.4050000000016</v>
      </c>
      <c r="J130" s="21">
        <f t="shared" si="6"/>
        <v>28.450000000000045</v>
      </c>
      <c r="K130" s="22">
        <f t="shared" si="4"/>
        <v>-5.1209999999999809</v>
      </c>
    </row>
    <row r="131" spans="1:11" ht="12.75" x14ac:dyDescent="0.2">
      <c r="A131" s="13">
        <v>45688</v>
      </c>
      <c r="B131" s="14" t="s">
        <v>7</v>
      </c>
      <c r="C131" s="15">
        <v>0.92630000000000001</v>
      </c>
      <c r="D131" s="16"/>
      <c r="E131" s="17"/>
      <c r="F131" s="17"/>
      <c r="G131" s="18">
        <v>568</v>
      </c>
      <c r="H131" s="19">
        <f t="shared" si="5"/>
        <v>41.861599999999953</v>
      </c>
      <c r="I131" s="20">
        <f t="shared" si="1"/>
        <v>2302.3879999999972</v>
      </c>
      <c r="J131" s="21">
        <f t="shared" si="6"/>
        <v>28.399999999999977</v>
      </c>
      <c r="K131" s="22">
        <f t="shared" si="4"/>
        <v>-13.461599999999976</v>
      </c>
    </row>
    <row r="132" spans="1:11" ht="25.5" x14ac:dyDescent="0.2">
      <c r="A132" s="13">
        <v>45691</v>
      </c>
      <c r="B132" s="14" t="s">
        <v>3</v>
      </c>
      <c r="C132" s="15">
        <v>0.77429999999999999</v>
      </c>
      <c r="D132" s="16" t="s">
        <v>75</v>
      </c>
      <c r="E132" s="17"/>
      <c r="F132" s="17" t="s">
        <v>80</v>
      </c>
      <c r="G132" s="18">
        <v>567</v>
      </c>
      <c r="H132" s="19">
        <f t="shared" si="5"/>
        <v>127.97190000000001</v>
      </c>
      <c r="I132" s="20">
        <f t="shared" si="1"/>
        <v>7038.4544999999998</v>
      </c>
      <c r="J132" s="21">
        <f t="shared" si="6"/>
        <v>28.350000000000023</v>
      </c>
      <c r="K132" s="22">
        <f t="shared" si="4"/>
        <v>-99.621899999999982</v>
      </c>
    </row>
    <row r="133" spans="1:11" ht="12.75" x14ac:dyDescent="0.2">
      <c r="A133" s="13">
        <v>45692</v>
      </c>
      <c r="B133" s="14" t="s">
        <v>4</v>
      </c>
      <c r="C133" s="15">
        <v>0.94420000000000004</v>
      </c>
      <c r="D133" s="16"/>
      <c r="E133" s="17"/>
      <c r="F133" s="17"/>
      <c r="G133" s="18">
        <v>568</v>
      </c>
      <c r="H133" s="19">
        <f t="shared" si="5"/>
        <v>31.694399999999973</v>
      </c>
      <c r="I133" s="20">
        <f t="shared" si="1"/>
        <v>1743.1919999999986</v>
      </c>
      <c r="J133" s="21">
        <f t="shared" si="6"/>
        <v>28.399999999999977</v>
      </c>
      <c r="K133" s="22">
        <f t="shared" si="4"/>
        <v>-3.294399999999996</v>
      </c>
    </row>
    <row r="134" spans="1:11" ht="12.75" x14ac:dyDescent="0.2">
      <c r="A134" s="13">
        <v>45693</v>
      </c>
      <c r="B134" s="14" t="s">
        <v>5</v>
      </c>
      <c r="C134" s="15">
        <v>0.94310000000000005</v>
      </c>
      <c r="D134" s="16"/>
      <c r="E134" s="17"/>
      <c r="F134" s="17"/>
      <c r="G134" s="18">
        <v>568</v>
      </c>
      <c r="H134" s="19">
        <f t="shared" si="5"/>
        <v>32.319200000000023</v>
      </c>
      <c r="I134" s="20">
        <f t="shared" si="1"/>
        <v>1777.5560000000014</v>
      </c>
      <c r="J134" s="21">
        <f t="shared" si="6"/>
        <v>28.399999999999977</v>
      </c>
      <c r="K134" s="22">
        <f t="shared" si="4"/>
        <v>-3.9192000000000462</v>
      </c>
    </row>
    <row r="135" spans="1:11" ht="38.25" x14ac:dyDescent="0.2">
      <c r="A135" s="13">
        <v>45694</v>
      </c>
      <c r="B135" s="14" t="s">
        <v>6</v>
      </c>
      <c r="C135" s="15">
        <v>0.94979999999999998</v>
      </c>
      <c r="D135" s="16"/>
      <c r="E135" s="17"/>
      <c r="F135" s="17" t="s">
        <v>81</v>
      </c>
      <c r="G135" s="18">
        <v>570</v>
      </c>
      <c r="H135" s="19">
        <f t="shared" si="5"/>
        <v>28.614000000000033</v>
      </c>
      <c r="I135" s="20">
        <f t="shared" si="1"/>
        <v>1573.7700000000018</v>
      </c>
      <c r="J135" s="21">
        <f t="shared" si="6"/>
        <v>28.5</v>
      </c>
      <c r="K135" s="22">
        <f t="shared" si="4"/>
        <v>-0.11400000000003274</v>
      </c>
    </row>
    <row r="136" spans="1:11" ht="12.75" x14ac:dyDescent="0.2">
      <c r="A136" s="13">
        <v>45695</v>
      </c>
      <c r="B136" s="14" t="s">
        <v>7</v>
      </c>
      <c r="C136" s="15">
        <v>0.91410000000000002</v>
      </c>
      <c r="D136" s="16"/>
      <c r="E136" s="17"/>
      <c r="F136" s="17"/>
      <c r="G136" s="18">
        <v>570</v>
      </c>
      <c r="H136" s="19">
        <f t="shared" si="5"/>
        <v>48.962999999999965</v>
      </c>
      <c r="I136" s="20">
        <f t="shared" si="1"/>
        <v>2692.9649999999983</v>
      </c>
      <c r="J136" s="21">
        <f t="shared" si="6"/>
        <v>28.5</v>
      </c>
      <c r="K136" s="22">
        <f t="shared" si="4"/>
        <v>-20.462999999999965</v>
      </c>
    </row>
    <row r="137" spans="1:11" ht="12.75" x14ac:dyDescent="0.2">
      <c r="A137" s="30">
        <v>45698</v>
      </c>
      <c r="B137" s="31" t="s">
        <v>3</v>
      </c>
      <c r="C137" s="32"/>
      <c r="D137" s="33"/>
      <c r="E137" s="34"/>
      <c r="F137" s="34"/>
      <c r="G137" s="35"/>
      <c r="H137" s="19">
        <f t="shared" si="5"/>
        <v>0</v>
      </c>
      <c r="I137" s="20">
        <f t="shared" si="1"/>
        <v>0</v>
      </c>
      <c r="J137" s="21">
        <f t="shared" si="6"/>
        <v>0</v>
      </c>
      <c r="K137" s="22">
        <f t="shared" si="4"/>
        <v>0</v>
      </c>
    </row>
    <row r="138" spans="1:11" ht="12.75" x14ac:dyDescent="0.2">
      <c r="A138" s="30">
        <v>45699</v>
      </c>
      <c r="B138" s="31" t="s">
        <v>4</v>
      </c>
      <c r="C138" s="32"/>
      <c r="D138" s="33"/>
      <c r="E138" s="34"/>
      <c r="F138" s="34"/>
      <c r="G138" s="35"/>
      <c r="H138" s="19">
        <f t="shared" si="5"/>
        <v>0</v>
      </c>
      <c r="I138" s="20">
        <f t="shared" si="1"/>
        <v>0</v>
      </c>
      <c r="J138" s="21">
        <f t="shared" si="6"/>
        <v>0</v>
      </c>
      <c r="K138" s="22">
        <f t="shared" si="4"/>
        <v>0</v>
      </c>
    </row>
    <row r="139" spans="1:11" ht="12.75" x14ac:dyDescent="0.2">
      <c r="A139" s="13">
        <v>45700</v>
      </c>
      <c r="B139" s="14" t="s">
        <v>5</v>
      </c>
      <c r="C139" s="15">
        <v>0.93530000000000002</v>
      </c>
      <c r="D139" s="16"/>
      <c r="E139" s="17"/>
      <c r="F139" s="17"/>
      <c r="G139" s="18">
        <v>570</v>
      </c>
      <c r="H139" s="19">
        <f t="shared" si="5"/>
        <v>36.879000000000019</v>
      </c>
      <c r="I139" s="20">
        <f t="shared" si="1"/>
        <v>2028.3450000000012</v>
      </c>
      <c r="J139" s="21">
        <f t="shared" si="6"/>
        <v>28.5</v>
      </c>
      <c r="K139" s="22">
        <f t="shared" si="4"/>
        <v>-8.3790000000000191</v>
      </c>
    </row>
    <row r="140" spans="1:11" ht="12.75" x14ac:dyDescent="0.2">
      <c r="A140" s="13">
        <v>45701</v>
      </c>
      <c r="B140" s="14" t="s">
        <v>6</v>
      </c>
      <c r="C140" s="15">
        <v>0.92969999999999997</v>
      </c>
      <c r="D140" s="16"/>
      <c r="E140" s="17"/>
      <c r="F140" s="17"/>
      <c r="G140" s="18">
        <v>570</v>
      </c>
      <c r="H140" s="19">
        <f t="shared" si="5"/>
        <v>40.071000000000026</v>
      </c>
      <c r="I140" s="20">
        <f t="shared" si="1"/>
        <v>2203.9050000000016</v>
      </c>
      <c r="J140" s="21">
        <f t="shared" si="6"/>
        <v>28.5</v>
      </c>
      <c r="K140" s="22">
        <f t="shared" si="4"/>
        <v>-11.571000000000026</v>
      </c>
    </row>
    <row r="141" spans="1:11" ht="12.75" x14ac:dyDescent="0.2">
      <c r="A141" s="13">
        <v>45702</v>
      </c>
      <c r="B141" s="14" t="s">
        <v>7</v>
      </c>
      <c r="C141" s="15">
        <v>0.93189999999999995</v>
      </c>
      <c r="D141" s="16"/>
      <c r="E141" s="17"/>
      <c r="F141" s="17"/>
      <c r="G141" s="18">
        <v>570</v>
      </c>
      <c r="H141" s="19">
        <f t="shared" si="5"/>
        <v>38.817000000000007</v>
      </c>
      <c r="I141" s="20">
        <f t="shared" si="1"/>
        <v>2134.9350000000004</v>
      </c>
      <c r="J141" s="21">
        <f t="shared" si="6"/>
        <v>28.5</v>
      </c>
      <c r="K141" s="22">
        <f t="shared" si="4"/>
        <v>-10.317000000000007</v>
      </c>
    </row>
    <row r="142" spans="1:11" ht="12.75" x14ac:dyDescent="0.2">
      <c r="A142" s="38">
        <v>45705</v>
      </c>
      <c r="B142" s="39" t="s">
        <v>3</v>
      </c>
      <c r="C142" s="40"/>
      <c r="D142" s="41"/>
      <c r="E142" s="42"/>
      <c r="F142" s="42"/>
      <c r="G142" s="43"/>
      <c r="H142" s="19">
        <f t="shared" si="5"/>
        <v>0</v>
      </c>
      <c r="I142" s="20">
        <f t="shared" si="1"/>
        <v>0</v>
      </c>
      <c r="J142" s="21">
        <f t="shared" si="6"/>
        <v>0</v>
      </c>
      <c r="K142" s="22">
        <f t="shared" si="4"/>
        <v>0</v>
      </c>
    </row>
    <row r="143" spans="1:11" ht="12.75" x14ac:dyDescent="0.2">
      <c r="A143" s="13">
        <v>45706</v>
      </c>
      <c r="B143" s="14" t="s">
        <v>4</v>
      </c>
      <c r="C143" s="15">
        <v>0.92400000000000004</v>
      </c>
      <c r="D143" s="16"/>
      <c r="E143" s="17"/>
      <c r="F143" s="17"/>
      <c r="G143" s="18">
        <v>570</v>
      </c>
      <c r="H143" s="19">
        <f t="shared" si="5"/>
        <v>43.319999999999936</v>
      </c>
      <c r="I143" s="20">
        <f t="shared" si="1"/>
        <v>2382.5999999999967</v>
      </c>
      <c r="J143" s="21">
        <f t="shared" si="6"/>
        <v>28.5</v>
      </c>
      <c r="K143" s="22">
        <f t="shared" si="4"/>
        <v>-14.819999999999936</v>
      </c>
    </row>
    <row r="144" spans="1:11" ht="12.75" x14ac:dyDescent="0.2">
      <c r="A144" s="13">
        <v>45707</v>
      </c>
      <c r="B144" s="14" t="s">
        <v>5</v>
      </c>
      <c r="C144" s="15">
        <v>0.91959999999999997</v>
      </c>
      <c r="D144" s="16"/>
      <c r="E144" s="17"/>
      <c r="F144" s="17"/>
      <c r="G144" s="18">
        <v>571</v>
      </c>
      <c r="H144" s="19">
        <f t="shared" si="5"/>
        <v>45.908400000000029</v>
      </c>
      <c r="I144" s="20">
        <f t="shared" si="1"/>
        <v>2524.9620000000014</v>
      </c>
      <c r="J144" s="21">
        <f t="shared" si="6"/>
        <v>28.550000000000068</v>
      </c>
      <c r="K144" s="22">
        <f t="shared" si="4"/>
        <v>-17.358399999999961</v>
      </c>
    </row>
    <row r="145" spans="1:11" ht="12.75" x14ac:dyDescent="0.2">
      <c r="A145" s="13">
        <v>45708</v>
      </c>
      <c r="B145" s="14" t="s">
        <v>6</v>
      </c>
      <c r="C145" s="15">
        <v>0.8538</v>
      </c>
      <c r="D145" s="16" t="s">
        <v>75</v>
      </c>
      <c r="E145" s="17" t="s">
        <v>43</v>
      </c>
      <c r="F145" s="17"/>
      <c r="G145" s="18">
        <v>571</v>
      </c>
      <c r="H145" s="19">
        <f t="shared" si="5"/>
        <v>83.480200000000025</v>
      </c>
      <c r="I145" s="20">
        <f t="shared" si="1"/>
        <v>4591.411000000001</v>
      </c>
      <c r="J145" s="21">
        <f t="shared" si="6"/>
        <v>28.550000000000068</v>
      </c>
      <c r="K145" s="22">
        <f t="shared" si="4"/>
        <v>-54.930199999999957</v>
      </c>
    </row>
    <row r="146" spans="1:11" ht="12.75" x14ac:dyDescent="0.2">
      <c r="A146" s="13">
        <v>45709</v>
      </c>
      <c r="B146" s="14" t="s">
        <v>7</v>
      </c>
      <c r="C146" s="15">
        <v>0.90400000000000003</v>
      </c>
      <c r="D146" s="16" t="s">
        <v>79</v>
      </c>
      <c r="E146" s="17"/>
      <c r="F146" s="17"/>
      <c r="G146" s="18">
        <v>571</v>
      </c>
      <c r="H146" s="19">
        <f t="shared" si="5"/>
        <v>54.816000000000031</v>
      </c>
      <c r="I146" s="20">
        <f t="shared" si="1"/>
        <v>3014.8800000000019</v>
      </c>
      <c r="J146" s="21">
        <f t="shared" si="6"/>
        <v>28.550000000000068</v>
      </c>
      <c r="K146" s="22">
        <f t="shared" si="4"/>
        <v>-26.265999999999963</v>
      </c>
    </row>
    <row r="147" spans="1:11" ht="12.75" x14ac:dyDescent="0.2">
      <c r="A147" s="13">
        <v>45712</v>
      </c>
      <c r="B147" s="14" t="s">
        <v>3</v>
      </c>
      <c r="C147" s="15">
        <v>0.94730000000000003</v>
      </c>
      <c r="D147" s="16" t="s">
        <v>79</v>
      </c>
      <c r="E147" s="17"/>
      <c r="F147" s="17" t="s">
        <v>82</v>
      </c>
      <c r="G147" s="18">
        <v>568</v>
      </c>
      <c r="H147" s="19">
        <f t="shared" si="5"/>
        <v>29.933599999999956</v>
      </c>
      <c r="I147" s="20">
        <f t="shared" si="1"/>
        <v>1646.3479999999977</v>
      </c>
      <c r="J147" s="21">
        <f t="shared" si="6"/>
        <v>28.399999999999977</v>
      </c>
      <c r="K147" s="22">
        <f t="shared" si="4"/>
        <v>-1.5335999999999785</v>
      </c>
    </row>
    <row r="148" spans="1:11" ht="12.75" x14ac:dyDescent="0.2">
      <c r="A148" s="13">
        <v>45713</v>
      </c>
      <c r="B148" s="14" t="s">
        <v>4</v>
      </c>
      <c r="C148" s="15">
        <v>0.93600000000000005</v>
      </c>
      <c r="D148" s="16"/>
      <c r="E148" s="17"/>
      <c r="F148" s="17"/>
      <c r="G148" s="18">
        <v>567</v>
      </c>
      <c r="H148" s="19">
        <f t="shared" si="5"/>
        <v>36.288000000000011</v>
      </c>
      <c r="I148" s="20">
        <f t="shared" si="1"/>
        <v>1995.8400000000006</v>
      </c>
      <c r="J148" s="21">
        <f t="shared" si="6"/>
        <v>28.350000000000023</v>
      </c>
      <c r="K148" s="22">
        <f t="shared" si="4"/>
        <v>-7.9379999999999882</v>
      </c>
    </row>
    <row r="149" spans="1:11" ht="12.75" x14ac:dyDescent="0.2">
      <c r="A149" s="13">
        <v>45714</v>
      </c>
      <c r="B149" s="14" t="s">
        <v>5</v>
      </c>
      <c r="C149" s="15">
        <v>0.91979999999999995</v>
      </c>
      <c r="D149" s="16"/>
      <c r="E149" s="17"/>
      <c r="F149" s="17"/>
      <c r="G149" s="18">
        <v>571</v>
      </c>
      <c r="H149" s="19">
        <f t="shared" si="5"/>
        <v>45.794200000000046</v>
      </c>
      <c r="I149" s="20">
        <f t="shared" si="1"/>
        <v>2518.6810000000023</v>
      </c>
      <c r="J149" s="21">
        <f t="shared" si="6"/>
        <v>28.550000000000068</v>
      </c>
      <c r="K149" s="22">
        <f t="shared" si="4"/>
        <v>-17.244199999999978</v>
      </c>
    </row>
    <row r="150" spans="1:11" ht="12.75" x14ac:dyDescent="0.2">
      <c r="A150" s="13">
        <v>45715</v>
      </c>
      <c r="B150" s="14" t="s">
        <v>6</v>
      </c>
      <c r="C150" s="15">
        <v>0.91759999999999997</v>
      </c>
      <c r="D150" s="16"/>
      <c r="E150" s="17"/>
      <c r="F150" s="17"/>
      <c r="G150" s="18">
        <v>571</v>
      </c>
      <c r="H150" s="19">
        <f t="shared" si="5"/>
        <v>47.050399999999968</v>
      </c>
      <c r="I150" s="20">
        <f t="shared" si="1"/>
        <v>2587.7719999999981</v>
      </c>
      <c r="J150" s="21">
        <f t="shared" si="6"/>
        <v>28.550000000000068</v>
      </c>
      <c r="K150" s="22">
        <f t="shared" si="4"/>
        <v>-18.5003999999999</v>
      </c>
    </row>
    <row r="151" spans="1:11" ht="12.75" x14ac:dyDescent="0.2">
      <c r="A151" s="13">
        <v>45716</v>
      </c>
      <c r="B151" s="14" t="s">
        <v>7</v>
      </c>
      <c r="C151" s="15">
        <v>0.92869999999999997</v>
      </c>
      <c r="D151" s="16"/>
      <c r="E151" s="17"/>
      <c r="F151" s="17"/>
      <c r="G151" s="18">
        <v>571</v>
      </c>
      <c r="H151" s="19">
        <f t="shared" si="5"/>
        <v>40.712300000000027</v>
      </c>
      <c r="I151" s="20">
        <f t="shared" si="1"/>
        <v>2239.1765000000014</v>
      </c>
      <c r="J151" s="21">
        <f t="shared" si="6"/>
        <v>28.550000000000068</v>
      </c>
      <c r="K151" s="22">
        <f t="shared" si="4"/>
        <v>-12.162299999999959</v>
      </c>
    </row>
    <row r="152" spans="1:11" ht="12.75" x14ac:dyDescent="0.2">
      <c r="A152" s="13">
        <v>45719</v>
      </c>
      <c r="B152" s="14" t="s">
        <v>3</v>
      </c>
      <c r="C152" s="15">
        <v>0.91110000000000002</v>
      </c>
      <c r="D152" s="16"/>
      <c r="E152" s="17"/>
      <c r="F152" s="17"/>
      <c r="G152" s="18">
        <v>572</v>
      </c>
      <c r="H152" s="19">
        <f t="shared" si="5"/>
        <v>50.850799999999936</v>
      </c>
      <c r="I152" s="20">
        <f t="shared" si="1"/>
        <v>2796.7939999999962</v>
      </c>
      <c r="J152" s="21">
        <f t="shared" si="6"/>
        <v>28.600000000000023</v>
      </c>
      <c r="K152" s="22">
        <f t="shared" si="4"/>
        <v>-22.250799999999913</v>
      </c>
    </row>
    <row r="153" spans="1:11" ht="38.25" x14ac:dyDescent="0.2">
      <c r="A153" s="13">
        <v>45720</v>
      </c>
      <c r="B153" s="14" t="s">
        <v>4</v>
      </c>
      <c r="C153" s="15">
        <v>0.79139999999999999</v>
      </c>
      <c r="D153" s="16" t="s">
        <v>24</v>
      </c>
      <c r="E153" s="17" t="s">
        <v>43</v>
      </c>
      <c r="F153" s="17" t="s">
        <v>83</v>
      </c>
      <c r="G153" s="18">
        <v>572</v>
      </c>
      <c r="H153" s="19">
        <f t="shared" si="5"/>
        <v>119.31920000000002</v>
      </c>
      <c r="I153" s="20">
        <f t="shared" si="1"/>
        <v>6562.5560000000014</v>
      </c>
      <c r="J153" s="21">
        <f t="shared" si="6"/>
        <v>28.600000000000023</v>
      </c>
      <c r="K153" s="22">
        <f t="shared" si="4"/>
        <v>-90.719200000000001</v>
      </c>
    </row>
    <row r="154" spans="1:11" ht="12.75" x14ac:dyDescent="0.2">
      <c r="A154" s="13">
        <v>45721</v>
      </c>
      <c r="B154" s="14" t="s">
        <v>5</v>
      </c>
      <c r="C154" s="15">
        <v>0.91090000000000004</v>
      </c>
      <c r="D154" s="16" t="s">
        <v>79</v>
      </c>
      <c r="E154" s="17"/>
      <c r="F154" s="17"/>
      <c r="G154" s="18">
        <v>571</v>
      </c>
      <c r="H154" s="19">
        <f t="shared" si="5"/>
        <v>50.876099999999951</v>
      </c>
      <c r="I154" s="20">
        <f t="shared" si="1"/>
        <v>2798.1854999999973</v>
      </c>
      <c r="J154" s="21">
        <f t="shared" si="6"/>
        <v>28.550000000000068</v>
      </c>
      <c r="K154" s="22">
        <f t="shared" si="4"/>
        <v>-22.326099999999883</v>
      </c>
    </row>
    <row r="155" spans="1:11" ht="12.75" x14ac:dyDescent="0.2">
      <c r="A155" s="13">
        <v>45722</v>
      </c>
      <c r="B155" s="14" t="s">
        <v>6</v>
      </c>
      <c r="C155" s="15">
        <v>0.92320000000000002</v>
      </c>
      <c r="D155" s="16" t="s">
        <v>79</v>
      </c>
      <c r="E155" s="17"/>
      <c r="F155" s="17"/>
      <c r="G155" s="18">
        <v>571</v>
      </c>
      <c r="H155" s="19">
        <f t="shared" si="5"/>
        <v>43.852800000000002</v>
      </c>
      <c r="I155" s="20">
        <f t="shared" si="1"/>
        <v>2411.904</v>
      </c>
      <c r="J155" s="21">
        <f t="shared" si="6"/>
        <v>28.550000000000068</v>
      </c>
      <c r="K155" s="22">
        <f t="shared" si="4"/>
        <v>-15.302799999999934</v>
      </c>
    </row>
    <row r="156" spans="1:11" ht="38.25" x14ac:dyDescent="0.2">
      <c r="A156" s="13">
        <v>45723</v>
      </c>
      <c r="B156" s="14" t="s">
        <v>7</v>
      </c>
      <c r="C156" s="15">
        <v>0.88639999999999997</v>
      </c>
      <c r="D156" s="16" t="s">
        <v>75</v>
      </c>
      <c r="E156" s="17"/>
      <c r="F156" s="17" t="s">
        <v>84</v>
      </c>
      <c r="G156" s="18">
        <v>571</v>
      </c>
      <c r="H156" s="19">
        <f t="shared" si="5"/>
        <v>64.865600000000029</v>
      </c>
      <c r="I156" s="20">
        <f t="shared" si="1"/>
        <v>3567.6080000000015</v>
      </c>
      <c r="J156" s="21">
        <f t="shared" si="6"/>
        <v>28.550000000000068</v>
      </c>
      <c r="K156" s="22">
        <f t="shared" si="4"/>
        <v>-36.315599999999961</v>
      </c>
    </row>
    <row r="157" spans="1:11" ht="38.25" x14ac:dyDescent="0.2">
      <c r="A157" s="44">
        <v>45726</v>
      </c>
      <c r="B157" s="45" t="s">
        <v>3</v>
      </c>
      <c r="C157" s="15">
        <v>0.87009999999999998</v>
      </c>
      <c r="D157" s="16" t="s">
        <v>75</v>
      </c>
      <c r="E157" s="17"/>
      <c r="F157" s="17" t="s">
        <v>85</v>
      </c>
      <c r="G157" s="18">
        <v>573</v>
      </c>
      <c r="H157" s="19">
        <f t="shared" si="5"/>
        <v>74.432700000000011</v>
      </c>
      <c r="I157" s="20">
        <f t="shared" si="1"/>
        <v>4093.7985000000008</v>
      </c>
      <c r="J157" s="21">
        <f t="shared" si="6"/>
        <v>28.649999999999977</v>
      </c>
      <c r="K157" s="22">
        <f t="shared" si="4"/>
        <v>-45.782700000000034</v>
      </c>
    </row>
    <row r="158" spans="1:11" ht="12.75" x14ac:dyDescent="0.2">
      <c r="A158" s="44">
        <v>45727</v>
      </c>
      <c r="B158" s="45" t="s">
        <v>4</v>
      </c>
      <c r="C158" s="15">
        <v>0.91120000000000001</v>
      </c>
      <c r="D158" s="16" t="s">
        <v>79</v>
      </c>
      <c r="E158" s="17"/>
      <c r="F158" s="17"/>
      <c r="G158" s="18">
        <v>573</v>
      </c>
      <c r="H158" s="19">
        <f t="shared" si="5"/>
        <v>50.882399999999961</v>
      </c>
      <c r="I158" s="20">
        <f t="shared" si="1"/>
        <v>2798.5319999999979</v>
      </c>
      <c r="J158" s="21">
        <f t="shared" si="6"/>
        <v>28.649999999999977</v>
      </c>
      <c r="K158" s="22">
        <f t="shared" si="4"/>
        <v>-22.232399999999984</v>
      </c>
    </row>
    <row r="159" spans="1:11" ht="12.75" x14ac:dyDescent="0.2">
      <c r="A159" s="44">
        <v>45728</v>
      </c>
      <c r="B159" s="45" t="s">
        <v>5</v>
      </c>
      <c r="C159" s="15"/>
      <c r="D159" s="16"/>
      <c r="E159" s="17"/>
      <c r="F159" s="17"/>
      <c r="H159" s="19">
        <f t="shared" si="5"/>
        <v>0</v>
      </c>
      <c r="I159" s="20">
        <f t="shared" si="1"/>
        <v>0</v>
      </c>
      <c r="J159" s="21">
        <f t="shared" si="6"/>
        <v>0</v>
      </c>
      <c r="K159" s="22">
        <f t="shared" si="4"/>
        <v>0</v>
      </c>
    </row>
    <row r="160" spans="1:11" ht="12.75" x14ac:dyDescent="0.2">
      <c r="A160" s="44">
        <v>45729</v>
      </c>
      <c r="B160" s="45" t="s">
        <v>6</v>
      </c>
      <c r="C160" s="15"/>
      <c r="D160" s="16"/>
      <c r="E160" s="17"/>
      <c r="F160" s="17"/>
      <c r="H160" s="19">
        <f t="shared" si="5"/>
        <v>0</v>
      </c>
      <c r="I160" s="20">
        <f t="shared" si="1"/>
        <v>0</v>
      </c>
      <c r="J160" s="21">
        <f t="shared" si="6"/>
        <v>0</v>
      </c>
      <c r="K160" s="22">
        <f t="shared" si="4"/>
        <v>0</v>
      </c>
    </row>
    <row r="161" spans="1:11" ht="12.75" x14ac:dyDescent="0.2">
      <c r="A161" s="44">
        <v>45730</v>
      </c>
      <c r="B161" s="45" t="s">
        <v>7</v>
      </c>
      <c r="C161" s="15"/>
      <c r="D161" s="16"/>
      <c r="E161" s="17"/>
      <c r="F161" s="17"/>
      <c r="H161" s="19">
        <f t="shared" si="5"/>
        <v>0</v>
      </c>
      <c r="I161" s="20">
        <f t="shared" si="1"/>
        <v>0</v>
      </c>
      <c r="J161" s="21">
        <f t="shared" si="6"/>
        <v>0</v>
      </c>
      <c r="K161" s="22">
        <f t="shared" si="4"/>
        <v>0</v>
      </c>
    </row>
    <row r="162" spans="1:11" ht="12.75" x14ac:dyDescent="0.2">
      <c r="A162" s="24">
        <v>45733</v>
      </c>
      <c r="B162" s="25" t="s">
        <v>3</v>
      </c>
      <c r="C162" s="26"/>
      <c r="D162" s="27"/>
      <c r="E162" s="28"/>
      <c r="F162" s="28"/>
      <c r="G162" s="29"/>
      <c r="H162" s="19">
        <f t="shared" si="5"/>
        <v>0</v>
      </c>
      <c r="I162" s="20">
        <f t="shared" si="1"/>
        <v>0</v>
      </c>
      <c r="J162" s="21">
        <f t="shared" si="6"/>
        <v>0</v>
      </c>
      <c r="K162" s="22">
        <f t="shared" si="4"/>
        <v>0</v>
      </c>
    </row>
    <row r="163" spans="1:11" ht="12.75" x14ac:dyDescent="0.2">
      <c r="A163" s="24">
        <v>45734</v>
      </c>
      <c r="B163" s="25" t="s">
        <v>4</v>
      </c>
      <c r="C163" s="26"/>
      <c r="D163" s="27"/>
      <c r="E163" s="28"/>
      <c r="F163" s="28"/>
      <c r="G163" s="29"/>
      <c r="H163" s="19">
        <f t="shared" si="5"/>
        <v>0</v>
      </c>
      <c r="I163" s="20">
        <f t="shared" si="1"/>
        <v>0</v>
      </c>
      <c r="J163" s="21">
        <f t="shared" si="6"/>
        <v>0</v>
      </c>
      <c r="K163" s="22">
        <f t="shared" si="4"/>
        <v>0</v>
      </c>
    </row>
    <row r="164" spans="1:11" ht="12.75" x14ac:dyDescent="0.2">
      <c r="A164" s="24">
        <v>45735</v>
      </c>
      <c r="B164" s="25" t="s">
        <v>5</v>
      </c>
      <c r="C164" s="26"/>
      <c r="D164" s="27"/>
      <c r="E164" s="28"/>
      <c r="F164" s="28"/>
      <c r="G164" s="29"/>
      <c r="H164" s="19">
        <f t="shared" si="5"/>
        <v>0</v>
      </c>
      <c r="I164" s="20">
        <f t="shared" si="1"/>
        <v>0</v>
      </c>
      <c r="J164" s="21">
        <f t="shared" si="6"/>
        <v>0</v>
      </c>
      <c r="K164" s="22">
        <f t="shared" si="4"/>
        <v>0</v>
      </c>
    </row>
    <row r="165" spans="1:11" ht="12.75" x14ac:dyDescent="0.2">
      <c r="A165" s="24">
        <v>45736</v>
      </c>
      <c r="B165" s="25" t="s">
        <v>6</v>
      </c>
      <c r="C165" s="26"/>
      <c r="D165" s="27"/>
      <c r="E165" s="28"/>
      <c r="F165" s="28"/>
      <c r="G165" s="29"/>
      <c r="H165" s="19">
        <f t="shared" si="5"/>
        <v>0</v>
      </c>
      <c r="I165" s="20">
        <f t="shared" si="1"/>
        <v>0</v>
      </c>
      <c r="J165" s="21">
        <f t="shared" si="6"/>
        <v>0</v>
      </c>
      <c r="K165" s="22">
        <f t="shared" si="4"/>
        <v>0</v>
      </c>
    </row>
    <row r="166" spans="1:11" ht="12.75" x14ac:dyDescent="0.2">
      <c r="A166" s="24">
        <v>45737</v>
      </c>
      <c r="B166" s="25" t="s">
        <v>7</v>
      </c>
      <c r="C166" s="26"/>
      <c r="D166" s="27"/>
      <c r="E166" s="28"/>
      <c r="F166" s="28"/>
      <c r="G166" s="29"/>
      <c r="H166" s="19">
        <f t="shared" si="5"/>
        <v>0</v>
      </c>
      <c r="I166" s="20">
        <f t="shared" si="1"/>
        <v>0</v>
      </c>
      <c r="J166" s="21">
        <f t="shared" si="6"/>
        <v>0</v>
      </c>
      <c r="K166" s="22">
        <f t="shared" si="4"/>
        <v>0</v>
      </c>
    </row>
    <row r="167" spans="1:11" ht="12.75" x14ac:dyDescent="0.2">
      <c r="A167" s="13">
        <v>45740</v>
      </c>
      <c r="B167" s="14" t="s">
        <v>3</v>
      </c>
      <c r="C167" s="15"/>
      <c r="D167" s="16"/>
      <c r="E167" s="17"/>
      <c r="F167" s="17"/>
      <c r="H167" s="19">
        <f t="shared" si="5"/>
        <v>0</v>
      </c>
      <c r="I167" s="20">
        <f t="shared" si="1"/>
        <v>0</v>
      </c>
      <c r="J167" s="21">
        <f t="shared" si="6"/>
        <v>0</v>
      </c>
      <c r="K167" s="22">
        <f t="shared" si="4"/>
        <v>0</v>
      </c>
    </row>
    <row r="168" spans="1:11" ht="12.75" x14ac:dyDescent="0.2">
      <c r="A168" s="13">
        <v>45741</v>
      </c>
      <c r="B168" s="14" t="s">
        <v>4</v>
      </c>
      <c r="C168" s="15"/>
      <c r="D168" s="16"/>
      <c r="E168" s="17"/>
      <c r="F168" s="17"/>
      <c r="H168" s="19">
        <f t="shared" si="5"/>
        <v>0</v>
      </c>
      <c r="I168" s="20">
        <f t="shared" si="1"/>
        <v>0</v>
      </c>
      <c r="J168" s="21">
        <f t="shared" si="6"/>
        <v>0</v>
      </c>
      <c r="K168" s="22">
        <f t="shared" si="4"/>
        <v>0</v>
      </c>
    </row>
    <row r="169" spans="1:11" ht="12.75" x14ac:dyDescent="0.2">
      <c r="A169" s="13">
        <v>45742</v>
      </c>
      <c r="B169" s="14" t="s">
        <v>5</v>
      </c>
      <c r="C169" s="15"/>
      <c r="D169" s="16"/>
      <c r="E169" s="17"/>
      <c r="F169" s="17"/>
      <c r="H169" s="19">
        <f t="shared" si="5"/>
        <v>0</v>
      </c>
      <c r="I169" s="20">
        <f t="shared" si="1"/>
        <v>0</v>
      </c>
      <c r="J169" s="21">
        <f t="shared" si="6"/>
        <v>0</v>
      </c>
      <c r="K169" s="22">
        <f t="shared" si="4"/>
        <v>0</v>
      </c>
    </row>
    <row r="170" spans="1:11" ht="12.75" x14ac:dyDescent="0.2">
      <c r="A170" s="13">
        <v>45743</v>
      </c>
      <c r="B170" s="14" t="s">
        <v>6</v>
      </c>
      <c r="C170" s="15"/>
      <c r="D170" s="16"/>
      <c r="E170" s="17"/>
      <c r="F170" s="17"/>
      <c r="H170" s="19">
        <f t="shared" si="5"/>
        <v>0</v>
      </c>
      <c r="I170" s="20">
        <f t="shared" si="1"/>
        <v>0</v>
      </c>
      <c r="J170" s="21">
        <f t="shared" si="6"/>
        <v>0</v>
      </c>
      <c r="K170" s="22">
        <f t="shared" si="4"/>
        <v>0</v>
      </c>
    </row>
    <row r="171" spans="1:11" ht="12.75" x14ac:dyDescent="0.2">
      <c r="A171" s="13">
        <v>45744</v>
      </c>
      <c r="B171" s="14" t="s">
        <v>7</v>
      </c>
      <c r="C171" s="15"/>
      <c r="D171" s="16"/>
      <c r="E171" s="17"/>
      <c r="F171" s="17"/>
      <c r="H171" s="19">
        <f t="shared" si="5"/>
        <v>0</v>
      </c>
      <c r="I171" s="20">
        <f t="shared" si="1"/>
        <v>0</v>
      </c>
      <c r="J171" s="21">
        <f t="shared" si="6"/>
        <v>0</v>
      </c>
      <c r="K171" s="22">
        <f t="shared" si="4"/>
        <v>0</v>
      </c>
    </row>
    <row r="172" spans="1:11" ht="12.75" x14ac:dyDescent="0.2">
      <c r="A172" s="13">
        <v>45747</v>
      </c>
      <c r="B172" s="14" t="s">
        <v>3</v>
      </c>
      <c r="C172" s="15"/>
      <c r="D172" s="16"/>
      <c r="E172" s="17"/>
      <c r="F172" s="17"/>
      <c r="H172" s="19">
        <f t="shared" si="5"/>
        <v>0</v>
      </c>
      <c r="I172" s="20">
        <f t="shared" si="1"/>
        <v>0</v>
      </c>
      <c r="J172" s="21">
        <f t="shared" si="6"/>
        <v>0</v>
      </c>
      <c r="K172" s="22">
        <f t="shared" si="4"/>
        <v>0</v>
      </c>
    </row>
    <row r="173" spans="1:11" ht="12.75" x14ac:dyDescent="0.2">
      <c r="A173" s="13">
        <v>45748</v>
      </c>
      <c r="B173" s="14" t="s">
        <v>4</v>
      </c>
      <c r="C173" s="15"/>
      <c r="D173" s="16"/>
      <c r="E173" s="17"/>
      <c r="F173" s="17"/>
      <c r="H173" s="19">
        <f t="shared" si="5"/>
        <v>0</v>
      </c>
      <c r="I173" s="20">
        <f t="shared" si="1"/>
        <v>0</v>
      </c>
      <c r="J173" s="21">
        <f t="shared" si="6"/>
        <v>0</v>
      </c>
      <c r="K173" s="22">
        <f t="shared" si="4"/>
        <v>0</v>
      </c>
    </row>
    <row r="174" spans="1:11" ht="12.75" x14ac:dyDescent="0.2">
      <c r="A174" s="13">
        <v>45749</v>
      </c>
      <c r="B174" s="14" t="s">
        <v>5</v>
      </c>
      <c r="C174" s="15"/>
      <c r="D174" s="16"/>
      <c r="E174" s="17"/>
      <c r="F174" s="17"/>
      <c r="H174" s="19">
        <f t="shared" si="5"/>
        <v>0</v>
      </c>
      <c r="I174" s="20">
        <f t="shared" si="1"/>
        <v>0</v>
      </c>
      <c r="J174" s="21">
        <f t="shared" si="6"/>
        <v>0</v>
      </c>
      <c r="K174" s="22">
        <f t="shared" si="4"/>
        <v>0</v>
      </c>
    </row>
    <row r="175" spans="1:11" ht="12.75" x14ac:dyDescent="0.2">
      <c r="A175" s="13">
        <v>45750</v>
      </c>
      <c r="B175" s="14" t="s">
        <v>6</v>
      </c>
      <c r="C175" s="15"/>
      <c r="D175" s="16"/>
      <c r="E175" s="17"/>
      <c r="F175" s="17"/>
      <c r="H175" s="19">
        <f t="shared" si="5"/>
        <v>0</v>
      </c>
      <c r="I175" s="20">
        <f t="shared" si="1"/>
        <v>0</v>
      </c>
      <c r="J175" s="21">
        <f t="shared" si="6"/>
        <v>0</v>
      </c>
      <c r="K175" s="22">
        <f t="shared" si="4"/>
        <v>0</v>
      </c>
    </row>
    <row r="176" spans="1:11" ht="12.75" x14ac:dyDescent="0.2">
      <c r="A176" s="13">
        <v>45751</v>
      </c>
      <c r="B176" s="14" t="s">
        <v>7</v>
      </c>
      <c r="C176" s="15"/>
      <c r="D176" s="16"/>
      <c r="E176" s="17"/>
      <c r="F176" s="17"/>
      <c r="H176" s="19">
        <f t="shared" si="5"/>
        <v>0</v>
      </c>
      <c r="I176" s="20">
        <f t="shared" si="1"/>
        <v>0</v>
      </c>
      <c r="J176" s="21">
        <f t="shared" si="6"/>
        <v>0</v>
      </c>
      <c r="K176" s="22">
        <f t="shared" si="4"/>
        <v>0</v>
      </c>
    </row>
    <row r="177" spans="1:11" ht="12.75" x14ac:dyDescent="0.2">
      <c r="A177" s="13">
        <v>45754</v>
      </c>
      <c r="B177" s="14" t="s">
        <v>3</v>
      </c>
      <c r="C177" s="15"/>
      <c r="D177" s="16"/>
      <c r="E177" s="17"/>
      <c r="F177" s="17"/>
      <c r="H177" s="19">
        <f t="shared" si="5"/>
        <v>0</v>
      </c>
      <c r="I177" s="20">
        <f t="shared" si="1"/>
        <v>0</v>
      </c>
      <c r="J177" s="21">
        <f t="shared" si="6"/>
        <v>0</v>
      </c>
      <c r="K177" s="22">
        <f t="shared" si="4"/>
        <v>0</v>
      </c>
    </row>
    <row r="178" spans="1:11" ht="12.75" x14ac:dyDescent="0.2">
      <c r="A178" s="13">
        <v>45755</v>
      </c>
      <c r="B178" s="14" t="s">
        <v>4</v>
      </c>
      <c r="C178" s="15"/>
      <c r="D178" s="16"/>
      <c r="E178" s="17"/>
      <c r="F178" s="17"/>
      <c r="H178" s="19">
        <f t="shared" si="5"/>
        <v>0</v>
      </c>
      <c r="I178" s="20">
        <f t="shared" si="1"/>
        <v>0</v>
      </c>
      <c r="J178" s="21">
        <f t="shared" si="6"/>
        <v>0</v>
      </c>
      <c r="K178" s="22">
        <f t="shared" si="4"/>
        <v>0</v>
      </c>
    </row>
    <row r="179" spans="1:11" ht="12.75" x14ac:dyDescent="0.2">
      <c r="A179" s="13">
        <v>45756</v>
      </c>
      <c r="B179" s="14" t="s">
        <v>5</v>
      </c>
      <c r="C179" s="15"/>
      <c r="D179" s="16"/>
      <c r="E179" s="17"/>
      <c r="F179" s="17"/>
      <c r="H179" s="19">
        <f t="shared" si="5"/>
        <v>0</v>
      </c>
      <c r="I179" s="20">
        <f t="shared" si="1"/>
        <v>0</v>
      </c>
      <c r="J179" s="21">
        <f t="shared" si="6"/>
        <v>0</v>
      </c>
      <c r="K179" s="22">
        <f t="shared" si="4"/>
        <v>0</v>
      </c>
    </row>
    <row r="180" spans="1:11" ht="12.75" x14ac:dyDescent="0.2">
      <c r="A180" s="13">
        <v>45757</v>
      </c>
      <c r="B180" s="14" t="s">
        <v>6</v>
      </c>
      <c r="C180" s="15"/>
      <c r="D180" s="16"/>
      <c r="E180" s="17"/>
      <c r="F180" s="17"/>
      <c r="H180" s="19">
        <f t="shared" si="5"/>
        <v>0</v>
      </c>
      <c r="I180" s="20">
        <f t="shared" si="1"/>
        <v>0</v>
      </c>
      <c r="J180" s="21">
        <f t="shared" si="6"/>
        <v>0</v>
      </c>
      <c r="K180" s="22">
        <f t="shared" si="4"/>
        <v>0</v>
      </c>
    </row>
    <row r="181" spans="1:11" ht="12.75" x14ac:dyDescent="0.2">
      <c r="A181" s="13">
        <v>45758</v>
      </c>
      <c r="B181" s="14" t="s">
        <v>7</v>
      </c>
      <c r="C181" s="15"/>
      <c r="D181" s="16"/>
      <c r="E181" s="17"/>
      <c r="F181" s="17"/>
      <c r="H181" s="19">
        <f t="shared" si="5"/>
        <v>0</v>
      </c>
      <c r="I181" s="20">
        <f t="shared" si="1"/>
        <v>0</v>
      </c>
      <c r="J181" s="21">
        <f t="shared" si="6"/>
        <v>0</v>
      </c>
      <c r="K181" s="22">
        <f t="shared" si="4"/>
        <v>0</v>
      </c>
    </row>
    <row r="182" spans="1:11" ht="12.75" x14ac:dyDescent="0.2">
      <c r="A182" s="13">
        <v>45761</v>
      </c>
      <c r="B182" s="14" t="s">
        <v>3</v>
      </c>
      <c r="C182" s="15"/>
      <c r="D182" s="16"/>
      <c r="E182" s="17"/>
      <c r="F182" s="17"/>
      <c r="H182" s="19">
        <f t="shared" si="5"/>
        <v>0</v>
      </c>
      <c r="I182" s="20">
        <f t="shared" si="1"/>
        <v>0</v>
      </c>
      <c r="J182" s="21">
        <f t="shared" si="6"/>
        <v>0</v>
      </c>
      <c r="K182" s="22">
        <f t="shared" si="4"/>
        <v>0</v>
      </c>
    </row>
    <row r="183" spans="1:11" ht="12.75" x14ac:dyDescent="0.2">
      <c r="A183" s="13">
        <v>45762</v>
      </c>
      <c r="B183" s="14" t="s">
        <v>4</v>
      </c>
      <c r="C183" s="15"/>
      <c r="D183" s="16"/>
      <c r="E183" s="17"/>
      <c r="F183" s="17"/>
      <c r="H183" s="19">
        <f t="shared" si="5"/>
        <v>0</v>
      </c>
      <c r="I183" s="20">
        <f t="shared" si="1"/>
        <v>0</v>
      </c>
      <c r="J183" s="21">
        <f t="shared" si="6"/>
        <v>0</v>
      </c>
      <c r="K183" s="22">
        <f t="shared" si="4"/>
        <v>0</v>
      </c>
    </row>
    <row r="184" spans="1:11" ht="12.75" x14ac:dyDescent="0.2">
      <c r="A184" s="13">
        <v>45763</v>
      </c>
      <c r="B184" s="14" t="s">
        <v>5</v>
      </c>
      <c r="C184" s="15"/>
      <c r="D184" s="16"/>
      <c r="E184" s="17"/>
      <c r="F184" s="17"/>
      <c r="H184" s="19">
        <f t="shared" si="5"/>
        <v>0</v>
      </c>
      <c r="I184" s="20">
        <f t="shared" si="1"/>
        <v>0</v>
      </c>
      <c r="J184" s="21">
        <f t="shared" si="6"/>
        <v>0</v>
      </c>
      <c r="K184" s="22">
        <f t="shared" si="4"/>
        <v>0</v>
      </c>
    </row>
    <row r="185" spans="1:11" ht="12.75" x14ac:dyDescent="0.2">
      <c r="A185" s="13">
        <v>45764</v>
      </c>
      <c r="B185" s="14" t="s">
        <v>6</v>
      </c>
      <c r="C185" s="15"/>
      <c r="D185" s="16"/>
      <c r="E185" s="17"/>
      <c r="F185" s="17"/>
      <c r="H185" s="19">
        <f t="shared" si="5"/>
        <v>0</v>
      </c>
      <c r="I185" s="20">
        <f t="shared" si="1"/>
        <v>0</v>
      </c>
      <c r="J185" s="21">
        <f t="shared" si="6"/>
        <v>0</v>
      </c>
      <c r="K185" s="22">
        <f t="shared" si="4"/>
        <v>0</v>
      </c>
    </row>
    <row r="186" spans="1:11" ht="12.75" x14ac:dyDescent="0.2">
      <c r="A186" s="24">
        <v>45765</v>
      </c>
      <c r="B186" s="25" t="s">
        <v>7</v>
      </c>
      <c r="C186" s="26"/>
      <c r="D186" s="27"/>
      <c r="E186" s="28"/>
      <c r="F186" s="28"/>
      <c r="G186" s="29"/>
      <c r="H186" s="19">
        <f t="shared" si="5"/>
        <v>0</v>
      </c>
      <c r="I186" s="20">
        <f t="shared" si="1"/>
        <v>0</v>
      </c>
      <c r="J186" s="21">
        <f t="shared" si="6"/>
        <v>0</v>
      </c>
      <c r="K186" s="22">
        <f t="shared" si="4"/>
        <v>0</v>
      </c>
    </row>
    <row r="187" spans="1:11" ht="12.75" x14ac:dyDescent="0.2">
      <c r="A187" s="24">
        <v>45768</v>
      </c>
      <c r="B187" s="25" t="s">
        <v>3</v>
      </c>
      <c r="C187" s="26"/>
      <c r="D187" s="27"/>
      <c r="E187" s="28"/>
      <c r="F187" s="28"/>
      <c r="G187" s="29"/>
      <c r="H187" s="19">
        <f t="shared" si="5"/>
        <v>0</v>
      </c>
      <c r="I187" s="20">
        <f t="shared" si="1"/>
        <v>0</v>
      </c>
      <c r="J187" s="21">
        <f t="shared" si="6"/>
        <v>0</v>
      </c>
      <c r="K187" s="22">
        <f t="shared" si="4"/>
        <v>0</v>
      </c>
    </row>
    <row r="188" spans="1:11" ht="12.75" x14ac:dyDescent="0.2">
      <c r="A188" s="13">
        <v>45769</v>
      </c>
      <c r="B188" s="14" t="s">
        <v>4</v>
      </c>
      <c r="C188" s="15"/>
      <c r="D188" s="16"/>
      <c r="E188" s="17"/>
      <c r="F188" s="17"/>
      <c r="H188" s="19">
        <f t="shared" si="5"/>
        <v>0</v>
      </c>
      <c r="I188" s="20">
        <f t="shared" si="1"/>
        <v>0</v>
      </c>
      <c r="J188" s="21">
        <f t="shared" si="6"/>
        <v>0</v>
      </c>
      <c r="K188" s="22">
        <f t="shared" si="4"/>
        <v>0</v>
      </c>
    </row>
    <row r="189" spans="1:11" ht="12.75" x14ac:dyDescent="0.2">
      <c r="A189" s="13">
        <v>45770</v>
      </c>
      <c r="B189" s="14" t="s">
        <v>5</v>
      </c>
      <c r="C189" s="15"/>
      <c r="D189" s="16"/>
      <c r="E189" s="17"/>
      <c r="F189" s="17"/>
      <c r="H189" s="19">
        <f t="shared" si="5"/>
        <v>0</v>
      </c>
      <c r="I189" s="20">
        <f t="shared" si="1"/>
        <v>0</v>
      </c>
      <c r="J189" s="21">
        <f t="shared" si="6"/>
        <v>0</v>
      </c>
      <c r="K189" s="22">
        <f t="shared" si="4"/>
        <v>0</v>
      </c>
    </row>
    <row r="190" spans="1:11" ht="12.75" x14ac:dyDescent="0.2">
      <c r="A190" s="13">
        <v>45771</v>
      </c>
      <c r="B190" s="14" t="s">
        <v>6</v>
      </c>
      <c r="C190" s="15"/>
      <c r="D190" s="16"/>
      <c r="E190" s="17"/>
      <c r="F190" s="17"/>
      <c r="H190" s="19">
        <f t="shared" si="5"/>
        <v>0</v>
      </c>
      <c r="I190" s="20">
        <f t="shared" si="1"/>
        <v>0</v>
      </c>
      <c r="J190" s="21">
        <f t="shared" si="6"/>
        <v>0</v>
      </c>
      <c r="K190" s="22">
        <f t="shared" si="4"/>
        <v>0</v>
      </c>
    </row>
    <row r="191" spans="1:11" ht="12.75" x14ac:dyDescent="0.2">
      <c r="A191" s="13">
        <v>45772</v>
      </c>
      <c r="B191" s="14" t="s">
        <v>7</v>
      </c>
      <c r="C191" s="15"/>
      <c r="D191" s="16"/>
      <c r="E191" s="17"/>
      <c r="F191" s="17"/>
      <c r="H191" s="19">
        <f t="shared" si="5"/>
        <v>0</v>
      </c>
      <c r="I191" s="20">
        <f t="shared" si="1"/>
        <v>0</v>
      </c>
      <c r="J191" s="21">
        <f t="shared" si="6"/>
        <v>0</v>
      </c>
      <c r="K191" s="22">
        <f t="shared" si="4"/>
        <v>0</v>
      </c>
    </row>
    <row r="192" spans="1:11" ht="12.75" x14ac:dyDescent="0.2">
      <c r="A192" s="13">
        <v>45775</v>
      </c>
      <c r="B192" s="14" t="s">
        <v>3</v>
      </c>
      <c r="C192" s="15"/>
      <c r="D192" s="16"/>
      <c r="E192" s="17"/>
      <c r="F192" s="17"/>
      <c r="H192" s="19">
        <f t="shared" si="5"/>
        <v>0</v>
      </c>
      <c r="I192" s="20">
        <f t="shared" si="1"/>
        <v>0</v>
      </c>
      <c r="J192" s="21">
        <f t="shared" si="6"/>
        <v>0</v>
      </c>
      <c r="K192" s="22">
        <f t="shared" si="4"/>
        <v>0</v>
      </c>
    </row>
    <row r="193" spans="1:11" ht="12.75" x14ac:dyDescent="0.2">
      <c r="A193" s="13">
        <v>45776</v>
      </c>
      <c r="B193" s="14" t="s">
        <v>4</v>
      </c>
      <c r="C193" s="15"/>
      <c r="D193" s="16"/>
      <c r="E193" s="17"/>
      <c r="F193" s="17"/>
      <c r="H193" s="19">
        <f t="shared" si="5"/>
        <v>0</v>
      </c>
      <c r="I193" s="20">
        <f t="shared" si="1"/>
        <v>0</v>
      </c>
      <c r="J193" s="21">
        <f t="shared" si="6"/>
        <v>0</v>
      </c>
      <c r="K193" s="22">
        <f t="shared" si="4"/>
        <v>0</v>
      </c>
    </row>
    <row r="194" spans="1:11" ht="12.75" x14ac:dyDescent="0.2">
      <c r="A194" s="13">
        <v>45777</v>
      </c>
      <c r="B194" s="14" t="s">
        <v>5</v>
      </c>
      <c r="C194" s="15"/>
      <c r="D194" s="16"/>
      <c r="E194" s="17"/>
      <c r="F194" s="17"/>
      <c r="H194" s="19">
        <f t="shared" si="5"/>
        <v>0</v>
      </c>
      <c r="I194" s="20">
        <f t="shared" si="1"/>
        <v>0</v>
      </c>
      <c r="J194" s="21">
        <f t="shared" si="6"/>
        <v>0</v>
      </c>
      <c r="K194" s="22">
        <f t="shared" si="4"/>
        <v>0</v>
      </c>
    </row>
    <row r="195" spans="1:11" ht="12.75" x14ac:dyDescent="0.2">
      <c r="A195" s="13">
        <v>45778</v>
      </c>
      <c r="B195" s="14" t="s">
        <v>6</v>
      </c>
      <c r="C195" s="15"/>
      <c r="D195" s="16"/>
      <c r="E195" s="17"/>
      <c r="F195" s="17"/>
      <c r="H195" s="19">
        <f t="shared" si="5"/>
        <v>0</v>
      </c>
      <c r="I195" s="20">
        <f t="shared" si="1"/>
        <v>0</v>
      </c>
      <c r="J195" s="21">
        <f t="shared" si="6"/>
        <v>0</v>
      </c>
      <c r="K195" s="22">
        <f t="shared" si="4"/>
        <v>0</v>
      </c>
    </row>
    <row r="196" spans="1:11" ht="12.75" x14ac:dyDescent="0.2">
      <c r="A196" s="13">
        <v>45779</v>
      </c>
      <c r="B196" s="14" t="s">
        <v>7</v>
      </c>
      <c r="C196" s="15"/>
      <c r="D196" s="16"/>
      <c r="E196" s="17"/>
      <c r="F196" s="17"/>
      <c r="H196" s="19">
        <f t="shared" si="5"/>
        <v>0</v>
      </c>
      <c r="I196" s="20">
        <f t="shared" si="1"/>
        <v>0</v>
      </c>
      <c r="J196" s="21">
        <f t="shared" si="6"/>
        <v>0</v>
      </c>
      <c r="K196" s="22">
        <f t="shared" si="4"/>
        <v>0</v>
      </c>
    </row>
    <row r="197" spans="1:11" ht="12.75" x14ac:dyDescent="0.2">
      <c r="A197" s="13">
        <v>45782</v>
      </c>
      <c r="B197" s="14" t="s">
        <v>3</v>
      </c>
      <c r="C197" s="15"/>
      <c r="D197" s="16"/>
      <c r="E197" s="17"/>
      <c r="F197" s="17"/>
      <c r="H197" s="19">
        <f t="shared" si="5"/>
        <v>0</v>
      </c>
      <c r="I197" s="20">
        <f t="shared" si="1"/>
        <v>0</v>
      </c>
      <c r="J197" s="21">
        <f t="shared" si="6"/>
        <v>0</v>
      </c>
      <c r="K197" s="22">
        <f t="shared" si="4"/>
        <v>0</v>
      </c>
    </row>
    <row r="198" spans="1:11" ht="12.75" x14ac:dyDescent="0.2">
      <c r="A198" s="13">
        <v>45783</v>
      </c>
      <c r="B198" s="14" t="s">
        <v>4</v>
      </c>
      <c r="C198" s="15"/>
      <c r="D198" s="16"/>
      <c r="E198" s="17"/>
      <c r="F198" s="17"/>
      <c r="H198" s="19">
        <f t="shared" si="5"/>
        <v>0</v>
      </c>
      <c r="I198" s="20">
        <f t="shared" si="1"/>
        <v>0</v>
      </c>
      <c r="J198" s="21">
        <f t="shared" si="6"/>
        <v>0</v>
      </c>
      <c r="K198" s="22">
        <f t="shared" si="4"/>
        <v>0</v>
      </c>
    </row>
    <row r="199" spans="1:11" ht="12.75" x14ac:dyDescent="0.2">
      <c r="A199" s="13">
        <v>45784</v>
      </c>
      <c r="B199" s="14" t="s">
        <v>5</v>
      </c>
      <c r="C199" s="15"/>
      <c r="D199" s="16"/>
      <c r="E199" s="17"/>
      <c r="F199" s="17"/>
      <c r="H199" s="19">
        <f t="shared" si="5"/>
        <v>0</v>
      </c>
      <c r="I199" s="20">
        <f t="shared" si="1"/>
        <v>0</v>
      </c>
      <c r="J199" s="21">
        <f t="shared" si="6"/>
        <v>0</v>
      </c>
      <c r="K199" s="22">
        <f t="shared" si="4"/>
        <v>0</v>
      </c>
    </row>
    <row r="200" spans="1:11" ht="12.75" x14ac:dyDescent="0.2">
      <c r="A200" s="13">
        <v>45785</v>
      </c>
      <c r="B200" s="14" t="s">
        <v>6</v>
      </c>
      <c r="C200" s="15"/>
      <c r="D200" s="16"/>
      <c r="E200" s="17"/>
      <c r="F200" s="17"/>
      <c r="H200" s="19">
        <f t="shared" si="5"/>
        <v>0</v>
      </c>
      <c r="I200" s="20">
        <f t="shared" si="1"/>
        <v>0</v>
      </c>
      <c r="J200" s="21">
        <f t="shared" si="6"/>
        <v>0</v>
      </c>
      <c r="K200" s="22">
        <f t="shared" si="4"/>
        <v>0</v>
      </c>
    </row>
    <row r="201" spans="1:11" ht="12.75" x14ac:dyDescent="0.2">
      <c r="A201" s="13">
        <v>45786</v>
      </c>
      <c r="B201" s="14" t="s">
        <v>7</v>
      </c>
      <c r="C201" s="15"/>
      <c r="D201" s="16"/>
      <c r="E201" s="17"/>
      <c r="F201" s="17"/>
      <c r="H201" s="19">
        <f t="shared" si="5"/>
        <v>0</v>
      </c>
      <c r="I201" s="20">
        <f t="shared" si="1"/>
        <v>0</v>
      </c>
      <c r="J201" s="21">
        <f t="shared" si="6"/>
        <v>0</v>
      </c>
      <c r="K201" s="22">
        <f t="shared" si="4"/>
        <v>0</v>
      </c>
    </row>
    <row r="202" spans="1:11" ht="12.75" x14ac:dyDescent="0.2">
      <c r="A202" s="13">
        <v>45789</v>
      </c>
      <c r="B202" s="14" t="s">
        <v>3</v>
      </c>
      <c r="C202" s="15"/>
      <c r="D202" s="16"/>
      <c r="E202" s="17"/>
      <c r="F202" s="17"/>
      <c r="H202" s="19">
        <f t="shared" si="5"/>
        <v>0</v>
      </c>
      <c r="I202" s="20">
        <f t="shared" si="1"/>
        <v>0</v>
      </c>
      <c r="J202" s="21">
        <f t="shared" si="6"/>
        <v>0</v>
      </c>
      <c r="K202" s="22">
        <f t="shared" si="4"/>
        <v>0</v>
      </c>
    </row>
    <row r="203" spans="1:11" ht="12.75" x14ac:dyDescent="0.2">
      <c r="A203" s="13">
        <v>45790</v>
      </c>
      <c r="B203" s="14" t="s">
        <v>4</v>
      </c>
      <c r="C203" s="15"/>
      <c r="D203" s="16"/>
      <c r="E203" s="17"/>
      <c r="F203" s="17"/>
      <c r="H203" s="19">
        <f t="shared" si="5"/>
        <v>0</v>
      </c>
      <c r="I203" s="20">
        <f t="shared" si="1"/>
        <v>0</v>
      </c>
      <c r="J203" s="21">
        <f t="shared" si="6"/>
        <v>0</v>
      </c>
      <c r="K203" s="22">
        <f t="shared" si="4"/>
        <v>0</v>
      </c>
    </row>
    <row r="204" spans="1:11" ht="12.75" x14ac:dyDescent="0.2">
      <c r="A204" s="13">
        <v>45791</v>
      </c>
      <c r="B204" s="14" t="s">
        <v>5</v>
      </c>
      <c r="C204" s="15"/>
      <c r="D204" s="16"/>
      <c r="E204" s="17"/>
      <c r="F204" s="17"/>
      <c r="H204" s="19">
        <f t="shared" si="5"/>
        <v>0</v>
      </c>
      <c r="I204" s="20">
        <f t="shared" si="1"/>
        <v>0</v>
      </c>
      <c r="J204" s="21">
        <f t="shared" si="6"/>
        <v>0</v>
      </c>
      <c r="K204" s="22">
        <f t="shared" si="4"/>
        <v>0</v>
      </c>
    </row>
    <row r="205" spans="1:11" ht="12.75" x14ac:dyDescent="0.2">
      <c r="A205" s="13">
        <v>45792</v>
      </c>
      <c r="B205" s="14" t="s">
        <v>6</v>
      </c>
      <c r="C205" s="15"/>
      <c r="D205" s="16"/>
      <c r="E205" s="17"/>
      <c r="F205" s="17"/>
      <c r="H205" s="19">
        <f t="shared" si="5"/>
        <v>0</v>
      </c>
      <c r="I205" s="20">
        <f t="shared" si="1"/>
        <v>0</v>
      </c>
      <c r="J205" s="21">
        <f t="shared" si="6"/>
        <v>0</v>
      </c>
      <c r="K205" s="22">
        <f t="shared" si="4"/>
        <v>0</v>
      </c>
    </row>
    <row r="206" spans="1:11" ht="12.75" x14ac:dyDescent="0.2">
      <c r="A206" s="13">
        <v>45793</v>
      </c>
      <c r="B206" s="14" t="s">
        <v>7</v>
      </c>
      <c r="C206" s="15"/>
      <c r="D206" s="16"/>
      <c r="E206" s="17"/>
      <c r="F206" s="17"/>
      <c r="H206" s="19">
        <f t="shared" si="5"/>
        <v>0</v>
      </c>
      <c r="I206" s="20">
        <f t="shared" si="1"/>
        <v>0</v>
      </c>
      <c r="J206" s="21">
        <f t="shared" si="6"/>
        <v>0</v>
      </c>
      <c r="K206" s="22">
        <f t="shared" si="4"/>
        <v>0</v>
      </c>
    </row>
    <row r="207" spans="1:11" ht="12.75" x14ac:dyDescent="0.2">
      <c r="A207" s="13">
        <v>45796</v>
      </c>
      <c r="B207" s="14" t="s">
        <v>3</v>
      </c>
      <c r="C207" s="15"/>
      <c r="D207" s="16"/>
      <c r="E207" s="17"/>
      <c r="F207" s="17"/>
      <c r="H207" s="19">
        <f t="shared" si="5"/>
        <v>0</v>
      </c>
      <c r="I207" s="20">
        <f t="shared" si="1"/>
        <v>0</v>
      </c>
      <c r="J207" s="21">
        <f t="shared" si="6"/>
        <v>0</v>
      </c>
      <c r="K207" s="22">
        <f t="shared" si="4"/>
        <v>0</v>
      </c>
    </row>
    <row r="208" spans="1:11" ht="12.75" x14ac:dyDescent="0.2">
      <c r="A208" s="13">
        <v>45797</v>
      </c>
      <c r="B208" s="14" t="s">
        <v>4</v>
      </c>
      <c r="C208" s="15"/>
      <c r="D208" s="16"/>
      <c r="E208" s="17"/>
      <c r="F208" s="17"/>
      <c r="H208" s="19">
        <f t="shared" si="5"/>
        <v>0</v>
      </c>
      <c r="I208" s="20">
        <f t="shared" si="1"/>
        <v>0</v>
      </c>
      <c r="J208" s="21">
        <f t="shared" si="6"/>
        <v>0</v>
      </c>
      <c r="K208" s="22">
        <f t="shared" si="4"/>
        <v>0</v>
      </c>
    </row>
    <row r="209" spans="1:11" ht="12.75" x14ac:dyDescent="0.2">
      <c r="A209" s="13">
        <v>45798</v>
      </c>
      <c r="B209" s="14" t="s">
        <v>5</v>
      </c>
      <c r="C209" s="15"/>
      <c r="D209" s="16"/>
      <c r="E209" s="17"/>
      <c r="F209" s="17"/>
      <c r="H209" s="19">
        <f t="shared" si="5"/>
        <v>0</v>
      </c>
      <c r="I209" s="20">
        <f t="shared" si="1"/>
        <v>0</v>
      </c>
      <c r="J209" s="21">
        <f t="shared" si="6"/>
        <v>0</v>
      </c>
      <c r="K209" s="22">
        <f t="shared" si="4"/>
        <v>0</v>
      </c>
    </row>
    <row r="210" spans="1:11" ht="12.75" x14ac:dyDescent="0.2">
      <c r="A210" s="13">
        <v>45799</v>
      </c>
      <c r="B210" s="14" t="s">
        <v>6</v>
      </c>
      <c r="C210" s="15"/>
      <c r="D210" s="16"/>
      <c r="E210" s="17"/>
      <c r="F210" s="17"/>
      <c r="H210" s="19">
        <f t="shared" si="5"/>
        <v>0</v>
      </c>
      <c r="I210" s="20">
        <f t="shared" si="1"/>
        <v>0</v>
      </c>
      <c r="J210" s="21">
        <f t="shared" si="6"/>
        <v>0</v>
      </c>
      <c r="K210" s="22">
        <f t="shared" si="4"/>
        <v>0</v>
      </c>
    </row>
    <row r="211" spans="1:11" ht="12.75" x14ac:dyDescent="0.2">
      <c r="A211" s="13">
        <v>45800</v>
      </c>
      <c r="B211" s="14" t="s">
        <v>7</v>
      </c>
      <c r="C211" s="15"/>
      <c r="D211" s="16"/>
      <c r="E211" s="17"/>
      <c r="F211" s="17"/>
      <c r="H211" s="19">
        <f t="shared" si="5"/>
        <v>0</v>
      </c>
      <c r="I211" s="20">
        <f t="shared" si="1"/>
        <v>0</v>
      </c>
      <c r="J211" s="21">
        <f t="shared" si="6"/>
        <v>0</v>
      </c>
      <c r="K211" s="22">
        <f t="shared" si="4"/>
        <v>0</v>
      </c>
    </row>
    <row r="212" spans="1:11" ht="12.75" x14ac:dyDescent="0.2">
      <c r="A212" s="24">
        <v>45803</v>
      </c>
      <c r="B212" s="25" t="s">
        <v>3</v>
      </c>
      <c r="C212" s="26"/>
      <c r="D212" s="27"/>
      <c r="E212" s="28"/>
      <c r="F212" s="28"/>
      <c r="G212" s="29"/>
      <c r="H212" s="19">
        <f t="shared" si="5"/>
        <v>0</v>
      </c>
      <c r="I212" s="20">
        <f t="shared" si="1"/>
        <v>0</v>
      </c>
      <c r="J212" s="21">
        <f t="shared" si="6"/>
        <v>0</v>
      </c>
      <c r="K212" s="22">
        <f t="shared" si="4"/>
        <v>0</v>
      </c>
    </row>
    <row r="213" spans="1:11" ht="12.75" x14ac:dyDescent="0.2">
      <c r="A213" s="13">
        <v>45804</v>
      </c>
      <c r="B213" s="14" t="s">
        <v>4</v>
      </c>
      <c r="C213" s="15"/>
      <c r="D213" s="16"/>
      <c r="E213" s="17"/>
      <c r="F213" s="17"/>
      <c r="H213" s="19">
        <f t="shared" si="5"/>
        <v>0</v>
      </c>
      <c r="I213" s="20">
        <f t="shared" si="1"/>
        <v>0</v>
      </c>
      <c r="J213" s="21">
        <f t="shared" si="6"/>
        <v>0</v>
      </c>
      <c r="K213" s="22">
        <f t="shared" si="4"/>
        <v>0</v>
      </c>
    </row>
    <row r="214" spans="1:11" ht="12.75" x14ac:dyDescent="0.2">
      <c r="A214" s="13">
        <v>45805</v>
      </c>
      <c r="B214" s="14" t="s">
        <v>5</v>
      </c>
      <c r="C214" s="15"/>
      <c r="D214" s="16"/>
      <c r="E214" s="17"/>
      <c r="F214" s="17"/>
      <c r="H214" s="19">
        <f t="shared" si="5"/>
        <v>0</v>
      </c>
      <c r="I214" s="20">
        <f t="shared" si="1"/>
        <v>0</v>
      </c>
      <c r="J214" s="21">
        <f t="shared" si="6"/>
        <v>0</v>
      </c>
      <c r="K214" s="22">
        <f t="shared" si="4"/>
        <v>0</v>
      </c>
    </row>
    <row r="215" spans="1:11" ht="12.75" x14ac:dyDescent="0.2">
      <c r="A215" s="13">
        <v>45806</v>
      </c>
      <c r="B215" s="46" t="s">
        <v>6</v>
      </c>
      <c r="C215" s="15"/>
      <c r="D215" s="16"/>
      <c r="E215" s="17"/>
      <c r="F215" s="17"/>
      <c r="H215" s="19">
        <f t="shared" si="5"/>
        <v>0</v>
      </c>
      <c r="I215" s="20">
        <f t="shared" si="1"/>
        <v>0</v>
      </c>
      <c r="J215" s="21">
        <f t="shared" si="6"/>
        <v>0</v>
      </c>
      <c r="K215" s="22">
        <f t="shared" si="4"/>
        <v>0</v>
      </c>
    </row>
    <row r="216" spans="1:11" ht="12.75" hidden="1" x14ac:dyDescent="0.2">
      <c r="A216" s="16"/>
      <c r="B216" s="16"/>
      <c r="C216" s="15"/>
      <c r="D216" s="16"/>
      <c r="E216" s="17"/>
      <c r="F216" s="17"/>
      <c r="H216" s="19"/>
      <c r="I216" s="47"/>
      <c r="J216" s="48"/>
      <c r="K216" s="49"/>
    </row>
    <row r="217" spans="1:11" ht="12.75" hidden="1" x14ac:dyDescent="0.2">
      <c r="A217" s="16"/>
      <c r="B217" s="16"/>
      <c r="C217" s="15"/>
      <c r="D217" s="16"/>
      <c r="E217" s="17"/>
      <c r="F217" s="17"/>
      <c r="H217" s="19"/>
      <c r="I217" s="47"/>
      <c r="J217" s="48"/>
      <c r="K217" s="49"/>
    </row>
    <row r="218" spans="1:11" ht="12.75" hidden="1" x14ac:dyDescent="0.2">
      <c r="A218" s="16"/>
      <c r="B218" s="16"/>
      <c r="C218" s="15"/>
      <c r="D218" s="16"/>
      <c r="E218" s="17"/>
      <c r="F218" s="17"/>
      <c r="H218" s="19"/>
      <c r="I218" s="47"/>
      <c r="J218" s="48"/>
      <c r="K218" s="49"/>
    </row>
    <row r="219" spans="1:11" ht="12.75" hidden="1" x14ac:dyDescent="0.2">
      <c r="A219" s="16"/>
      <c r="B219" s="16"/>
      <c r="C219" s="15"/>
      <c r="D219" s="16"/>
      <c r="E219" s="17"/>
      <c r="F219" s="17"/>
      <c r="H219" s="19"/>
      <c r="I219" s="47"/>
      <c r="J219" s="48"/>
      <c r="K219" s="49"/>
    </row>
    <row r="220" spans="1:11" ht="12.75" hidden="1" x14ac:dyDescent="0.2">
      <c r="A220" s="16"/>
      <c r="B220" s="16"/>
      <c r="C220" s="15"/>
      <c r="D220" s="16"/>
      <c r="E220" s="17"/>
      <c r="F220" s="17"/>
      <c r="H220" s="19"/>
      <c r="I220" s="47"/>
      <c r="J220" s="48"/>
      <c r="K220" s="49"/>
    </row>
    <row r="221" spans="1:11" ht="12.75" hidden="1" x14ac:dyDescent="0.2">
      <c r="A221" s="16"/>
      <c r="B221" s="16"/>
      <c r="C221" s="15"/>
      <c r="D221" s="16"/>
      <c r="E221" s="17"/>
      <c r="F221" s="17"/>
      <c r="H221" s="19"/>
      <c r="I221" s="47"/>
      <c r="J221" s="48"/>
      <c r="K221" s="49"/>
    </row>
    <row r="222" spans="1:11" ht="12.75" hidden="1" x14ac:dyDescent="0.2">
      <c r="A222" s="16"/>
      <c r="B222" s="16"/>
      <c r="C222" s="15"/>
      <c r="D222" s="16"/>
      <c r="E222" s="17"/>
      <c r="F222" s="17"/>
      <c r="H222" s="19"/>
      <c r="I222" s="47"/>
      <c r="J222" s="48"/>
      <c r="K222" s="49"/>
    </row>
    <row r="223" spans="1:11" ht="12.75" hidden="1" x14ac:dyDescent="0.2">
      <c r="A223" s="16"/>
      <c r="B223" s="16"/>
      <c r="C223" s="15"/>
      <c r="D223" s="16"/>
      <c r="E223" s="17"/>
      <c r="F223" s="17"/>
      <c r="H223" s="19"/>
      <c r="I223" s="47"/>
      <c r="J223" s="48"/>
      <c r="K223" s="49"/>
    </row>
    <row r="224" spans="1:11" ht="12.75" hidden="1" x14ac:dyDescent="0.2">
      <c r="A224" s="16"/>
      <c r="B224" s="16"/>
      <c r="C224" s="15"/>
      <c r="D224" s="16"/>
      <c r="E224" s="17"/>
      <c r="F224" s="17"/>
      <c r="H224" s="19"/>
      <c r="I224" s="47"/>
      <c r="J224" s="48"/>
      <c r="K224" s="49"/>
    </row>
    <row r="225" spans="1:11" ht="12.75" hidden="1" x14ac:dyDescent="0.2">
      <c r="A225" s="16"/>
      <c r="B225" s="16"/>
      <c r="C225" s="15"/>
      <c r="D225" s="16"/>
      <c r="E225" s="17"/>
      <c r="F225" s="17"/>
      <c r="H225" s="19"/>
      <c r="I225" s="47"/>
      <c r="J225" s="48"/>
      <c r="K225" s="49"/>
    </row>
    <row r="226" spans="1:11" ht="12.75" hidden="1" x14ac:dyDescent="0.2">
      <c r="A226" s="16"/>
      <c r="B226" s="16"/>
      <c r="C226" s="15"/>
      <c r="D226" s="16"/>
      <c r="E226" s="17"/>
      <c r="F226" s="17"/>
      <c r="H226" s="19"/>
      <c r="I226" s="47"/>
      <c r="J226" s="48"/>
      <c r="K226" s="49"/>
    </row>
    <row r="227" spans="1:11" ht="12.75" hidden="1" x14ac:dyDescent="0.2">
      <c r="A227" s="16"/>
      <c r="B227" s="16"/>
      <c r="C227" s="15"/>
      <c r="D227" s="16"/>
      <c r="E227" s="17"/>
      <c r="F227" s="17"/>
      <c r="H227" s="19"/>
      <c r="I227" s="47"/>
      <c r="J227" s="48"/>
      <c r="K227" s="49"/>
    </row>
    <row r="228" spans="1:11" ht="12.75" hidden="1" x14ac:dyDescent="0.2">
      <c r="A228" s="16"/>
      <c r="B228" s="16"/>
      <c r="C228" s="15"/>
      <c r="D228" s="16"/>
      <c r="E228" s="17"/>
      <c r="F228" s="17"/>
      <c r="H228" s="19"/>
      <c r="I228" s="47"/>
      <c r="J228" s="48"/>
      <c r="K228" s="49"/>
    </row>
    <row r="229" spans="1:11" ht="12.75" hidden="1" x14ac:dyDescent="0.2">
      <c r="A229" s="16"/>
      <c r="B229" s="16"/>
      <c r="C229" s="15"/>
      <c r="D229" s="16"/>
      <c r="E229" s="17"/>
      <c r="F229" s="17"/>
      <c r="H229" s="19"/>
      <c r="I229" s="47"/>
      <c r="J229" s="48"/>
      <c r="K229" s="49"/>
    </row>
    <row r="230" spans="1:11" ht="12.75" hidden="1" x14ac:dyDescent="0.2">
      <c r="A230" s="16"/>
      <c r="B230" s="16"/>
      <c r="C230" s="15"/>
      <c r="D230" s="16"/>
      <c r="E230" s="17"/>
      <c r="F230" s="17"/>
      <c r="H230" s="19"/>
      <c r="I230" s="47"/>
      <c r="J230" s="48"/>
      <c r="K230" s="49"/>
    </row>
    <row r="231" spans="1:11" ht="12.75" hidden="1" x14ac:dyDescent="0.2">
      <c r="A231" s="16"/>
      <c r="B231" s="16"/>
      <c r="C231" s="15"/>
      <c r="D231" s="16"/>
      <c r="E231" s="17"/>
      <c r="F231" s="17"/>
      <c r="H231" s="19"/>
      <c r="I231" s="47"/>
      <c r="J231" s="48"/>
      <c r="K231" s="49"/>
    </row>
    <row r="232" spans="1:11" ht="12.75" hidden="1" x14ac:dyDescent="0.2">
      <c r="A232" s="16"/>
      <c r="B232" s="16"/>
      <c r="C232" s="15"/>
      <c r="D232" s="16"/>
      <c r="E232" s="17"/>
      <c r="F232" s="17"/>
      <c r="H232" s="19"/>
      <c r="I232" s="47"/>
      <c r="J232" s="48"/>
      <c r="K232" s="49"/>
    </row>
    <row r="233" spans="1:11" ht="12.75" hidden="1" x14ac:dyDescent="0.2">
      <c r="A233" s="16"/>
      <c r="B233" s="16"/>
      <c r="C233" s="15"/>
      <c r="D233" s="16"/>
      <c r="E233" s="17"/>
      <c r="F233" s="17"/>
      <c r="H233" s="19"/>
      <c r="I233" s="47"/>
      <c r="J233" s="48"/>
      <c r="K233" s="49"/>
    </row>
    <row r="234" spans="1:11" ht="12.75" hidden="1" x14ac:dyDescent="0.2">
      <c r="A234" s="16"/>
      <c r="B234" s="16"/>
      <c r="C234" s="15"/>
      <c r="D234" s="16"/>
      <c r="E234" s="17"/>
      <c r="F234" s="17"/>
      <c r="H234" s="19"/>
      <c r="I234" s="47"/>
      <c r="J234" s="48"/>
      <c r="K234" s="49"/>
    </row>
    <row r="235" spans="1:11" ht="12.75" hidden="1" x14ac:dyDescent="0.2">
      <c r="A235" s="16"/>
      <c r="B235" s="16"/>
      <c r="C235" s="15"/>
      <c r="D235" s="16"/>
      <c r="E235" s="17"/>
      <c r="F235" s="17"/>
      <c r="H235" s="19"/>
      <c r="I235" s="47"/>
      <c r="J235" s="48"/>
      <c r="K235" s="49"/>
    </row>
    <row r="236" spans="1:11" ht="12.75" hidden="1" x14ac:dyDescent="0.2">
      <c r="A236" s="16"/>
      <c r="B236" s="16"/>
      <c r="C236" s="15"/>
      <c r="D236" s="16"/>
      <c r="E236" s="17"/>
      <c r="F236" s="17"/>
      <c r="H236" s="19"/>
      <c r="I236" s="47"/>
      <c r="J236" s="48"/>
      <c r="K236" s="49"/>
    </row>
    <row r="237" spans="1:11" ht="12.75" hidden="1" x14ac:dyDescent="0.2">
      <c r="A237" s="16"/>
      <c r="B237" s="16"/>
      <c r="C237" s="15"/>
      <c r="D237" s="16"/>
      <c r="E237" s="17"/>
      <c r="F237" s="17"/>
      <c r="H237" s="19"/>
      <c r="I237" s="47"/>
      <c r="J237" s="48"/>
      <c r="K237" s="49"/>
    </row>
    <row r="238" spans="1:11" ht="12.75" hidden="1" x14ac:dyDescent="0.2">
      <c r="A238" s="16"/>
      <c r="B238" s="16"/>
      <c r="C238" s="15"/>
      <c r="D238" s="16"/>
      <c r="E238" s="17"/>
      <c r="F238" s="17"/>
      <c r="H238" s="19"/>
      <c r="I238" s="47"/>
      <c r="J238" s="48"/>
      <c r="K238" s="49"/>
    </row>
    <row r="239" spans="1:11" ht="12.75" hidden="1" x14ac:dyDescent="0.2">
      <c r="A239" s="16"/>
      <c r="B239" s="16"/>
      <c r="C239" s="15"/>
      <c r="D239" s="16"/>
      <c r="E239" s="17"/>
      <c r="F239" s="17"/>
      <c r="H239" s="19"/>
      <c r="I239" s="47"/>
      <c r="J239" s="48"/>
      <c r="K239" s="49"/>
    </row>
    <row r="240" spans="1:11" ht="12.75" hidden="1" x14ac:dyDescent="0.2">
      <c r="A240" s="16"/>
      <c r="B240" s="16"/>
      <c r="C240" s="15"/>
      <c r="D240" s="16"/>
      <c r="E240" s="17"/>
      <c r="F240" s="17"/>
      <c r="H240" s="19"/>
      <c r="I240" s="47"/>
      <c r="J240" s="48"/>
      <c r="K240" s="49"/>
    </row>
    <row r="241" spans="1:11" ht="12.75" hidden="1" x14ac:dyDescent="0.2">
      <c r="A241" s="16"/>
      <c r="B241" s="16"/>
      <c r="C241" s="15"/>
      <c r="D241" s="16"/>
      <c r="E241" s="17"/>
      <c r="F241" s="17"/>
      <c r="H241" s="19"/>
      <c r="I241" s="47"/>
      <c r="J241" s="48"/>
      <c r="K241" s="49"/>
    </row>
    <row r="242" spans="1:11" ht="12.75" hidden="1" x14ac:dyDescent="0.2">
      <c r="A242" s="16"/>
      <c r="B242" s="16"/>
      <c r="C242" s="15"/>
      <c r="D242" s="16"/>
      <c r="E242" s="17"/>
      <c r="F242" s="17"/>
      <c r="H242" s="19"/>
      <c r="I242" s="47"/>
      <c r="J242" s="48"/>
      <c r="K242" s="49"/>
    </row>
    <row r="243" spans="1:11" ht="12.75" hidden="1" x14ac:dyDescent="0.2">
      <c r="A243" s="16"/>
      <c r="B243" s="16"/>
      <c r="C243" s="15"/>
      <c r="D243" s="16"/>
      <c r="E243" s="17"/>
      <c r="F243" s="17"/>
      <c r="H243" s="19"/>
      <c r="I243" s="47"/>
      <c r="J243" s="48"/>
      <c r="K243" s="49"/>
    </row>
    <row r="244" spans="1:11" ht="12.75" hidden="1" x14ac:dyDescent="0.2">
      <c r="A244" s="16"/>
      <c r="B244" s="16"/>
      <c r="C244" s="15"/>
      <c r="D244" s="16"/>
      <c r="E244" s="17"/>
      <c r="F244" s="17"/>
      <c r="H244" s="19"/>
      <c r="I244" s="47"/>
      <c r="J244" s="48"/>
      <c r="K244" s="49"/>
    </row>
    <row r="245" spans="1:11" ht="12.75" hidden="1" x14ac:dyDescent="0.2">
      <c r="A245" s="16"/>
      <c r="B245" s="16"/>
      <c r="C245" s="15"/>
      <c r="D245" s="16"/>
      <c r="E245" s="17"/>
      <c r="F245" s="17"/>
      <c r="H245" s="19"/>
      <c r="I245" s="47"/>
      <c r="J245" s="48"/>
      <c r="K245" s="49"/>
    </row>
    <row r="246" spans="1:11" ht="12.75" hidden="1" x14ac:dyDescent="0.2">
      <c r="A246" s="16"/>
      <c r="B246" s="16"/>
      <c r="C246" s="15"/>
      <c r="D246" s="16"/>
      <c r="E246" s="17"/>
      <c r="F246" s="17"/>
      <c r="H246" s="19"/>
      <c r="I246" s="47"/>
      <c r="J246" s="48"/>
      <c r="K246" s="49"/>
    </row>
    <row r="247" spans="1:11" ht="12.75" hidden="1" x14ac:dyDescent="0.2">
      <c r="A247" s="16"/>
      <c r="B247" s="16"/>
      <c r="C247" s="15"/>
      <c r="D247" s="16"/>
      <c r="E247" s="17"/>
      <c r="F247" s="17"/>
      <c r="H247" s="19"/>
      <c r="I247" s="47"/>
      <c r="J247" s="48"/>
      <c r="K247" s="49"/>
    </row>
    <row r="248" spans="1:11" ht="12.75" hidden="1" x14ac:dyDescent="0.2">
      <c r="A248" s="16"/>
      <c r="B248" s="16"/>
      <c r="C248" s="15"/>
      <c r="D248" s="16"/>
      <c r="E248" s="17"/>
      <c r="F248" s="17"/>
      <c r="H248" s="19"/>
      <c r="I248" s="47"/>
      <c r="J248" s="48"/>
      <c r="K248" s="49"/>
    </row>
    <row r="249" spans="1:11" ht="12.75" hidden="1" x14ac:dyDescent="0.2">
      <c r="A249" s="16"/>
      <c r="B249" s="16"/>
      <c r="C249" s="15"/>
      <c r="D249" s="16"/>
      <c r="E249" s="17"/>
      <c r="F249" s="17"/>
      <c r="H249" s="19"/>
      <c r="I249" s="47"/>
      <c r="J249" s="48"/>
      <c r="K249" s="49"/>
    </row>
    <row r="250" spans="1:11" ht="12.75" hidden="1" x14ac:dyDescent="0.2">
      <c r="A250" s="16"/>
      <c r="B250" s="16"/>
      <c r="C250" s="15"/>
      <c r="D250" s="16"/>
      <c r="E250" s="17"/>
      <c r="F250" s="17"/>
      <c r="H250" s="19"/>
      <c r="I250" s="47"/>
      <c r="J250" s="48"/>
      <c r="K250" s="49"/>
    </row>
    <row r="251" spans="1:11" ht="12.75" hidden="1" x14ac:dyDescent="0.2">
      <c r="A251" s="16"/>
      <c r="B251" s="16"/>
      <c r="C251" s="15"/>
      <c r="D251" s="16"/>
      <c r="E251" s="17"/>
      <c r="F251" s="17"/>
      <c r="H251" s="19"/>
      <c r="I251" s="47"/>
      <c r="J251" s="48"/>
      <c r="K251" s="49"/>
    </row>
    <row r="252" spans="1:11" ht="12.75" hidden="1" x14ac:dyDescent="0.2">
      <c r="A252" s="16"/>
      <c r="B252" s="16"/>
      <c r="C252" s="15"/>
      <c r="D252" s="16"/>
      <c r="E252" s="17"/>
      <c r="F252" s="17"/>
      <c r="H252" s="19"/>
      <c r="I252" s="47"/>
      <c r="J252" s="48"/>
      <c r="K252" s="49"/>
    </row>
    <row r="253" spans="1:11" ht="12.75" hidden="1" x14ac:dyDescent="0.2">
      <c r="A253" s="16"/>
      <c r="B253" s="16"/>
      <c r="C253" s="15"/>
      <c r="D253" s="16"/>
      <c r="E253" s="17"/>
      <c r="F253" s="17"/>
      <c r="H253" s="19"/>
      <c r="I253" s="47"/>
      <c r="J253" s="48"/>
      <c r="K253" s="49"/>
    </row>
    <row r="254" spans="1:11" ht="12.75" hidden="1" x14ac:dyDescent="0.2">
      <c r="A254" s="16"/>
      <c r="B254" s="16"/>
      <c r="C254" s="15"/>
      <c r="D254" s="16"/>
      <c r="E254" s="17"/>
      <c r="F254" s="17"/>
      <c r="H254" s="19"/>
      <c r="I254" s="47"/>
      <c r="J254" s="48"/>
      <c r="K254" s="49"/>
    </row>
    <row r="255" spans="1:11" ht="12.75" hidden="1" x14ac:dyDescent="0.2">
      <c r="A255" s="16"/>
      <c r="B255" s="16"/>
      <c r="C255" s="15"/>
      <c r="D255" s="16"/>
      <c r="E255" s="17"/>
      <c r="F255" s="17"/>
      <c r="H255" s="19"/>
      <c r="I255" s="47"/>
      <c r="J255" s="48"/>
      <c r="K255" s="49"/>
    </row>
    <row r="256" spans="1:11" ht="12.75" hidden="1" x14ac:dyDescent="0.2">
      <c r="A256" s="16"/>
      <c r="B256" s="16"/>
      <c r="C256" s="15"/>
      <c r="D256" s="16"/>
      <c r="E256" s="17"/>
      <c r="F256" s="17"/>
      <c r="H256" s="19"/>
      <c r="I256" s="47"/>
      <c r="J256" s="48"/>
      <c r="K256" s="49"/>
    </row>
    <row r="257" spans="1:11" ht="12.75" hidden="1" x14ac:dyDescent="0.2">
      <c r="A257" s="16"/>
      <c r="B257" s="16"/>
      <c r="C257" s="15"/>
      <c r="D257" s="16"/>
      <c r="E257" s="17"/>
      <c r="F257" s="17"/>
      <c r="H257" s="19"/>
      <c r="I257" s="47"/>
      <c r="J257" s="48"/>
      <c r="K257" s="49"/>
    </row>
    <row r="258" spans="1:11" ht="12.75" hidden="1" x14ac:dyDescent="0.2">
      <c r="A258" s="16"/>
      <c r="B258" s="16"/>
      <c r="C258" s="15"/>
      <c r="D258" s="16"/>
      <c r="E258" s="17"/>
      <c r="F258" s="17"/>
      <c r="H258" s="19"/>
      <c r="I258" s="47"/>
      <c r="J258" s="48"/>
      <c r="K258" s="49"/>
    </row>
    <row r="259" spans="1:11" ht="12.75" hidden="1" x14ac:dyDescent="0.2">
      <c r="A259" s="16"/>
      <c r="B259" s="16"/>
      <c r="C259" s="15"/>
      <c r="D259" s="16"/>
      <c r="E259" s="17"/>
      <c r="F259" s="17"/>
      <c r="H259" s="19"/>
      <c r="I259" s="47"/>
      <c r="J259" s="48"/>
      <c r="K259" s="49"/>
    </row>
    <row r="260" spans="1:11" ht="12.75" hidden="1" x14ac:dyDescent="0.2">
      <c r="A260" s="16"/>
      <c r="B260" s="16"/>
      <c r="C260" s="15"/>
      <c r="D260" s="16"/>
      <c r="E260" s="17"/>
      <c r="F260" s="17"/>
      <c r="H260" s="19"/>
      <c r="I260" s="47"/>
      <c r="J260" s="48"/>
      <c r="K260" s="49"/>
    </row>
    <row r="261" spans="1:11" ht="12.75" hidden="1" x14ac:dyDescent="0.2">
      <c r="A261" s="16"/>
      <c r="B261" s="16"/>
      <c r="C261" s="15"/>
      <c r="D261" s="16"/>
      <c r="E261" s="17"/>
      <c r="F261" s="17"/>
      <c r="H261" s="19"/>
      <c r="I261" s="47"/>
      <c r="J261" s="48"/>
      <c r="K261" s="49"/>
    </row>
    <row r="262" spans="1:11" ht="12.75" hidden="1" x14ac:dyDescent="0.2">
      <c r="A262" s="16"/>
      <c r="B262" s="16"/>
      <c r="C262" s="15"/>
      <c r="D262" s="16"/>
      <c r="E262" s="17"/>
      <c r="F262" s="17"/>
      <c r="H262" s="19"/>
      <c r="I262" s="47"/>
      <c r="J262" s="48"/>
      <c r="K262" s="49"/>
    </row>
    <row r="263" spans="1:11" ht="12.75" hidden="1" x14ac:dyDescent="0.2">
      <c r="A263" s="16"/>
      <c r="B263" s="16"/>
      <c r="C263" s="15"/>
      <c r="D263" s="16"/>
      <c r="E263" s="17"/>
      <c r="F263" s="17"/>
      <c r="H263" s="19"/>
      <c r="I263" s="47"/>
      <c r="J263" s="48"/>
      <c r="K263" s="49"/>
    </row>
    <row r="264" spans="1:11" ht="12.75" hidden="1" x14ac:dyDescent="0.2">
      <c r="A264" s="16"/>
      <c r="B264" s="16"/>
      <c r="C264" s="15"/>
      <c r="D264" s="16"/>
      <c r="E264" s="17"/>
      <c r="F264" s="17"/>
      <c r="H264" s="19"/>
      <c r="I264" s="47"/>
      <c r="J264" s="48"/>
      <c r="K264" s="49"/>
    </row>
    <row r="265" spans="1:11" ht="12.75" hidden="1" x14ac:dyDescent="0.2">
      <c r="A265" s="16"/>
      <c r="B265" s="16"/>
      <c r="C265" s="15"/>
      <c r="D265" s="16"/>
      <c r="E265" s="17"/>
      <c r="F265" s="17"/>
      <c r="H265" s="19"/>
      <c r="I265" s="47"/>
      <c r="J265" s="48"/>
      <c r="K265" s="49"/>
    </row>
    <row r="266" spans="1:11" ht="12.75" hidden="1" x14ac:dyDescent="0.2">
      <c r="A266" s="16"/>
      <c r="B266" s="16"/>
      <c r="C266" s="15"/>
      <c r="D266" s="16"/>
      <c r="E266" s="17"/>
      <c r="F266" s="17"/>
      <c r="H266" s="19"/>
      <c r="I266" s="47"/>
      <c r="J266" s="48"/>
      <c r="K266" s="49"/>
    </row>
    <row r="267" spans="1:11" ht="12.75" hidden="1" x14ac:dyDescent="0.2">
      <c r="A267" s="16"/>
      <c r="B267" s="16"/>
      <c r="C267" s="15"/>
      <c r="D267" s="16"/>
      <c r="E267" s="17"/>
      <c r="F267" s="17"/>
      <c r="H267" s="19"/>
      <c r="I267" s="47"/>
      <c r="J267" s="48"/>
      <c r="K267" s="49"/>
    </row>
    <row r="268" spans="1:11" ht="12.75" hidden="1" x14ac:dyDescent="0.2">
      <c r="A268" s="16"/>
      <c r="B268" s="16"/>
      <c r="C268" s="15"/>
      <c r="D268" s="16"/>
      <c r="E268" s="17"/>
      <c r="F268" s="17"/>
      <c r="H268" s="19"/>
      <c r="I268" s="47"/>
      <c r="J268" s="48"/>
      <c r="K268" s="49"/>
    </row>
    <row r="269" spans="1:11" ht="12.75" hidden="1" x14ac:dyDescent="0.2">
      <c r="A269" s="16"/>
      <c r="B269" s="16"/>
      <c r="C269" s="15"/>
      <c r="D269" s="16"/>
      <c r="E269" s="17"/>
      <c r="F269" s="17"/>
      <c r="H269" s="19"/>
      <c r="I269" s="47"/>
      <c r="J269" s="48"/>
      <c r="K269" s="49"/>
    </row>
    <row r="270" spans="1:11" ht="12.75" hidden="1" x14ac:dyDescent="0.2">
      <c r="A270" s="16"/>
      <c r="B270" s="16"/>
      <c r="C270" s="15"/>
      <c r="D270" s="16"/>
      <c r="E270" s="17"/>
      <c r="F270" s="17"/>
      <c r="H270" s="19"/>
      <c r="I270" s="47"/>
      <c r="J270" s="48"/>
      <c r="K270" s="49"/>
    </row>
    <row r="271" spans="1:11" ht="12.75" hidden="1" x14ac:dyDescent="0.2">
      <c r="A271" s="16"/>
      <c r="B271" s="16"/>
      <c r="C271" s="15"/>
      <c r="D271" s="16"/>
      <c r="E271" s="17"/>
      <c r="F271" s="17"/>
      <c r="H271" s="19"/>
      <c r="I271" s="47"/>
      <c r="J271" s="48"/>
      <c r="K271" s="49"/>
    </row>
    <row r="272" spans="1:11" ht="12.75" hidden="1" x14ac:dyDescent="0.2">
      <c r="A272" s="16"/>
      <c r="B272" s="16"/>
      <c r="C272" s="15"/>
      <c r="D272" s="16"/>
      <c r="E272" s="17"/>
      <c r="F272" s="17"/>
      <c r="H272" s="19"/>
      <c r="I272" s="47"/>
      <c r="J272" s="48"/>
      <c r="K272" s="49"/>
    </row>
    <row r="273" spans="1:11" ht="12.75" hidden="1" x14ac:dyDescent="0.2">
      <c r="A273" s="16"/>
      <c r="B273" s="16"/>
      <c r="C273" s="15"/>
      <c r="D273" s="16"/>
      <c r="E273" s="17"/>
      <c r="F273" s="17"/>
      <c r="H273" s="19"/>
      <c r="I273" s="47"/>
      <c r="J273" s="48"/>
      <c r="K273" s="49"/>
    </row>
    <row r="274" spans="1:11" ht="12.75" hidden="1" x14ac:dyDescent="0.2">
      <c r="A274" s="16"/>
      <c r="B274" s="16"/>
      <c r="C274" s="15"/>
      <c r="D274" s="16"/>
      <c r="E274" s="17"/>
      <c r="F274" s="17"/>
      <c r="H274" s="19"/>
      <c r="I274" s="47"/>
      <c r="J274" s="48"/>
      <c r="K274" s="49"/>
    </row>
    <row r="275" spans="1:11" ht="12.75" hidden="1" x14ac:dyDescent="0.2">
      <c r="A275" s="16"/>
      <c r="B275" s="16"/>
      <c r="C275" s="15"/>
      <c r="D275" s="16"/>
      <c r="E275" s="17"/>
      <c r="F275" s="17"/>
      <c r="H275" s="19"/>
      <c r="I275" s="47"/>
      <c r="J275" s="48"/>
      <c r="K275" s="49"/>
    </row>
    <row r="276" spans="1:11" ht="12.75" hidden="1" x14ac:dyDescent="0.2">
      <c r="A276" s="16"/>
      <c r="B276" s="16"/>
      <c r="C276" s="15"/>
      <c r="D276" s="16"/>
      <c r="E276" s="17"/>
      <c r="F276" s="17"/>
      <c r="H276" s="19"/>
      <c r="I276" s="47"/>
      <c r="J276" s="48"/>
      <c r="K276" s="49"/>
    </row>
    <row r="277" spans="1:11" ht="12.75" hidden="1" x14ac:dyDescent="0.2">
      <c r="A277" s="16"/>
      <c r="B277" s="16"/>
      <c r="C277" s="15"/>
      <c r="D277" s="16"/>
      <c r="E277" s="17"/>
      <c r="F277" s="17"/>
      <c r="H277" s="19"/>
      <c r="I277" s="47"/>
      <c r="J277" s="48"/>
      <c r="K277" s="49"/>
    </row>
    <row r="278" spans="1:11" ht="12.75" hidden="1" x14ac:dyDescent="0.2">
      <c r="A278" s="16"/>
      <c r="B278" s="16"/>
      <c r="C278" s="15"/>
      <c r="D278" s="16"/>
      <c r="E278" s="17"/>
      <c r="F278" s="17"/>
      <c r="H278" s="19"/>
      <c r="I278" s="47"/>
      <c r="J278" s="48"/>
      <c r="K278" s="49"/>
    </row>
    <row r="279" spans="1:11" ht="12.75" hidden="1" x14ac:dyDescent="0.2">
      <c r="A279" s="16"/>
      <c r="B279" s="16"/>
      <c r="C279" s="15"/>
      <c r="D279" s="16"/>
      <c r="E279" s="17"/>
      <c r="F279" s="17"/>
      <c r="H279" s="19"/>
      <c r="I279" s="47"/>
      <c r="J279" s="48"/>
      <c r="K279" s="49"/>
    </row>
    <row r="280" spans="1:11" ht="12.75" hidden="1" x14ac:dyDescent="0.2">
      <c r="A280" s="16"/>
      <c r="B280" s="16"/>
      <c r="C280" s="15"/>
      <c r="D280" s="16"/>
      <c r="E280" s="17"/>
      <c r="F280" s="17"/>
      <c r="H280" s="19"/>
      <c r="I280" s="47"/>
      <c r="J280" s="48"/>
      <c r="K280" s="49"/>
    </row>
    <row r="281" spans="1:11" ht="12.75" hidden="1" x14ac:dyDescent="0.2">
      <c r="A281" s="16"/>
      <c r="B281" s="16"/>
      <c r="C281" s="15"/>
      <c r="D281" s="16"/>
      <c r="E281" s="17"/>
      <c r="F281" s="17"/>
      <c r="H281" s="19"/>
      <c r="I281" s="47"/>
      <c r="J281" s="48"/>
      <c r="K281" s="49"/>
    </row>
    <row r="282" spans="1:11" ht="12.75" hidden="1" x14ac:dyDescent="0.2">
      <c r="A282" s="16"/>
      <c r="B282" s="16"/>
      <c r="C282" s="15"/>
      <c r="D282" s="16"/>
      <c r="E282" s="17"/>
      <c r="F282" s="17"/>
      <c r="H282" s="19"/>
      <c r="I282" s="47"/>
      <c r="J282" s="48"/>
      <c r="K282" s="49"/>
    </row>
    <row r="283" spans="1:11" ht="12.75" hidden="1" x14ac:dyDescent="0.2">
      <c r="A283" s="16"/>
      <c r="B283" s="16"/>
      <c r="C283" s="15"/>
      <c r="D283" s="16"/>
      <c r="E283" s="17"/>
      <c r="F283" s="17"/>
      <c r="H283" s="19"/>
      <c r="I283" s="47"/>
      <c r="J283" s="48"/>
      <c r="K283" s="49"/>
    </row>
    <row r="284" spans="1:11" ht="12.75" hidden="1" x14ac:dyDescent="0.2">
      <c r="A284" s="16"/>
      <c r="B284" s="16"/>
      <c r="C284" s="15"/>
      <c r="D284" s="16"/>
      <c r="E284" s="17"/>
      <c r="F284" s="17"/>
      <c r="H284" s="19"/>
      <c r="I284" s="47"/>
      <c r="J284" s="48"/>
      <c r="K284" s="49"/>
    </row>
    <row r="285" spans="1:11" ht="12.75" hidden="1" x14ac:dyDescent="0.2">
      <c r="A285" s="16"/>
      <c r="B285" s="16"/>
      <c r="C285" s="15"/>
      <c r="D285" s="16"/>
      <c r="E285" s="17"/>
      <c r="F285" s="17"/>
      <c r="H285" s="19"/>
      <c r="I285" s="47"/>
      <c r="J285" s="48"/>
      <c r="K285" s="49"/>
    </row>
    <row r="286" spans="1:11" ht="12.75" hidden="1" x14ac:dyDescent="0.2">
      <c r="A286" s="16"/>
      <c r="B286" s="16"/>
      <c r="C286" s="15"/>
      <c r="D286" s="16"/>
      <c r="E286" s="17"/>
      <c r="F286" s="17"/>
      <c r="H286" s="19"/>
      <c r="I286" s="47"/>
      <c r="J286" s="48"/>
      <c r="K286" s="49"/>
    </row>
    <row r="287" spans="1:11" ht="12.75" hidden="1" x14ac:dyDescent="0.2">
      <c r="A287" s="16"/>
      <c r="B287" s="16"/>
      <c r="C287" s="15"/>
      <c r="D287" s="16"/>
      <c r="E287" s="17"/>
      <c r="F287" s="17"/>
      <c r="H287" s="19"/>
      <c r="I287" s="47"/>
      <c r="J287" s="48"/>
      <c r="K287" s="49"/>
    </row>
    <row r="288" spans="1:11" ht="12.75" hidden="1" x14ac:dyDescent="0.2">
      <c r="A288" s="16"/>
      <c r="B288" s="16"/>
      <c r="C288" s="15"/>
      <c r="D288" s="16"/>
      <c r="E288" s="17"/>
      <c r="F288" s="17"/>
      <c r="H288" s="19"/>
      <c r="I288" s="47"/>
      <c r="J288" s="48"/>
      <c r="K288" s="49"/>
    </row>
    <row r="289" spans="1:11" ht="12.75" hidden="1" x14ac:dyDescent="0.2">
      <c r="A289" s="16"/>
      <c r="B289" s="16"/>
      <c r="C289" s="15"/>
      <c r="D289" s="16"/>
      <c r="E289" s="17"/>
      <c r="F289" s="17"/>
      <c r="H289" s="19"/>
      <c r="I289" s="47"/>
      <c r="J289" s="48"/>
      <c r="K289" s="49"/>
    </row>
    <row r="290" spans="1:11" ht="12.75" hidden="1" x14ac:dyDescent="0.2">
      <c r="A290" s="16"/>
      <c r="B290" s="16"/>
      <c r="C290" s="15"/>
      <c r="D290" s="16"/>
      <c r="E290" s="17"/>
      <c r="F290" s="17"/>
      <c r="H290" s="19"/>
      <c r="I290" s="47"/>
      <c r="J290" s="48"/>
      <c r="K290" s="49"/>
    </row>
    <row r="291" spans="1:11" ht="12.75" hidden="1" x14ac:dyDescent="0.2">
      <c r="A291" s="16"/>
      <c r="B291" s="16"/>
      <c r="C291" s="15"/>
      <c r="D291" s="16"/>
      <c r="E291" s="17"/>
      <c r="F291" s="17"/>
      <c r="H291" s="19"/>
      <c r="I291" s="47"/>
      <c r="J291" s="48"/>
      <c r="K291" s="49"/>
    </row>
    <row r="292" spans="1:11" ht="12.75" hidden="1" x14ac:dyDescent="0.2">
      <c r="A292" s="16"/>
      <c r="B292" s="16"/>
      <c r="C292" s="15"/>
      <c r="D292" s="16"/>
      <c r="E292" s="17"/>
      <c r="F292" s="17"/>
      <c r="H292" s="19"/>
      <c r="I292" s="47"/>
      <c r="J292" s="48"/>
      <c r="K292" s="49"/>
    </row>
    <row r="293" spans="1:11" ht="12.75" hidden="1" x14ac:dyDescent="0.2">
      <c r="A293" s="16"/>
      <c r="B293" s="16"/>
      <c r="C293" s="15"/>
      <c r="D293" s="16"/>
      <c r="E293" s="17"/>
      <c r="F293" s="17"/>
      <c r="H293" s="19"/>
      <c r="I293" s="47"/>
      <c r="J293" s="48"/>
      <c r="K293" s="49"/>
    </row>
    <row r="294" spans="1:11" ht="12.75" hidden="1" x14ac:dyDescent="0.2">
      <c r="A294" s="16"/>
      <c r="B294" s="16"/>
      <c r="C294" s="15"/>
      <c r="D294" s="16"/>
      <c r="E294" s="17"/>
      <c r="F294" s="17"/>
      <c r="H294" s="19"/>
      <c r="I294" s="47"/>
      <c r="J294" s="48"/>
      <c r="K294" s="49"/>
    </row>
    <row r="295" spans="1:11" ht="12.75" hidden="1" x14ac:dyDescent="0.2">
      <c r="A295" s="16"/>
      <c r="B295" s="16"/>
      <c r="C295" s="15"/>
      <c r="D295" s="16"/>
      <c r="E295" s="17"/>
      <c r="F295" s="17"/>
      <c r="H295" s="19"/>
      <c r="I295" s="47"/>
      <c r="J295" s="48"/>
      <c r="K295" s="49"/>
    </row>
    <row r="296" spans="1:11" ht="12.75" hidden="1" x14ac:dyDescent="0.2">
      <c r="A296" s="16"/>
      <c r="B296" s="16"/>
      <c r="C296" s="15"/>
      <c r="D296" s="16"/>
      <c r="E296" s="17"/>
      <c r="F296" s="17"/>
      <c r="H296" s="19"/>
      <c r="I296" s="47"/>
      <c r="J296" s="48"/>
      <c r="K296" s="49"/>
    </row>
    <row r="297" spans="1:11" ht="12.75" hidden="1" x14ac:dyDescent="0.2">
      <c r="A297" s="16"/>
      <c r="B297" s="16"/>
      <c r="C297" s="15"/>
      <c r="D297" s="16"/>
      <c r="E297" s="17"/>
      <c r="F297" s="17"/>
      <c r="H297" s="19"/>
      <c r="I297" s="47"/>
      <c r="J297" s="48"/>
      <c r="K297" s="49"/>
    </row>
    <row r="298" spans="1:11" ht="12.75" hidden="1" x14ac:dyDescent="0.2">
      <c r="A298" s="16"/>
      <c r="B298" s="16"/>
      <c r="C298" s="15"/>
      <c r="D298" s="16"/>
      <c r="E298" s="17"/>
      <c r="F298" s="17"/>
      <c r="H298" s="19"/>
      <c r="I298" s="47"/>
      <c r="J298" s="48"/>
      <c r="K298" s="49"/>
    </row>
    <row r="299" spans="1:11" ht="12.75" hidden="1" x14ac:dyDescent="0.2">
      <c r="A299" s="16"/>
      <c r="B299" s="16"/>
      <c r="C299" s="15"/>
      <c r="D299" s="16"/>
      <c r="E299" s="17"/>
      <c r="F299" s="17"/>
      <c r="H299" s="19"/>
      <c r="I299" s="47"/>
      <c r="J299" s="48"/>
      <c r="K299" s="49"/>
    </row>
    <row r="300" spans="1:11" ht="12.75" hidden="1" x14ac:dyDescent="0.2">
      <c r="A300" s="16"/>
      <c r="B300" s="16"/>
      <c r="C300" s="15"/>
      <c r="D300" s="16"/>
      <c r="E300" s="17"/>
      <c r="F300" s="17"/>
      <c r="H300" s="19"/>
      <c r="I300" s="47"/>
      <c r="J300" s="48"/>
      <c r="K300" s="49"/>
    </row>
    <row r="301" spans="1:11" ht="12.75" hidden="1" x14ac:dyDescent="0.2">
      <c r="A301" s="16"/>
      <c r="B301" s="16"/>
      <c r="C301" s="15"/>
      <c r="D301" s="16"/>
      <c r="E301" s="17"/>
      <c r="F301" s="17"/>
      <c r="H301" s="19"/>
      <c r="I301" s="47"/>
      <c r="J301" s="48"/>
      <c r="K301" s="49"/>
    </row>
    <row r="302" spans="1:11" ht="12.75" hidden="1" x14ac:dyDescent="0.2">
      <c r="A302" s="16"/>
      <c r="B302" s="16"/>
      <c r="C302" s="15"/>
      <c r="D302" s="16"/>
      <c r="E302" s="17"/>
      <c r="F302" s="17"/>
      <c r="H302" s="19"/>
      <c r="I302" s="47"/>
      <c r="J302" s="48"/>
      <c r="K302" s="49"/>
    </row>
    <row r="303" spans="1:11" ht="12.75" hidden="1" x14ac:dyDescent="0.2">
      <c r="A303" s="16"/>
      <c r="B303" s="16"/>
      <c r="C303" s="15"/>
      <c r="D303" s="16"/>
      <c r="E303" s="17"/>
      <c r="F303" s="17"/>
      <c r="H303" s="19"/>
      <c r="I303" s="47"/>
      <c r="J303" s="48"/>
      <c r="K303" s="49"/>
    </row>
    <row r="304" spans="1:11" ht="12.75" hidden="1" x14ac:dyDescent="0.2">
      <c r="A304" s="16"/>
      <c r="B304" s="16"/>
      <c r="C304" s="15"/>
      <c r="D304" s="16"/>
      <c r="E304" s="17"/>
      <c r="F304" s="17"/>
      <c r="H304" s="19"/>
      <c r="I304" s="47"/>
      <c r="J304" s="48"/>
      <c r="K304" s="49"/>
    </row>
    <row r="305" spans="1:11" ht="12.75" hidden="1" x14ac:dyDescent="0.2">
      <c r="A305" s="16"/>
      <c r="B305" s="16"/>
      <c r="C305" s="15"/>
      <c r="D305" s="16"/>
      <c r="E305" s="17"/>
      <c r="F305" s="17"/>
      <c r="H305" s="19"/>
      <c r="I305" s="47"/>
      <c r="J305" s="48"/>
      <c r="K305" s="49"/>
    </row>
    <row r="306" spans="1:11" ht="12.75" hidden="1" x14ac:dyDescent="0.2">
      <c r="A306" s="16"/>
      <c r="B306" s="16"/>
      <c r="C306" s="15"/>
      <c r="D306" s="16"/>
      <c r="E306" s="17"/>
      <c r="F306" s="17"/>
      <c r="H306" s="19"/>
      <c r="I306" s="47"/>
      <c r="J306" s="48"/>
      <c r="K306" s="49"/>
    </row>
    <row r="307" spans="1:11" ht="12.75" hidden="1" x14ac:dyDescent="0.2">
      <c r="A307" s="16"/>
      <c r="B307" s="16"/>
      <c r="C307" s="15"/>
      <c r="D307" s="16"/>
      <c r="E307" s="17"/>
      <c r="F307" s="17"/>
      <c r="H307" s="19"/>
      <c r="I307" s="47"/>
      <c r="J307" s="48"/>
      <c r="K307" s="49"/>
    </row>
    <row r="308" spans="1:11" ht="12.75" hidden="1" x14ac:dyDescent="0.2">
      <c r="A308" s="16"/>
      <c r="B308" s="16"/>
      <c r="C308" s="15"/>
      <c r="D308" s="16"/>
      <c r="E308" s="17"/>
      <c r="F308" s="17"/>
      <c r="H308" s="19"/>
      <c r="I308" s="47"/>
      <c r="J308" s="48"/>
      <c r="K308" s="49"/>
    </row>
    <row r="309" spans="1:11" ht="12.75" hidden="1" x14ac:dyDescent="0.2">
      <c r="A309" s="16"/>
      <c r="B309" s="16"/>
      <c r="C309" s="15"/>
      <c r="D309" s="16"/>
      <c r="E309" s="17"/>
      <c r="F309" s="17"/>
      <c r="H309" s="19"/>
      <c r="I309" s="47"/>
      <c r="J309" s="48"/>
      <c r="K309" s="49"/>
    </row>
    <row r="310" spans="1:11" ht="12.75" hidden="1" x14ac:dyDescent="0.2">
      <c r="A310" s="16"/>
      <c r="B310" s="16"/>
      <c r="C310" s="15"/>
      <c r="D310" s="16"/>
      <c r="E310" s="17"/>
      <c r="F310" s="17"/>
      <c r="H310" s="19"/>
      <c r="I310" s="47"/>
      <c r="J310" s="48"/>
      <c r="K310" s="49"/>
    </row>
    <row r="311" spans="1:11" ht="12.75" hidden="1" x14ac:dyDescent="0.2">
      <c r="A311" s="16"/>
      <c r="B311" s="16"/>
      <c r="C311" s="15"/>
      <c r="D311" s="16"/>
      <c r="E311" s="17"/>
      <c r="F311" s="17"/>
      <c r="H311" s="19"/>
      <c r="I311" s="47"/>
      <c r="J311" s="48"/>
      <c r="K311" s="49"/>
    </row>
    <row r="312" spans="1:11" ht="12.75" hidden="1" x14ac:dyDescent="0.2">
      <c r="A312" s="16"/>
      <c r="B312" s="16"/>
      <c r="C312" s="15"/>
      <c r="D312" s="16"/>
      <c r="E312" s="17"/>
      <c r="F312" s="17"/>
      <c r="H312" s="19"/>
      <c r="I312" s="47"/>
      <c r="J312" s="48"/>
      <c r="K312" s="49"/>
    </row>
    <row r="313" spans="1:11" ht="12.75" hidden="1" x14ac:dyDescent="0.2">
      <c r="A313" s="16"/>
      <c r="B313" s="16"/>
      <c r="C313" s="15"/>
      <c r="D313" s="16"/>
      <c r="E313" s="17"/>
      <c r="F313" s="17"/>
      <c r="H313" s="19"/>
      <c r="I313" s="47"/>
      <c r="J313" s="48"/>
      <c r="K313" s="49"/>
    </row>
    <row r="314" spans="1:11" ht="12.75" hidden="1" x14ac:dyDescent="0.2">
      <c r="A314" s="16"/>
      <c r="B314" s="16"/>
      <c r="C314" s="15"/>
      <c r="D314" s="16"/>
      <c r="E314" s="17"/>
      <c r="F314" s="17"/>
      <c r="H314" s="19"/>
      <c r="I314" s="47"/>
      <c r="J314" s="48"/>
      <c r="K314" s="49"/>
    </row>
    <row r="315" spans="1:11" ht="12.75" hidden="1" x14ac:dyDescent="0.2">
      <c r="A315" s="16"/>
      <c r="B315" s="16"/>
      <c r="C315" s="15"/>
      <c r="D315" s="16"/>
      <c r="E315" s="17"/>
      <c r="F315" s="17"/>
      <c r="H315" s="19"/>
      <c r="I315" s="47"/>
      <c r="J315" s="48"/>
      <c r="K315" s="49"/>
    </row>
    <row r="316" spans="1:11" ht="12.75" hidden="1" x14ac:dyDescent="0.2">
      <c r="A316" s="16"/>
      <c r="B316" s="16"/>
      <c r="C316" s="15"/>
      <c r="D316" s="16"/>
      <c r="E316" s="17"/>
      <c r="F316" s="17"/>
      <c r="H316" s="19"/>
      <c r="I316" s="47"/>
      <c r="J316" s="48"/>
      <c r="K316" s="49"/>
    </row>
    <row r="317" spans="1:11" ht="12.75" hidden="1" x14ac:dyDescent="0.2">
      <c r="A317" s="16"/>
      <c r="B317" s="16"/>
      <c r="C317" s="15"/>
      <c r="D317" s="16"/>
      <c r="E317" s="17"/>
      <c r="F317" s="17"/>
      <c r="H317" s="19"/>
      <c r="I317" s="47"/>
      <c r="J317" s="48"/>
      <c r="K317" s="49"/>
    </row>
    <row r="318" spans="1:11" ht="12.75" hidden="1" x14ac:dyDescent="0.2">
      <c r="A318" s="16"/>
      <c r="B318" s="16"/>
      <c r="C318" s="15"/>
      <c r="D318" s="16"/>
      <c r="E318" s="17"/>
      <c r="F318" s="17"/>
      <c r="H318" s="19"/>
      <c r="I318" s="47"/>
      <c r="J318" s="48"/>
      <c r="K318" s="49"/>
    </row>
    <row r="319" spans="1:11" ht="12.75" hidden="1" x14ac:dyDescent="0.2">
      <c r="A319" s="16"/>
      <c r="B319" s="16"/>
      <c r="C319" s="15"/>
      <c r="D319" s="16"/>
      <c r="E319" s="17"/>
      <c r="F319" s="17"/>
      <c r="H319" s="19"/>
      <c r="I319" s="47"/>
      <c r="J319" s="48"/>
      <c r="K319" s="49"/>
    </row>
    <row r="320" spans="1:11" ht="12.75" hidden="1" x14ac:dyDescent="0.2">
      <c r="A320" s="16"/>
      <c r="B320" s="16"/>
      <c r="C320" s="15"/>
      <c r="D320" s="16"/>
      <c r="E320" s="17"/>
      <c r="F320" s="17"/>
      <c r="H320" s="19"/>
      <c r="I320" s="47"/>
      <c r="J320" s="48"/>
      <c r="K320" s="49"/>
    </row>
    <row r="321" spans="1:11" ht="12.75" hidden="1" x14ac:dyDescent="0.2">
      <c r="A321" s="16"/>
      <c r="B321" s="16"/>
      <c r="C321" s="15"/>
      <c r="D321" s="16"/>
      <c r="E321" s="17"/>
      <c r="F321" s="17"/>
      <c r="H321" s="19"/>
      <c r="I321" s="47"/>
      <c r="J321" s="48"/>
      <c r="K321" s="49"/>
    </row>
    <row r="322" spans="1:11" ht="12.75" hidden="1" x14ac:dyDescent="0.2">
      <c r="A322" s="16"/>
      <c r="B322" s="16"/>
      <c r="C322" s="15"/>
      <c r="D322" s="16"/>
      <c r="E322" s="17"/>
      <c r="F322" s="17"/>
      <c r="H322" s="19"/>
      <c r="I322" s="47"/>
      <c r="J322" s="48"/>
      <c r="K322" s="49"/>
    </row>
    <row r="323" spans="1:11" ht="12.75" hidden="1" x14ac:dyDescent="0.2">
      <c r="A323" s="16"/>
      <c r="B323" s="16"/>
      <c r="C323" s="15"/>
      <c r="D323" s="16"/>
      <c r="E323" s="17"/>
      <c r="F323" s="17"/>
      <c r="H323" s="19"/>
      <c r="I323" s="47"/>
      <c r="J323" s="48"/>
      <c r="K323" s="49"/>
    </row>
    <row r="324" spans="1:11" ht="12.75" hidden="1" x14ac:dyDescent="0.2">
      <c r="A324" s="16"/>
      <c r="B324" s="16"/>
      <c r="C324" s="15"/>
      <c r="D324" s="16"/>
      <c r="E324" s="17"/>
      <c r="F324" s="17"/>
      <c r="H324" s="19"/>
      <c r="I324" s="47"/>
      <c r="J324" s="48"/>
      <c r="K324" s="49"/>
    </row>
    <row r="325" spans="1:11" ht="12.75" hidden="1" x14ac:dyDescent="0.2">
      <c r="A325" s="16"/>
      <c r="B325" s="16"/>
      <c r="C325" s="15"/>
      <c r="D325" s="16"/>
      <c r="E325" s="17"/>
      <c r="F325" s="17"/>
      <c r="H325" s="19"/>
      <c r="I325" s="47"/>
      <c r="J325" s="48"/>
      <c r="K325" s="49"/>
    </row>
    <row r="326" spans="1:11" ht="12.75" hidden="1" x14ac:dyDescent="0.2">
      <c r="A326" s="16"/>
      <c r="B326" s="16"/>
      <c r="C326" s="15"/>
      <c r="D326" s="16"/>
      <c r="E326" s="17"/>
      <c r="F326" s="17"/>
      <c r="H326" s="19"/>
      <c r="I326" s="47"/>
      <c r="J326" s="48"/>
      <c r="K326" s="49"/>
    </row>
    <row r="327" spans="1:11" ht="12.75" hidden="1" x14ac:dyDescent="0.2">
      <c r="A327" s="16"/>
      <c r="B327" s="16"/>
      <c r="C327" s="15"/>
      <c r="D327" s="16"/>
      <c r="E327" s="17"/>
      <c r="F327" s="17"/>
      <c r="H327" s="19"/>
      <c r="I327" s="47"/>
      <c r="J327" s="48"/>
      <c r="K327" s="49"/>
    </row>
    <row r="328" spans="1:11" ht="12.75" hidden="1" x14ac:dyDescent="0.2">
      <c r="A328" s="16"/>
      <c r="B328" s="16"/>
      <c r="C328" s="15"/>
      <c r="D328" s="16"/>
      <c r="E328" s="17"/>
      <c r="F328" s="17"/>
      <c r="H328" s="19"/>
      <c r="I328" s="47"/>
      <c r="J328" s="48"/>
      <c r="K328" s="49"/>
    </row>
    <row r="329" spans="1:11" ht="12.75" hidden="1" x14ac:dyDescent="0.2">
      <c r="A329" s="16"/>
      <c r="B329" s="16"/>
      <c r="C329" s="15"/>
      <c r="D329" s="16"/>
      <c r="E329" s="17"/>
      <c r="F329" s="17"/>
      <c r="H329" s="19"/>
      <c r="I329" s="47"/>
      <c r="J329" s="48"/>
      <c r="K329" s="49"/>
    </row>
    <row r="330" spans="1:11" ht="12.75" hidden="1" x14ac:dyDescent="0.2">
      <c r="A330" s="16"/>
      <c r="B330" s="16"/>
      <c r="C330" s="15"/>
      <c r="D330" s="16"/>
      <c r="E330" s="17"/>
      <c r="F330" s="17"/>
      <c r="H330" s="19"/>
      <c r="I330" s="47"/>
      <c r="J330" s="48"/>
      <c r="K330" s="49"/>
    </row>
    <row r="331" spans="1:11" ht="12.75" hidden="1" x14ac:dyDescent="0.2">
      <c r="A331" s="16"/>
      <c r="B331" s="16"/>
      <c r="C331" s="15"/>
      <c r="D331" s="16"/>
      <c r="E331" s="17"/>
      <c r="F331" s="17"/>
      <c r="H331" s="19"/>
      <c r="I331" s="47"/>
      <c r="J331" s="48"/>
      <c r="K331" s="49"/>
    </row>
    <row r="332" spans="1:11" ht="12.75" hidden="1" x14ac:dyDescent="0.2">
      <c r="A332" s="16"/>
      <c r="B332" s="16"/>
      <c r="C332" s="15"/>
      <c r="D332" s="16"/>
      <c r="E332" s="17"/>
      <c r="F332" s="17"/>
      <c r="H332" s="19"/>
      <c r="I332" s="47"/>
      <c r="J332" s="48"/>
      <c r="K332" s="49"/>
    </row>
    <row r="333" spans="1:11" ht="12.75" hidden="1" x14ac:dyDescent="0.2">
      <c r="A333" s="16"/>
      <c r="B333" s="16"/>
      <c r="C333" s="15"/>
      <c r="D333" s="16"/>
      <c r="E333" s="17"/>
      <c r="F333" s="17"/>
      <c r="H333" s="19"/>
      <c r="I333" s="47"/>
      <c r="J333" s="48"/>
      <c r="K333" s="49"/>
    </row>
    <row r="334" spans="1:11" ht="12.75" hidden="1" x14ac:dyDescent="0.2">
      <c r="A334" s="16"/>
      <c r="B334" s="16"/>
      <c r="C334" s="15"/>
      <c r="D334" s="16"/>
      <c r="E334" s="17"/>
      <c r="F334" s="17"/>
      <c r="H334" s="19"/>
      <c r="I334" s="47"/>
      <c r="J334" s="48"/>
      <c r="K334" s="49"/>
    </row>
    <row r="335" spans="1:11" ht="12.75" hidden="1" x14ac:dyDescent="0.2">
      <c r="A335" s="16"/>
      <c r="B335" s="16"/>
      <c r="C335" s="15"/>
      <c r="D335" s="16"/>
      <c r="E335" s="17"/>
      <c r="F335" s="17"/>
      <c r="H335" s="19"/>
      <c r="I335" s="47"/>
      <c r="J335" s="48"/>
      <c r="K335" s="49"/>
    </row>
    <row r="336" spans="1:11" ht="12.75" hidden="1" x14ac:dyDescent="0.2">
      <c r="A336" s="16"/>
      <c r="B336" s="16"/>
      <c r="C336" s="15"/>
      <c r="D336" s="16"/>
      <c r="E336" s="17"/>
      <c r="F336" s="17"/>
      <c r="H336" s="19"/>
      <c r="I336" s="47"/>
      <c r="J336" s="48"/>
      <c r="K336" s="49"/>
    </row>
    <row r="337" spans="1:11" ht="12.75" hidden="1" x14ac:dyDescent="0.2">
      <c r="A337" s="16"/>
      <c r="B337" s="16"/>
      <c r="C337" s="15"/>
      <c r="D337" s="16"/>
      <c r="E337" s="17"/>
      <c r="F337" s="17"/>
      <c r="H337" s="19"/>
      <c r="I337" s="47"/>
      <c r="J337" s="48"/>
      <c r="K337" s="49"/>
    </row>
    <row r="338" spans="1:11" ht="12.75" hidden="1" x14ac:dyDescent="0.2">
      <c r="A338" s="16"/>
      <c r="B338" s="16"/>
      <c r="C338" s="15"/>
      <c r="D338" s="16"/>
      <c r="E338" s="17"/>
      <c r="F338" s="17"/>
      <c r="H338" s="19"/>
      <c r="I338" s="47"/>
      <c r="J338" s="48"/>
      <c r="K338" s="49"/>
    </row>
    <row r="339" spans="1:11" ht="12.75" hidden="1" x14ac:dyDescent="0.2">
      <c r="A339" s="16"/>
      <c r="B339" s="16"/>
      <c r="C339" s="15"/>
      <c r="D339" s="16"/>
      <c r="E339" s="17"/>
      <c r="F339" s="17"/>
      <c r="H339" s="19"/>
      <c r="I339" s="47"/>
      <c r="J339" s="48"/>
      <c r="K339" s="49"/>
    </row>
    <row r="340" spans="1:11" ht="12.75" hidden="1" x14ac:dyDescent="0.2">
      <c r="A340" s="16"/>
      <c r="B340" s="16"/>
      <c r="C340" s="15"/>
      <c r="D340" s="16"/>
      <c r="E340" s="17"/>
      <c r="F340" s="17"/>
      <c r="H340" s="19"/>
      <c r="I340" s="47"/>
      <c r="J340" s="48"/>
      <c r="K340" s="49"/>
    </row>
    <row r="341" spans="1:11" ht="12.75" hidden="1" x14ac:dyDescent="0.2">
      <c r="A341" s="16"/>
      <c r="B341" s="16"/>
      <c r="C341" s="15"/>
      <c r="D341" s="16"/>
      <c r="E341" s="17"/>
      <c r="F341" s="17"/>
      <c r="H341" s="19"/>
      <c r="I341" s="47"/>
      <c r="J341" s="48"/>
      <c r="K341" s="49"/>
    </row>
    <row r="342" spans="1:11" ht="12.75" hidden="1" x14ac:dyDescent="0.2">
      <c r="A342" s="16"/>
      <c r="B342" s="16"/>
      <c r="C342" s="15"/>
      <c r="D342" s="16"/>
      <c r="E342" s="17"/>
      <c r="F342" s="17"/>
      <c r="H342" s="19"/>
      <c r="I342" s="47"/>
      <c r="J342" s="48"/>
      <c r="K342" s="49"/>
    </row>
    <row r="343" spans="1:11" ht="12.75" hidden="1" x14ac:dyDescent="0.2">
      <c r="A343" s="16"/>
      <c r="B343" s="16"/>
      <c r="C343" s="15"/>
      <c r="D343" s="16"/>
      <c r="E343" s="17"/>
      <c r="F343" s="17"/>
      <c r="H343" s="19"/>
      <c r="I343" s="47"/>
      <c r="J343" s="48"/>
      <c r="K343" s="49"/>
    </row>
    <row r="344" spans="1:11" ht="12.75" hidden="1" x14ac:dyDescent="0.2">
      <c r="A344" s="16"/>
      <c r="B344" s="16"/>
      <c r="C344" s="15"/>
      <c r="D344" s="16"/>
      <c r="E344" s="17"/>
      <c r="F344" s="17"/>
      <c r="H344" s="19"/>
      <c r="I344" s="47"/>
      <c r="J344" s="48"/>
      <c r="K344" s="49"/>
    </row>
    <row r="345" spans="1:11" ht="12.75" hidden="1" x14ac:dyDescent="0.2">
      <c r="A345" s="16"/>
      <c r="B345" s="16"/>
      <c r="C345" s="15"/>
      <c r="D345" s="16"/>
      <c r="E345" s="17"/>
      <c r="F345" s="17"/>
      <c r="H345" s="19"/>
      <c r="I345" s="47"/>
      <c r="J345" s="48"/>
      <c r="K345" s="49"/>
    </row>
    <row r="346" spans="1:11" ht="12.75" hidden="1" x14ac:dyDescent="0.2">
      <c r="A346" s="16"/>
      <c r="B346" s="16"/>
      <c r="C346" s="15"/>
      <c r="D346" s="16"/>
      <c r="E346" s="17"/>
      <c r="F346" s="17"/>
      <c r="H346" s="19"/>
      <c r="I346" s="47"/>
      <c r="J346" s="48"/>
      <c r="K346" s="49"/>
    </row>
    <row r="347" spans="1:11" ht="12.75" hidden="1" x14ac:dyDescent="0.2">
      <c r="A347" s="16"/>
      <c r="B347" s="16"/>
      <c r="C347" s="15"/>
      <c r="D347" s="16"/>
      <c r="E347" s="17"/>
      <c r="F347" s="17"/>
      <c r="H347" s="19"/>
      <c r="I347" s="47"/>
      <c r="J347" s="48"/>
      <c r="K347" s="49"/>
    </row>
    <row r="348" spans="1:11" ht="12.75" hidden="1" x14ac:dyDescent="0.2">
      <c r="A348" s="16"/>
      <c r="B348" s="16"/>
      <c r="C348" s="15"/>
      <c r="D348" s="16"/>
      <c r="E348" s="17"/>
      <c r="F348" s="17"/>
      <c r="H348" s="19"/>
      <c r="I348" s="47"/>
      <c r="J348" s="48"/>
      <c r="K348" s="49"/>
    </row>
    <row r="349" spans="1:11" ht="12.75" hidden="1" x14ac:dyDescent="0.2">
      <c r="A349" s="16"/>
      <c r="B349" s="16"/>
      <c r="C349" s="15"/>
      <c r="D349" s="16"/>
      <c r="E349" s="17"/>
      <c r="F349" s="17"/>
      <c r="H349" s="19"/>
      <c r="I349" s="47"/>
      <c r="J349" s="48"/>
      <c r="K349" s="49"/>
    </row>
    <row r="350" spans="1:11" ht="12.75" hidden="1" x14ac:dyDescent="0.2">
      <c r="A350" s="16"/>
      <c r="B350" s="16"/>
      <c r="C350" s="15"/>
      <c r="D350" s="16"/>
      <c r="E350" s="17"/>
      <c r="F350" s="17"/>
      <c r="H350" s="19"/>
      <c r="I350" s="47"/>
      <c r="J350" s="48"/>
      <c r="K350" s="49"/>
    </row>
    <row r="351" spans="1:11" ht="12.75" hidden="1" x14ac:dyDescent="0.2">
      <c r="A351" s="16"/>
      <c r="B351" s="16"/>
      <c r="C351" s="15"/>
      <c r="D351" s="16"/>
      <c r="E351" s="17"/>
      <c r="F351" s="17"/>
      <c r="H351" s="19"/>
      <c r="I351" s="47"/>
      <c r="J351" s="48"/>
      <c r="K351" s="49"/>
    </row>
    <row r="352" spans="1:11" ht="12.75" hidden="1" x14ac:dyDescent="0.2">
      <c r="A352" s="16"/>
      <c r="B352" s="16"/>
      <c r="C352" s="15"/>
      <c r="D352" s="16"/>
      <c r="E352" s="17"/>
      <c r="F352" s="17"/>
      <c r="H352" s="19"/>
      <c r="I352" s="47"/>
      <c r="J352" s="48"/>
      <c r="K352" s="49"/>
    </row>
    <row r="353" spans="1:11" ht="12.75" hidden="1" x14ac:dyDescent="0.2">
      <c r="A353" s="16"/>
      <c r="B353" s="16"/>
      <c r="C353" s="15"/>
      <c r="D353" s="16"/>
      <c r="E353" s="17"/>
      <c r="F353" s="17"/>
      <c r="H353" s="19"/>
      <c r="I353" s="47"/>
      <c r="J353" s="48"/>
      <c r="K353" s="49"/>
    </row>
    <row r="354" spans="1:11" ht="12.75" hidden="1" x14ac:dyDescent="0.2">
      <c r="A354" s="16"/>
      <c r="B354" s="16"/>
      <c r="C354" s="15"/>
      <c r="D354" s="16"/>
      <c r="E354" s="17"/>
      <c r="F354" s="17"/>
      <c r="H354" s="19"/>
      <c r="I354" s="47"/>
      <c r="J354" s="48"/>
      <c r="K354" s="49"/>
    </row>
    <row r="355" spans="1:11" ht="12.75" hidden="1" x14ac:dyDescent="0.2">
      <c r="A355" s="16"/>
      <c r="B355" s="16"/>
      <c r="C355" s="15"/>
      <c r="D355" s="16"/>
      <c r="E355" s="17"/>
      <c r="F355" s="17"/>
      <c r="H355" s="19"/>
      <c r="I355" s="47"/>
      <c r="J355" s="48"/>
      <c r="K355" s="49"/>
    </row>
    <row r="356" spans="1:11" ht="12.75" hidden="1" x14ac:dyDescent="0.2">
      <c r="A356" s="16"/>
      <c r="B356" s="16"/>
      <c r="C356" s="15"/>
      <c r="D356" s="16"/>
      <c r="E356" s="17"/>
      <c r="F356" s="17"/>
      <c r="H356" s="19"/>
      <c r="I356" s="47"/>
      <c r="J356" s="48"/>
      <c r="K356" s="49"/>
    </row>
    <row r="357" spans="1:11" ht="12.75" hidden="1" x14ac:dyDescent="0.2">
      <c r="A357" s="16"/>
      <c r="B357" s="16"/>
      <c r="C357" s="15"/>
      <c r="D357" s="16"/>
      <c r="E357" s="17"/>
      <c r="F357" s="17"/>
      <c r="H357" s="19"/>
      <c r="I357" s="47"/>
      <c r="J357" s="48"/>
      <c r="K357" s="49"/>
    </row>
    <row r="358" spans="1:11" ht="12.75" hidden="1" x14ac:dyDescent="0.2">
      <c r="A358" s="16"/>
      <c r="B358" s="16"/>
      <c r="C358" s="15"/>
      <c r="D358" s="16"/>
      <c r="E358" s="17"/>
      <c r="F358" s="17"/>
      <c r="H358" s="19"/>
      <c r="I358" s="47"/>
      <c r="J358" s="48"/>
      <c r="K358" s="49"/>
    </row>
    <row r="359" spans="1:11" ht="12.75" hidden="1" x14ac:dyDescent="0.2">
      <c r="A359" s="16"/>
      <c r="B359" s="16"/>
      <c r="C359" s="15"/>
      <c r="D359" s="16"/>
      <c r="E359" s="17"/>
      <c r="F359" s="17"/>
      <c r="H359" s="19"/>
      <c r="I359" s="47"/>
      <c r="J359" s="48"/>
      <c r="K359" s="49"/>
    </row>
    <row r="360" spans="1:11" ht="12.75" hidden="1" x14ac:dyDescent="0.2">
      <c r="A360" s="16"/>
      <c r="B360" s="16"/>
      <c r="C360" s="15"/>
      <c r="D360" s="16"/>
      <c r="E360" s="17"/>
      <c r="F360" s="17"/>
      <c r="H360" s="19"/>
      <c r="I360" s="47"/>
      <c r="J360" s="48"/>
      <c r="K360" s="49"/>
    </row>
    <row r="361" spans="1:11" ht="12.75" hidden="1" x14ac:dyDescent="0.2">
      <c r="A361" s="16"/>
      <c r="B361" s="16"/>
      <c r="C361" s="15"/>
      <c r="D361" s="16"/>
      <c r="E361" s="17"/>
      <c r="F361" s="17"/>
      <c r="H361" s="19"/>
      <c r="I361" s="47"/>
      <c r="J361" s="48"/>
      <c r="K361" s="49"/>
    </row>
    <row r="362" spans="1:11" ht="12.75" hidden="1" x14ac:dyDescent="0.2">
      <c r="A362" s="16"/>
      <c r="B362" s="16"/>
      <c r="C362" s="15"/>
      <c r="D362" s="16"/>
      <c r="E362" s="17"/>
      <c r="F362" s="17"/>
      <c r="H362" s="19"/>
      <c r="I362" s="47"/>
      <c r="J362" s="48"/>
      <c r="K362" s="49"/>
    </row>
    <row r="363" spans="1:11" ht="12.75" hidden="1" x14ac:dyDescent="0.2">
      <c r="A363" s="16"/>
      <c r="B363" s="16"/>
      <c r="C363" s="15"/>
      <c r="D363" s="16"/>
      <c r="E363" s="17"/>
      <c r="F363" s="17"/>
      <c r="H363" s="19"/>
      <c r="I363" s="47"/>
      <c r="J363" s="48"/>
      <c r="K363" s="49"/>
    </row>
    <row r="364" spans="1:11" ht="12.75" hidden="1" x14ac:dyDescent="0.2">
      <c r="A364" s="16"/>
      <c r="B364" s="16"/>
      <c r="C364" s="15"/>
      <c r="D364" s="16"/>
      <c r="E364" s="17"/>
      <c r="F364" s="17"/>
      <c r="H364" s="19"/>
      <c r="I364" s="47"/>
      <c r="J364" s="48"/>
      <c r="K364" s="49"/>
    </row>
    <row r="365" spans="1:11" ht="12.75" hidden="1" x14ac:dyDescent="0.2">
      <c r="A365" s="16"/>
      <c r="B365" s="16"/>
      <c r="C365" s="15"/>
      <c r="D365" s="16"/>
      <c r="E365" s="17"/>
      <c r="F365" s="17"/>
      <c r="H365" s="19"/>
      <c r="I365" s="47"/>
      <c r="J365" s="48"/>
      <c r="K365" s="49"/>
    </row>
    <row r="366" spans="1:11" ht="12.75" hidden="1" x14ac:dyDescent="0.2">
      <c r="A366" s="16"/>
      <c r="B366" s="16"/>
      <c r="C366" s="15"/>
      <c r="D366" s="16"/>
      <c r="E366" s="17"/>
      <c r="F366" s="17"/>
      <c r="H366" s="19"/>
      <c r="I366" s="47"/>
      <c r="J366" s="48"/>
      <c r="K366" s="49"/>
    </row>
    <row r="367" spans="1:11" ht="12.75" hidden="1" x14ac:dyDescent="0.2">
      <c r="A367" s="16"/>
      <c r="B367" s="16"/>
      <c r="C367" s="15"/>
      <c r="D367" s="16"/>
      <c r="E367" s="17"/>
      <c r="F367" s="17"/>
      <c r="H367" s="19"/>
      <c r="I367" s="47"/>
      <c r="J367" s="48"/>
      <c r="K367" s="49"/>
    </row>
    <row r="368" spans="1:11" ht="12.75" hidden="1" x14ac:dyDescent="0.2">
      <c r="A368" s="16"/>
      <c r="B368" s="16"/>
      <c r="C368" s="15"/>
      <c r="D368" s="16"/>
      <c r="E368" s="17"/>
      <c r="F368" s="17"/>
      <c r="H368" s="19"/>
      <c r="I368" s="47"/>
      <c r="J368" s="48"/>
      <c r="K368" s="49"/>
    </row>
    <row r="369" spans="1:11" ht="12.75" hidden="1" x14ac:dyDescent="0.2">
      <c r="A369" s="16"/>
      <c r="B369" s="16"/>
      <c r="C369" s="15"/>
      <c r="D369" s="16"/>
      <c r="E369" s="17"/>
      <c r="F369" s="17"/>
      <c r="H369" s="19"/>
      <c r="I369" s="47"/>
      <c r="J369" s="48"/>
      <c r="K369" s="49"/>
    </row>
    <row r="370" spans="1:11" ht="12.75" hidden="1" x14ac:dyDescent="0.2">
      <c r="A370" s="16"/>
      <c r="B370" s="16"/>
      <c r="C370" s="15"/>
      <c r="D370" s="16"/>
      <c r="E370" s="17"/>
      <c r="F370" s="17"/>
      <c r="H370" s="19"/>
      <c r="I370" s="47"/>
      <c r="J370" s="48"/>
      <c r="K370" s="49"/>
    </row>
    <row r="371" spans="1:11" ht="12.75" hidden="1" x14ac:dyDescent="0.2">
      <c r="A371" s="16"/>
      <c r="B371" s="16"/>
      <c r="C371" s="15"/>
      <c r="D371" s="16"/>
      <c r="E371" s="17"/>
      <c r="F371" s="17"/>
      <c r="H371" s="19"/>
      <c r="I371" s="47"/>
      <c r="J371" s="48"/>
      <c r="K371" s="49"/>
    </row>
    <row r="372" spans="1:11" ht="12.75" hidden="1" x14ac:dyDescent="0.2">
      <c r="A372" s="16"/>
      <c r="B372" s="16"/>
      <c r="C372" s="15"/>
      <c r="D372" s="16"/>
      <c r="E372" s="17"/>
      <c r="F372" s="17"/>
      <c r="H372" s="19"/>
      <c r="I372" s="47"/>
      <c r="J372" s="48"/>
      <c r="K372" s="49"/>
    </row>
    <row r="373" spans="1:11" ht="12.75" hidden="1" x14ac:dyDescent="0.2">
      <c r="A373" s="16"/>
      <c r="B373" s="16"/>
      <c r="C373" s="15"/>
      <c r="D373" s="16"/>
      <c r="E373" s="17"/>
      <c r="F373" s="17"/>
      <c r="H373" s="19"/>
      <c r="I373" s="47"/>
      <c r="J373" s="48"/>
      <c r="K373" s="49"/>
    </row>
    <row r="374" spans="1:11" ht="12.75" hidden="1" x14ac:dyDescent="0.2">
      <c r="A374" s="16"/>
      <c r="B374" s="16"/>
      <c r="C374" s="15"/>
      <c r="D374" s="16"/>
      <c r="E374" s="17"/>
      <c r="F374" s="17"/>
      <c r="H374" s="19"/>
      <c r="I374" s="47"/>
      <c r="J374" s="48"/>
      <c r="K374" s="49"/>
    </row>
    <row r="375" spans="1:11" ht="12.75" hidden="1" x14ac:dyDescent="0.2">
      <c r="A375" s="16"/>
      <c r="B375" s="16"/>
      <c r="C375" s="15"/>
      <c r="D375" s="16"/>
      <c r="E375" s="17"/>
      <c r="F375" s="17"/>
      <c r="H375" s="19"/>
      <c r="I375" s="47"/>
      <c r="J375" s="48"/>
      <c r="K375" s="49"/>
    </row>
    <row r="376" spans="1:11" ht="12.75" hidden="1" x14ac:dyDescent="0.2">
      <c r="A376" s="16"/>
      <c r="B376" s="16"/>
      <c r="C376" s="15"/>
      <c r="D376" s="16"/>
      <c r="E376" s="17"/>
      <c r="F376" s="17"/>
      <c r="H376" s="19"/>
      <c r="I376" s="47"/>
      <c r="J376" s="48"/>
      <c r="K376" s="49"/>
    </row>
    <row r="377" spans="1:11" ht="12.75" hidden="1" x14ac:dyDescent="0.2">
      <c r="A377" s="16"/>
      <c r="B377" s="16"/>
      <c r="C377" s="15"/>
      <c r="D377" s="16"/>
      <c r="E377" s="17"/>
      <c r="F377" s="17"/>
      <c r="H377" s="19"/>
      <c r="I377" s="47"/>
      <c r="J377" s="48"/>
      <c r="K377" s="49"/>
    </row>
    <row r="378" spans="1:11" ht="12.75" hidden="1" x14ac:dyDescent="0.2">
      <c r="A378" s="16"/>
      <c r="B378" s="16"/>
      <c r="C378" s="15"/>
      <c r="D378" s="16"/>
      <c r="E378" s="17"/>
      <c r="F378" s="17"/>
      <c r="H378" s="19"/>
      <c r="I378" s="47"/>
      <c r="J378" s="48"/>
      <c r="K378" s="49"/>
    </row>
    <row r="379" spans="1:11" ht="12.75" hidden="1" x14ac:dyDescent="0.2">
      <c r="A379" s="16"/>
      <c r="B379" s="16"/>
      <c r="C379" s="15"/>
      <c r="D379" s="16"/>
      <c r="E379" s="17"/>
      <c r="F379" s="17"/>
      <c r="H379" s="19"/>
      <c r="I379" s="47"/>
      <c r="J379" s="48"/>
      <c r="K379" s="49"/>
    </row>
    <row r="380" spans="1:11" ht="12.75" hidden="1" x14ac:dyDescent="0.2">
      <c r="A380" s="16"/>
      <c r="B380" s="16"/>
      <c r="C380" s="15"/>
      <c r="D380" s="16"/>
      <c r="E380" s="17"/>
      <c r="F380" s="17"/>
      <c r="H380" s="19"/>
      <c r="I380" s="47"/>
      <c r="J380" s="48"/>
      <c r="K380" s="49"/>
    </row>
    <row r="381" spans="1:11" ht="12.75" hidden="1" x14ac:dyDescent="0.2">
      <c r="A381" s="16"/>
      <c r="B381" s="16"/>
      <c r="C381" s="15"/>
      <c r="D381" s="16"/>
      <c r="E381" s="17"/>
      <c r="F381" s="17"/>
      <c r="H381" s="19"/>
      <c r="I381" s="47"/>
      <c r="J381" s="48"/>
      <c r="K381" s="49"/>
    </row>
    <row r="382" spans="1:11" ht="12.75" hidden="1" x14ac:dyDescent="0.2">
      <c r="A382" s="16"/>
      <c r="B382" s="16"/>
      <c r="C382" s="15"/>
      <c r="D382" s="16"/>
      <c r="E382" s="17"/>
      <c r="F382" s="17"/>
      <c r="H382" s="19"/>
      <c r="I382" s="47"/>
      <c r="J382" s="48"/>
      <c r="K382" s="49"/>
    </row>
    <row r="383" spans="1:11" ht="12.75" hidden="1" x14ac:dyDescent="0.2">
      <c r="A383" s="16"/>
      <c r="B383" s="16"/>
      <c r="C383" s="15"/>
      <c r="D383" s="16"/>
      <c r="E383" s="17"/>
      <c r="F383" s="17"/>
      <c r="H383" s="19"/>
      <c r="I383" s="47"/>
      <c r="J383" s="48"/>
      <c r="K383" s="49"/>
    </row>
    <row r="384" spans="1:11" ht="12.75" hidden="1" x14ac:dyDescent="0.2">
      <c r="A384" s="16"/>
      <c r="B384" s="16"/>
      <c r="C384" s="15"/>
      <c r="D384" s="16"/>
      <c r="E384" s="17"/>
      <c r="F384" s="17"/>
      <c r="H384" s="19"/>
      <c r="I384" s="47"/>
      <c r="J384" s="48"/>
      <c r="K384" s="49"/>
    </row>
    <row r="385" spans="1:11" ht="12.75" hidden="1" x14ac:dyDescent="0.2">
      <c r="A385" s="16"/>
      <c r="B385" s="16"/>
      <c r="C385" s="15"/>
      <c r="D385" s="16"/>
      <c r="E385" s="17"/>
      <c r="F385" s="17"/>
      <c r="H385" s="19"/>
      <c r="I385" s="47"/>
      <c r="J385" s="48"/>
      <c r="K385" s="49"/>
    </row>
    <row r="386" spans="1:11" ht="12.75" hidden="1" x14ac:dyDescent="0.2">
      <c r="A386" s="16"/>
      <c r="B386" s="16"/>
      <c r="C386" s="15"/>
      <c r="D386" s="16"/>
      <c r="E386" s="17"/>
      <c r="F386" s="17"/>
      <c r="H386" s="19"/>
      <c r="I386" s="47"/>
      <c r="J386" s="48"/>
      <c r="K386" s="49"/>
    </row>
    <row r="387" spans="1:11" ht="12.75" hidden="1" x14ac:dyDescent="0.2">
      <c r="A387" s="16"/>
      <c r="B387" s="16"/>
      <c r="C387" s="15"/>
      <c r="D387" s="16"/>
      <c r="E387" s="17"/>
      <c r="F387" s="17"/>
      <c r="H387" s="19"/>
      <c r="I387" s="47"/>
      <c r="J387" s="48"/>
      <c r="K387" s="49"/>
    </row>
    <row r="388" spans="1:11" ht="12.75" hidden="1" x14ac:dyDescent="0.2">
      <c r="A388" s="16"/>
      <c r="B388" s="16"/>
      <c r="C388" s="15"/>
      <c r="D388" s="16"/>
      <c r="E388" s="17"/>
      <c r="F388" s="17"/>
      <c r="H388" s="19"/>
      <c r="I388" s="47"/>
      <c r="J388" s="48"/>
      <c r="K388" s="49"/>
    </row>
    <row r="389" spans="1:11" ht="12.75" hidden="1" x14ac:dyDescent="0.2">
      <c r="A389" s="16"/>
      <c r="B389" s="16"/>
      <c r="C389" s="15"/>
      <c r="D389" s="16"/>
      <c r="E389" s="17"/>
      <c r="F389" s="17"/>
      <c r="H389" s="19"/>
      <c r="I389" s="47"/>
      <c r="J389" s="48"/>
      <c r="K389" s="49"/>
    </row>
    <row r="390" spans="1:11" ht="12.75" hidden="1" x14ac:dyDescent="0.2">
      <c r="A390" s="16"/>
      <c r="B390" s="16"/>
      <c r="C390" s="15"/>
      <c r="D390" s="16"/>
      <c r="E390" s="17"/>
      <c r="F390" s="17"/>
      <c r="H390" s="19"/>
      <c r="I390" s="47"/>
      <c r="J390" s="48"/>
      <c r="K390" s="49"/>
    </row>
    <row r="391" spans="1:11" ht="12.75" hidden="1" x14ac:dyDescent="0.2">
      <c r="A391" s="16"/>
      <c r="B391" s="16"/>
      <c r="C391" s="15"/>
      <c r="D391" s="16"/>
      <c r="E391" s="17"/>
      <c r="F391" s="17"/>
      <c r="H391" s="19"/>
      <c r="I391" s="47"/>
      <c r="J391" s="48"/>
      <c r="K391" s="49"/>
    </row>
    <row r="392" spans="1:11" ht="12.75" hidden="1" x14ac:dyDescent="0.2">
      <c r="A392" s="16"/>
      <c r="B392" s="16"/>
      <c r="C392" s="15"/>
      <c r="D392" s="16"/>
      <c r="E392" s="17"/>
      <c r="F392" s="17"/>
      <c r="H392" s="19"/>
      <c r="I392" s="47"/>
      <c r="J392" s="48"/>
      <c r="K392" s="49"/>
    </row>
    <row r="393" spans="1:11" ht="12.75" hidden="1" x14ac:dyDescent="0.2">
      <c r="A393" s="16"/>
      <c r="B393" s="16"/>
      <c r="C393" s="15"/>
      <c r="D393" s="16"/>
      <c r="E393" s="17"/>
      <c r="F393" s="17"/>
      <c r="H393" s="19"/>
      <c r="I393" s="47"/>
      <c r="J393" s="48"/>
      <c r="K393" s="49"/>
    </row>
    <row r="394" spans="1:11" ht="12.75" hidden="1" x14ac:dyDescent="0.2">
      <c r="A394" s="16"/>
      <c r="B394" s="16"/>
      <c r="C394" s="15"/>
      <c r="D394" s="16"/>
      <c r="E394" s="17"/>
      <c r="F394" s="17"/>
      <c r="H394" s="19"/>
      <c r="I394" s="47"/>
      <c r="J394" s="48"/>
      <c r="K394" s="49"/>
    </row>
    <row r="395" spans="1:11" ht="12.75" hidden="1" x14ac:dyDescent="0.2">
      <c r="A395" s="16"/>
      <c r="B395" s="16"/>
      <c r="C395" s="15"/>
      <c r="D395" s="16"/>
      <c r="E395" s="17"/>
      <c r="F395" s="17"/>
      <c r="H395" s="19"/>
      <c r="I395" s="47"/>
      <c r="J395" s="48"/>
      <c r="K395" s="49"/>
    </row>
    <row r="396" spans="1:11" ht="12.75" hidden="1" x14ac:dyDescent="0.2">
      <c r="A396" s="16"/>
      <c r="B396" s="16"/>
      <c r="C396" s="15"/>
      <c r="D396" s="16"/>
      <c r="E396" s="17"/>
      <c r="F396" s="17"/>
      <c r="H396" s="19"/>
      <c r="I396" s="47"/>
      <c r="J396" s="48"/>
      <c r="K396" s="49"/>
    </row>
    <row r="397" spans="1:11" ht="12.75" hidden="1" x14ac:dyDescent="0.2">
      <c r="A397" s="16"/>
      <c r="B397" s="16"/>
      <c r="C397" s="15"/>
      <c r="D397" s="16"/>
      <c r="E397" s="17"/>
      <c r="F397" s="17"/>
      <c r="H397" s="19"/>
      <c r="I397" s="47"/>
      <c r="J397" s="48"/>
      <c r="K397" s="49"/>
    </row>
    <row r="398" spans="1:11" ht="12.75" hidden="1" x14ac:dyDescent="0.2">
      <c r="A398" s="16"/>
      <c r="B398" s="16"/>
      <c r="C398" s="15"/>
      <c r="D398" s="16"/>
      <c r="E398" s="17"/>
      <c r="F398" s="17"/>
      <c r="H398" s="19"/>
      <c r="I398" s="47"/>
      <c r="J398" s="48"/>
      <c r="K398" s="49"/>
    </row>
    <row r="399" spans="1:11" ht="12.75" hidden="1" x14ac:dyDescent="0.2">
      <c r="A399" s="16"/>
      <c r="B399" s="16"/>
      <c r="C399" s="15"/>
      <c r="D399" s="16"/>
      <c r="E399" s="17"/>
      <c r="F399" s="17"/>
      <c r="H399" s="19"/>
      <c r="I399" s="47"/>
      <c r="J399" s="48"/>
      <c r="K399" s="49"/>
    </row>
    <row r="400" spans="1:11" ht="12.75" hidden="1" x14ac:dyDescent="0.2">
      <c r="A400" s="16"/>
      <c r="B400" s="16"/>
      <c r="C400" s="15"/>
      <c r="D400" s="16"/>
      <c r="E400" s="17"/>
      <c r="F400" s="17"/>
      <c r="H400" s="19"/>
      <c r="I400" s="47"/>
      <c r="J400" s="48"/>
      <c r="K400" s="49"/>
    </row>
    <row r="401" spans="1:11" ht="12.75" hidden="1" x14ac:dyDescent="0.2">
      <c r="A401" s="16"/>
      <c r="B401" s="16"/>
      <c r="C401" s="15"/>
      <c r="D401" s="16"/>
      <c r="E401" s="17"/>
      <c r="F401" s="17"/>
      <c r="H401" s="19"/>
      <c r="I401" s="47"/>
      <c r="J401" s="48"/>
      <c r="K401" s="49"/>
    </row>
    <row r="402" spans="1:11" ht="12.75" hidden="1" x14ac:dyDescent="0.2">
      <c r="A402" s="16"/>
      <c r="B402" s="16"/>
      <c r="C402" s="15"/>
      <c r="D402" s="16"/>
      <c r="E402" s="17"/>
      <c r="F402" s="17"/>
      <c r="H402" s="19"/>
      <c r="I402" s="47"/>
      <c r="J402" s="48"/>
      <c r="K402" s="49"/>
    </row>
    <row r="403" spans="1:11" ht="12.75" hidden="1" x14ac:dyDescent="0.2">
      <c r="A403" s="16"/>
      <c r="B403" s="16"/>
      <c r="C403" s="15"/>
      <c r="D403" s="16"/>
      <c r="E403" s="17"/>
      <c r="F403" s="17"/>
      <c r="H403" s="19"/>
      <c r="I403" s="47"/>
      <c r="J403" s="48"/>
      <c r="K403" s="49"/>
    </row>
    <row r="404" spans="1:11" ht="12.75" hidden="1" x14ac:dyDescent="0.2">
      <c r="A404" s="16"/>
      <c r="B404" s="16"/>
      <c r="C404" s="15"/>
      <c r="D404" s="16"/>
      <c r="E404" s="17"/>
      <c r="F404" s="17"/>
      <c r="H404" s="19"/>
      <c r="I404" s="47"/>
      <c r="J404" s="48"/>
      <c r="K404" s="49"/>
    </row>
    <row r="405" spans="1:11" ht="12.75" hidden="1" x14ac:dyDescent="0.2">
      <c r="A405" s="16"/>
      <c r="B405" s="16"/>
      <c r="C405" s="15"/>
      <c r="D405" s="16"/>
      <c r="E405" s="17"/>
      <c r="F405" s="17"/>
      <c r="H405" s="19"/>
      <c r="I405" s="47"/>
      <c r="J405" s="48"/>
      <c r="K405" s="49"/>
    </row>
    <row r="406" spans="1:11" ht="12.75" hidden="1" x14ac:dyDescent="0.2">
      <c r="A406" s="16"/>
      <c r="B406" s="16"/>
      <c r="C406" s="15"/>
      <c r="D406" s="16"/>
      <c r="E406" s="17"/>
      <c r="F406" s="17"/>
      <c r="H406" s="19"/>
      <c r="I406" s="47"/>
      <c r="J406" s="48"/>
      <c r="K406" s="49"/>
    </row>
    <row r="407" spans="1:11" ht="12.75" hidden="1" x14ac:dyDescent="0.2">
      <c r="A407" s="16"/>
      <c r="B407" s="16"/>
      <c r="C407" s="15"/>
      <c r="D407" s="16"/>
      <c r="E407" s="17"/>
      <c r="F407" s="17"/>
      <c r="H407" s="19"/>
      <c r="I407" s="47"/>
      <c r="J407" s="48"/>
      <c r="K407" s="49"/>
    </row>
    <row r="408" spans="1:11" ht="12.75" hidden="1" x14ac:dyDescent="0.2">
      <c r="A408" s="16"/>
      <c r="B408" s="16"/>
      <c r="C408" s="15"/>
      <c r="D408" s="16"/>
      <c r="E408" s="17"/>
      <c r="F408" s="17"/>
      <c r="H408" s="19"/>
      <c r="I408" s="47"/>
      <c r="J408" s="48"/>
      <c r="K408" s="49"/>
    </row>
    <row r="409" spans="1:11" ht="12.75" hidden="1" x14ac:dyDescent="0.2">
      <c r="A409" s="16"/>
      <c r="B409" s="16"/>
      <c r="C409" s="15"/>
      <c r="D409" s="16"/>
      <c r="E409" s="17"/>
      <c r="F409" s="17"/>
      <c r="H409" s="19"/>
      <c r="I409" s="47"/>
      <c r="J409" s="48"/>
      <c r="K409" s="49"/>
    </row>
    <row r="410" spans="1:11" ht="12.75" hidden="1" x14ac:dyDescent="0.2">
      <c r="A410" s="16"/>
      <c r="B410" s="16"/>
      <c r="C410" s="15"/>
      <c r="D410" s="16"/>
      <c r="E410" s="17"/>
      <c r="F410" s="17"/>
      <c r="H410" s="19"/>
      <c r="I410" s="47"/>
      <c r="J410" s="48"/>
      <c r="K410" s="49"/>
    </row>
    <row r="411" spans="1:11" ht="12.75" hidden="1" x14ac:dyDescent="0.2">
      <c r="A411" s="16"/>
      <c r="B411" s="16"/>
      <c r="C411" s="15"/>
      <c r="D411" s="16"/>
      <c r="E411" s="17"/>
      <c r="F411" s="17"/>
      <c r="H411" s="19"/>
      <c r="I411" s="47"/>
      <c r="J411" s="48"/>
      <c r="K411" s="49"/>
    </row>
    <row r="412" spans="1:11" ht="12.75" hidden="1" x14ac:dyDescent="0.2">
      <c r="A412" s="16"/>
      <c r="B412" s="16"/>
      <c r="C412" s="15"/>
      <c r="D412" s="16"/>
      <c r="E412" s="17"/>
      <c r="F412" s="17"/>
      <c r="H412" s="19"/>
      <c r="I412" s="47"/>
      <c r="J412" s="48"/>
      <c r="K412" s="49"/>
    </row>
    <row r="413" spans="1:11" ht="12.75" hidden="1" x14ac:dyDescent="0.2">
      <c r="A413" s="16"/>
      <c r="B413" s="16"/>
      <c r="C413" s="15"/>
      <c r="D413" s="16"/>
      <c r="E413" s="17"/>
      <c r="F413" s="17"/>
      <c r="H413" s="19"/>
      <c r="I413" s="47"/>
      <c r="J413" s="48"/>
      <c r="K413" s="49"/>
    </row>
    <row r="414" spans="1:11" ht="12.75" hidden="1" x14ac:dyDescent="0.2">
      <c r="A414" s="16"/>
      <c r="B414" s="16"/>
      <c r="C414" s="15"/>
      <c r="D414" s="16"/>
      <c r="E414" s="17"/>
      <c r="F414" s="17"/>
      <c r="H414" s="19"/>
      <c r="I414" s="47"/>
      <c r="J414" s="48"/>
      <c r="K414" s="49"/>
    </row>
    <row r="415" spans="1:11" ht="12.75" hidden="1" x14ac:dyDescent="0.2">
      <c r="A415" s="16"/>
      <c r="B415" s="16"/>
      <c r="C415" s="15"/>
      <c r="D415" s="16"/>
      <c r="E415" s="17"/>
      <c r="F415" s="17"/>
      <c r="H415" s="19"/>
      <c r="I415" s="47"/>
      <c r="J415" s="48"/>
      <c r="K415" s="49"/>
    </row>
    <row r="416" spans="1:11" ht="12.75" hidden="1" x14ac:dyDescent="0.2">
      <c r="A416" s="16"/>
      <c r="B416" s="16"/>
      <c r="C416" s="15"/>
      <c r="D416" s="16"/>
      <c r="E416" s="17"/>
      <c r="F416" s="17"/>
      <c r="H416" s="19"/>
      <c r="I416" s="47"/>
      <c r="J416" s="48"/>
      <c r="K416" s="49"/>
    </row>
    <row r="417" spans="1:11" ht="12.75" hidden="1" x14ac:dyDescent="0.2">
      <c r="A417" s="16"/>
      <c r="B417" s="16"/>
      <c r="C417" s="15"/>
      <c r="D417" s="16"/>
      <c r="E417" s="17"/>
      <c r="F417" s="17"/>
      <c r="H417" s="19"/>
      <c r="I417" s="47"/>
      <c r="J417" s="48"/>
      <c r="K417" s="49"/>
    </row>
    <row r="418" spans="1:11" ht="12.75" hidden="1" x14ac:dyDescent="0.2">
      <c r="A418" s="16"/>
      <c r="B418" s="16"/>
      <c r="C418" s="15"/>
      <c r="D418" s="16"/>
      <c r="E418" s="17"/>
      <c r="F418" s="17"/>
      <c r="H418" s="19"/>
      <c r="I418" s="47"/>
      <c r="J418" s="48"/>
      <c r="K418" s="49"/>
    </row>
    <row r="419" spans="1:11" ht="12.75" hidden="1" x14ac:dyDescent="0.2">
      <c r="A419" s="16"/>
      <c r="B419" s="16"/>
      <c r="C419" s="15"/>
      <c r="D419" s="16"/>
      <c r="E419" s="17"/>
      <c r="F419" s="17"/>
      <c r="H419" s="19"/>
      <c r="I419" s="47"/>
      <c r="J419" s="48"/>
      <c r="K419" s="49"/>
    </row>
    <row r="420" spans="1:11" ht="12.75" hidden="1" x14ac:dyDescent="0.2">
      <c r="A420" s="16"/>
      <c r="B420" s="16"/>
      <c r="C420" s="15"/>
      <c r="D420" s="16"/>
      <c r="E420" s="17"/>
      <c r="F420" s="17"/>
      <c r="H420" s="19"/>
      <c r="I420" s="47"/>
      <c r="J420" s="48"/>
      <c r="K420" s="49"/>
    </row>
    <row r="421" spans="1:11" ht="12.75" hidden="1" x14ac:dyDescent="0.2">
      <c r="A421" s="16"/>
      <c r="B421" s="16"/>
      <c r="C421" s="15"/>
      <c r="D421" s="16"/>
      <c r="E421" s="17"/>
      <c r="F421" s="17"/>
      <c r="H421" s="19"/>
      <c r="I421" s="47"/>
      <c r="J421" s="48"/>
      <c r="K421" s="49"/>
    </row>
    <row r="422" spans="1:11" ht="12.75" hidden="1" x14ac:dyDescent="0.2">
      <c r="A422" s="16"/>
      <c r="B422" s="16"/>
      <c r="C422" s="15"/>
      <c r="D422" s="16"/>
      <c r="E422" s="17"/>
      <c r="F422" s="17"/>
      <c r="H422" s="19"/>
      <c r="I422" s="47"/>
      <c r="J422" s="48"/>
      <c r="K422" s="49"/>
    </row>
    <row r="423" spans="1:11" ht="12.75" hidden="1" x14ac:dyDescent="0.2">
      <c r="A423" s="16"/>
      <c r="B423" s="16"/>
      <c r="C423" s="15"/>
      <c r="D423" s="16"/>
      <c r="E423" s="17"/>
      <c r="F423" s="17"/>
      <c r="H423" s="19"/>
      <c r="I423" s="47"/>
      <c r="J423" s="48"/>
      <c r="K423" s="49"/>
    </row>
    <row r="424" spans="1:11" ht="12.75" hidden="1" x14ac:dyDescent="0.2">
      <c r="A424" s="16"/>
      <c r="B424" s="16"/>
      <c r="C424" s="15"/>
      <c r="D424" s="16"/>
      <c r="E424" s="17"/>
      <c r="F424" s="17"/>
      <c r="H424" s="19"/>
      <c r="I424" s="47"/>
      <c r="J424" s="48"/>
      <c r="K424" s="49"/>
    </row>
    <row r="425" spans="1:11" ht="12.75" hidden="1" x14ac:dyDescent="0.2">
      <c r="A425" s="16"/>
      <c r="B425" s="16"/>
      <c r="C425" s="15"/>
      <c r="D425" s="16"/>
      <c r="E425" s="17"/>
      <c r="F425" s="17"/>
      <c r="H425" s="19"/>
      <c r="I425" s="47"/>
      <c r="J425" s="48"/>
      <c r="K425" s="49"/>
    </row>
    <row r="426" spans="1:11" ht="12.75" hidden="1" x14ac:dyDescent="0.2">
      <c r="A426" s="16"/>
      <c r="B426" s="16"/>
      <c r="C426" s="15"/>
      <c r="D426" s="16"/>
      <c r="E426" s="17"/>
      <c r="F426" s="17"/>
      <c r="H426" s="19"/>
      <c r="I426" s="47"/>
      <c r="J426" s="48"/>
      <c r="K426" s="49"/>
    </row>
    <row r="427" spans="1:11" ht="12.75" hidden="1" x14ac:dyDescent="0.2">
      <c r="A427" s="16"/>
      <c r="B427" s="16"/>
      <c r="C427" s="15"/>
      <c r="D427" s="16"/>
      <c r="E427" s="17"/>
      <c r="F427" s="17"/>
      <c r="H427" s="19"/>
      <c r="I427" s="47"/>
      <c r="J427" s="48"/>
      <c r="K427" s="49"/>
    </row>
    <row r="428" spans="1:11" ht="12.75" hidden="1" x14ac:dyDescent="0.2">
      <c r="A428" s="16"/>
      <c r="B428" s="16"/>
      <c r="C428" s="15"/>
      <c r="D428" s="16"/>
      <c r="E428" s="17"/>
      <c r="F428" s="17"/>
      <c r="H428" s="19"/>
      <c r="I428" s="47"/>
      <c r="J428" s="48"/>
      <c r="K428" s="49"/>
    </row>
    <row r="429" spans="1:11" ht="12.75" hidden="1" x14ac:dyDescent="0.2">
      <c r="A429" s="16"/>
      <c r="B429" s="16"/>
      <c r="C429" s="15"/>
      <c r="D429" s="16"/>
      <c r="E429" s="17"/>
      <c r="F429" s="17"/>
      <c r="H429" s="19"/>
      <c r="I429" s="47"/>
      <c r="J429" s="48"/>
      <c r="K429" s="49"/>
    </row>
    <row r="430" spans="1:11" ht="12.75" hidden="1" x14ac:dyDescent="0.2">
      <c r="A430" s="16"/>
      <c r="B430" s="16"/>
      <c r="C430" s="15"/>
      <c r="D430" s="16"/>
      <c r="E430" s="17"/>
      <c r="F430" s="17"/>
      <c r="H430" s="19"/>
      <c r="I430" s="47"/>
      <c r="J430" s="48"/>
      <c r="K430" s="49"/>
    </row>
    <row r="431" spans="1:11" ht="12.75" hidden="1" x14ac:dyDescent="0.2">
      <c r="A431" s="16"/>
      <c r="B431" s="16"/>
      <c r="C431" s="15"/>
      <c r="D431" s="16"/>
      <c r="E431" s="17"/>
      <c r="F431" s="17"/>
      <c r="H431" s="19"/>
      <c r="I431" s="47"/>
      <c r="J431" s="48"/>
      <c r="K431" s="49"/>
    </row>
    <row r="432" spans="1:11" ht="12.75" hidden="1" x14ac:dyDescent="0.2">
      <c r="A432" s="16"/>
      <c r="B432" s="16"/>
      <c r="C432" s="15"/>
      <c r="D432" s="16"/>
      <c r="E432" s="17"/>
      <c r="F432" s="17"/>
      <c r="H432" s="19"/>
      <c r="I432" s="47"/>
      <c r="J432" s="48"/>
      <c r="K432" s="49"/>
    </row>
    <row r="433" spans="1:11" ht="12.75" hidden="1" x14ac:dyDescent="0.2">
      <c r="A433" s="16"/>
      <c r="B433" s="16"/>
      <c r="C433" s="15"/>
      <c r="D433" s="16"/>
      <c r="E433" s="17"/>
      <c r="F433" s="17"/>
      <c r="H433" s="19"/>
      <c r="I433" s="47"/>
      <c r="J433" s="48"/>
      <c r="K433" s="49"/>
    </row>
    <row r="434" spans="1:11" ht="12.75" hidden="1" x14ac:dyDescent="0.2">
      <c r="A434" s="16"/>
      <c r="B434" s="16"/>
      <c r="C434" s="15"/>
      <c r="D434" s="16"/>
      <c r="E434" s="17"/>
      <c r="F434" s="17"/>
      <c r="H434" s="19"/>
      <c r="I434" s="47"/>
      <c r="J434" s="48"/>
      <c r="K434" s="49"/>
    </row>
    <row r="435" spans="1:11" ht="12.75" hidden="1" x14ac:dyDescent="0.2">
      <c r="A435" s="16"/>
      <c r="B435" s="16"/>
      <c r="C435" s="15"/>
      <c r="D435" s="16"/>
      <c r="E435" s="17"/>
      <c r="F435" s="17"/>
      <c r="H435" s="19"/>
      <c r="I435" s="47"/>
      <c r="J435" s="48"/>
      <c r="K435" s="49"/>
    </row>
    <row r="436" spans="1:11" ht="12.75" hidden="1" x14ac:dyDescent="0.2">
      <c r="A436" s="16"/>
      <c r="B436" s="16"/>
      <c r="C436" s="15"/>
      <c r="D436" s="16"/>
      <c r="E436" s="17"/>
      <c r="F436" s="17"/>
      <c r="H436" s="19"/>
      <c r="I436" s="47"/>
      <c r="J436" s="48"/>
      <c r="K436" s="49"/>
    </row>
    <row r="437" spans="1:11" ht="12.75" hidden="1" x14ac:dyDescent="0.2">
      <c r="A437" s="16"/>
      <c r="B437" s="16"/>
      <c r="C437" s="15"/>
      <c r="D437" s="16"/>
      <c r="E437" s="17"/>
      <c r="F437" s="17"/>
      <c r="H437" s="19"/>
      <c r="I437" s="47"/>
      <c r="J437" s="48"/>
      <c r="K437" s="49"/>
    </row>
    <row r="438" spans="1:11" ht="12.75" hidden="1" x14ac:dyDescent="0.2">
      <c r="A438" s="16"/>
      <c r="B438" s="16"/>
      <c r="C438" s="15"/>
      <c r="D438" s="16"/>
      <c r="E438" s="17"/>
      <c r="F438" s="17"/>
      <c r="H438" s="19"/>
      <c r="I438" s="47"/>
      <c r="J438" s="48"/>
      <c r="K438" s="49"/>
    </row>
    <row r="439" spans="1:11" ht="12.75" hidden="1" x14ac:dyDescent="0.2">
      <c r="A439" s="16"/>
      <c r="B439" s="16"/>
      <c r="C439" s="15"/>
      <c r="D439" s="16"/>
      <c r="E439" s="17"/>
      <c r="F439" s="17"/>
      <c r="H439" s="19"/>
      <c r="I439" s="47"/>
      <c r="J439" s="48"/>
      <c r="K439" s="49"/>
    </row>
    <row r="440" spans="1:11" ht="12.75" hidden="1" x14ac:dyDescent="0.2">
      <c r="A440" s="16"/>
      <c r="B440" s="16"/>
      <c r="C440" s="15"/>
      <c r="D440" s="16"/>
      <c r="E440" s="17"/>
      <c r="F440" s="17"/>
      <c r="H440" s="19"/>
      <c r="I440" s="47"/>
      <c r="J440" s="48"/>
      <c r="K440" s="49"/>
    </row>
    <row r="441" spans="1:11" ht="12.75" hidden="1" x14ac:dyDescent="0.2">
      <c r="A441" s="16"/>
      <c r="B441" s="16"/>
      <c r="C441" s="15"/>
      <c r="D441" s="16"/>
      <c r="E441" s="17"/>
      <c r="F441" s="17"/>
      <c r="H441" s="19"/>
      <c r="I441" s="47"/>
      <c r="J441" s="48"/>
      <c r="K441" s="49"/>
    </row>
    <row r="442" spans="1:11" ht="12.75" hidden="1" x14ac:dyDescent="0.2">
      <c r="A442" s="16"/>
      <c r="B442" s="16"/>
      <c r="C442" s="15"/>
      <c r="D442" s="16"/>
      <c r="E442" s="17"/>
      <c r="F442" s="17"/>
      <c r="H442" s="19"/>
      <c r="I442" s="47"/>
      <c r="J442" s="48"/>
      <c r="K442" s="49"/>
    </row>
    <row r="443" spans="1:11" ht="12.75" hidden="1" x14ac:dyDescent="0.2">
      <c r="A443" s="16"/>
      <c r="B443" s="16"/>
      <c r="C443" s="15"/>
      <c r="D443" s="16"/>
      <c r="E443" s="17"/>
      <c r="F443" s="17"/>
      <c r="H443" s="19"/>
      <c r="I443" s="47"/>
      <c r="J443" s="48"/>
      <c r="K443" s="49"/>
    </row>
    <row r="444" spans="1:11" ht="12.75" hidden="1" x14ac:dyDescent="0.2">
      <c r="A444" s="16"/>
      <c r="B444" s="16"/>
      <c r="C444" s="15"/>
      <c r="D444" s="16"/>
      <c r="E444" s="17"/>
      <c r="F444" s="17"/>
      <c r="H444" s="19"/>
      <c r="I444" s="47"/>
      <c r="J444" s="48"/>
      <c r="K444" s="49"/>
    </row>
    <row r="445" spans="1:11" ht="12.75" hidden="1" x14ac:dyDescent="0.2">
      <c r="A445" s="16"/>
      <c r="B445" s="16"/>
      <c r="C445" s="15"/>
      <c r="D445" s="16"/>
      <c r="E445" s="17"/>
      <c r="F445" s="17"/>
      <c r="H445" s="19"/>
      <c r="I445" s="47"/>
      <c r="J445" s="48"/>
      <c r="K445" s="49"/>
    </row>
    <row r="446" spans="1:11" ht="12.75" hidden="1" x14ac:dyDescent="0.2">
      <c r="A446" s="16"/>
      <c r="B446" s="16"/>
      <c r="C446" s="15"/>
      <c r="D446" s="16"/>
      <c r="E446" s="17"/>
      <c r="F446" s="17"/>
      <c r="H446" s="19"/>
      <c r="I446" s="47"/>
      <c r="J446" s="48"/>
      <c r="K446" s="49"/>
    </row>
    <row r="447" spans="1:11" ht="12.75" hidden="1" x14ac:dyDescent="0.2">
      <c r="A447" s="16"/>
      <c r="B447" s="16"/>
      <c r="C447" s="15"/>
      <c r="D447" s="16"/>
      <c r="E447" s="17"/>
      <c r="F447" s="17"/>
      <c r="H447" s="19"/>
      <c r="I447" s="47"/>
      <c r="J447" s="48"/>
      <c r="K447" s="49"/>
    </row>
    <row r="448" spans="1:11" ht="12.75" hidden="1" x14ac:dyDescent="0.2">
      <c r="A448" s="16"/>
      <c r="B448" s="16"/>
      <c r="C448" s="15"/>
      <c r="D448" s="16"/>
      <c r="E448" s="17"/>
      <c r="F448" s="17"/>
      <c r="H448" s="19"/>
      <c r="I448" s="47"/>
      <c r="J448" s="48"/>
      <c r="K448" s="49"/>
    </row>
    <row r="449" spans="1:11" ht="12.75" hidden="1" x14ac:dyDescent="0.2">
      <c r="A449" s="16"/>
      <c r="B449" s="16"/>
      <c r="C449" s="15"/>
      <c r="D449" s="16"/>
      <c r="E449" s="17"/>
      <c r="F449" s="17"/>
      <c r="H449" s="19"/>
      <c r="I449" s="47"/>
      <c r="J449" s="48"/>
      <c r="K449" s="49"/>
    </row>
    <row r="450" spans="1:11" ht="12.75" hidden="1" x14ac:dyDescent="0.2">
      <c r="A450" s="16"/>
      <c r="B450" s="16"/>
      <c r="C450" s="15"/>
      <c r="D450" s="16"/>
      <c r="E450" s="17"/>
      <c r="F450" s="17"/>
      <c r="H450" s="19"/>
      <c r="I450" s="47"/>
      <c r="J450" s="48"/>
      <c r="K450" s="49"/>
    </row>
    <row r="451" spans="1:11" ht="12.75" hidden="1" x14ac:dyDescent="0.2">
      <c r="A451" s="16"/>
      <c r="B451" s="16"/>
      <c r="C451" s="15"/>
      <c r="D451" s="16"/>
      <c r="E451" s="17"/>
      <c r="F451" s="17"/>
      <c r="H451" s="19"/>
      <c r="I451" s="47"/>
      <c r="J451" s="48"/>
      <c r="K451" s="49"/>
    </row>
    <row r="452" spans="1:11" ht="12.75" hidden="1" x14ac:dyDescent="0.2">
      <c r="A452" s="16"/>
      <c r="B452" s="16"/>
      <c r="C452" s="15"/>
      <c r="D452" s="16"/>
      <c r="E452" s="17"/>
      <c r="F452" s="17"/>
      <c r="H452" s="19"/>
      <c r="I452" s="47"/>
      <c r="J452" s="48"/>
      <c r="K452" s="49"/>
    </row>
    <row r="453" spans="1:11" ht="12.75" hidden="1" x14ac:dyDescent="0.2">
      <c r="A453" s="16"/>
      <c r="B453" s="16"/>
      <c r="C453" s="15"/>
      <c r="D453" s="16"/>
      <c r="E453" s="17"/>
      <c r="F453" s="17"/>
      <c r="H453" s="19"/>
      <c r="I453" s="47"/>
      <c r="J453" s="48"/>
      <c r="K453" s="49"/>
    </row>
    <row r="454" spans="1:11" ht="12.75" hidden="1" x14ac:dyDescent="0.2">
      <c r="A454" s="16"/>
      <c r="B454" s="16"/>
      <c r="C454" s="15"/>
      <c r="D454" s="16"/>
      <c r="E454" s="17"/>
      <c r="F454" s="17"/>
      <c r="H454" s="19"/>
      <c r="I454" s="47"/>
      <c r="J454" s="48"/>
      <c r="K454" s="49"/>
    </row>
    <row r="455" spans="1:11" ht="12.75" hidden="1" x14ac:dyDescent="0.2">
      <c r="A455" s="16"/>
      <c r="B455" s="16"/>
      <c r="C455" s="15"/>
      <c r="D455" s="16"/>
      <c r="E455" s="17"/>
      <c r="F455" s="17"/>
      <c r="H455" s="19"/>
      <c r="I455" s="47"/>
      <c r="J455" s="48"/>
      <c r="K455" s="49"/>
    </row>
    <row r="456" spans="1:11" ht="12.75" hidden="1" x14ac:dyDescent="0.2">
      <c r="A456" s="16"/>
      <c r="B456" s="16"/>
      <c r="C456" s="15"/>
      <c r="D456" s="16"/>
      <c r="E456" s="17"/>
      <c r="F456" s="17"/>
      <c r="H456" s="19"/>
      <c r="I456" s="47"/>
      <c r="J456" s="48"/>
      <c r="K456" s="49"/>
    </row>
    <row r="457" spans="1:11" ht="12.75" hidden="1" x14ac:dyDescent="0.2">
      <c r="A457" s="16"/>
      <c r="B457" s="16"/>
      <c r="C457" s="15"/>
      <c r="D457" s="16"/>
      <c r="E457" s="17"/>
      <c r="F457" s="17"/>
      <c r="H457" s="19"/>
      <c r="I457" s="47"/>
      <c r="J457" s="48"/>
      <c r="K457" s="49"/>
    </row>
    <row r="458" spans="1:11" ht="12.75" hidden="1" x14ac:dyDescent="0.2">
      <c r="A458" s="16"/>
      <c r="B458" s="16"/>
      <c r="C458" s="15"/>
      <c r="D458" s="16"/>
      <c r="E458" s="17"/>
      <c r="F458" s="17"/>
      <c r="H458" s="19"/>
      <c r="I458" s="47"/>
      <c r="J458" s="48"/>
      <c r="K458" s="49"/>
    </row>
    <row r="459" spans="1:11" ht="12.75" hidden="1" x14ac:dyDescent="0.2">
      <c r="A459" s="16"/>
      <c r="B459" s="16"/>
      <c r="C459" s="15"/>
      <c r="D459" s="16"/>
      <c r="E459" s="17"/>
      <c r="F459" s="17"/>
      <c r="H459" s="19"/>
      <c r="I459" s="47"/>
      <c r="J459" s="48"/>
      <c r="K459" s="49"/>
    </row>
    <row r="460" spans="1:11" ht="12.75" hidden="1" x14ac:dyDescent="0.2">
      <c r="A460" s="16"/>
      <c r="B460" s="16"/>
      <c r="C460" s="15"/>
      <c r="D460" s="16"/>
      <c r="E460" s="17"/>
      <c r="F460" s="17"/>
      <c r="H460" s="19"/>
      <c r="I460" s="47"/>
      <c r="J460" s="48"/>
      <c r="K460" s="49"/>
    </row>
    <row r="461" spans="1:11" ht="12.75" hidden="1" x14ac:dyDescent="0.2">
      <c r="A461" s="16"/>
      <c r="B461" s="16"/>
      <c r="C461" s="15"/>
      <c r="D461" s="16"/>
      <c r="E461" s="17"/>
      <c r="F461" s="17"/>
      <c r="H461" s="19"/>
      <c r="I461" s="47"/>
      <c r="J461" s="48"/>
      <c r="K461" s="49"/>
    </row>
    <row r="462" spans="1:11" ht="12.75" hidden="1" x14ac:dyDescent="0.2">
      <c r="A462" s="16"/>
      <c r="B462" s="16"/>
      <c r="C462" s="15"/>
      <c r="D462" s="16"/>
      <c r="E462" s="17"/>
      <c r="F462" s="17"/>
      <c r="H462" s="19"/>
      <c r="I462" s="47"/>
      <c r="J462" s="48"/>
      <c r="K462" s="49"/>
    </row>
    <row r="463" spans="1:11" ht="12.75" hidden="1" x14ac:dyDescent="0.2">
      <c r="A463" s="16"/>
      <c r="B463" s="16"/>
      <c r="C463" s="15"/>
      <c r="D463" s="16"/>
      <c r="E463" s="17"/>
      <c r="F463" s="17"/>
      <c r="H463" s="19"/>
      <c r="I463" s="47"/>
      <c r="J463" s="48"/>
      <c r="K463" s="49"/>
    </row>
    <row r="464" spans="1:11" ht="12.75" hidden="1" x14ac:dyDescent="0.2">
      <c r="A464" s="16"/>
      <c r="B464" s="16"/>
      <c r="C464" s="15"/>
      <c r="D464" s="16"/>
      <c r="E464" s="17"/>
      <c r="F464" s="17"/>
      <c r="H464" s="19"/>
      <c r="I464" s="47"/>
      <c r="J464" s="48"/>
      <c r="K464" s="49"/>
    </row>
    <row r="465" spans="1:11" ht="12.75" hidden="1" x14ac:dyDescent="0.2">
      <c r="A465" s="16"/>
      <c r="B465" s="16"/>
      <c r="C465" s="15"/>
      <c r="D465" s="16"/>
      <c r="E465" s="17"/>
      <c r="F465" s="17"/>
      <c r="H465" s="19"/>
      <c r="I465" s="47"/>
      <c r="J465" s="48"/>
      <c r="K465" s="49"/>
    </row>
    <row r="466" spans="1:11" ht="12.75" hidden="1" x14ac:dyDescent="0.2">
      <c r="A466" s="16"/>
      <c r="B466" s="16"/>
      <c r="C466" s="15"/>
      <c r="D466" s="16"/>
      <c r="E466" s="17"/>
      <c r="F466" s="17"/>
      <c r="H466" s="19"/>
      <c r="I466" s="47"/>
      <c r="J466" s="48"/>
      <c r="K466" s="49"/>
    </row>
    <row r="467" spans="1:11" ht="12.75" hidden="1" x14ac:dyDescent="0.2">
      <c r="A467" s="16"/>
      <c r="B467" s="16"/>
      <c r="C467" s="15"/>
      <c r="D467" s="16"/>
      <c r="E467" s="17"/>
      <c r="F467" s="17"/>
      <c r="H467" s="19"/>
      <c r="I467" s="47"/>
      <c r="J467" s="48"/>
      <c r="K467" s="49"/>
    </row>
    <row r="468" spans="1:11" ht="12.75" hidden="1" x14ac:dyDescent="0.2">
      <c r="A468" s="16"/>
      <c r="B468" s="16"/>
      <c r="C468" s="15"/>
      <c r="D468" s="16"/>
      <c r="E468" s="17"/>
      <c r="F468" s="17"/>
      <c r="H468" s="19"/>
      <c r="I468" s="47"/>
      <c r="J468" s="48"/>
      <c r="K468" s="49"/>
    </row>
    <row r="469" spans="1:11" ht="12.75" hidden="1" x14ac:dyDescent="0.2">
      <c r="A469" s="16"/>
      <c r="B469" s="16"/>
      <c r="C469" s="15"/>
      <c r="D469" s="16"/>
      <c r="E469" s="17"/>
      <c r="F469" s="17"/>
      <c r="H469" s="19"/>
      <c r="I469" s="47"/>
      <c r="J469" s="48"/>
      <c r="K469" s="49"/>
    </row>
    <row r="470" spans="1:11" ht="12.75" hidden="1" x14ac:dyDescent="0.2">
      <c r="A470" s="16"/>
      <c r="B470" s="16"/>
      <c r="C470" s="15"/>
      <c r="D470" s="16"/>
      <c r="E470" s="17"/>
      <c r="F470" s="17"/>
      <c r="H470" s="19"/>
      <c r="I470" s="47"/>
      <c r="J470" s="48"/>
      <c r="K470" s="49"/>
    </row>
    <row r="471" spans="1:11" ht="12.75" hidden="1" x14ac:dyDescent="0.2">
      <c r="A471" s="16"/>
      <c r="B471" s="16"/>
      <c r="C471" s="15"/>
      <c r="D471" s="16"/>
      <c r="E471" s="17"/>
      <c r="F471" s="17"/>
      <c r="H471" s="19"/>
      <c r="I471" s="47"/>
      <c r="J471" s="48"/>
      <c r="K471" s="49"/>
    </row>
    <row r="472" spans="1:11" ht="12.75" hidden="1" x14ac:dyDescent="0.2">
      <c r="A472" s="16"/>
      <c r="B472" s="16"/>
      <c r="C472" s="15"/>
      <c r="D472" s="16"/>
      <c r="E472" s="17"/>
      <c r="F472" s="17"/>
      <c r="H472" s="19"/>
      <c r="I472" s="47"/>
      <c r="J472" s="48"/>
      <c r="K472" s="49"/>
    </row>
    <row r="473" spans="1:11" ht="12.75" hidden="1" x14ac:dyDescent="0.2">
      <c r="A473" s="16"/>
      <c r="B473" s="16"/>
      <c r="C473" s="15"/>
      <c r="D473" s="16"/>
      <c r="E473" s="17"/>
      <c r="F473" s="17"/>
      <c r="H473" s="19"/>
      <c r="I473" s="47"/>
      <c r="J473" s="48"/>
      <c r="K473" s="49"/>
    </row>
    <row r="474" spans="1:11" ht="12.75" hidden="1" x14ac:dyDescent="0.2">
      <c r="A474" s="16"/>
      <c r="B474" s="16"/>
      <c r="C474" s="15"/>
      <c r="D474" s="16"/>
      <c r="E474" s="17"/>
      <c r="F474" s="17"/>
      <c r="H474" s="19"/>
      <c r="I474" s="47"/>
      <c r="J474" s="48"/>
      <c r="K474" s="49"/>
    </row>
    <row r="475" spans="1:11" ht="12.75" hidden="1" x14ac:dyDescent="0.2">
      <c r="A475" s="16"/>
      <c r="B475" s="16"/>
      <c r="C475" s="15"/>
      <c r="D475" s="16"/>
      <c r="E475" s="17"/>
      <c r="F475" s="17"/>
      <c r="H475" s="19"/>
      <c r="I475" s="47"/>
      <c r="J475" s="48"/>
      <c r="K475" s="49"/>
    </row>
    <row r="476" spans="1:11" ht="12.75" hidden="1" x14ac:dyDescent="0.2">
      <c r="A476" s="16"/>
      <c r="B476" s="16"/>
      <c r="C476" s="15"/>
      <c r="D476" s="16"/>
      <c r="E476" s="17"/>
      <c r="F476" s="17"/>
      <c r="H476" s="19"/>
      <c r="I476" s="47"/>
      <c r="J476" s="48"/>
      <c r="K476" s="49"/>
    </row>
    <row r="477" spans="1:11" ht="12.75" hidden="1" x14ac:dyDescent="0.2">
      <c r="A477" s="16"/>
      <c r="B477" s="16"/>
      <c r="C477" s="15"/>
      <c r="D477" s="16"/>
      <c r="E477" s="17"/>
      <c r="F477" s="17"/>
      <c r="H477" s="19"/>
      <c r="I477" s="47"/>
      <c r="J477" s="48"/>
      <c r="K477" s="49"/>
    </row>
    <row r="478" spans="1:11" ht="12.75" hidden="1" x14ac:dyDescent="0.2">
      <c r="A478" s="16"/>
      <c r="B478" s="16"/>
      <c r="C478" s="15"/>
      <c r="D478" s="16"/>
      <c r="E478" s="17"/>
      <c r="F478" s="17"/>
      <c r="H478" s="19"/>
      <c r="I478" s="47"/>
      <c r="J478" s="48"/>
      <c r="K478" s="49"/>
    </row>
    <row r="479" spans="1:11" ht="12.75" hidden="1" x14ac:dyDescent="0.2">
      <c r="A479" s="16"/>
      <c r="B479" s="16"/>
      <c r="C479" s="15"/>
      <c r="D479" s="16"/>
      <c r="E479" s="17"/>
      <c r="F479" s="17"/>
      <c r="H479" s="19"/>
      <c r="I479" s="47"/>
      <c r="J479" s="48"/>
      <c r="K479" s="49"/>
    </row>
    <row r="480" spans="1:11" ht="12.75" hidden="1" x14ac:dyDescent="0.2">
      <c r="A480" s="16"/>
      <c r="B480" s="16"/>
      <c r="C480" s="15"/>
      <c r="D480" s="16"/>
      <c r="E480" s="17"/>
      <c r="F480" s="17"/>
      <c r="H480" s="19"/>
      <c r="I480" s="47"/>
      <c r="J480" s="48"/>
      <c r="K480" s="49"/>
    </row>
    <row r="481" spans="1:11" ht="12.75" hidden="1" x14ac:dyDescent="0.2">
      <c r="A481" s="16"/>
      <c r="B481" s="16"/>
      <c r="C481" s="15"/>
      <c r="D481" s="16"/>
      <c r="E481" s="17"/>
      <c r="F481" s="17"/>
      <c r="H481" s="19"/>
      <c r="I481" s="47"/>
      <c r="J481" s="48"/>
      <c r="K481" s="49"/>
    </row>
    <row r="482" spans="1:11" ht="12.75" hidden="1" x14ac:dyDescent="0.2">
      <c r="A482" s="16"/>
      <c r="B482" s="16"/>
      <c r="C482" s="15"/>
      <c r="D482" s="16"/>
      <c r="E482" s="17"/>
      <c r="F482" s="17"/>
      <c r="H482" s="19"/>
      <c r="I482" s="47"/>
      <c r="J482" s="48"/>
      <c r="K482" s="49"/>
    </row>
    <row r="483" spans="1:11" ht="12.75" hidden="1" x14ac:dyDescent="0.2">
      <c r="A483" s="16"/>
      <c r="B483" s="16"/>
      <c r="C483" s="15"/>
      <c r="D483" s="16"/>
      <c r="E483" s="17"/>
      <c r="F483" s="17"/>
      <c r="H483" s="19"/>
      <c r="I483" s="47"/>
      <c r="J483" s="48"/>
      <c r="K483" s="49"/>
    </row>
    <row r="484" spans="1:11" ht="12.75" hidden="1" x14ac:dyDescent="0.2">
      <c r="A484" s="16"/>
      <c r="B484" s="16"/>
      <c r="C484" s="15"/>
      <c r="D484" s="16"/>
      <c r="E484" s="17"/>
      <c r="F484" s="17"/>
      <c r="H484" s="19"/>
      <c r="I484" s="47"/>
      <c r="J484" s="48"/>
      <c r="K484" s="49"/>
    </row>
    <row r="485" spans="1:11" ht="12.75" hidden="1" x14ac:dyDescent="0.2">
      <c r="A485" s="16"/>
      <c r="B485" s="16"/>
      <c r="C485" s="15"/>
      <c r="D485" s="16"/>
      <c r="E485" s="17"/>
      <c r="F485" s="17"/>
      <c r="H485" s="19"/>
      <c r="I485" s="47"/>
      <c r="J485" s="48"/>
      <c r="K485" s="49"/>
    </row>
    <row r="486" spans="1:11" ht="12.75" hidden="1" x14ac:dyDescent="0.2">
      <c r="A486" s="16"/>
      <c r="B486" s="16"/>
      <c r="C486" s="15"/>
      <c r="D486" s="16"/>
      <c r="E486" s="17"/>
      <c r="F486" s="17"/>
      <c r="H486" s="19"/>
      <c r="I486" s="47"/>
      <c r="J486" s="48"/>
      <c r="K486" s="49"/>
    </row>
    <row r="487" spans="1:11" ht="12.75" hidden="1" x14ac:dyDescent="0.2">
      <c r="A487" s="16"/>
      <c r="B487" s="16"/>
      <c r="C487" s="15"/>
      <c r="D487" s="16"/>
      <c r="E487" s="17"/>
      <c r="F487" s="17"/>
      <c r="H487" s="19"/>
      <c r="I487" s="47"/>
      <c r="J487" s="48"/>
      <c r="K487" s="49"/>
    </row>
    <row r="488" spans="1:11" ht="12.75" hidden="1" x14ac:dyDescent="0.2">
      <c r="A488" s="16"/>
      <c r="B488" s="16"/>
      <c r="C488" s="15"/>
      <c r="D488" s="16"/>
      <c r="E488" s="17"/>
      <c r="F488" s="17"/>
      <c r="H488" s="19"/>
      <c r="I488" s="47"/>
      <c r="J488" s="48"/>
      <c r="K488" s="49"/>
    </row>
    <row r="489" spans="1:11" ht="12.75" hidden="1" x14ac:dyDescent="0.2">
      <c r="A489" s="16"/>
      <c r="B489" s="16"/>
      <c r="C489" s="15"/>
      <c r="D489" s="16"/>
      <c r="E489" s="17"/>
      <c r="F489" s="17"/>
      <c r="H489" s="19"/>
      <c r="I489" s="47"/>
      <c r="J489" s="48"/>
      <c r="K489" s="49"/>
    </row>
    <row r="490" spans="1:11" ht="12.75" hidden="1" x14ac:dyDescent="0.2">
      <c r="A490" s="16"/>
      <c r="B490" s="16"/>
      <c r="C490" s="15"/>
      <c r="D490" s="16"/>
      <c r="E490" s="17"/>
      <c r="F490" s="17"/>
      <c r="H490" s="19"/>
      <c r="I490" s="47"/>
      <c r="J490" s="48"/>
      <c r="K490" s="49"/>
    </row>
    <row r="491" spans="1:11" ht="12.75" hidden="1" x14ac:dyDescent="0.2">
      <c r="A491" s="16"/>
      <c r="B491" s="16"/>
      <c r="C491" s="15"/>
      <c r="D491" s="16"/>
      <c r="E491" s="17"/>
      <c r="F491" s="17"/>
      <c r="H491" s="19"/>
      <c r="I491" s="47"/>
      <c r="J491" s="48"/>
      <c r="K491" s="49"/>
    </row>
    <row r="492" spans="1:11" ht="12.75" hidden="1" x14ac:dyDescent="0.2">
      <c r="A492" s="16"/>
      <c r="B492" s="16"/>
      <c r="C492" s="15"/>
      <c r="D492" s="16"/>
      <c r="E492" s="17"/>
      <c r="F492" s="17"/>
      <c r="H492" s="19"/>
      <c r="I492" s="47"/>
      <c r="J492" s="48"/>
      <c r="K492" s="49"/>
    </row>
    <row r="493" spans="1:11" ht="12.75" hidden="1" x14ac:dyDescent="0.2">
      <c r="A493" s="16"/>
      <c r="B493" s="16"/>
      <c r="C493" s="15"/>
      <c r="D493" s="16"/>
      <c r="E493" s="17"/>
      <c r="F493" s="17"/>
      <c r="H493" s="19"/>
      <c r="I493" s="47"/>
      <c r="J493" s="48"/>
      <c r="K493" s="49"/>
    </row>
    <row r="494" spans="1:11" ht="12.75" hidden="1" x14ac:dyDescent="0.2">
      <c r="A494" s="16"/>
      <c r="B494" s="16"/>
      <c r="C494" s="15"/>
      <c r="D494" s="16"/>
      <c r="E494" s="17"/>
      <c r="F494" s="17"/>
      <c r="H494" s="19"/>
      <c r="I494" s="47"/>
      <c r="J494" s="48"/>
      <c r="K494" s="49"/>
    </row>
    <row r="495" spans="1:11" ht="12.75" hidden="1" x14ac:dyDescent="0.2">
      <c r="A495" s="16"/>
      <c r="B495" s="16"/>
      <c r="C495" s="15"/>
      <c r="D495" s="16"/>
      <c r="E495" s="17"/>
      <c r="F495" s="17"/>
      <c r="H495" s="19"/>
      <c r="I495" s="47"/>
      <c r="J495" s="48"/>
      <c r="K495" s="49"/>
    </row>
    <row r="496" spans="1:11" ht="12.75" hidden="1" x14ac:dyDescent="0.2">
      <c r="A496" s="16"/>
      <c r="B496" s="16"/>
      <c r="C496" s="15"/>
      <c r="D496" s="16"/>
      <c r="E496" s="17"/>
      <c r="F496" s="17"/>
      <c r="H496" s="19"/>
      <c r="I496" s="47"/>
      <c r="J496" s="48"/>
      <c r="K496" s="49"/>
    </row>
    <row r="497" spans="1:11" ht="12.75" hidden="1" x14ac:dyDescent="0.2">
      <c r="A497" s="16"/>
      <c r="B497" s="16"/>
      <c r="C497" s="15"/>
      <c r="D497" s="16"/>
      <c r="E497" s="17"/>
      <c r="F497" s="17"/>
      <c r="H497" s="19"/>
      <c r="I497" s="47"/>
      <c r="J497" s="48"/>
      <c r="K497" s="49"/>
    </row>
    <row r="498" spans="1:11" ht="12.75" hidden="1" x14ac:dyDescent="0.2">
      <c r="A498" s="16"/>
      <c r="B498" s="16"/>
      <c r="C498" s="15"/>
      <c r="D498" s="16"/>
      <c r="E498" s="17"/>
      <c r="F498" s="17"/>
      <c r="H498" s="19"/>
      <c r="I498" s="47"/>
      <c r="J498" s="48"/>
      <c r="K498" s="49"/>
    </row>
    <row r="499" spans="1:11" ht="12.75" hidden="1" x14ac:dyDescent="0.2">
      <c r="A499" s="16"/>
      <c r="B499" s="16"/>
      <c r="C499" s="15"/>
      <c r="D499" s="16"/>
      <c r="E499" s="17"/>
      <c r="F499" s="17"/>
      <c r="H499" s="19"/>
      <c r="I499" s="47"/>
      <c r="J499" s="48"/>
      <c r="K499" s="49"/>
    </row>
    <row r="500" spans="1:11" ht="12.75" hidden="1" x14ac:dyDescent="0.2">
      <c r="A500" s="16"/>
      <c r="B500" s="16"/>
      <c r="C500" s="15"/>
      <c r="D500" s="16"/>
      <c r="E500" s="17"/>
      <c r="F500" s="17"/>
      <c r="H500" s="19"/>
      <c r="I500" s="47"/>
      <c r="J500" s="48"/>
      <c r="K500" s="49"/>
    </row>
    <row r="501" spans="1:11" ht="12.75" hidden="1" x14ac:dyDescent="0.2">
      <c r="A501" s="16"/>
      <c r="B501" s="16"/>
      <c r="C501" s="15"/>
      <c r="D501" s="16"/>
      <c r="E501" s="17"/>
      <c r="F501" s="17"/>
      <c r="H501" s="19"/>
      <c r="I501" s="47"/>
      <c r="J501" s="48"/>
      <c r="K501" s="49"/>
    </row>
    <row r="502" spans="1:11" ht="12.75" hidden="1" x14ac:dyDescent="0.2">
      <c r="A502" s="16"/>
      <c r="B502" s="16"/>
      <c r="C502" s="15"/>
      <c r="D502" s="16"/>
      <c r="E502" s="17"/>
      <c r="F502" s="17"/>
      <c r="H502" s="19"/>
      <c r="I502" s="47"/>
      <c r="J502" s="48"/>
      <c r="K502" s="49"/>
    </row>
    <row r="503" spans="1:11" ht="12.75" hidden="1" x14ac:dyDescent="0.2">
      <c r="A503" s="16"/>
      <c r="B503" s="16"/>
      <c r="C503" s="15"/>
      <c r="D503" s="16"/>
      <c r="E503" s="17"/>
      <c r="F503" s="17"/>
      <c r="H503" s="19"/>
      <c r="I503" s="47"/>
      <c r="J503" s="48"/>
      <c r="K503" s="49"/>
    </row>
    <row r="504" spans="1:11" ht="12.75" hidden="1" x14ac:dyDescent="0.2">
      <c r="A504" s="16"/>
      <c r="B504" s="16"/>
      <c r="C504" s="15"/>
      <c r="D504" s="16"/>
      <c r="E504" s="17"/>
      <c r="F504" s="17"/>
      <c r="H504" s="19"/>
      <c r="I504" s="47"/>
      <c r="J504" s="48"/>
      <c r="K504" s="49"/>
    </row>
    <row r="505" spans="1:11" ht="12.75" hidden="1" x14ac:dyDescent="0.2">
      <c r="A505" s="16"/>
      <c r="B505" s="16"/>
      <c r="C505" s="15"/>
      <c r="D505" s="16"/>
      <c r="E505" s="17"/>
      <c r="F505" s="17"/>
      <c r="H505" s="19"/>
      <c r="I505" s="47"/>
      <c r="J505" s="48"/>
      <c r="K505" s="49"/>
    </row>
    <row r="506" spans="1:11" ht="12.75" hidden="1" x14ac:dyDescent="0.2">
      <c r="A506" s="16"/>
      <c r="B506" s="16"/>
      <c r="C506" s="15"/>
      <c r="D506" s="16"/>
      <c r="E506" s="17"/>
      <c r="F506" s="17"/>
      <c r="H506" s="19"/>
      <c r="I506" s="47"/>
      <c r="J506" s="48"/>
      <c r="K506" s="49"/>
    </row>
    <row r="507" spans="1:11" ht="12.75" hidden="1" x14ac:dyDescent="0.2">
      <c r="A507" s="16"/>
      <c r="B507" s="16"/>
      <c r="C507" s="15"/>
      <c r="D507" s="16"/>
      <c r="E507" s="17"/>
      <c r="F507" s="17"/>
      <c r="H507" s="19"/>
      <c r="I507" s="47"/>
      <c r="J507" s="48"/>
      <c r="K507" s="49"/>
    </row>
    <row r="508" spans="1:11" ht="12.75" hidden="1" x14ac:dyDescent="0.2">
      <c r="A508" s="16"/>
      <c r="B508" s="16"/>
      <c r="C508" s="15"/>
      <c r="D508" s="16"/>
      <c r="E508" s="17"/>
      <c r="F508" s="17"/>
      <c r="H508" s="19"/>
      <c r="I508" s="47"/>
      <c r="J508" s="48"/>
      <c r="K508" s="49"/>
    </row>
    <row r="509" spans="1:11" ht="12.75" hidden="1" x14ac:dyDescent="0.2">
      <c r="A509" s="16"/>
      <c r="B509" s="16"/>
      <c r="C509" s="15"/>
      <c r="D509" s="16"/>
      <c r="E509" s="17"/>
      <c r="F509" s="17"/>
      <c r="H509" s="19"/>
      <c r="I509" s="47"/>
      <c r="J509" s="48"/>
      <c r="K509" s="49"/>
    </row>
    <row r="510" spans="1:11" ht="12.75" hidden="1" x14ac:dyDescent="0.2">
      <c r="A510" s="16"/>
      <c r="B510" s="16"/>
      <c r="C510" s="15"/>
      <c r="D510" s="16"/>
      <c r="E510" s="17"/>
      <c r="F510" s="17"/>
      <c r="H510" s="19"/>
      <c r="I510" s="47"/>
      <c r="J510" s="48"/>
      <c r="K510" s="49"/>
    </row>
    <row r="511" spans="1:11" ht="12.75" hidden="1" x14ac:dyDescent="0.2">
      <c r="A511" s="16"/>
      <c r="B511" s="16"/>
      <c r="C511" s="15"/>
      <c r="D511" s="16"/>
      <c r="E511" s="17"/>
      <c r="F511" s="17"/>
      <c r="H511" s="19"/>
      <c r="I511" s="47"/>
      <c r="J511" s="48"/>
      <c r="K511" s="49"/>
    </row>
    <row r="512" spans="1:11" ht="12.75" hidden="1" x14ac:dyDescent="0.2">
      <c r="A512" s="16"/>
      <c r="B512" s="16"/>
      <c r="C512" s="15"/>
      <c r="D512" s="16"/>
      <c r="E512" s="17"/>
      <c r="F512" s="17"/>
      <c r="H512" s="19"/>
      <c r="I512" s="47"/>
      <c r="J512" s="48"/>
      <c r="K512" s="49"/>
    </row>
    <row r="513" spans="1:11" ht="12.75" hidden="1" x14ac:dyDescent="0.2">
      <c r="A513" s="16"/>
      <c r="B513" s="16"/>
      <c r="C513" s="15"/>
      <c r="D513" s="16"/>
      <c r="E513" s="17"/>
      <c r="F513" s="17"/>
      <c r="H513" s="19"/>
      <c r="I513" s="47"/>
      <c r="J513" s="48"/>
      <c r="K513" s="49"/>
    </row>
    <row r="514" spans="1:11" ht="12.75" hidden="1" x14ac:dyDescent="0.2">
      <c r="A514" s="16"/>
      <c r="B514" s="16"/>
      <c r="C514" s="15"/>
      <c r="D514" s="16"/>
      <c r="E514" s="17"/>
      <c r="F514" s="17"/>
      <c r="H514" s="19"/>
      <c r="I514" s="47"/>
      <c r="J514" s="48"/>
      <c r="K514" s="49"/>
    </row>
    <row r="515" spans="1:11" ht="12.75" hidden="1" x14ac:dyDescent="0.2">
      <c r="A515" s="16"/>
      <c r="B515" s="16"/>
      <c r="C515" s="15"/>
      <c r="D515" s="16"/>
      <c r="E515" s="17"/>
      <c r="F515" s="17"/>
      <c r="H515" s="19"/>
      <c r="I515" s="47"/>
      <c r="J515" s="48"/>
      <c r="K515" s="49"/>
    </row>
    <row r="516" spans="1:11" ht="12.75" hidden="1" x14ac:dyDescent="0.2">
      <c r="A516" s="16"/>
      <c r="B516" s="16"/>
      <c r="C516" s="15"/>
      <c r="D516" s="16"/>
      <c r="E516" s="17"/>
      <c r="F516" s="17"/>
      <c r="H516" s="19"/>
      <c r="I516" s="47"/>
      <c r="J516" s="48"/>
      <c r="K516" s="49"/>
    </row>
    <row r="517" spans="1:11" ht="12.75" hidden="1" x14ac:dyDescent="0.2">
      <c r="A517" s="16"/>
      <c r="B517" s="16"/>
      <c r="C517" s="15"/>
      <c r="D517" s="16"/>
      <c r="E517" s="17"/>
      <c r="F517" s="17"/>
      <c r="H517" s="19"/>
      <c r="I517" s="47"/>
      <c r="J517" s="48"/>
      <c r="K517" s="49"/>
    </row>
    <row r="518" spans="1:11" ht="12.75" hidden="1" x14ac:dyDescent="0.2">
      <c r="A518" s="16"/>
      <c r="B518" s="16"/>
      <c r="C518" s="15"/>
      <c r="D518" s="16"/>
      <c r="E518" s="17"/>
      <c r="F518" s="17"/>
      <c r="H518" s="19"/>
      <c r="I518" s="47"/>
      <c r="J518" s="48"/>
      <c r="K518" s="49"/>
    </row>
    <row r="519" spans="1:11" ht="12.75" hidden="1" x14ac:dyDescent="0.2">
      <c r="A519" s="16"/>
      <c r="B519" s="16"/>
      <c r="C519" s="15"/>
      <c r="D519" s="16"/>
      <c r="E519" s="17"/>
      <c r="F519" s="17"/>
      <c r="H519" s="19"/>
      <c r="I519" s="47"/>
      <c r="J519" s="48"/>
      <c r="K519" s="49"/>
    </row>
    <row r="520" spans="1:11" ht="12.75" hidden="1" x14ac:dyDescent="0.2">
      <c r="A520" s="16"/>
      <c r="B520" s="16"/>
      <c r="C520" s="15"/>
      <c r="D520" s="16"/>
      <c r="E520" s="17"/>
      <c r="F520" s="17"/>
      <c r="H520" s="19"/>
      <c r="I520" s="47"/>
      <c r="J520" s="48"/>
      <c r="K520" s="49"/>
    </row>
    <row r="521" spans="1:11" ht="12.75" hidden="1" x14ac:dyDescent="0.2">
      <c r="A521" s="16"/>
      <c r="B521" s="16"/>
      <c r="C521" s="15"/>
      <c r="D521" s="16"/>
      <c r="E521" s="17"/>
      <c r="F521" s="17"/>
      <c r="H521" s="19"/>
      <c r="I521" s="47"/>
      <c r="J521" s="48"/>
      <c r="K521" s="49"/>
    </row>
    <row r="522" spans="1:11" ht="12.75" hidden="1" x14ac:dyDescent="0.2">
      <c r="A522" s="16"/>
      <c r="B522" s="16"/>
      <c r="C522" s="15"/>
      <c r="D522" s="16"/>
      <c r="E522" s="17"/>
      <c r="F522" s="17"/>
      <c r="H522" s="19"/>
      <c r="I522" s="47"/>
      <c r="J522" s="48"/>
      <c r="K522" s="49"/>
    </row>
    <row r="523" spans="1:11" ht="12.75" hidden="1" x14ac:dyDescent="0.2">
      <c r="A523" s="16"/>
      <c r="B523" s="16"/>
      <c r="C523" s="15"/>
      <c r="D523" s="16"/>
      <c r="E523" s="17"/>
      <c r="F523" s="17"/>
      <c r="H523" s="19"/>
      <c r="I523" s="47"/>
      <c r="J523" s="48"/>
      <c r="K523" s="49"/>
    </row>
    <row r="524" spans="1:11" ht="12.75" hidden="1" x14ac:dyDescent="0.2">
      <c r="A524" s="16"/>
      <c r="B524" s="16"/>
      <c r="C524" s="15"/>
      <c r="D524" s="16"/>
      <c r="E524" s="17"/>
      <c r="F524" s="17"/>
      <c r="H524" s="19"/>
      <c r="I524" s="47"/>
      <c r="J524" s="48"/>
      <c r="K524" s="49"/>
    </row>
    <row r="525" spans="1:11" ht="12.75" hidden="1" x14ac:dyDescent="0.2">
      <c r="A525" s="16"/>
      <c r="B525" s="16"/>
      <c r="C525" s="15"/>
      <c r="D525" s="16"/>
      <c r="E525" s="17"/>
      <c r="F525" s="17"/>
      <c r="H525" s="19"/>
      <c r="I525" s="47"/>
      <c r="J525" s="48"/>
      <c r="K525" s="49"/>
    </row>
    <row r="526" spans="1:11" ht="12.75" hidden="1" x14ac:dyDescent="0.2">
      <c r="A526" s="16"/>
      <c r="B526" s="16"/>
      <c r="C526" s="15"/>
      <c r="D526" s="16"/>
      <c r="E526" s="17"/>
      <c r="F526" s="17"/>
      <c r="H526" s="19"/>
      <c r="I526" s="47"/>
      <c r="J526" s="48"/>
      <c r="K526" s="49"/>
    </row>
    <row r="527" spans="1:11" ht="12.75" hidden="1" x14ac:dyDescent="0.2">
      <c r="A527" s="16"/>
      <c r="B527" s="16"/>
      <c r="C527" s="15"/>
      <c r="D527" s="16"/>
      <c r="E527" s="17"/>
      <c r="F527" s="17"/>
      <c r="H527" s="19"/>
      <c r="I527" s="47"/>
      <c r="J527" s="48"/>
      <c r="K527" s="49"/>
    </row>
    <row r="528" spans="1:11" ht="12.75" hidden="1" x14ac:dyDescent="0.2">
      <c r="A528" s="16"/>
      <c r="B528" s="16"/>
      <c r="C528" s="15"/>
      <c r="D528" s="16"/>
      <c r="E528" s="17"/>
      <c r="F528" s="17"/>
      <c r="H528" s="19"/>
      <c r="I528" s="47"/>
      <c r="J528" s="48"/>
      <c r="K528" s="49"/>
    </row>
    <row r="529" spans="1:11" ht="12.75" hidden="1" x14ac:dyDescent="0.2">
      <c r="A529" s="16"/>
      <c r="B529" s="16"/>
      <c r="C529" s="15"/>
      <c r="D529" s="16"/>
      <c r="E529" s="17"/>
      <c r="F529" s="17"/>
      <c r="H529" s="19"/>
      <c r="I529" s="47"/>
      <c r="J529" s="48"/>
      <c r="K529" s="49"/>
    </row>
    <row r="530" spans="1:11" ht="12.75" hidden="1" x14ac:dyDescent="0.2">
      <c r="A530" s="16"/>
      <c r="B530" s="16"/>
      <c r="C530" s="15"/>
      <c r="D530" s="16"/>
      <c r="E530" s="17"/>
      <c r="F530" s="17"/>
      <c r="H530" s="19"/>
      <c r="I530" s="47"/>
      <c r="J530" s="48"/>
      <c r="K530" s="49"/>
    </row>
    <row r="531" spans="1:11" ht="12.75" hidden="1" x14ac:dyDescent="0.2">
      <c r="A531" s="16"/>
      <c r="B531" s="16"/>
      <c r="C531" s="15"/>
      <c r="D531" s="16"/>
      <c r="E531" s="17"/>
      <c r="F531" s="17"/>
      <c r="H531" s="19"/>
      <c r="I531" s="47"/>
      <c r="J531" s="48"/>
      <c r="K531" s="49"/>
    </row>
    <row r="532" spans="1:11" ht="12.75" hidden="1" x14ac:dyDescent="0.2">
      <c r="A532" s="16"/>
      <c r="B532" s="16"/>
      <c r="C532" s="15"/>
      <c r="D532" s="16"/>
      <c r="E532" s="17"/>
      <c r="F532" s="17"/>
      <c r="H532" s="19"/>
      <c r="I532" s="47"/>
      <c r="J532" s="48"/>
      <c r="K532" s="49"/>
    </row>
    <row r="533" spans="1:11" ht="12.75" hidden="1" x14ac:dyDescent="0.2">
      <c r="A533" s="16"/>
      <c r="B533" s="16"/>
      <c r="C533" s="15"/>
      <c r="D533" s="16"/>
      <c r="E533" s="17"/>
      <c r="F533" s="17"/>
      <c r="H533" s="19"/>
      <c r="I533" s="47"/>
      <c r="J533" s="48"/>
      <c r="K533" s="49"/>
    </row>
    <row r="534" spans="1:11" ht="12.75" hidden="1" x14ac:dyDescent="0.2">
      <c r="A534" s="16"/>
      <c r="B534" s="16"/>
      <c r="C534" s="15"/>
      <c r="D534" s="16"/>
      <c r="E534" s="17"/>
      <c r="F534" s="17"/>
      <c r="H534" s="19"/>
      <c r="I534" s="47"/>
      <c r="J534" s="48"/>
      <c r="K534" s="49"/>
    </row>
    <row r="535" spans="1:11" ht="12.75" hidden="1" x14ac:dyDescent="0.2">
      <c r="A535" s="16"/>
      <c r="B535" s="16"/>
      <c r="C535" s="15"/>
      <c r="D535" s="16"/>
      <c r="E535" s="17"/>
      <c r="F535" s="17"/>
      <c r="H535" s="19"/>
      <c r="I535" s="47"/>
      <c r="J535" s="48"/>
      <c r="K535" s="49"/>
    </row>
    <row r="536" spans="1:11" ht="12.75" hidden="1" x14ac:dyDescent="0.2">
      <c r="A536" s="16"/>
      <c r="B536" s="16"/>
      <c r="C536" s="15"/>
      <c r="D536" s="16"/>
      <c r="E536" s="17"/>
      <c r="F536" s="17"/>
      <c r="H536" s="19"/>
      <c r="I536" s="47"/>
      <c r="J536" s="48"/>
      <c r="K536" s="49"/>
    </row>
    <row r="537" spans="1:11" ht="12.75" hidden="1" x14ac:dyDescent="0.2">
      <c r="A537" s="16"/>
      <c r="B537" s="16"/>
      <c r="C537" s="15"/>
      <c r="D537" s="16"/>
      <c r="E537" s="17"/>
      <c r="F537" s="17"/>
      <c r="H537" s="19"/>
      <c r="I537" s="47"/>
      <c r="J537" s="48"/>
      <c r="K537" s="49"/>
    </row>
    <row r="538" spans="1:11" ht="12.75" hidden="1" x14ac:dyDescent="0.2">
      <c r="A538" s="16"/>
      <c r="B538" s="16"/>
      <c r="C538" s="15"/>
      <c r="D538" s="16"/>
      <c r="E538" s="17"/>
      <c r="F538" s="17"/>
      <c r="H538" s="19"/>
      <c r="I538" s="47"/>
      <c r="J538" s="48"/>
      <c r="K538" s="49"/>
    </row>
    <row r="539" spans="1:11" ht="12.75" hidden="1" x14ac:dyDescent="0.2">
      <c r="A539" s="16"/>
      <c r="B539" s="16"/>
      <c r="C539" s="15"/>
      <c r="D539" s="16"/>
      <c r="E539" s="17"/>
      <c r="F539" s="17"/>
      <c r="H539" s="19"/>
      <c r="I539" s="47"/>
      <c r="J539" s="48"/>
      <c r="K539" s="49"/>
    </row>
    <row r="540" spans="1:11" ht="12.75" hidden="1" x14ac:dyDescent="0.2">
      <c r="A540" s="16"/>
      <c r="B540" s="16"/>
      <c r="C540" s="15"/>
      <c r="D540" s="16"/>
      <c r="E540" s="17"/>
      <c r="F540" s="17"/>
      <c r="H540" s="19"/>
      <c r="I540" s="47"/>
      <c r="J540" s="48"/>
      <c r="K540" s="49"/>
    </row>
    <row r="541" spans="1:11" ht="12.75" hidden="1" x14ac:dyDescent="0.2">
      <c r="A541" s="16"/>
      <c r="B541" s="16"/>
      <c r="C541" s="15"/>
      <c r="D541" s="16"/>
      <c r="E541" s="17"/>
      <c r="F541" s="17"/>
      <c r="H541" s="19"/>
      <c r="I541" s="47"/>
      <c r="J541" s="48"/>
      <c r="K541" s="49"/>
    </row>
    <row r="542" spans="1:11" ht="12.75" hidden="1" x14ac:dyDescent="0.2">
      <c r="A542" s="16"/>
      <c r="B542" s="16"/>
      <c r="C542" s="15"/>
      <c r="D542" s="16"/>
      <c r="E542" s="17"/>
      <c r="F542" s="17"/>
      <c r="H542" s="19"/>
      <c r="I542" s="47"/>
      <c r="J542" s="48"/>
      <c r="K542" s="49"/>
    </row>
    <row r="543" spans="1:11" ht="12.75" hidden="1" x14ac:dyDescent="0.2">
      <c r="A543" s="16"/>
      <c r="B543" s="16"/>
      <c r="C543" s="15"/>
      <c r="D543" s="16"/>
      <c r="E543" s="17"/>
      <c r="F543" s="17"/>
      <c r="H543" s="19"/>
      <c r="I543" s="47"/>
      <c r="J543" s="48"/>
      <c r="K543" s="49"/>
    </row>
    <row r="544" spans="1:11" ht="12.75" hidden="1" x14ac:dyDescent="0.2">
      <c r="A544" s="16"/>
      <c r="B544" s="16"/>
      <c r="C544" s="15"/>
      <c r="D544" s="16"/>
      <c r="E544" s="17"/>
      <c r="F544" s="17"/>
      <c r="H544" s="19"/>
      <c r="I544" s="47"/>
      <c r="J544" s="48"/>
      <c r="K544" s="49"/>
    </row>
    <row r="545" spans="1:11" ht="12.75" hidden="1" x14ac:dyDescent="0.2">
      <c r="A545" s="16"/>
      <c r="B545" s="16"/>
      <c r="C545" s="15"/>
      <c r="D545" s="16"/>
      <c r="E545" s="17"/>
      <c r="F545" s="17"/>
      <c r="H545" s="19"/>
      <c r="I545" s="47"/>
      <c r="J545" s="48"/>
      <c r="K545" s="49"/>
    </row>
    <row r="546" spans="1:11" ht="12.75" hidden="1" x14ac:dyDescent="0.2">
      <c r="A546" s="16"/>
      <c r="B546" s="16"/>
      <c r="C546" s="15"/>
      <c r="D546" s="16"/>
      <c r="E546" s="17"/>
      <c r="F546" s="17"/>
      <c r="H546" s="19"/>
      <c r="I546" s="47"/>
      <c r="J546" s="48"/>
      <c r="K546" s="49"/>
    </row>
    <row r="547" spans="1:11" ht="12.75" hidden="1" x14ac:dyDescent="0.2">
      <c r="A547" s="16"/>
      <c r="B547" s="16"/>
      <c r="C547" s="15"/>
      <c r="D547" s="16"/>
      <c r="E547" s="17"/>
      <c r="F547" s="17"/>
      <c r="H547" s="19"/>
      <c r="I547" s="47"/>
      <c r="J547" s="48"/>
      <c r="K547" s="49"/>
    </row>
    <row r="548" spans="1:11" ht="12.75" hidden="1" x14ac:dyDescent="0.2">
      <c r="A548" s="16"/>
      <c r="B548" s="16"/>
      <c r="C548" s="15"/>
      <c r="D548" s="16"/>
      <c r="E548" s="17"/>
      <c r="F548" s="17"/>
      <c r="H548" s="19"/>
      <c r="I548" s="47"/>
      <c r="J548" s="48"/>
      <c r="K548" s="49"/>
    </row>
    <row r="549" spans="1:11" ht="12.75" hidden="1" x14ac:dyDescent="0.2">
      <c r="A549" s="16"/>
      <c r="B549" s="16"/>
      <c r="C549" s="15"/>
      <c r="D549" s="16"/>
      <c r="E549" s="17"/>
      <c r="F549" s="17"/>
      <c r="H549" s="19"/>
      <c r="I549" s="47"/>
      <c r="J549" s="48"/>
      <c r="K549" s="49"/>
    </row>
    <row r="550" spans="1:11" ht="12.75" hidden="1" x14ac:dyDescent="0.2">
      <c r="A550" s="16"/>
      <c r="B550" s="16"/>
      <c r="C550" s="15"/>
      <c r="D550" s="16"/>
      <c r="E550" s="17"/>
      <c r="F550" s="17"/>
      <c r="H550" s="19"/>
      <c r="I550" s="47"/>
      <c r="J550" s="48"/>
      <c r="K550" s="49"/>
    </row>
    <row r="551" spans="1:11" ht="12.75" hidden="1" x14ac:dyDescent="0.2">
      <c r="A551" s="16"/>
      <c r="B551" s="16"/>
      <c r="C551" s="15"/>
      <c r="D551" s="16"/>
      <c r="E551" s="17"/>
      <c r="F551" s="17"/>
      <c r="H551" s="19"/>
      <c r="I551" s="47"/>
      <c r="J551" s="48"/>
      <c r="K551" s="49"/>
    </row>
    <row r="552" spans="1:11" ht="12.75" hidden="1" x14ac:dyDescent="0.2">
      <c r="A552" s="16"/>
      <c r="B552" s="16"/>
      <c r="C552" s="15"/>
      <c r="D552" s="16"/>
      <c r="E552" s="17"/>
      <c r="F552" s="17"/>
      <c r="H552" s="19"/>
      <c r="I552" s="47"/>
      <c r="J552" s="48"/>
      <c r="K552" s="49"/>
    </row>
    <row r="553" spans="1:11" ht="12.75" hidden="1" x14ac:dyDescent="0.2">
      <c r="A553" s="16"/>
      <c r="B553" s="16"/>
      <c r="C553" s="15"/>
      <c r="D553" s="16"/>
      <c r="E553" s="17"/>
      <c r="F553" s="17"/>
      <c r="H553" s="19"/>
      <c r="I553" s="47"/>
      <c r="J553" s="48"/>
      <c r="K553" s="49"/>
    </row>
    <row r="554" spans="1:11" ht="12.75" hidden="1" x14ac:dyDescent="0.2">
      <c r="A554" s="16"/>
      <c r="B554" s="16"/>
      <c r="C554" s="15"/>
      <c r="D554" s="16"/>
      <c r="E554" s="17"/>
      <c r="F554" s="17"/>
      <c r="H554" s="19"/>
      <c r="I554" s="47"/>
      <c r="J554" s="48"/>
      <c r="K554" s="49"/>
    </row>
    <row r="555" spans="1:11" ht="12.75" hidden="1" x14ac:dyDescent="0.2">
      <c r="A555" s="16"/>
      <c r="B555" s="16"/>
      <c r="C555" s="15"/>
      <c r="D555" s="16"/>
      <c r="E555" s="17"/>
      <c r="F555" s="17"/>
      <c r="H555" s="19"/>
      <c r="I555" s="47"/>
      <c r="J555" s="48"/>
      <c r="K555" s="49"/>
    </row>
    <row r="556" spans="1:11" ht="12.75" hidden="1" x14ac:dyDescent="0.2">
      <c r="A556" s="16"/>
      <c r="B556" s="16"/>
      <c r="C556" s="15"/>
      <c r="D556" s="16"/>
      <c r="E556" s="17"/>
      <c r="F556" s="17"/>
      <c r="H556" s="19"/>
      <c r="I556" s="47"/>
      <c r="J556" s="48"/>
      <c r="K556" s="49"/>
    </row>
    <row r="557" spans="1:11" ht="12.75" hidden="1" x14ac:dyDescent="0.2">
      <c r="A557" s="16"/>
      <c r="B557" s="16"/>
      <c r="C557" s="15"/>
      <c r="D557" s="16"/>
      <c r="E557" s="17"/>
      <c r="F557" s="17"/>
      <c r="H557" s="19"/>
      <c r="I557" s="47"/>
      <c r="J557" s="48"/>
      <c r="K557" s="49"/>
    </row>
    <row r="558" spans="1:11" ht="12.75" hidden="1" x14ac:dyDescent="0.2">
      <c r="A558" s="16"/>
      <c r="B558" s="16"/>
      <c r="C558" s="15"/>
      <c r="D558" s="16"/>
      <c r="E558" s="17"/>
      <c r="F558" s="17"/>
      <c r="H558" s="19"/>
      <c r="I558" s="47"/>
      <c r="J558" s="48"/>
      <c r="K558" s="49"/>
    </row>
    <row r="559" spans="1:11" ht="12.75" hidden="1" x14ac:dyDescent="0.2">
      <c r="A559" s="16"/>
      <c r="B559" s="16"/>
      <c r="C559" s="15"/>
      <c r="D559" s="16"/>
      <c r="E559" s="17"/>
      <c r="F559" s="17"/>
      <c r="H559" s="19"/>
      <c r="I559" s="47"/>
      <c r="J559" s="48"/>
      <c r="K559" s="49"/>
    </row>
    <row r="560" spans="1:11" ht="12.75" hidden="1" x14ac:dyDescent="0.2">
      <c r="A560" s="16"/>
      <c r="B560" s="16"/>
      <c r="C560" s="15"/>
      <c r="D560" s="16"/>
      <c r="E560" s="17"/>
      <c r="F560" s="17"/>
      <c r="H560" s="19"/>
      <c r="I560" s="47"/>
      <c r="J560" s="48"/>
      <c r="K560" s="49"/>
    </row>
    <row r="561" spans="1:11" ht="12.75" hidden="1" x14ac:dyDescent="0.2">
      <c r="A561" s="16"/>
      <c r="B561" s="16"/>
      <c r="C561" s="15"/>
      <c r="D561" s="16"/>
      <c r="E561" s="17"/>
      <c r="F561" s="17"/>
      <c r="H561" s="19"/>
      <c r="I561" s="47"/>
      <c r="J561" s="48"/>
      <c r="K561" s="49"/>
    </row>
    <row r="562" spans="1:11" ht="12.75" hidden="1" x14ac:dyDescent="0.2">
      <c r="A562" s="16"/>
      <c r="B562" s="16"/>
      <c r="C562" s="15"/>
      <c r="D562" s="16"/>
      <c r="E562" s="17"/>
      <c r="F562" s="17"/>
      <c r="H562" s="19"/>
      <c r="I562" s="47"/>
      <c r="J562" s="48"/>
      <c r="K562" s="49"/>
    </row>
    <row r="563" spans="1:11" ht="12.75" hidden="1" x14ac:dyDescent="0.2">
      <c r="A563" s="16"/>
      <c r="B563" s="16"/>
      <c r="C563" s="15"/>
      <c r="D563" s="16"/>
      <c r="E563" s="17"/>
      <c r="F563" s="17"/>
      <c r="H563" s="19"/>
      <c r="I563" s="47"/>
      <c r="J563" s="48"/>
      <c r="K563" s="49"/>
    </row>
    <row r="564" spans="1:11" ht="12.75" hidden="1" x14ac:dyDescent="0.2">
      <c r="A564" s="16"/>
      <c r="B564" s="16"/>
      <c r="C564" s="15"/>
      <c r="D564" s="16"/>
      <c r="E564" s="17"/>
      <c r="F564" s="17"/>
      <c r="H564" s="19"/>
      <c r="I564" s="47"/>
      <c r="J564" s="48"/>
      <c r="K564" s="49"/>
    </row>
    <row r="565" spans="1:11" ht="12.75" hidden="1" x14ac:dyDescent="0.2">
      <c r="A565" s="16"/>
      <c r="B565" s="16"/>
      <c r="C565" s="15"/>
      <c r="D565" s="16"/>
      <c r="E565" s="17"/>
      <c r="F565" s="17"/>
      <c r="H565" s="19"/>
      <c r="I565" s="47"/>
      <c r="J565" s="48"/>
      <c r="K565" s="49"/>
    </row>
    <row r="566" spans="1:11" ht="12.75" hidden="1" x14ac:dyDescent="0.2">
      <c r="A566" s="16"/>
      <c r="B566" s="16"/>
      <c r="C566" s="15"/>
      <c r="D566" s="16"/>
      <c r="E566" s="17"/>
      <c r="F566" s="17"/>
      <c r="H566" s="19"/>
      <c r="I566" s="47"/>
      <c r="J566" s="48"/>
      <c r="K566" s="49"/>
    </row>
    <row r="567" spans="1:11" ht="12.75" hidden="1" x14ac:dyDescent="0.2">
      <c r="A567" s="16"/>
      <c r="B567" s="16"/>
      <c r="C567" s="15"/>
      <c r="D567" s="16"/>
      <c r="E567" s="17"/>
      <c r="F567" s="17"/>
      <c r="H567" s="19"/>
      <c r="I567" s="47"/>
      <c r="J567" s="48"/>
      <c r="K567" s="49"/>
    </row>
    <row r="568" spans="1:11" ht="12.75" hidden="1" x14ac:dyDescent="0.2">
      <c r="A568" s="16"/>
      <c r="B568" s="16"/>
      <c r="C568" s="15"/>
      <c r="D568" s="16"/>
      <c r="E568" s="17"/>
      <c r="F568" s="17"/>
      <c r="H568" s="19"/>
      <c r="I568" s="47"/>
      <c r="J568" s="48"/>
      <c r="K568" s="49"/>
    </row>
    <row r="569" spans="1:11" ht="12.75" hidden="1" x14ac:dyDescent="0.2">
      <c r="A569" s="16"/>
      <c r="B569" s="16"/>
      <c r="C569" s="15"/>
      <c r="D569" s="16"/>
      <c r="E569" s="17"/>
      <c r="F569" s="17"/>
      <c r="H569" s="19"/>
      <c r="I569" s="47"/>
      <c r="J569" s="48"/>
      <c r="K569" s="49"/>
    </row>
    <row r="570" spans="1:11" ht="12.75" hidden="1" x14ac:dyDescent="0.2">
      <c r="A570" s="16"/>
      <c r="B570" s="16"/>
      <c r="C570" s="15"/>
      <c r="D570" s="16"/>
      <c r="E570" s="17"/>
      <c r="F570" s="17"/>
      <c r="H570" s="19"/>
      <c r="I570" s="47"/>
      <c r="J570" s="48"/>
      <c r="K570" s="49"/>
    </row>
    <row r="571" spans="1:11" ht="12.75" hidden="1" x14ac:dyDescent="0.2">
      <c r="A571" s="16"/>
      <c r="B571" s="16"/>
      <c r="C571" s="15"/>
      <c r="D571" s="16"/>
      <c r="E571" s="17"/>
      <c r="F571" s="17"/>
      <c r="H571" s="19"/>
      <c r="I571" s="47"/>
      <c r="J571" s="48"/>
      <c r="K571" s="49"/>
    </row>
    <row r="572" spans="1:11" ht="12.75" hidden="1" x14ac:dyDescent="0.2">
      <c r="A572" s="16"/>
      <c r="B572" s="16"/>
      <c r="C572" s="15"/>
      <c r="D572" s="16"/>
      <c r="E572" s="17"/>
      <c r="F572" s="17"/>
      <c r="H572" s="19"/>
      <c r="I572" s="47"/>
      <c r="J572" s="48"/>
      <c r="K572" s="49"/>
    </row>
    <row r="573" spans="1:11" ht="12.75" hidden="1" x14ac:dyDescent="0.2">
      <c r="A573" s="16"/>
      <c r="B573" s="16"/>
      <c r="C573" s="15"/>
      <c r="D573" s="16"/>
      <c r="E573" s="17"/>
      <c r="F573" s="17"/>
      <c r="H573" s="19"/>
      <c r="I573" s="47"/>
      <c r="J573" s="48"/>
      <c r="K573" s="49"/>
    </row>
    <row r="574" spans="1:11" ht="12.75" hidden="1" x14ac:dyDescent="0.2">
      <c r="A574" s="16"/>
      <c r="B574" s="16"/>
      <c r="C574" s="15"/>
      <c r="D574" s="16"/>
      <c r="E574" s="17"/>
      <c r="F574" s="17"/>
      <c r="H574" s="19"/>
      <c r="I574" s="47"/>
      <c r="J574" s="48"/>
      <c r="K574" s="49"/>
    </row>
    <row r="575" spans="1:11" ht="12.75" hidden="1" x14ac:dyDescent="0.2">
      <c r="A575" s="16"/>
      <c r="B575" s="16"/>
      <c r="C575" s="15"/>
      <c r="D575" s="16"/>
      <c r="E575" s="17"/>
      <c r="F575" s="17"/>
      <c r="H575" s="19"/>
      <c r="I575" s="47"/>
      <c r="J575" s="48"/>
      <c r="K575" s="49"/>
    </row>
    <row r="576" spans="1:11" ht="12.75" hidden="1" x14ac:dyDescent="0.2">
      <c r="A576" s="16"/>
      <c r="B576" s="16"/>
      <c r="C576" s="15"/>
      <c r="D576" s="16"/>
      <c r="E576" s="17"/>
      <c r="F576" s="17"/>
      <c r="H576" s="19"/>
      <c r="I576" s="47"/>
      <c r="J576" s="48"/>
      <c r="K576" s="49"/>
    </row>
    <row r="577" spans="1:11" ht="12.75" hidden="1" x14ac:dyDescent="0.2">
      <c r="A577" s="16"/>
      <c r="B577" s="16"/>
      <c r="C577" s="15"/>
      <c r="D577" s="16"/>
      <c r="E577" s="17"/>
      <c r="F577" s="17"/>
      <c r="H577" s="19"/>
      <c r="I577" s="47"/>
      <c r="J577" s="48"/>
      <c r="K577" s="49"/>
    </row>
    <row r="578" spans="1:11" ht="12.75" hidden="1" x14ac:dyDescent="0.2">
      <c r="A578" s="16"/>
      <c r="B578" s="16"/>
      <c r="C578" s="15"/>
      <c r="D578" s="16"/>
      <c r="E578" s="17"/>
      <c r="F578" s="17"/>
      <c r="H578" s="19"/>
      <c r="I578" s="47"/>
      <c r="J578" s="48"/>
      <c r="K578" s="49"/>
    </row>
    <row r="579" spans="1:11" ht="12.75" hidden="1" x14ac:dyDescent="0.2">
      <c r="A579" s="16"/>
      <c r="B579" s="16"/>
      <c r="C579" s="15"/>
      <c r="D579" s="16"/>
      <c r="E579" s="17"/>
      <c r="F579" s="17"/>
      <c r="H579" s="19"/>
      <c r="I579" s="47"/>
      <c r="J579" s="48"/>
      <c r="K579" s="49"/>
    </row>
    <row r="580" spans="1:11" ht="12.75" hidden="1" x14ac:dyDescent="0.2">
      <c r="A580" s="16"/>
      <c r="B580" s="16"/>
      <c r="C580" s="15"/>
      <c r="D580" s="16"/>
      <c r="E580" s="17"/>
      <c r="F580" s="17"/>
      <c r="H580" s="19"/>
      <c r="I580" s="47"/>
      <c r="J580" s="48"/>
      <c r="K580" s="49"/>
    </row>
    <row r="581" spans="1:11" ht="12.75" hidden="1" x14ac:dyDescent="0.2">
      <c r="A581" s="16"/>
      <c r="B581" s="16"/>
      <c r="C581" s="15"/>
      <c r="D581" s="16"/>
      <c r="E581" s="17"/>
      <c r="F581" s="17"/>
      <c r="H581" s="19"/>
      <c r="I581" s="47"/>
      <c r="J581" s="48"/>
      <c r="K581" s="49"/>
    </row>
    <row r="582" spans="1:11" ht="12.75" hidden="1" x14ac:dyDescent="0.2">
      <c r="A582" s="16"/>
      <c r="B582" s="16"/>
      <c r="C582" s="15"/>
      <c r="D582" s="16"/>
      <c r="E582" s="17"/>
      <c r="F582" s="17"/>
      <c r="H582" s="19"/>
      <c r="I582" s="47"/>
      <c r="J582" s="48"/>
      <c r="K582" s="49"/>
    </row>
    <row r="583" spans="1:11" ht="12.75" hidden="1" x14ac:dyDescent="0.2">
      <c r="A583" s="16"/>
      <c r="B583" s="16"/>
      <c r="C583" s="15"/>
      <c r="D583" s="16"/>
      <c r="E583" s="17"/>
      <c r="F583" s="17"/>
      <c r="H583" s="19"/>
      <c r="I583" s="47"/>
      <c r="J583" s="48"/>
      <c r="K583" s="49"/>
    </row>
    <row r="584" spans="1:11" ht="12.75" hidden="1" x14ac:dyDescent="0.2">
      <c r="A584" s="16"/>
      <c r="B584" s="16"/>
      <c r="C584" s="15"/>
      <c r="D584" s="16"/>
      <c r="E584" s="17"/>
      <c r="F584" s="17"/>
      <c r="H584" s="19"/>
      <c r="I584" s="47"/>
      <c r="J584" s="48"/>
      <c r="K584" s="49"/>
    </row>
    <row r="585" spans="1:11" ht="12.75" hidden="1" x14ac:dyDescent="0.2">
      <c r="A585" s="16"/>
      <c r="B585" s="16"/>
      <c r="C585" s="15"/>
      <c r="D585" s="16"/>
      <c r="E585" s="17"/>
      <c r="F585" s="17"/>
      <c r="H585" s="19"/>
      <c r="I585" s="47"/>
      <c r="J585" s="48"/>
      <c r="K585" s="49"/>
    </row>
    <row r="586" spans="1:11" ht="12.75" hidden="1" x14ac:dyDescent="0.2">
      <c r="A586" s="16"/>
      <c r="B586" s="16"/>
      <c r="C586" s="15"/>
      <c r="D586" s="16"/>
      <c r="E586" s="17"/>
      <c r="F586" s="17"/>
      <c r="H586" s="19"/>
      <c r="I586" s="47"/>
      <c r="J586" s="48"/>
      <c r="K586" s="49"/>
    </row>
    <row r="587" spans="1:11" ht="12.75" hidden="1" x14ac:dyDescent="0.2">
      <c r="A587" s="16"/>
      <c r="B587" s="16"/>
      <c r="C587" s="15"/>
      <c r="D587" s="16"/>
      <c r="E587" s="17"/>
      <c r="F587" s="17"/>
      <c r="H587" s="19"/>
      <c r="I587" s="47"/>
      <c r="J587" s="48"/>
      <c r="K587" s="49"/>
    </row>
    <row r="588" spans="1:11" ht="12.75" hidden="1" x14ac:dyDescent="0.2">
      <c r="A588" s="16"/>
      <c r="B588" s="16"/>
      <c r="C588" s="15"/>
      <c r="D588" s="16"/>
      <c r="E588" s="17"/>
      <c r="F588" s="17"/>
      <c r="H588" s="19"/>
      <c r="I588" s="47"/>
      <c r="J588" s="48"/>
      <c r="K588" s="49"/>
    </row>
    <row r="589" spans="1:11" ht="12.75" hidden="1" x14ac:dyDescent="0.2">
      <c r="A589" s="16"/>
      <c r="B589" s="16"/>
      <c r="C589" s="15"/>
      <c r="D589" s="16"/>
      <c r="E589" s="17"/>
      <c r="F589" s="17"/>
      <c r="H589" s="19"/>
      <c r="I589" s="47"/>
      <c r="J589" s="48"/>
      <c r="K589" s="49"/>
    </row>
    <row r="590" spans="1:11" ht="12.75" hidden="1" x14ac:dyDescent="0.2">
      <c r="A590" s="16"/>
      <c r="B590" s="16"/>
      <c r="C590" s="15"/>
      <c r="D590" s="16"/>
      <c r="E590" s="17"/>
      <c r="F590" s="17"/>
      <c r="H590" s="19"/>
      <c r="I590" s="47"/>
      <c r="J590" s="48"/>
      <c r="K590" s="49"/>
    </row>
    <row r="591" spans="1:11" ht="12.75" hidden="1" x14ac:dyDescent="0.2">
      <c r="A591" s="16"/>
      <c r="B591" s="16"/>
      <c r="C591" s="15"/>
      <c r="D591" s="16"/>
      <c r="E591" s="17"/>
      <c r="F591" s="17"/>
      <c r="H591" s="19"/>
      <c r="I591" s="47"/>
      <c r="J591" s="48"/>
      <c r="K591" s="49"/>
    </row>
    <row r="592" spans="1:11" ht="12.75" hidden="1" x14ac:dyDescent="0.2">
      <c r="A592" s="16"/>
      <c r="B592" s="16"/>
      <c r="C592" s="15"/>
      <c r="D592" s="16"/>
      <c r="E592" s="17"/>
      <c r="F592" s="17"/>
      <c r="H592" s="19"/>
      <c r="I592" s="47"/>
      <c r="J592" s="48"/>
      <c r="K592" s="49"/>
    </row>
    <row r="593" spans="1:11" ht="12.75" hidden="1" x14ac:dyDescent="0.2">
      <c r="A593" s="16"/>
      <c r="B593" s="16"/>
      <c r="C593" s="15"/>
      <c r="D593" s="16"/>
      <c r="E593" s="17"/>
      <c r="F593" s="17"/>
      <c r="H593" s="19"/>
      <c r="I593" s="47"/>
      <c r="J593" s="48"/>
      <c r="K593" s="49"/>
    </row>
    <row r="594" spans="1:11" ht="12.75" hidden="1" x14ac:dyDescent="0.2">
      <c r="A594" s="16"/>
      <c r="B594" s="16"/>
      <c r="C594" s="15"/>
      <c r="D594" s="16"/>
      <c r="E594" s="17"/>
      <c r="F594" s="17"/>
      <c r="H594" s="19"/>
      <c r="I594" s="47"/>
      <c r="J594" s="48"/>
      <c r="K594" s="49"/>
    </row>
    <row r="595" spans="1:11" ht="12.75" hidden="1" x14ac:dyDescent="0.2">
      <c r="A595" s="16"/>
      <c r="B595" s="16"/>
      <c r="C595" s="15"/>
      <c r="D595" s="16"/>
      <c r="E595" s="17"/>
      <c r="F595" s="17"/>
      <c r="H595" s="19"/>
      <c r="I595" s="47"/>
      <c r="J595" s="48"/>
      <c r="K595" s="49"/>
    </row>
    <row r="596" spans="1:11" ht="12.75" hidden="1" x14ac:dyDescent="0.2">
      <c r="A596" s="16"/>
      <c r="B596" s="16"/>
      <c r="C596" s="15"/>
      <c r="D596" s="16"/>
      <c r="E596" s="17"/>
      <c r="F596" s="17"/>
      <c r="H596" s="19"/>
      <c r="I596" s="47"/>
      <c r="J596" s="48"/>
      <c r="K596" s="49"/>
    </row>
    <row r="597" spans="1:11" ht="12.75" hidden="1" x14ac:dyDescent="0.2">
      <c r="A597" s="16"/>
      <c r="B597" s="16"/>
      <c r="C597" s="15"/>
      <c r="D597" s="16"/>
      <c r="E597" s="17"/>
      <c r="F597" s="17"/>
      <c r="H597" s="19"/>
      <c r="I597" s="47"/>
      <c r="J597" s="48"/>
      <c r="K597" s="49"/>
    </row>
    <row r="598" spans="1:11" ht="12.75" hidden="1" x14ac:dyDescent="0.2">
      <c r="A598" s="16"/>
      <c r="B598" s="16"/>
      <c r="C598" s="15"/>
      <c r="D598" s="16"/>
      <c r="E598" s="17"/>
      <c r="F598" s="17"/>
      <c r="H598" s="19"/>
      <c r="I598" s="47"/>
      <c r="J598" s="48"/>
      <c r="K598" s="49"/>
    </row>
    <row r="599" spans="1:11" ht="12.75" hidden="1" x14ac:dyDescent="0.2">
      <c r="A599" s="16"/>
      <c r="B599" s="16"/>
      <c r="C599" s="15"/>
      <c r="D599" s="16"/>
      <c r="E599" s="17"/>
      <c r="F599" s="17"/>
      <c r="H599" s="19"/>
      <c r="I599" s="47"/>
      <c r="J599" s="48"/>
      <c r="K599" s="49"/>
    </row>
    <row r="600" spans="1:11" ht="12.75" hidden="1" x14ac:dyDescent="0.2">
      <c r="A600" s="16"/>
      <c r="B600" s="16"/>
      <c r="C600" s="15"/>
      <c r="D600" s="16"/>
      <c r="E600" s="17"/>
      <c r="F600" s="17"/>
      <c r="H600" s="19"/>
      <c r="I600" s="47"/>
      <c r="J600" s="48"/>
      <c r="K600" s="49"/>
    </row>
    <row r="601" spans="1:11" ht="12.75" hidden="1" x14ac:dyDescent="0.2">
      <c r="A601" s="16"/>
      <c r="B601" s="16"/>
      <c r="C601" s="15"/>
      <c r="D601" s="16"/>
      <c r="E601" s="17"/>
      <c r="F601" s="17"/>
      <c r="H601" s="19"/>
      <c r="I601" s="47"/>
      <c r="J601" s="48"/>
      <c r="K601" s="49"/>
    </row>
    <row r="602" spans="1:11" ht="12.75" hidden="1" x14ac:dyDescent="0.2">
      <c r="A602" s="16"/>
      <c r="B602" s="16"/>
      <c r="C602" s="15"/>
      <c r="D602" s="16"/>
      <c r="E602" s="17"/>
      <c r="F602" s="17"/>
      <c r="H602" s="19"/>
      <c r="I602" s="47"/>
      <c r="J602" s="48"/>
      <c r="K602" s="49"/>
    </row>
    <row r="603" spans="1:11" ht="12.75" hidden="1" x14ac:dyDescent="0.2">
      <c r="A603" s="16"/>
      <c r="B603" s="16"/>
      <c r="C603" s="15"/>
      <c r="D603" s="16"/>
      <c r="E603" s="17"/>
      <c r="F603" s="17"/>
      <c r="H603" s="19"/>
      <c r="I603" s="47"/>
      <c r="J603" s="48"/>
      <c r="K603" s="49"/>
    </row>
    <row r="604" spans="1:11" ht="12.75" hidden="1" x14ac:dyDescent="0.2">
      <c r="A604" s="16"/>
      <c r="B604" s="16"/>
      <c r="C604" s="15"/>
      <c r="D604" s="16"/>
      <c r="E604" s="17"/>
      <c r="F604" s="17"/>
      <c r="H604" s="19"/>
      <c r="I604" s="47"/>
      <c r="J604" s="48"/>
      <c r="K604" s="49"/>
    </row>
    <row r="605" spans="1:11" ht="12.75" hidden="1" x14ac:dyDescent="0.2">
      <c r="A605" s="16"/>
      <c r="B605" s="16"/>
      <c r="C605" s="15"/>
      <c r="D605" s="16"/>
      <c r="E605" s="17"/>
      <c r="F605" s="17"/>
      <c r="H605" s="19"/>
      <c r="I605" s="47"/>
      <c r="J605" s="48"/>
      <c r="K605" s="49"/>
    </row>
    <row r="606" spans="1:11" ht="12.75" hidden="1" x14ac:dyDescent="0.2">
      <c r="A606" s="16"/>
      <c r="B606" s="16"/>
      <c r="C606" s="15"/>
      <c r="D606" s="16"/>
      <c r="E606" s="17"/>
      <c r="F606" s="17"/>
      <c r="H606" s="19"/>
      <c r="I606" s="47"/>
      <c r="J606" s="48"/>
      <c r="K606" s="49"/>
    </row>
    <row r="607" spans="1:11" ht="12.75" hidden="1" x14ac:dyDescent="0.2">
      <c r="A607" s="16"/>
      <c r="B607" s="16"/>
      <c r="C607" s="15"/>
      <c r="D607" s="16"/>
      <c r="E607" s="17"/>
      <c r="F607" s="17"/>
      <c r="H607" s="19"/>
      <c r="I607" s="47"/>
      <c r="J607" s="48"/>
      <c r="K607" s="49"/>
    </row>
    <row r="608" spans="1:11" ht="12.75" hidden="1" x14ac:dyDescent="0.2">
      <c r="A608" s="16"/>
      <c r="B608" s="16"/>
      <c r="C608" s="15"/>
      <c r="D608" s="16"/>
      <c r="E608" s="17"/>
      <c r="F608" s="17"/>
      <c r="H608" s="19"/>
      <c r="I608" s="47"/>
      <c r="J608" s="48"/>
      <c r="K608" s="49"/>
    </row>
    <row r="609" spans="1:11" ht="12.75" hidden="1" x14ac:dyDescent="0.2">
      <c r="A609" s="16"/>
      <c r="B609" s="16"/>
      <c r="C609" s="15"/>
      <c r="D609" s="16"/>
      <c r="E609" s="17"/>
      <c r="F609" s="17"/>
      <c r="H609" s="19"/>
      <c r="I609" s="47"/>
      <c r="J609" s="48"/>
      <c r="K609" s="49"/>
    </row>
    <row r="610" spans="1:11" ht="12.75" hidden="1" x14ac:dyDescent="0.2">
      <c r="A610" s="16"/>
      <c r="B610" s="16"/>
      <c r="C610" s="15"/>
      <c r="D610" s="16"/>
      <c r="E610" s="17"/>
      <c r="F610" s="17"/>
      <c r="H610" s="19"/>
      <c r="I610" s="47"/>
      <c r="J610" s="48"/>
      <c r="K610" s="49"/>
    </row>
    <row r="611" spans="1:11" ht="12.75" hidden="1" x14ac:dyDescent="0.2">
      <c r="A611" s="16"/>
      <c r="B611" s="16"/>
      <c r="C611" s="15"/>
      <c r="D611" s="16"/>
      <c r="E611" s="17"/>
      <c r="F611" s="17"/>
      <c r="H611" s="19"/>
      <c r="I611" s="47"/>
      <c r="J611" s="48"/>
      <c r="K611" s="49"/>
    </row>
    <row r="612" spans="1:11" ht="12.75" hidden="1" x14ac:dyDescent="0.2">
      <c r="A612" s="16"/>
      <c r="B612" s="16"/>
      <c r="C612" s="15"/>
      <c r="D612" s="16"/>
      <c r="E612" s="17"/>
      <c r="F612" s="17"/>
      <c r="H612" s="19"/>
      <c r="I612" s="47"/>
      <c r="J612" s="48"/>
      <c r="K612" s="49"/>
    </row>
    <row r="613" spans="1:11" ht="12.75" hidden="1" x14ac:dyDescent="0.2">
      <c r="A613" s="16"/>
      <c r="B613" s="16"/>
      <c r="C613" s="15"/>
      <c r="D613" s="16"/>
      <c r="E613" s="17"/>
      <c r="F613" s="17"/>
      <c r="H613" s="19"/>
      <c r="I613" s="47"/>
      <c r="J613" s="48"/>
      <c r="K613" s="49"/>
    </row>
    <row r="614" spans="1:11" ht="12.75" hidden="1" x14ac:dyDescent="0.2">
      <c r="A614" s="16"/>
      <c r="B614" s="16"/>
      <c r="C614" s="15"/>
      <c r="D614" s="16"/>
      <c r="E614" s="17"/>
      <c r="F614" s="17"/>
      <c r="H614" s="19"/>
      <c r="I614" s="47"/>
      <c r="J614" s="48"/>
      <c r="K614" s="49"/>
    </row>
    <row r="615" spans="1:11" ht="12.75" hidden="1" x14ac:dyDescent="0.2">
      <c r="A615" s="16"/>
      <c r="B615" s="16"/>
      <c r="C615" s="15"/>
      <c r="D615" s="16"/>
      <c r="E615" s="17"/>
      <c r="F615" s="17"/>
      <c r="H615" s="19"/>
      <c r="I615" s="47"/>
      <c r="J615" s="48"/>
      <c r="K615" s="49"/>
    </row>
    <row r="616" spans="1:11" ht="12.75" hidden="1" x14ac:dyDescent="0.2">
      <c r="A616" s="16"/>
      <c r="B616" s="16"/>
      <c r="C616" s="15"/>
      <c r="D616" s="16"/>
      <c r="E616" s="17"/>
      <c r="F616" s="17"/>
      <c r="H616" s="19"/>
      <c r="I616" s="47"/>
      <c r="J616" s="48"/>
      <c r="K616" s="49"/>
    </row>
    <row r="617" spans="1:11" ht="12.75" hidden="1" x14ac:dyDescent="0.2">
      <c r="A617" s="16"/>
      <c r="B617" s="16"/>
      <c r="C617" s="15"/>
      <c r="D617" s="16"/>
      <c r="E617" s="17"/>
      <c r="F617" s="17"/>
      <c r="H617" s="19"/>
      <c r="I617" s="47"/>
      <c r="J617" s="48"/>
      <c r="K617" s="49"/>
    </row>
    <row r="618" spans="1:11" ht="12.75" hidden="1" x14ac:dyDescent="0.2">
      <c r="A618" s="16"/>
      <c r="B618" s="16"/>
      <c r="C618" s="15"/>
      <c r="D618" s="16"/>
      <c r="E618" s="17"/>
      <c r="F618" s="17"/>
      <c r="H618" s="19"/>
      <c r="I618" s="47"/>
      <c r="J618" s="48"/>
      <c r="K618" s="49"/>
    </row>
    <row r="619" spans="1:11" ht="12.75" hidden="1" x14ac:dyDescent="0.2">
      <c r="A619" s="16"/>
      <c r="B619" s="16"/>
      <c r="C619" s="15"/>
      <c r="D619" s="16"/>
      <c r="E619" s="17"/>
      <c r="F619" s="17"/>
      <c r="H619" s="19"/>
      <c r="I619" s="47"/>
      <c r="J619" s="48"/>
      <c r="K619" s="49"/>
    </row>
    <row r="620" spans="1:11" ht="12.75" hidden="1" x14ac:dyDescent="0.2">
      <c r="A620" s="16"/>
      <c r="B620" s="16"/>
      <c r="C620" s="15"/>
      <c r="D620" s="16"/>
      <c r="E620" s="17"/>
      <c r="F620" s="17"/>
      <c r="H620" s="19"/>
      <c r="I620" s="47"/>
      <c r="J620" s="48"/>
      <c r="K620" s="49"/>
    </row>
    <row r="621" spans="1:11" ht="12.75" hidden="1" x14ac:dyDescent="0.2">
      <c r="A621" s="16"/>
      <c r="B621" s="16"/>
      <c r="C621" s="15"/>
      <c r="D621" s="16"/>
      <c r="E621" s="17"/>
      <c r="F621" s="17"/>
      <c r="H621" s="19"/>
      <c r="I621" s="47"/>
      <c r="J621" s="48"/>
      <c r="K621" s="49"/>
    </row>
    <row r="622" spans="1:11" ht="12.75" hidden="1" x14ac:dyDescent="0.2">
      <c r="A622" s="16"/>
      <c r="B622" s="16"/>
      <c r="C622" s="15"/>
      <c r="D622" s="16"/>
      <c r="E622" s="17"/>
      <c r="F622" s="17"/>
      <c r="H622" s="19"/>
      <c r="I622" s="47"/>
      <c r="J622" s="48"/>
      <c r="K622" s="49"/>
    </row>
    <row r="623" spans="1:11" ht="12.75" hidden="1" x14ac:dyDescent="0.2">
      <c r="A623" s="16"/>
      <c r="B623" s="16"/>
      <c r="C623" s="15"/>
      <c r="D623" s="16"/>
      <c r="E623" s="17"/>
      <c r="F623" s="17"/>
      <c r="H623" s="19"/>
      <c r="I623" s="47"/>
      <c r="J623" s="48"/>
      <c r="K623" s="49"/>
    </row>
    <row r="624" spans="1:11" ht="12.75" hidden="1" x14ac:dyDescent="0.2">
      <c r="A624" s="16"/>
      <c r="B624" s="16"/>
      <c r="C624" s="15"/>
      <c r="D624" s="16"/>
      <c r="E624" s="17"/>
      <c r="F624" s="17"/>
      <c r="H624" s="19"/>
      <c r="I624" s="47"/>
      <c r="J624" s="48"/>
      <c r="K624" s="49"/>
    </row>
    <row r="625" spans="1:11" ht="12.75" hidden="1" x14ac:dyDescent="0.2">
      <c r="A625" s="16"/>
      <c r="B625" s="16"/>
      <c r="C625" s="15"/>
      <c r="D625" s="16"/>
      <c r="E625" s="17"/>
      <c r="F625" s="17"/>
      <c r="H625" s="19"/>
      <c r="I625" s="47"/>
      <c r="J625" s="48"/>
      <c r="K625" s="49"/>
    </row>
    <row r="626" spans="1:11" ht="12.75" hidden="1" x14ac:dyDescent="0.2">
      <c r="A626" s="16"/>
      <c r="B626" s="16"/>
      <c r="C626" s="15"/>
      <c r="D626" s="16"/>
      <c r="E626" s="17"/>
      <c r="F626" s="17"/>
      <c r="H626" s="19"/>
      <c r="I626" s="47"/>
      <c r="J626" s="48"/>
      <c r="K626" s="49"/>
    </row>
    <row r="627" spans="1:11" ht="12.75" hidden="1" x14ac:dyDescent="0.2">
      <c r="A627" s="16"/>
      <c r="B627" s="16"/>
      <c r="C627" s="15"/>
      <c r="D627" s="16"/>
      <c r="E627" s="17"/>
      <c r="F627" s="17"/>
      <c r="H627" s="19"/>
      <c r="I627" s="47"/>
      <c r="J627" s="48"/>
      <c r="K627" s="49"/>
    </row>
    <row r="628" spans="1:11" ht="12.75" hidden="1" x14ac:dyDescent="0.2">
      <c r="A628" s="16"/>
      <c r="B628" s="16"/>
      <c r="C628" s="15"/>
      <c r="D628" s="16"/>
      <c r="E628" s="17"/>
      <c r="F628" s="17"/>
      <c r="H628" s="19"/>
      <c r="I628" s="47"/>
      <c r="J628" s="48"/>
      <c r="K628" s="49"/>
    </row>
    <row r="629" spans="1:11" ht="12.75" hidden="1" x14ac:dyDescent="0.2">
      <c r="A629" s="16"/>
      <c r="B629" s="16"/>
      <c r="C629" s="15"/>
      <c r="D629" s="16"/>
      <c r="E629" s="17"/>
      <c r="F629" s="17"/>
      <c r="H629" s="19"/>
      <c r="I629" s="47"/>
      <c r="J629" s="48"/>
      <c r="K629" s="49"/>
    </row>
    <row r="630" spans="1:11" ht="12.75" hidden="1" x14ac:dyDescent="0.2">
      <c r="A630" s="16"/>
      <c r="B630" s="16"/>
      <c r="C630" s="15"/>
      <c r="D630" s="16"/>
      <c r="E630" s="17"/>
      <c r="F630" s="17"/>
      <c r="H630" s="19"/>
      <c r="I630" s="47"/>
      <c r="J630" s="48"/>
      <c r="K630" s="49"/>
    </row>
    <row r="631" spans="1:11" ht="12.75" hidden="1" x14ac:dyDescent="0.2">
      <c r="A631" s="16"/>
      <c r="B631" s="16"/>
      <c r="C631" s="15"/>
      <c r="D631" s="16"/>
      <c r="E631" s="17"/>
      <c r="F631" s="17"/>
      <c r="H631" s="19"/>
      <c r="I631" s="47"/>
      <c r="J631" s="48"/>
      <c r="K631" s="49"/>
    </row>
    <row r="632" spans="1:11" ht="12.75" hidden="1" x14ac:dyDescent="0.2">
      <c r="A632" s="16"/>
      <c r="B632" s="16"/>
      <c r="C632" s="15"/>
      <c r="D632" s="16"/>
      <c r="E632" s="17"/>
      <c r="F632" s="17"/>
      <c r="H632" s="19"/>
      <c r="I632" s="47"/>
      <c r="J632" s="48"/>
      <c r="K632" s="49"/>
    </row>
    <row r="633" spans="1:11" ht="12.75" hidden="1" x14ac:dyDescent="0.2">
      <c r="A633" s="16"/>
      <c r="B633" s="16"/>
      <c r="C633" s="15"/>
      <c r="D633" s="16"/>
      <c r="E633" s="17"/>
      <c r="F633" s="17"/>
      <c r="H633" s="19"/>
      <c r="I633" s="47"/>
      <c r="J633" s="48"/>
      <c r="K633" s="49"/>
    </row>
    <row r="634" spans="1:11" ht="12.75" hidden="1" x14ac:dyDescent="0.2">
      <c r="A634" s="16"/>
      <c r="B634" s="16"/>
      <c r="C634" s="15"/>
      <c r="D634" s="16"/>
      <c r="E634" s="17"/>
      <c r="F634" s="17"/>
      <c r="H634" s="19"/>
      <c r="I634" s="47"/>
      <c r="J634" s="48"/>
      <c r="K634" s="49"/>
    </row>
    <row r="635" spans="1:11" ht="12.75" hidden="1" x14ac:dyDescent="0.2">
      <c r="A635" s="16"/>
      <c r="B635" s="16"/>
      <c r="C635" s="15"/>
      <c r="D635" s="16"/>
      <c r="E635" s="17"/>
      <c r="F635" s="17"/>
      <c r="H635" s="19"/>
      <c r="I635" s="47"/>
      <c r="J635" s="48"/>
      <c r="K635" s="49"/>
    </row>
    <row r="636" spans="1:11" ht="12.75" hidden="1" x14ac:dyDescent="0.2">
      <c r="A636" s="16"/>
      <c r="B636" s="16"/>
      <c r="C636" s="15"/>
      <c r="D636" s="16"/>
      <c r="E636" s="17"/>
      <c r="F636" s="17"/>
      <c r="H636" s="19"/>
      <c r="I636" s="47"/>
      <c r="J636" s="48"/>
      <c r="K636" s="49"/>
    </row>
    <row r="637" spans="1:11" ht="12.75" hidden="1" x14ac:dyDescent="0.2">
      <c r="A637" s="16"/>
      <c r="B637" s="16"/>
      <c r="C637" s="15"/>
      <c r="D637" s="16"/>
      <c r="E637" s="17"/>
      <c r="F637" s="17"/>
      <c r="H637" s="19"/>
      <c r="I637" s="47"/>
      <c r="J637" s="48"/>
      <c r="K637" s="49"/>
    </row>
    <row r="638" spans="1:11" ht="12.75" hidden="1" x14ac:dyDescent="0.2">
      <c r="A638" s="16"/>
      <c r="B638" s="16"/>
      <c r="C638" s="15"/>
      <c r="D638" s="16"/>
      <c r="E638" s="17"/>
      <c r="F638" s="17"/>
      <c r="H638" s="19"/>
      <c r="I638" s="47"/>
      <c r="J638" s="48"/>
      <c r="K638" s="49"/>
    </row>
    <row r="639" spans="1:11" ht="12.75" hidden="1" x14ac:dyDescent="0.2">
      <c r="A639" s="16"/>
      <c r="B639" s="16"/>
      <c r="C639" s="15"/>
      <c r="D639" s="16"/>
      <c r="E639" s="17"/>
      <c r="F639" s="17"/>
      <c r="H639" s="19"/>
      <c r="I639" s="47"/>
      <c r="J639" s="48"/>
      <c r="K639" s="49"/>
    </row>
    <row r="640" spans="1:11" ht="12.75" hidden="1" x14ac:dyDescent="0.2">
      <c r="A640" s="16"/>
      <c r="B640" s="16"/>
      <c r="C640" s="15"/>
      <c r="D640" s="16"/>
      <c r="E640" s="17"/>
      <c r="F640" s="17"/>
      <c r="H640" s="19"/>
      <c r="I640" s="47"/>
      <c r="J640" s="48"/>
      <c r="K640" s="49"/>
    </row>
    <row r="641" spans="1:11" ht="12.75" hidden="1" x14ac:dyDescent="0.2">
      <c r="A641" s="16"/>
      <c r="B641" s="16"/>
      <c r="C641" s="15"/>
      <c r="D641" s="16"/>
      <c r="E641" s="17"/>
      <c r="F641" s="17"/>
      <c r="H641" s="19"/>
      <c r="I641" s="47"/>
      <c r="J641" s="48"/>
      <c r="K641" s="49"/>
    </row>
    <row r="642" spans="1:11" ht="12.75" hidden="1" x14ac:dyDescent="0.2">
      <c r="A642" s="16"/>
      <c r="B642" s="16"/>
      <c r="C642" s="15"/>
      <c r="D642" s="16"/>
      <c r="E642" s="17"/>
      <c r="F642" s="17"/>
      <c r="H642" s="19"/>
      <c r="I642" s="47"/>
      <c r="J642" s="48"/>
      <c r="K642" s="49"/>
    </row>
    <row r="643" spans="1:11" ht="12.75" hidden="1" x14ac:dyDescent="0.2">
      <c r="A643" s="16"/>
      <c r="B643" s="16"/>
      <c r="C643" s="15"/>
      <c r="D643" s="16"/>
      <c r="E643" s="17"/>
      <c r="F643" s="17"/>
      <c r="H643" s="19"/>
      <c r="I643" s="47"/>
      <c r="J643" s="48"/>
      <c r="K643" s="49"/>
    </row>
    <row r="644" spans="1:11" ht="12.75" hidden="1" x14ac:dyDescent="0.2">
      <c r="A644" s="16"/>
      <c r="B644" s="16"/>
      <c r="C644" s="15"/>
      <c r="D644" s="16"/>
      <c r="E644" s="17"/>
      <c r="F644" s="17"/>
      <c r="H644" s="19"/>
      <c r="I644" s="47"/>
      <c r="J644" s="48"/>
      <c r="K644" s="49"/>
    </row>
    <row r="645" spans="1:11" ht="12.75" hidden="1" x14ac:dyDescent="0.2">
      <c r="A645" s="16"/>
      <c r="B645" s="16"/>
      <c r="C645" s="15"/>
      <c r="D645" s="16"/>
      <c r="E645" s="17"/>
      <c r="F645" s="17"/>
      <c r="H645" s="19"/>
      <c r="I645" s="47"/>
      <c r="J645" s="48"/>
      <c r="K645" s="49"/>
    </row>
    <row r="646" spans="1:11" ht="12.75" hidden="1" x14ac:dyDescent="0.2">
      <c r="A646" s="16"/>
      <c r="B646" s="16"/>
      <c r="C646" s="15"/>
      <c r="D646" s="16"/>
      <c r="E646" s="17"/>
      <c r="F646" s="17"/>
      <c r="H646" s="19"/>
      <c r="I646" s="47"/>
      <c r="J646" s="48"/>
      <c r="K646" s="49"/>
    </row>
    <row r="647" spans="1:11" ht="12.75" hidden="1" x14ac:dyDescent="0.2">
      <c r="A647" s="16"/>
      <c r="B647" s="16"/>
      <c r="C647" s="15"/>
      <c r="D647" s="16"/>
      <c r="E647" s="17"/>
      <c r="F647" s="17"/>
      <c r="H647" s="19"/>
      <c r="I647" s="47"/>
      <c r="J647" s="48"/>
      <c r="K647" s="49"/>
    </row>
    <row r="648" spans="1:11" ht="12.75" hidden="1" x14ac:dyDescent="0.2">
      <c r="A648" s="16"/>
      <c r="B648" s="16"/>
      <c r="C648" s="15"/>
      <c r="D648" s="16"/>
      <c r="E648" s="17"/>
      <c r="F648" s="17"/>
      <c r="H648" s="19"/>
      <c r="I648" s="47"/>
      <c r="J648" s="48"/>
      <c r="K648" s="49"/>
    </row>
    <row r="649" spans="1:11" ht="12.75" hidden="1" x14ac:dyDescent="0.2">
      <c r="A649" s="16"/>
      <c r="B649" s="16"/>
      <c r="C649" s="15"/>
      <c r="D649" s="16"/>
      <c r="E649" s="17"/>
      <c r="F649" s="17"/>
      <c r="H649" s="19"/>
      <c r="I649" s="47"/>
      <c r="J649" s="48"/>
      <c r="K649" s="49"/>
    </row>
    <row r="650" spans="1:11" ht="12.75" hidden="1" x14ac:dyDescent="0.2">
      <c r="A650" s="16"/>
      <c r="B650" s="16"/>
      <c r="C650" s="15"/>
      <c r="D650" s="16"/>
      <c r="E650" s="17"/>
      <c r="F650" s="17"/>
      <c r="H650" s="19"/>
      <c r="I650" s="47"/>
      <c r="J650" s="48"/>
      <c r="K650" s="49"/>
    </row>
    <row r="651" spans="1:11" ht="12.75" hidden="1" x14ac:dyDescent="0.2">
      <c r="A651" s="16"/>
      <c r="B651" s="16"/>
      <c r="C651" s="15"/>
      <c r="D651" s="16"/>
      <c r="E651" s="17"/>
      <c r="F651" s="17"/>
      <c r="H651" s="19"/>
      <c r="I651" s="47"/>
      <c r="J651" s="48"/>
      <c r="K651" s="49"/>
    </row>
    <row r="652" spans="1:11" ht="12.75" hidden="1" x14ac:dyDescent="0.2">
      <c r="A652" s="16"/>
      <c r="B652" s="16"/>
      <c r="C652" s="15"/>
      <c r="D652" s="16"/>
      <c r="E652" s="17"/>
      <c r="F652" s="17"/>
      <c r="H652" s="19"/>
      <c r="I652" s="47"/>
      <c r="J652" s="48"/>
      <c r="K652" s="49"/>
    </row>
    <row r="653" spans="1:11" ht="12.75" hidden="1" x14ac:dyDescent="0.2">
      <c r="A653" s="16"/>
      <c r="B653" s="16"/>
      <c r="C653" s="15"/>
      <c r="D653" s="16"/>
      <c r="E653" s="17"/>
      <c r="F653" s="17"/>
      <c r="H653" s="19"/>
      <c r="I653" s="47"/>
      <c r="J653" s="48"/>
      <c r="K653" s="49"/>
    </row>
    <row r="654" spans="1:11" ht="12.75" hidden="1" x14ac:dyDescent="0.2">
      <c r="A654" s="16"/>
      <c r="B654" s="16"/>
      <c r="C654" s="15"/>
      <c r="D654" s="16"/>
      <c r="E654" s="17"/>
      <c r="F654" s="17"/>
      <c r="H654" s="19"/>
      <c r="I654" s="47"/>
      <c r="J654" s="48"/>
      <c r="K654" s="49"/>
    </row>
    <row r="655" spans="1:11" ht="12.75" hidden="1" x14ac:dyDescent="0.2">
      <c r="A655" s="16"/>
      <c r="B655" s="16"/>
      <c r="C655" s="15"/>
      <c r="D655" s="16"/>
      <c r="E655" s="17"/>
      <c r="F655" s="17"/>
      <c r="H655" s="19"/>
      <c r="I655" s="47"/>
      <c r="J655" s="48"/>
      <c r="K655" s="49"/>
    </row>
    <row r="656" spans="1:11" ht="12.75" hidden="1" x14ac:dyDescent="0.2">
      <c r="A656" s="16"/>
      <c r="B656" s="16"/>
      <c r="C656" s="15"/>
      <c r="D656" s="16"/>
      <c r="E656" s="17"/>
      <c r="F656" s="17"/>
      <c r="H656" s="19"/>
      <c r="I656" s="47"/>
      <c r="J656" s="48"/>
      <c r="K656" s="49"/>
    </row>
    <row r="657" spans="1:11" ht="12.75" hidden="1" x14ac:dyDescent="0.2">
      <c r="A657" s="16"/>
      <c r="B657" s="16"/>
      <c r="C657" s="15"/>
      <c r="D657" s="16"/>
      <c r="E657" s="17"/>
      <c r="F657" s="17"/>
      <c r="H657" s="19"/>
      <c r="I657" s="47"/>
      <c r="J657" s="48"/>
      <c r="K657" s="49"/>
    </row>
    <row r="658" spans="1:11" ht="12.75" hidden="1" x14ac:dyDescent="0.2">
      <c r="A658" s="16"/>
      <c r="B658" s="16"/>
      <c r="C658" s="15"/>
      <c r="D658" s="16"/>
      <c r="E658" s="17"/>
      <c r="F658" s="17"/>
      <c r="H658" s="19"/>
      <c r="I658" s="47"/>
      <c r="J658" s="48"/>
      <c r="K658" s="49"/>
    </row>
    <row r="659" spans="1:11" ht="12.75" hidden="1" x14ac:dyDescent="0.2">
      <c r="A659" s="16"/>
      <c r="B659" s="16"/>
      <c r="C659" s="15"/>
      <c r="D659" s="16"/>
      <c r="E659" s="17"/>
      <c r="F659" s="17"/>
      <c r="H659" s="19"/>
      <c r="I659" s="47"/>
      <c r="J659" s="48"/>
      <c r="K659" s="49"/>
    </row>
    <row r="660" spans="1:11" ht="12.75" hidden="1" x14ac:dyDescent="0.2">
      <c r="A660" s="16"/>
      <c r="B660" s="16"/>
      <c r="C660" s="15"/>
      <c r="D660" s="16"/>
      <c r="E660" s="17"/>
      <c r="F660" s="17"/>
      <c r="H660" s="19"/>
      <c r="I660" s="47"/>
      <c r="J660" s="48"/>
      <c r="K660" s="49"/>
    </row>
    <row r="661" spans="1:11" ht="12.75" hidden="1" x14ac:dyDescent="0.2">
      <c r="A661" s="16"/>
      <c r="B661" s="16"/>
      <c r="C661" s="15"/>
      <c r="D661" s="16"/>
      <c r="E661" s="17"/>
      <c r="F661" s="17"/>
      <c r="H661" s="19"/>
      <c r="I661" s="47"/>
      <c r="J661" s="48"/>
      <c r="K661" s="49"/>
    </row>
    <row r="662" spans="1:11" ht="12.75" hidden="1" x14ac:dyDescent="0.2">
      <c r="A662" s="16"/>
      <c r="B662" s="16"/>
      <c r="C662" s="15"/>
      <c r="D662" s="16"/>
      <c r="E662" s="17"/>
      <c r="F662" s="17"/>
      <c r="H662" s="19"/>
      <c r="I662" s="47"/>
      <c r="J662" s="48"/>
      <c r="K662" s="49"/>
    </row>
    <row r="663" spans="1:11" ht="12.75" hidden="1" x14ac:dyDescent="0.2">
      <c r="A663" s="16"/>
      <c r="B663" s="16"/>
      <c r="C663" s="15"/>
      <c r="D663" s="16"/>
      <c r="E663" s="17"/>
      <c r="F663" s="17"/>
      <c r="H663" s="19"/>
      <c r="I663" s="47"/>
      <c r="J663" s="48"/>
      <c r="K663" s="49"/>
    </row>
    <row r="664" spans="1:11" ht="12.75" hidden="1" x14ac:dyDescent="0.2">
      <c r="A664" s="16"/>
      <c r="B664" s="16"/>
      <c r="C664" s="15"/>
      <c r="D664" s="16"/>
      <c r="E664" s="17"/>
      <c r="F664" s="17"/>
      <c r="H664" s="19"/>
      <c r="I664" s="47"/>
      <c r="J664" s="48"/>
      <c r="K664" s="49"/>
    </row>
    <row r="665" spans="1:11" ht="12.75" hidden="1" x14ac:dyDescent="0.2">
      <c r="A665" s="16"/>
      <c r="B665" s="16"/>
      <c r="C665" s="15"/>
      <c r="D665" s="16"/>
      <c r="E665" s="17"/>
      <c r="F665" s="17"/>
      <c r="H665" s="19"/>
      <c r="I665" s="47"/>
      <c r="J665" s="48"/>
      <c r="K665" s="49"/>
    </row>
    <row r="666" spans="1:11" ht="12.75" hidden="1" x14ac:dyDescent="0.2">
      <c r="A666" s="16"/>
      <c r="B666" s="16"/>
      <c r="C666" s="15"/>
      <c r="D666" s="16"/>
      <c r="E666" s="17"/>
      <c r="F666" s="17"/>
      <c r="H666" s="19"/>
      <c r="I666" s="47"/>
      <c r="J666" s="48"/>
      <c r="K666" s="49"/>
    </row>
    <row r="667" spans="1:11" ht="12.75" hidden="1" x14ac:dyDescent="0.2">
      <c r="A667" s="16"/>
      <c r="B667" s="16"/>
      <c r="C667" s="15"/>
      <c r="D667" s="16"/>
      <c r="E667" s="17"/>
      <c r="F667" s="17"/>
      <c r="H667" s="19"/>
      <c r="I667" s="47"/>
      <c r="J667" s="48"/>
      <c r="K667" s="49"/>
    </row>
    <row r="668" spans="1:11" ht="12.75" hidden="1" x14ac:dyDescent="0.2">
      <c r="A668" s="16"/>
      <c r="B668" s="16"/>
      <c r="C668" s="15"/>
      <c r="D668" s="16"/>
      <c r="E668" s="17"/>
      <c r="F668" s="17"/>
      <c r="H668" s="19"/>
      <c r="I668" s="47"/>
      <c r="J668" s="48"/>
      <c r="K668" s="49"/>
    </row>
    <row r="669" spans="1:11" ht="12.75" hidden="1" x14ac:dyDescent="0.2">
      <c r="A669" s="16"/>
      <c r="B669" s="16"/>
      <c r="C669" s="15"/>
      <c r="D669" s="16"/>
      <c r="E669" s="17"/>
      <c r="F669" s="17"/>
      <c r="H669" s="19"/>
      <c r="I669" s="47"/>
      <c r="J669" s="48"/>
      <c r="K669" s="49"/>
    </row>
    <row r="670" spans="1:11" ht="12.75" hidden="1" x14ac:dyDescent="0.2">
      <c r="A670" s="16"/>
      <c r="B670" s="16"/>
      <c r="C670" s="15"/>
      <c r="D670" s="16"/>
      <c r="E670" s="17"/>
      <c r="F670" s="17"/>
      <c r="H670" s="19"/>
      <c r="I670" s="47"/>
      <c r="J670" s="48"/>
      <c r="K670" s="49"/>
    </row>
    <row r="671" spans="1:11" ht="12.75" hidden="1" x14ac:dyDescent="0.2">
      <c r="A671" s="16"/>
      <c r="B671" s="16"/>
      <c r="C671" s="15"/>
      <c r="D671" s="16"/>
      <c r="E671" s="17"/>
      <c r="F671" s="17"/>
      <c r="H671" s="19"/>
      <c r="I671" s="47"/>
      <c r="J671" s="48"/>
      <c r="K671" s="49"/>
    </row>
    <row r="672" spans="1:11" ht="12.75" hidden="1" x14ac:dyDescent="0.2">
      <c r="A672" s="16"/>
      <c r="B672" s="16"/>
      <c r="C672" s="15"/>
      <c r="D672" s="16"/>
      <c r="E672" s="17"/>
      <c r="F672" s="17"/>
      <c r="H672" s="19"/>
      <c r="I672" s="47"/>
      <c r="J672" s="48"/>
      <c r="K672" s="49"/>
    </row>
    <row r="673" spans="1:11" ht="12.75" hidden="1" x14ac:dyDescent="0.2">
      <c r="A673" s="16"/>
      <c r="B673" s="16"/>
      <c r="C673" s="15"/>
      <c r="D673" s="16"/>
      <c r="E673" s="17"/>
      <c r="F673" s="17"/>
      <c r="H673" s="19"/>
      <c r="I673" s="47"/>
      <c r="J673" s="48"/>
      <c r="K673" s="49"/>
    </row>
    <row r="674" spans="1:11" ht="12.75" hidden="1" x14ac:dyDescent="0.2">
      <c r="A674" s="16"/>
      <c r="B674" s="16"/>
      <c r="C674" s="15"/>
      <c r="D674" s="16"/>
      <c r="E674" s="17"/>
      <c r="F674" s="17"/>
      <c r="H674" s="19"/>
      <c r="I674" s="47"/>
      <c r="J674" s="48"/>
      <c r="K674" s="49"/>
    </row>
    <row r="675" spans="1:11" ht="12.75" hidden="1" x14ac:dyDescent="0.2">
      <c r="A675" s="16"/>
      <c r="B675" s="16"/>
      <c r="C675" s="15"/>
      <c r="D675" s="16"/>
      <c r="E675" s="17"/>
      <c r="F675" s="17"/>
      <c r="H675" s="19"/>
      <c r="I675" s="47"/>
      <c r="J675" s="48"/>
      <c r="K675" s="49"/>
    </row>
    <row r="676" spans="1:11" ht="12.75" hidden="1" x14ac:dyDescent="0.2">
      <c r="A676" s="16"/>
      <c r="B676" s="16"/>
      <c r="C676" s="15"/>
      <c r="D676" s="16"/>
      <c r="E676" s="17"/>
      <c r="F676" s="17"/>
      <c r="H676" s="19"/>
      <c r="I676" s="47"/>
      <c r="J676" s="48"/>
      <c r="K676" s="49"/>
    </row>
    <row r="677" spans="1:11" ht="12.75" hidden="1" x14ac:dyDescent="0.2">
      <c r="A677" s="16"/>
      <c r="B677" s="16"/>
      <c r="C677" s="15"/>
      <c r="D677" s="16"/>
      <c r="E677" s="17"/>
      <c r="F677" s="17"/>
      <c r="H677" s="19"/>
      <c r="I677" s="47"/>
      <c r="J677" s="48"/>
      <c r="K677" s="49"/>
    </row>
    <row r="678" spans="1:11" ht="12.75" hidden="1" x14ac:dyDescent="0.2">
      <c r="A678" s="16"/>
      <c r="B678" s="16"/>
      <c r="C678" s="15"/>
      <c r="D678" s="16"/>
      <c r="E678" s="17"/>
      <c r="F678" s="17"/>
      <c r="H678" s="19"/>
      <c r="I678" s="47"/>
      <c r="J678" s="48"/>
      <c r="K678" s="49"/>
    </row>
    <row r="679" spans="1:11" ht="12.75" hidden="1" x14ac:dyDescent="0.2">
      <c r="A679" s="16"/>
      <c r="B679" s="16"/>
      <c r="C679" s="15"/>
      <c r="D679" s="16"/>
      <c r="E679" s="17"/>
      <c r="F679" s="17"/>
      <c r="H679" s="19"/>
      <c r="I679" s="47"/>
      <c r="J679" s="48"/>
      <c r="K679" s="49"/>
    </row>
    <row r="680" spans="1:11" ht="12.75" hidden="1" x14ac:dyDescent="0.2">
      <c r="A680" s="16"/>
      <c r="B680" s="16"/>
      <c r="C680" s="15"/>
      <c r="D680" s="16"/>
      <c r="E680" s="17"/>
      <c r="F680" s="17"/>
      <c r="H680" s="19"/>
      <c r="I680" s="47"/>
      <c r="J680" s="48"/>
      <c r="K680" s="49"/>
    </row>
    <row r="681" spans="1:11" ht="12.75" hidden="1" x14ac:dyDescent="0.2">
      <c r="A681" s="16"/>
      <c r="B681" s="16"/>
      <c r="C681" s="15"/>
      <c r="D681" s="16"/>
      <c r="E681" s="17"/>
      <c r="F681" s="17"/>
      <c r="H681" s="19"/>
      <c r="I681" s="47"/>
      <c r="J681" s="48"/>
      <c r="K681" s="49"/>
    </row>
    <row r="682" spans="1:11" ht="12.75" hidden="1" x14ac:dyDescent="0.2">
      <c r="A682" s="16"/>
      <c r="B682" s="16"/>
      <c r="C682" s="15"/>
      <c r="D682" s="16"/>
      <c r="E682" s="17"/>
      <c r="F682" s="17"/>
      <c r="H682" s="19"/>
      <c r="I682" s="47"/>
      <c r="J682" s="48"/>
      <c r="K682" s="49"/>
    </row>
    <row r="683" spans="1:11" ht="12.75" hidden="1" x14ac:dyDescent="0.2">
      <c r="A683" s="16"/>
      <c r="B683" s="16"/>
      <c r="C683" s="15"/>
      <c r="D683" s="16"/>
      <c r="E683" s="17"/>
      <c r="F683" s="17"/>
      <c r="H683" s="19"/>
      <c r="I683" s="47"/>
      <c r="J683" s="48"/>
      <c r="K683" s="49"/>
    </row>
    <row r="684" spans="1:11" ht="12.75" hidden="1" x14ac:dyDescent="0.2">
      <c r="A684" s="16"/>
      <c r="B684" s="16"/>
      <c r="C684" s="15"/>
      <c r="D684" s="16"/>
      <c r="E684" s="17"/>
      <c r="F684" s="17"/>
      <c r="H684" s="19"/>
      <c r="I684" s="47"/>
      <c r="J684" s="48"/>
      <c r="K684" s="49"/>
    </row>
    <row r="685" spans="1:11" ht="12.75" hidden="1" x14ac:dyDescent="0.2">
      <c r="A685" s="16"/>
      <c r="B685" s="16"/>
      <c r="C685" s="15"/>
      <c r="D685" s="16"/>
      <c r="E685" s="17"/>
      <c r="F685" s="17"/>
      <c r="H685" s="19"/>
      <c r="I685" s="47"/>
      <c r="J685" s="48"/>
      <c r="K685" s="49"/>
    </row>
    <row r="686" spans="1:11" ht="12.75" hidden="1" x14ac:dyDescent="0.2">
      <c r="A686" s="16"/>
      <c r="B686" s="16"/>
      <c r="C686" s="15"/>
      <c r="D686" s="16"/>
      <c r="E686" s="17"/>
      <c r="F686" s="17"/>
      <c r="H686" s="19"/>
      <c r="I686" s="47"/>
      <c r="J686" s="48"/>
      <c r="K686" s="49"/>
    </row>
    <row r="687" spans="1:11" ht="12.75" hidden="1" x14ac:dyDescent="0.2">
      <c r="A687" s="16"/>
      <c r="B687" s="16"/>
      <c r="C687" s="15"/>
      <c r="D687" s="16"/>
      <c r="E687" s="17"/>
      <c r="F687" s="17"/>
      <c r="H687" s="19"/>
      <c r="I687" s="47"/>
      <c r="J687" s="48"/>
      <c r="K687" s="49"/>
    </row>
    <row r="688" spans="1:11" ht="12.75" hidden="1" x14ac:dyDescent="0.2">
      <c r="A688" s="16"/>
      <c r="B688" s="16"/>
      <c r="C688" s="15"/>
      <c r="D688" s="16"/>
      <c r="E688" s="17"/>
      <c r="F688" s="17"/>
      <c r="H688" s="19"/>
      <c r="I688" s="47"/>
      <c r="J688" s="48"/>
      <c r="K688" s="49"/>
    </row>
    <row r="689" spans="1:11" ht="12.75" hidden="1" x14ac:dyDescent="0.2">
      <c r="A689" s="16"/>
      <c r="B689" s="16"/>
      <c r="C689" s="15"/>
      <c r="D689" s="16"/>
      <c r="E689" s="17"/>
      <c r="F689" s="17"/>
      <c r="H689" s="19"/>
      <c r="I689" s="47"/>
      <c r="J689" s="48"/>
      <c r="K689" s="49"/>
    </row>
    <row r="690" spans="1:11" ht="12.75" hidden="1" x14ac:dyDescent="0.2">
      <c r="A690" s="16"/>
      <c r="B690" s="16"/>
      <c r="C690" s="15"/>
      <c r="D690" s="16"/>
      <c r="E690" s="17"/>
      <c r="F690" s="17"/>
      <c r="H690" s="19"/>
      <c r="I690" s="47"/>
      <c r="J690" s="48"/>
      <c r="K690" s="49"/>
    </row>
    <row r="691" spans="1:11" ht="12.75" hidden="1" x14ac:dyDescent="0.2">
      <c r="A691" s="16"/>
      <c r="B691" s="16"/>
      <c r="C691" s="15"/>
      <c r="D691" s="16"/>
      <c r="E691" s="17"/>
      <c r="F691" s="17"/>
      <c r="H691" s="19"/>
      <c r="I691" s="47"/>
      <c r="J691" s="48"/>
      <c r="K691" s="49"/>
    </row>
    <row r="692" spans="1:11" ht="12.75" hidden="1" x14ac:dyDescent="0.2">
      <c r="A692" s="16"/>
      <c r="B692" s="16"/>
      <c r="C692" s="15"/>
      <c r="D692" s="16"/>
      <c r="E692" s="17"/>
      <c r="F692" s="17"/>
      <c r="H692" s="19"/>
      <c r="I692" s="47"/>
      <c r="J692" s="48"/>
      <c r="K692" s="49"/>
    </row>
    <row r="693" spans="1:11" ht="12.75" hidden="1" x14ac:dyDescent="0.2">
      <c r="A693" s="16"/>
      <c r="B693" s="16"/>
      <c r="C693" s="15"/>
      <c r="D693" s="16"/>
      <c r="E693" s="17"/>
      <c r="F693" s="17"/>
      <c r="H693" s="19"/>
      <c r="I693" s="47"/>
      <c r="J693" s="48"/>
      <c r="K693" s="49"/>
    </row>
    <row r="694" spans="1:11" ht="12.75" hidden="1" x14ac:dyDescent="0.2">
      <c r="A694" s="16"/>
      <c r="B694" s="16"/>
      <c r="C694" s="15"/>
      <c r="D694" s="16"/>
      <c r="E694" s="17"/>
      <c r="F694" s="17"/>
      <c r="H694" s="19"/>
      <c r="I694" s="47"/>
      <c r="J694" s="48"/>
      <c r="K694" s="49"/>
    </row>
    <row r="695" spans="1:11" ht="12.75" hidden="1" x14ac:dyDescent="0.2">
      <c r="A695" s="16"/>
      <c r="B695" s="16"/>
      <c r="C695" s="15"/>
      <c r="D695" s="16"/>
      <c r="E695" s="17"/>
      <c r="F695" s="17"/>
      <c r="H695" s="19"/>
      <c r="I695" s="47"/>
      <c r="J695" s="48"/>
      <c r="K695" s="49"/>
    </row>
    <row r="696" spans="1:11" ht="12.75" hidden="1" x14ac:dyDescent="0.2">
      <c r="A696" s="16"/>
      <c r="B696" s="16"/>
      <c r="C696" s="15"/>
      <c r="D696" s="16"/>
      <c r="E696" s="17"/>
      <c r="F696" s="17"/>
      <c r="H696" s="19"/>
      <c r="I696" s="47"/>
      <c r="J696" s="48"/>
      <c r="K696" s="49"/>
    </row>
    <row r="697" spans="1:11" ht="12.75" hidden="1" x14ac:dyDescent="0.2">
      <c r="A697" s="16"/>
      <c r="B697" s="16"/>
      <c r="C697" s="15"/>
      <c r="D697" s="16"/>
      <c r="E697" s="17"/>
      <c r="F697" s="17"/>
      <c r="H697" s="19"/>
      <c r="I697" s="47"/>
      <c r="J697" s="48"/>
      <c r="K697" s="49"/>
    </row>
    <row r="698" spans="1:11" ht="12.75" hidden="1" x14ac:dyDescent="0.2">
      <c r="A698" s="16"/>
      <c r="B698" s="16"/>
      <c r="C698" s="15"/>
      <c r="D698" s="16"/>
      <c r="E698" s="17"/>
      <c r="F698" s="17"/>
      <c r="H698" s="19"/>
      <c r="I698" s="47"/>
      <c r="J698" s="48"/>
      <c r="K698" s="49"/>
    </row>
    <row r="699" spans="1:11" ht="12.75" hidden="1" x14ac:dyDescent="0.2">
      <c r="A699" s="16"/>
      <c r="B699" s="16"/>
      <c r="C699" s="15"/>
      <c r="D699" s="16"/>
      <c r="E699" s="17"/>
      <c r="F699" s="17"/>
      <c r="H699" s="19"/>
      <c r="I699" s="47"/>
      <c r="J699" s="48"/>
      <c r="K699" s="49"/>
    </row>
    <row r="700" spans="1:11" ht="12.75" hidden="1" x14ac:dyDescent="0.2">
      <c r="A700" s="16"/>
      <c r="B700" s="16"/>
      <c r="C700" s="15"/>
      <c r="D700" s="16"/>
      <c r="E700" s="17"/>
      <c r="F700" s="17"/>
      <c r="H700" s="19"/>
      <c r="I700" s="47"/>
      <c r="J700" s="48"/>
      <c r="K700" s="49"/>
    </row>
    <row r="701" spans="1:11" ht="12.75" hidden="1" x14ac:dyDescent="0.2">
      <c r="A701" s="16"/>
      <c r="B701" s="16"/>
      <c r="C701" s="15"/>
      <c r="D701" s="16"/>
      <c r="E701" s="17"/>
      <c r="F701" s="17"/>
      <c r="H701" s="19"/>
      <c r="I701" s="47"/>
      <c r="J701" s="48"/>
      <c r="K701" s="49"/>
    </row>
    <row r="702" spans="1:11" ht="12.75" hidden="1" x14ac:dyDescent="0.2">
      <c r="A702" s="16"/>
      <c r="B702" s="16"/>
      <c r="C702" s="15"/>
      <c r="D702" s="16"/>
      <c r="E702" s="17"/>
      <c r="F702" s="17"/>
      <c r="H702" s="19"/>
      <c r="I702" s="47"/>
      <c r="J702" s="48"/>
      <c r="K702" s="49"/>
    </row>
    <row r="703" spans="1:11" ht="12.75" hidden="1" x14ac:dyDescent="0.2">
      <c r="A703" s="16"/>
      <c r="B703" s="16"/>
      <c r="C703" s="15"/>
      <c r="D703" s="16"/>
      <c r="E703" s="17"/>
      <c r="F703" s="17"/>
      <c r="H703" s="19"/>
      <c r="I703" s="47"/>
      <c r="J703" s="48"/>
      <c r="K703" s="49"/>
    </row>
    <row r="704" spans="1:11" ht="12.75" hidden="1" x14ac:dyDescent="0.2">
      <c r="A704" s="16"/>
      <c r="B704" s="16"/>
      <c r="C704" s="15"/>
      <c r="D704" s="16"/>
      <c r="E704" s="17"/>
      <c r="F704" s="17"/>
      <c r="H704" s="19"/>
      <c r="I704" s="47"/>
      <c r="J704" s="48"/>
      <c r="K704" s="49"/>
    </row>
    <row r="705" spans="1:11" ht="12.75" hidden="1" x14ac:dyDescent="0.2">
      <c r="A705" s="16"/>
      <c r="B705" s="16"/>
      <c r="C705" s="15"/>
      <c r="D705" s="16"/>
      <c r="E705" s="17"/>
      <c r="F705" s="17"/>
      <c r="H705" s="19"/>
      <c r="I705" s="47"/>
      <c r="J705" s="48"/>
      <c r="K705" s="49"/>
    </row>
    <row r="706" spans="1:11" ht="12.75" hidden="1" x14ac:dyDescent="0.2">
      <c r="A706" s="16"/>
      <c r="B706" s="16"/>
      <c r="C706" s="15"/>
      <c r="D706" s="16"/>
      <c r="E706" s="17"/>
      <c r="F706" s="17"/>
      <c r="H706" s="19"/>
      <c r="I706" s="47"/>
      <c r="J706" s="48"/>
      <c r="K706" s="49"/>
    </row>
    <row r="707" spans="1:11" ht="12.75" hidden="1" x14ac:dyDescent="0.2">
      <c r="A707" s="16"/>
      <c r="B707" s="16"/>
      <c r="C707" s="15"/>
      <c r="D707" s="16"/>
      <c r="E707" s="17"/>
      <c r="F707" s="17"/>
      <c r="H707" s="19"/>
      <c r="I707" s="47"/>
      <c r="J707" s="48"/>
      <c r="K707" s="49"/>
    </row>
    <row r="708" spans="1:11" ht="12.75" hidden="1" x14ac:dyDescent="0.2">
      <c r="A708" s="16"/>
      <c r="B708" s="16"/>
      <c r="C708" s="15"/>
      <c r="D708" s="16"/>
      <c r="E708" s="17"/>
      <c r="F708" s="17"/>
      <c r="H708" s="19"/>
      <c r="I708" s="47"/>
      <c r="J708" s="48"/>
      <c r="K708" s="49"/>
    </row>
    <row r="709" spans="1:11" ht="12.75" hidden="1" x14ac:dyDescent="0.2">
      <c r="A709" s="16"/>
      <c r="B709" s="16"/>
      <c r="C709" s="15"/>
      <c r="D709" s="16"/>
      <c r="E709" s="17"/>
      <c r="F709" s="17"/>
      <c r="H709" s="19"/>
      <c r="I709" s="47"/>
      <c r="J709" s="48"/>
      <c r="K709" s="49"/>
    </row>
    <row r="710" spans="1:11" ht="12.75" hidden="1" x14ac:dyDescent="0.2">
      <c r="A710" s="16"/>
      <c r="B710" s="16"/>
      <c r="C710" s="15"/>
      <c r="D710" s="16"/>
      <c r="E710" s="17"/>
      <c r="F710" s="17"/>
      <c r="H710" s="19"/>
      <c r="I710" s="47"/>
      <c r="J710" s="48"/>
      <c r="K710" s="49"/>
    </row>
    <row r="711" spans="1:11" ht="12.75" hidden="1" x14ac:dyDescent="0.2">
      <c r="A711" s="16"/>
      <c r="B711" s="16"/>
      <c r="C711" s="15"/>
      <c r="D711" s="16"/>
      <c r="E711" s="17"/>
      <c r="F711" s="17"/>
      <c r="H711" s="19"/>
      <c r="I711" s="47"/>
      <c r="J711" s="48"/>
      <c r="K711" s="49"/>
    </row>
    <row r="712" spans="1:11" ht="12.75" hidden="1" x14ac:dyDescent="0.2">
      <c r="A712" s="16"/>
      <c r="B712" s="16"/>
      <c r="C712" s="15"/>
      <c r="D712" s="16"/>
      <c r="E712" s="17"/>
      <c r="F712" s="17"/>
      <c r="H712" s="19"/>
      <c r="I712" s="47"/>
      <c r="J712" s="48"/>
      <c r="K712" s="49"/>
    </row>
    <row r="713" spans="1:11" ht="12.75" hidden="1" x14ac:dyDescent="0.2">
      <c r="A713" s="16"/>
      <c r="B713" s="16"/>
      <c r="C713" s="15"/>
      <c r="D713" s="16"/>
      <c r="E713" s="17"/>
      <c r="F713" s="17"/>
      <c r="H713" s="19"/>
      <c r="I713" s="47"/>
      <c r="J713" s="48"/>
      <c r="K713" s="49"/>
    </row>
    <row r="714" spans="1:11" ht="12.75" hidden="1" x14ac:dyDescent="0.2">
      <c r="A714" s="16"/>
      <c r="B714" s="16"/>
      <c r="C714" s="15"/>
      <c r="D714" s="16"/>
      <c r="E714" s="17"/>
      <c r="F714" s="17"/>
      <c r="H714" s="19"/>
      <c r="I714" s="47"/>
      <c r="J714" s="48"/>
      <c r="K714" s="49"/>
    </row>
    <row r="715" spans="1:11" ht="12.75" hidden="1" x14ac:dyDescent="0.2">
      <c r="A715" s="16"/>
      <c r="B715" s="16"/>
      <c r="C715" s="15"/>
      <c r="D715" s="16"/>
      <c r="E715" s="17"/>
      <c r="F715" s="17"/>
      <c r="H715" s="19"/>
      <c r="I715" s="47"/>
      <c r="J715" s="48"/>
      <c r="K715" s="49"/>
    </row>
    <row r="716" spans="1:11" ht="12.75" hidden="1" x14ac:dyDescent="0.2">
      <c r="A716" s="16"/>
      <c r="B716" s="16"/>
      <c r="C716" s="15"/>
      <c r="D716" s="16"/>
      <c r="E716" s="17"/>
      <c r="F716" s="17"/>
      <c r="H716" s="19"/>
      <c r="I716" s="47"/>
      <c r="J716" s="48"/>
      <c r="K716" s="49"/>
    </row>
    <row r="717" spans="1:11" ht="12.75" hidden="1" x14ac:dyDescent="0.2">
      <c r="A717" s="16"/>
      <c r="B717" s="16"/>
      <c r="C717" s="15"/>
      <c r="D717" s="16"/>
      <c r="E717" s="17"/>
      <c r="F717" s="17"/>
      <c r="H717" s="19"/>
      <c r="I717" s="47"/>
      <c r="J717" s="48"/>
      <c r="K717" s="49"/>
    </row>
    <row r="718" spans="1:11" ht="12.75" hidden="1" x14ac:dyDescent="0.2">
      <c r="A718" s="16"/>
      <c r="B718" s="16"/>
      <c r="C718" s="15"/>
      <c r="D718" s="16"/>
      <c r="E718" s="17"/>
      <c r="F718" s="17"/>
      <c r="H718" s="19"/>
      <c r="I718" s="47"/>
      <c r="J718" s="48"/>
      <c r="K718" s="49"/>
    </row>
    <row r="719" spans="1:11" ht="12.75" hidden="1" x14ac:dyDescent="0.2">
      <c r="A719" s="16"/>
      <c r="B719" s="16"/>
      <c r="C719" s="15"/>
      <c r="D719" s="16"/>
      <c r="E719" s="17"/>
      <c r="F719" s="17"/>
      <c r="H719" s="19"/>
      <c r="I719" s="47"/>
      <c r="J719" s="48"/>
      <c r="K719" s="49"/>
    </row>
    <row r="720" spans="1:11" ht="12.75" hidden="1" x14ac:dyDescent="0.2">
      <c r="A720" s="16"/>
      <c r="B720" s="16"/>
      <c r="C720" s="15"/>
      <c r="D720" s="16"/>
      <c r="E720" s="17"/>
      <c r="F720" s="17"/>
      <c r="H720" s="19"/>
      <c r="I720" s="47"/>
      <c r="J720" s="48"/>
      <c r="K720" s="49"/>
    </row>
    <row r="721" spans="1:11" ht="12.75" hidden="1" x14ac:dyDescent="0.2">
      <c r="A721" s="16"/>
      <c r="B721" s="16"/>
      <c r="C721" s="15"/>
      <c r="D721" s="16"/>
      <c r="E721" s="17"/>
      <c r="F721" s="17"/>
      <c r="H721" s="19"/>
      <c r="I721" s="47"/>
      <c r="J721" s="48"/>
      <c r="K721" s="49"/>
    </row>
    <row r="722" spans="1:11" ht="12.75" hidden="1" x14ac:dyDescent="0.2">
      <c r="A722" s="16"/>
      <c r="B722" s="16"/>
      <c r="C722" s="15"/>
      <c r="D722" s="16"/>
      <c r="E722" s="17"/>
      <c r="F722" s="17"/>
      <c r="H722" s="19"/>
      <c r="I722" s="47"/>
      <c r="J722" s="48"/>
      <c r="K722" s="49"/>
    </row>
    <row r="723" spans="1:11" ht="12.75" hidden="1" x14ac:dyDescent="0.2">
      <c r="A723" s="16"/>
      <c r="B723" s="16"/>
      <c r="C723" s="15"/>
      <c r="D723" s="16"/>
      <c r="E723" s="17"/>
      <c r="F723" s="17"/>
      <c r="H723" s="19"/>
      <c r="I723" s="47"/>
      <c r="J723" s="48"/>
      <c r="K723" s="49"/>
    </row>
    <row r="724" spans="1:11" ht="12.75" hidden="1" x14ac:dyDescent="0.2">
      <c r="A724" s="16"/>
      <c r="B724" s="16"/>
      <c r="C724" s="15"/>
      <c r="D724" s="16"/>
      <c r="E724" s="17"/>
      <c r="F724" s="17"/>
      <c r="H724" s="19"/>
      <c r="I724" s="47"/>
      <c r="J724" s="48"/>
      <c r="K724" s="49"/>
    </row>
    <row r="725" spans="1:11" ht="12.75" hidden="1" x14ac:dyDescent="0.2">
      <c r="A725" s="16"/>
      <c r="B725" s="16"/>
      <c r="C725" s="15"/>
      <c r="D725" s="16"/>
      <c r="E725" s="17"/>
      <c r="F725" s="17"/>
      <c r="H725" s="19"/>
      <c r="I725" s="47"/>
      <c r="J725" s="48"/>
      <c r="K725" s="49"/>
    </row>
    <row r="726" spans="1:11" ht="12.75" hidden="1" x14ac:dyDescent="0.2">
      <c r="A726" s="16"/>
      <c r="B726" s="16"/>
      <c r="C726" s="15"/>
      <c r="D726" s="16"/>
      <c r="E726" s="17"/>
      <c r="F726" s="17"/>
      <c r="H726" s="19"/>
      <c r="I726" s="47"/>
      <c r="J726" s="48"/>
      <c r="K726" s="49"/>
    </row>
    <row r="727" spans="1:11" ht="12.75" hidden="1" x14ac:dyDescent="0.2">
      <c r="A727" s="16"/>
      <c r="B727" s="16"/>
      <c r="C727" s="15"/>
      <c r="D727" s="16"/>
      <c r="E727" s="17"/>
      <c r="F727" s="17"/>
      <c r="H727" s="19"/>
      <c r="I727" s="47"/>
      <c r="J727" s="48"/>
      <c r="K727" s="49"/>
    </row>
    <row r="728" spans="1:11" ht="12.75" hidden="1" x14ac:dyDescent="0.2">
      <c r="A728" s="16"/>
      <c r="B728" s="16"/>
      <c r="C728" s="15"/>
      <c r="D728" s="16"/>
      <c r="E728" s="17"/>
      <c r="F728" s="17"/>
      <c r="H728" s="19"/>
      <c r="I728" s="47"/>
      <c r="J728" s="48"/>
      <c r="K728" s="49"/>
    </row>
    <row r="729" spans="1:11" ht="12.75" hidden="1" x14ac:dyDescent="0.2">
      <c r="A729" s="16"/>
      <c r="B729" s="16"/>
      <c r="C729" s="15"/>
      <c r="D729" s="16"/>
      <c r="E729" s="17"/>
      <c r="F729" s="17"/>
      <c r="H729" s="19"/>
      <c r="I729" s="47"/>
      <c r="J729" s="48"/>
      <c r="K729" s="49"/>
    </row>
    <row r="730" spans="1:11" ht="12.75" hidden="1" x14ac:dyDescent="0.2">
      <c r="A730" s="16"/>
      <c r="B730" s="16"/>
      <c r="C730" s="15"/>
      <c r="D730" s="16"/>
      <c r="E730" s="17"/>
      <c r="F730" s="17"/>
      <c r="H730" s="19"/>
      <c r="I730" s="47"/>
      <c r="J730" s="48"/>
      <c r="K730" s="49"/>
    </row>
    <row r="731" spans="1:11" ht="12.75" hidden="1" x14ac:dyDescent="0.2">
      <c r="A731" s="16"/>
      <c r="B731" s="16"/>
      <c r="C731" s="15"/>
      <c r="D731" s="16"/>
      <c r="E731" s="17"/>
      <c r="F731" s="17"/>
      <c r="H731" s="19"/>
      <c r="I731" s="47"/>
      <c r="J731" s="48"/>
      <c r="K731" s="49"/>
    </row>
    <row r="732" spans="1:11" ht="12.75" hidden="1" x14ac:dyDescent="0.2">
      <c r="A732" s="16"/>
      <c r="B732" s="16"/>
      <c r="C732" s="15"/>
      <c r="D732" s="16"/>
      <c r="E732" s="17"/>
      <c r="F732" s="17"/>
      <c r="H732" s="19"/>
      <c r="I732" s="47"/>
      <c r="J732" s="48"/>
      <c r="K732" s="49"/>
    </row>
    <row r="733" spans="1:11" ht="12.75" hidden="1" x14ac:dyDescent="0.2">
      <c r="A733" s="16"/>
      <c r="B733" s="16"/>
      <c r="C733" s="15"/>
      <c r="D733" s="16"/>
      <c r="E733" s="17"/>
      <c r="F733" s="17"/>
      <c r="H733" s="19"/>
      <c r="I733" s="47"/>
      <c r="J733" s="48"/>
      <c r="K733" s="49"/>
    </row>
    <row r="734" spans="1:11" ht="12.75" hidden="1" x14ac:dyDescent="0.2">
      <c r="A734" s="16"/>
      <c r="B734" s="16"/>
      <c r="C734" s="15"/>
      <c r="D734" s="16"/>
      <c r="E734" s="17"/>
      <c r="F734" s="17"/>
      <c r="H734" s="19"/>
      <c r="I734" s="47"/>
      <c r="J734" s="48"/>
      <c r="K734" s="49"/>
    </row>
    <row r="735" spans="1:11" ht="12.75" hidden="1" x14ac:dyDescent="0.2">
      <c r="A735" s="16"/>
      <c r="B735" s="16"/>
      <c r="C735" s="15"/>
      <c r="D735" s="16"/>
      <c r="E735" s="17"/>
      <c r="F735" s="17"/>
      <c r="H735" s="19"/>
      <c r="I735" s="47"/>
      <c r="J735" s="48"/>
      <c r="K735" s="49"/>
    </row>
    <row r="736" spans="1:11" ht="12.75" hidden="1" x14ac:dyDescent="0.2">
      <c r="A736" s="16"/>
      <c r="B736" s="16"/>
      <c r="C736" s="15"/>
      <c r="D736" s="16"/>
      <c r="E736" s="17"/>
      <c r="F736" s="17"/>
      <c r="H736" s="19"/>
      <c r="I736" s="47"/>
      <c r="J736" s="48"/>
      <c r="K736" s="49"/>
    </row>
    <row r="737" spans="1:11" ht="12.75" hidden="1" x14ac:dyDescent="0.2">
      <c r="A737" s="16"/>
      <c r="B737" s="16"/>
      <c r="C737" s="15"/>
      <c r="D737" s="16"/>
      <c r="E737" s="17"/>
      <c r="F737" s="17"/>
      <c r="H737" s="19"/>
      <c r="I737" s="47"/>
      <c r="J737" s="48"/>
      <c r="K737" s="49"/>
    </row>
    <row r="738" spans="1:11" ht="12.75" hidden="1" x14ac:dyDescent="0.2">
      <c r="A738" s="16"/>
      <c r="B738" s="16"/>
      <c r="C738" s="15"/>
      <c r="D738" s="16"/>
      <c r="E738" s="17"/>
      <c r="F738" s="17"/>
      <c r="H738" s="19"/>
      <c r="I738" s="47"/>
      <c r="J738" s="48"/>
      <c r="K738" s="49"/>
    </row>
    <row r="739" spans="1:11" ht="12.75" hidden="1" x14ac:dyDescent="0.2">
      <c r="A739" s="16"/>
      <c r="B739" s="16"/>
      <c r="C739" s="15"/>
      <c r="D739" s="16"/>
      <c r="E739" s="17"/>
      <c r="F739" s="17"/>
      <c r="H739" s="19"/>
      <c r="I739" s="47"/>
      <c r="J739" s="48"/>
      <c r="K739" s="49"/>
    </row>
    <row r="740" spans="1:11" ht="12.75" hidden="1" x14ac:dyDescent="0.2">
      <c r="A740" s="16"/>
      <c r="B740" s="16"/>
      <c r="C740" s="15"/>
      <c r="D740" s="16"/>
      <c r="E740" s="17"/>
      <c r="F740" s="17"/>
      <c r="H740" s="19"/>
      <c r="I740" s="47"/>
      <c r="J740" s="48"/>
      <c r="K740" s="49"/>
    </row>
    <row r="741" spans="1:11" ht="12.75" hidden="1" x14ac:dyDescent="0.2">
      <c r="A741" s="16"/>
      <c r="B741" s="16"/>
      <c r="C741" s="15"/>
      <c r="D741" s="16"/>
      <c r="E741" s="17"/>
      <c r="F741" s="17"/>
      <c r="H741" s="19"/>
      <c r="I741" s="47"/>
      <c r="J741" s="48"/>
      <c r="K741" s="49"/>
    </row>
    <row r="742" spans="1:11" ht="12.75" hidden="1" x14ac:dyDescent="0.2">
      <c r="A742" s="16"/>
      <c r="B742" s="16"/>
      <c r="C742" s="15"/>
      <c r="D742" s="16"/>
      <c r="E742" s="17"/>
      <c r="F742" s="17"/>
      <c r="H742" s="19"/>
      <c r="I742" s="47"/>
      <c r="J742" s="48"/>
      <c r="K742" s="49"/>
    </row>
    <row r="743" spans="1:11" ht="12.75" hidden="1" x14ac:dyDescent="0.2">
      <c r="A743" s="16"/>
      <c r="B743" s="16"/>
      <c r="C743" s="15"/>
      <c r="D743" s="16"/>
      <c r="E743" s="17"/>
      <c r="F743" s="17"/>
      <c r="H743" s="19"/>
      <c r="I743" s="47"/>
      <c r="J743" s="48"/>
      <c r="K743" s="49"/>
    </row>
    <row r="744" spans="1:11" ht="12.75" hidden="1" x14ac:dyDescent="0.2">
      <c r="A744" s="16"/>
      <c r="B744" s="16"/>
      <c r="C744" s="15"/>
      <c r="D744" s="16"/>
      <c r="E744" s="17"/>
      <c r="F744" s="17"/>
      <c r="H744" s="19"/>
      <c r="I744" s="47"/>
      <c r="J744" s="48"/>
      <c r="K744" s="49"/>
    </row>
    <row r="745" spans="1:11" ht="12.75" hidden="1" x14ac:dyDescent="0.2">
      <c r="A745" s="16"/>
      <c r="B745" s="16"/>
      <c r="C745" s="15"/>
      <c r="D745" s="16"/>
      <c r="E745" s="17"/>
      <c r="F745" s="17"/>
      <c r="H745" s="19"/>
      <c r="I745" s="47"/>
      <c r="J745" s="48"/>
      <c r="K745" s="49"/>
    </row>
    <row r="746" spans="1:11" ht="12.75" hidden="1" x14ac:dyDescent="0.2">
      <c r="A746" s="16"/>
      <c r="B746" s="16"/>
      <c r="C746" s="15"/>
      <c r="D746" s="16"/>
      <c r="E746" s="17"/>
      <c r="F746" s="17"/>
      <c r="H746" s="19"/>
      <c r="I746" s="47"/>
      <c r="J746" s="48"/>
      <c r="K746" s="49"/>
    </row>
    <row r="747" spans="1:11" ht="12.75" hidden="1" x14ac:dyDescent="0.2">
      <c r="A747" s="16"/>
      <c r="B747" s="16"/>
      <c r="C747" s="15"/>
      <c r="D747" s="16"/>
      <c r="E747" s="17"/>
      <c r="F747" s="17"/>
      <c r="H747" s="19"/>
      <c r="I747" s="47"/>
      <c r="J747" s="48"/>
      <c r="K747" s="49"/>
    </row>
    <row r="748" spans="1:11" ht="12.75" hidden="1" x14ac:dyDescent="0.2">
      <c r="A748" s="16"/>
      <c r="B748" s="16"/>
      <c r="C748" s="15"/>
      <c r="D748" s="16"/>
      <c r="E748" s="17"/>
      <c r="F748" s="17"/>
      <c r="H748" s="19"/>
      <c r="I748" s="47"/>
      <c r="J748" s="48"/>
      <c r="K748" s="49"/>
    </row>
    <row r="749" spans="1:11" ht="12.75" hidden="1" x14ac:dyDescent="0.2">
      <c r="A749" s="16"/>
      <c r="B749" s="16"/>
      <c r="C749" s="15"/>
      <c r="D749" s="16"/>
      <c r="E749" s="17"/>
      <c r="F749" s="17"/>
      <c r="H749" s="19"/>
      <c r="I749" s="47"/>
      <c r="J749" s="48"/>
      <c r="K749" s="49"/>
    </row>
    <row r="750" spans="1:11" ht="12.75" hidden="1" x14ac:dyDescent="0.2">
      <c r="A750" s="16"/>
      <c r="B750" s="16"/>
      <c r="C750" s="15"/>
      <c r="D750" s="16"/>
      <c r="E750" s="17"/>
      <c r="F750" s="17"/>
      <c r="H750" s="19"/>
      <c r="I750" s="47"/>
      <c r="J750" s="48"/>
      <c r="K750" s="49"/>
    </row>
    <row r="751" spans="1:11" ht="12.75" hidden="1" x14ac:dyDescent="0.2">
      <c r="A751" s="16"/>
      <c r="B751" s="16"/>
      <c r="C751" s="15"/>
      <c r="D751" s="16"/>
      <c r="E751" s="17"/>
      <c r="F751" s="17"/>
      <c r="H751" s="19"/>
      <c r="I751" s="47"/>
      <c r="J751" s="48"/>
      <c r="K751" s="49"/>
    </row>
    <row r="752" spans="1:11" ht="12.75" hidden="1" x14ac:dyDescent="0.2">
      <c r="A752" s="16"/>
      <c r="B752" s="16"/>
      <c r="C752" s="15"/>
      <c r="D752" s="16"/>
      <c r="E752" s="17"/>
      <c r="F752" s="17"/>
      <c r="H752" s="19"/>
      <c r="I752" s="47"/>
      <c r="J752" s="48"/>
      <c r="K752" s="49"/>
    </row>
    <row r="753" spans="1:11" ht="12.75" hidden="1" x14ac:dyDescent="0.2">
      <c r="A753" s="16"/>
      <c r="B753" s="16"/>
      <c r="C753" s="15"/>
      <c r="D753" s="16"/>
      <c r="E753" s="17"/>
      <c r="F753" s="17"/>
      <c r="H753" s="19"/>
      <c r="I753" s="47"/>
      <c r="J753" s="48"/>
      <c r="K753" s="49"/>
    </row>
    <row r="754" spans="1:11" ht="12.75" hidden="1" x14ac:dyDescent="0.2">
      <c r="A754" s="16"/>
      <c r="B754" s="16"/>
      <c r="C754" s="15"/>
      <c r="D754" s="16"/>
      <c r="E754" s="17"/>
      <c r="F754" s="17"/>
      <c r="H754" s="19"/>
      <c r="I754" s="47"/>
      <c r="J754" s="48"/>
      <c r="K754" s="49"/>
    </row>
    <row r="755" spans="1:11" ht="12.75" hidden="1" x14ac:dyDescent="0.2">
      <c r="A755" s="16"/>
      <c r="B755" s="16"/>
      <c r="C755" s="15"/>
      <c r="D755" s="16"/>
      <c r="E755" s="17"/>
      <c r="F755" s="17"/>
      <c r="H755" s="19"/>
      <c r="I755" s="47"/>
      <c r="J755" s="48"/>
      <c r="K755" s="49"/>
    </row>
    <row r="756" spans="1:11" ht="12.75" hidden="1" x14ac:dyDescent="0.2">
      <c r="A756" s="16"/>
      <c r="B756" s="16"/>
      <c r="C756" s="15"/>
      <c r="D756" s="16"/>
      <c r="E756" s="17"/>
      <c r="F756" s="17"/>
      <c r="H756" s="19"/>
      <c r="I756" s="47"/>
      <c r="J756" s="48"/>
      <c r="K756" s="49"/>
    </row>
    <row r="757" spans="1:11" ht="12.75" hidden="1" x14ac:dyDescent="0.2">
      <c r="A757" s="16"/>
      <c r="B757" s="16"/>
      <c r="C757" s="15"/>
      <c r="D757" s="16"/>
      <c r="E757" s="17"/>
      <c r="F757" s="17"/>
      <c r="H757" s="19"/>
      <c r="I757" s="47"/>
      <c r="J757" s="48"/>
      <c r="K757" s="49"/>
    </row>
    <row r="758" spans="1:11" ht="12.75" hidden="1" x14ac:dyDescent="0.2">
      <c r="A758" s="16"/>
      <c r="B758" s="16"/>
      <c r="C758" s="15"/>
      <c r="D758" s="16"/>
      <c r="E758" s="17"/>
      <c r="F758" s="17"/>
      <c r="H758" s="19"/>
      <c r="I758" s="47"/>
      <c r="J758" s="48"/>
      <c r="K758" s="49"/>
    </row>
    <row r="759" spans="1:11" ht="12.75" hidden="1" x14ac:dyDescent="0.2">
      <c r="A759" s="16"/>
      <c r="B759" s="16"/>
      <c r="C759" s="15"/>
      <c r="D759" s="16"/>
      <c r="E759" s="17"/>
      <c r="F759" s="17"/>
      <c r="H759" s="19"/>
      <c r="I759" s="47"/>
      <c r="J759" s="48"/>
      <c r="K759" s="49"/>
    </row>
    <row r="760" spans="1:11" ht="12.75" hidden="1" x14ac:dyDescent="0.2">
      <c r="A760" s="16"/>
      <c r="B760" s="16"/>
      <c r="C760" s="15"/>
      <c r="D760" s="16"/>
      <c r="E760" s="17"/>
      <c r="F760" s="17"/>
      <c r="H760" s="19"/>
      <c r="I760" s="47"/>
      <c r="J760" s="48"/>
      <c r="K760" s="49"/>
    </row>
    <row r="761" spans="1:11" ht="12.75" hidden="1" x14ac:dyDescent="0.2">
      <c r="A761" s="16"/>
      <c r="B761" s="16"/>
      <c r="C761" s="15"/>
      <c r="D761" s="16"/>
      <c r="E761" s="17"/>
      <c r="F761" s="17"/>
      <c r="H761" s="19"/>
      <c r="I761" s="47"/>
      <c r="J761" s="48"/>
      <c r="K761" s="49"/>
    </row>
    <row r="762" spans="1:11" ht="12.75" hidden="1" x14ac:dyDescent="0.2">
      <c r="A762" s="16"/>
      <c r="B762" s="16"/>
      <c r="C762" s="15"/>
      <c r="D762" s="16"/>
      <c r="E762" s="17"/>
      <c r="F762" s="17"/>
      <c r="H762" s="19"/>
      <c r="I762" s="47"/>
      <c r="J762" s="48"/>
      <c r="K762" s="49"/>
    </row>
    <row r="763" spans="1:11" ht="12.75" hidden="1" x14ac:dyDescent="0.2">
      <c r="A763" s="16"/>
      <c r="B763" s="16"/>
      <c r="C763" s="15"/>
      <c r="D763" s="16"/>
      <c r="E763" s="17"/>
      <c r="F763" s="17"/>
      <c r="H763" s="19"/>
      <c r="I763" s="47"/>
      <c r="J763" s="48"/>
      <c r="K763" s="49"/>
    </row>
    <row r="764" spans="1:11" ht="12.75" hidden="1" x14ac:dyDescent="0.2">
      <c r="A764" s="16"/>
      <c r="B764" s="16"/>
      <c r="C764" s="15"/>
      <c r="D764" s="16"/>
      <c r="E764" s="17"/>
      <c r="F764" s="17"/>
      <c r="H764" s="19"/>
      <c r="I764" s="47"/>
      <c r="J764" s="48"/>
      <c r="K764" s="49"/>
    </row>
    <row r="765" spans="1:11" ht="12.75" hidden="1" x14ac:dyDescent="0.2">
      <c r="A765" s="16"/>
      <c r="B765" s="16"/>
      <c r="C765" s="15"/>
      <c r="D765" s="16"/>
      <c r="E765" s="17"/>
      <c r="F765" s="17"/>
      <c r="H765" s="19"/>
      <c r="I765" s="47"/>
      <c r="J765" s="48"/>
      <c r="K765" s="49"/>
    </row>
    <row r="766" spans="1:11" ht="12.75" hidden="1" x14ac:dyDescent="0.2">
      <c r="A766" s="16"/>
      <c r="B766" s="16"/>
      <c r="C766" s="15"/>
      <c r="D766" s="16"/>
      <c r="E766" s="17"/>
      <c r="F766" s="17"/>
      <c r="H766" s="19"/>
      <c r="I766" s="47"/>
      <c r="J766" s="48"/>
      <c r="K766" s="49"/>
    </row>
    <row r="767" spans="1:11" ht="12.75" hidden="1" x14ac:dyDescent="0.2">
      <c r="A767" s="16"/>
      <c r="B767" s="16"/>
      <c r="C767" s="15"/>
      <c r="D767" s="16"/>
      <c r="E767" s="17"/>
      <c r="F767" s="17"/>
      <c r="H767" s="19"/>
      <c r="I767" s="47"/>
      <c r="J767" s="48"/>
      <c r="K767" s="49"/>
    </row>
    <row r="768" spans="1:11" ht="12.75" hidden="1" x14ac:dyDescent="0.2">
      <c r="A768" s="16"/>
      <c r="B768" s="16"/>
      <c r="C768" s="15"/>
      <c r="D768" s="16"/>
      <c r="E768" s="17"/>
      <c r="F768" s="17"/>
      <c r="H768" s="19"/>
      <c r="I768" s="47"/>
      <c r="J768" s="48"/>
      <c r="K768" s="49"/>
    </row>
    <row r="769" spans="1:11" ht="12.75" hidden="1" x14ac:dyDescent="0.2">
      <c r="A769" s="16"/>
      <c r="B769" s="16"/>
      <c r="C769" s="15"/>
      <c r="D769" s="16"/>
      <c r="E769" s="17"/>
      <c r="F769" s="17"/>
      <c r="H769" s="19"/>
      <c r="I769" s="47"/>
      <c r="J769" s="48"/>
      <c r="K769" s="49"/>
    </row>
    <row r="770" spans="1:11" ht="12.75" hidden="1" x14ac:dyDescent="0.2">
      <c r="A770" s="16"/>
      <c r="B770" s="16"/>
      <c r="C770" s="15"/>
      <c r="D770" s="16"/>
      <c r="E770" s="17"/>
      <c r="F770" s="17"/>
      <c r="H770" s="19"/>
      <c r="I770" s="47"/>
      <c r="J770" s="48"/>
      <c r="K770" s="49"/>
    </row>
    <row r="771" spans="1:11" ht="12.75" hidden="1" x14ac:dyDescent="0.2">
      <c r="A771" s="16"/>
      <c r="B771" s="16"/>
      <c r="C771" s="15"/>
      <c r="D771" s="16"/>
      <c r="E771" s="17"/>
      <c r="F771" s="17"/>
      <c r="H771" s="19"/>
      <c r="I771" s="47"/>
      <c r="J771" s="48"/>
      <c r="K771" s="49"/>
    </row>
    <row r="772" spans="1:11" ht="12.75" hidden="1" x14ac:dyDescent="0.2">
      <c r="A772" s="16"/>
      <c r="B772" s="16"/>
      <c r="C772" s="15"/>
      <c r="D772" s="16"/>
      <c r="E772" s="17"/>
      <c r="F772" s="17"/>
      <c r="H772" s="19"/>
      <c r="I772" s="47"/>
      <c r="J772" s="48"/>
      <c r="K772" s="49"/>
    </row>
    <row r="773" spans="1:11" ht="12.75" hidden="1" x14ac:dyDescent="0.2">
      <c r="A773" s="16"/>
      <c r="B773" s="16"/>
      <c r="C773" s="15"/>
      <c r="D773" s="16"/>
      <c r="E773" s="17"/>
      <c r="F773" s="17"/>
      <c r="H773" s="19"/>
      <c r="I773" s="47"/>
      <c r="J773" s="48"/>
      <c r="K773" s="49"/>
    </row>
    <row r="774" spans="1:11" ht="12.75" hidden="1" x14ac:dyDescent="0.2">
      <c r="A774" s="16"/>
      <c r="B774" s="16"/>
      <c r="C774" s="15"/>
      <c r="D774" s="16"/>
      <c r="E774" s="17"/>
      <c r="F774" s="17"/>
      <c r="H774" s="19"/>
      <c r="I774" s="47"/>
      <c r="J774" s="48"/>
      <c r="K774" s="49"/>
    </row>
    <row r="775" spans="1:11" ht="12.75" hidden="1" x14ac:dyDescent="0.2">
      <c r="A775" s="16"/>
      <c r="B775" s="16"/>
      <c r="C775" s="15"/>
      <c r="D775" s="16"/>
      <c r="E775" s="17"/>
      <c r="F775" s="17"/>
      <c r="H775" s="19"/>
      <c r="I775" s="47"/>
      <c r="J775" s="48"/>
      <c r="K775" s="49"/>
    </row>
    <row r="776" spans="1:11" ht="12.75" hidden="1" x14ac:dyDescent="0.2">
      <c r="A776" s="16"/>
      <c r="B776" s="16"/>
      <c r="C776" s="15"/>
      <c r="D776" s="16"/>
      <c r="E776" s="17"/>
      <c r="F776" s="17"/>
      <c r="H776" s="19"/>
      <c r="I776" s="47"/>
      <c r="J776" s="48"/>
      <c r="K776" s="49"/>
    </row>
    <row r="777" spans="1:11" ht="12.75" hidden="1" x14ac:dyDescent="0.2">
      <c r="A777" s="16"/>
      <c r="B777" s="16"/>
      <c r="C777" s="15"/>
      <c r="D777" s="16"/>
      <c r="E777" s="17"/>
      <c r="F777" s="17"/>
      <c r="H777" s="19"/>
      <c r="I777" s="47"/>
      <c r="J777" s="48"/>
      <c r="K777" s="49"/>
    </row>
    <row r="778" spans="1:11" ht="12.75" hidden="1" x14ac:dyDescent="0.2">
      <c r="A778" s="16"/>
      <c r="B778" s="16"/>
      <c r="C778" s="15"/>
      <c r="D778" s="16"/>
      <c r="E778" s="17"/>
      <c r="F778" s="17"/>
      <c r="H778" s="19"/>
      <c r="I778" s="47"/>
      <c r="J778" s="48"/>
      <c r="K778" s="49"/>
    </row>
    <row r="779" spans="1:11" ht="12.75" hidden="1" x14ac:dyDescent="0.2">
      <c r="A779" s="16"/>
      <c r="B779" s="16"/>
      <c r="C779" s="15"/>
      <c r="D779" s="16"/>
      <c r="E779" s="17"/>
      <c r="F779" s="17"/>
      <c r="H779" s="19"/>
      <c r="I779" s="47"/>
      <c r="J779" s="48"/>
      <c r="K779" s="49"/>
    </row>
    <row r="780" spans="1:11" ht="12.75" hidden="1" x14ac:dyDescent="0.2">
      <c r="A780" s="16"/>
      <c r="B780" s="16"/>
      <c r="C780" s="15"/>
      <c r="D780" s="16"/>
      <c r="E780" s="17"/>
      <c r="F780" s="17"/>
      <c r="H780" s="19"/>
      <c r="I780" s="47"/>
      <c r="J780" s="48"/>
      <c r="K780" s="49"/>
    </row>
    <row r="781" spans="1:11" ht="12.75" hidden="1" x14ac:dyDescent="0.2">
      <c r="A781" s="16"/>
      <c r="B781" s="16"/>
      <c r="C781" s="15"/>
      <c r="D781" s="16"/>
      <c r="E781" s="17"/>
      <c r="F781" s="17"/>
      <c r="H781" s="19"/>
      <c r="I781" s="47"/>
      <c r="J781" s="48"/>
      <c r="K781" s="49"/>
    </row>
    <row r="782" spans="1:11" ht="12.75" hidden="1" x14ac:dyDescent="0.2">
      <c r="A782" s="16"/>
      <c r="B782" s="16"/>
      <c r="C782" s="15"/>
      <c r="D782" s="16"/>
      <c r="E782" s="17"/>
      <c r="F782" s="17"/>
      <c r="H782" s="19"/>
      <c r="I782" s="47"/>
      <c r="J782" s="48"/>
      <c r="K782" s="49"/>
    </row>
    <row r="783" spans="1:11" ht="12.75" hidden="1" x14ac:dyDescent="0.2">
      <c r="A783" s="16"/>
      <c r="B783" s="16"/>
      <c r="C783" s="15"/>
      <c r="D783" s="16"/>
      <c r="E783" s="17"/>
      <c r="F783" s="17"/>
      <c r="H783" s="19"/>
      <c r="I783" s="47"/>
      <c r="J783" s="48"/>
      <c r="K783" s="49"/>
    </row>
    <row r="784" spans="1:11" ht="12.75" hidden="1" x14ac:dyDescent="0.2">
      <c r="A784" s="16"/>
      <c r="B784" s="16"/>
      <c r="C784" s="15"/>
      <c r="D784" s="16"/>
      <c r="E784" s="17"/>
      <c r="F784" s="17"/>
      <c r="H784" s="19"/>
      <c r="I784" s="47"/>
      <c r="J784" s="48"/>
      <c r="K784" s="49"/>
    </row>
    <row r="785" spans="1:11" ht="12.75" hidden="1" x14ac:dyDescent="0.2">
      <c r="A785" s="16"/>
      <c r="B785" s="16"/>
      <c r="C785" s="15"/>
      <c r="D785" s="16"/>
      <c r="E785" s="17"/>
      <c r="F785" s="17"/>
      <c r="H785" s="19"/>
      <c r="I785" s="47"/>
      <c r="J785" s="48"/>
      <c r="K785" s="49"/>
    </row>
    <row r="786" spans="1:11" ht="12.75" hidden="1" x14ac:dyDescent="0.2">
      <c r="A786" s="16"/>
      <c r="B786" s="16"/>
      <c r="C786" s="15"/>
      <c r="D786" s="16"/>
      <c r="E786" s="17"/>
      <c r="F786" s="17"/>
      <c r="H786" s="19"/>
      <c r="I786" s="47"/>
      <c r="J786" s="48"/>
      <c r="K786" s="49"/>
    </row>
    <row r="787" spans="1:11" ht="12.75" hidden="1" x14ac:dyDescent="0.2">
      <c r="A787" s="16"/>
      <c r="B787" s="16"/>
      <c r="C787" s="15"/>
      <c r="D787" s="16"/>
      <c r="E787" s="17"/>
      <c r="F787" s="17"/>
      <c r="H787" s="19"/>
      <c r="I787" s="47"/>
      <c r="J787" s="48"/>
      <c r="K787" s="49"/>
    </row>
    <row r="788" spans="1:11" ht="12.75" hidden="1" x14ac:dyDescent="0.2">
      <c r="A788" s="16"/>
      <c r="B788" s="16"/>
      <c r="C788" s="15"/>
      <c r="D788" s="16"/>
      <c r="E788" s="17"/>
      <c r="F788" s="17"/>
      <c r="H788" s="19"/>
      <c r="I788" s="47"/>
      <c r="J788" s="48"/>
      <c r="K788" s="49"/>
    </row>
    <row r="789" spans="1:11" ht="12.75" hidden="1" x14ac:dyDescent="0.2">
      <c r="A789" s="16"/>
      <c r="B789" s="16"/>
      <c r="C789" s="15"/>
      <c r="D789" s="16"/>
      <c r="E789" s="17"/>
      <c r="F789" s="17"/>
      <c r="H789" s="19"/>
      <c r="I789" s="47"/>
      <c r="J789" s="48"/>
      <c r="K789" s="49"/>
    </row>
    <row r="790" spans="1:11" ht="12.75" hidden="1" x14ac:dyDescent="0.2">
      <c r="A790" s="16"/>
      <c r="B790" s="16"/>
      <c r="C790" s="15"/>
      <c r="D790" s="16"/>
      <c r="E790" s="17"/>
      <c r="F790" s="17"/>
      <c r="H790" s="19"/>
      <c r="I790" s="47"/>
      <c r="J790" s="48"/>
      <c r="K790" s="49"/>
    </row>
    <row r="791" spans="1:11" ht="12.75" hidden="1" x14ac:dyDescent="0.2">
      <c r="A791" s="16"/>
      <c r="B791" s="16"/>
      <c r="C791" s="15"/>
      <c r="D791" s="16"/>
      <c r="E791" s="17"/>
      <c r="F791" s="17"/>
      <c r="H791" s="19"/>
      <c r="I791" s="47"/>
      <c r="J791" s="48"/>
      <c r="K791" s="49"/>
    </row>
    <row r="792" spans="1:11" ht="12.75" hidden="1" x14ac:dyDescent="0.2">
      <c r="A792" s="16"/>
      <c r="B792" s="16"/>
      <c r="C792" s="15"/>
      <c r="D792" s="16"/>
      <c r="E792" s="17"/>
      <c r="F792" s="17"/>
      <c r="H792" s="19"/>
      <c r="I792" s="47"/>
      <c r="J792" s="48"/>
      <c r="K792" s="49"/>
    </row>
    <row r="793" spans="1:11" ht="12.75" hidden="1" x14ac:dyDescent="0.2">
      <c r="A793" s="16"/>
      <c r="B793" s="16"/>
      <c r="C793" s="15"/>
      <c r="D793" s="16"/>
      <c r="E793" s="17"/>
      <c r="F793" s="17"/>
      <c r="H793" s="19"/>
      <c r="I793" s="47"/>
      <c r="J793" s="48"/>
      <c r="K793" s="49"/>
    </row>
    <row r="794" spans="1:11" ht="12.75" hidden="1" x14ac:dyDescent="0.2">
      <c r="A794" s="16"/>
      <c r="B794" s="16"/>
      <c r="C794" s="15"/>
      <c r="D794" s="16"/>
      <c r="E794" s="17"/>
      <c r="F794" s="17"/>
      <c r="H794" s="19"/>
      <c r="I794" s="47"/>
      <c r="J794" s="48"/>
      <c r="K794" s="49"/>
    </row>
    <row r="795" spans="1:11" ht="12.75" hidden="1" x14ac:dyDescent="0.2">
      <c r="A795" s="16"/>
      <c r="B795" s="16"/>
      <c r="C795" s="15"/>
      <c r="D795" s="16"/>
      <c r="E795" s="17"/>
      <c r="F795" s="17"/>
      <c r="H795" s="19"/>
      <c r="I795" s="47"/>
      <c r="J795" s="48"/>
      <c r="K795" s="49"/>
    </row>
    <row r="796" spans="1:11" ht="12.75" hidden="1" x14ac:dyDescent="0.2">
      <c r="A796" s="16"/>
      <c r="B796" s="16"/>
      <c r="C796" s="15"/>
      <c r="D796" s="16"/>
      <c r="E796" s="17"/>
      <c r="F796" s="17"/>
      <c r="H796" s="19"/>
      <c r="I796" s="47"/>
      <c r="J796" s="48"/>
      <c r="K796" s="49"/>
    </row>
    <row r="797" spans="1:11" ht="12.75" hidden="1" x14ac:dyDescent="0.2">
      <c r="A797" s="16"/>
      <c r="B797" s="16"/>
      <c r="C797" s="15"/>
      <c r="D797" s="16"/>
      <c r="E797" s="17"/>
      <c r="F797" s="17"/>
      <c r="H797" s="19"/>
      <c r="I797" s="47"/>
      <c r="J797" s="48"/>
      <c r="K797" s="49"/>
    </row>
    <row r="798" spans="1:11" ht="12.75" hidden="1" x14ac:dyDescent="0.2">
      <c r="A798" s="16"/>
      <c r="B798" s="16"/>
      <c r="C798" s="15"/>
      <c r="D798" s="16"/>
      <c r="E798" s="17"/>
      <c r="F798" s="17"/>
      <c r="H798" s="19"/>
      <c r="I798" s="47"/>
      <c r="J798" s="48"/>
      <c r="K798" s="49"/>
    </row>
    <row r="799" spans="1:11" ht="12.75" hidden="1" x14ac:dyDescent="0.2">
      <c r="A799" s="16"/>
      <c r="B799" s="16"/>
      <c r="C799" s="15"/>
      <c r="D799" s="16"/>
      <c r="E799" s="17"/>
      <c r="F799" s="17"/>
      <c r="H799" s="19"/>
      <c r="I799" s="47"/>
      <c r="J799" s="48"/>
      <c r="K799" s="49"/>
    </row>
    <row r="800" spans="1:11" ht="12.75" hidden="1" x14ac:dyDescent="0.2">
      <c r="A800" s="16"/>
      <c r="B800" s="16"/>
      <c r="C800" s="15"/>
      <c r="D800" s="16"/>
      <c r="E800" s="17"/>
      <c r="F800" s="17"/>
      <c r="H800" s="19"/>
      <c r="I800" s="47"/>
      <c r="J800" s="48"/>
      <c r="K800" s="49"/>
    </row>
    <row r="801" spans="1:11" ht="12.75" hidden="1" x14ac:dyDescent="0.2">
      <c r="A801" s="16"/>
      <c r="B801" s="16"/>
      <c r="C801" s="15"/>
      <c r="D801" s="16"/>
      <c r="E801" s="17"/>
      <c r="F801" s="17"/>
      <c r="H801" s="19"/>
      <c r="I801" s="47"/>
      <c r="J801" s="48"/>
      <c r="K801" s="49"/>
    </row>
    <row r="802" spans="1:11" ht="12.75" hidden="1" x14ac:dyDescent="0.2">
      <c r="A802" s="16"/>
      <c r="B802" s="16"/>
      <c r="C802" s="15"/>
      <c r="D802" s="16"/>
      <c r="E802" s="17"/>
      <c r="F802" s="17"/>
      <c r="H802" s="19"/>
      <c r="I802" s="47"/>
      <c r="J802" s="48"/>
      <c r="K802" s="49"/>
    </row>
    <row r="803" spans="1:11" ht="12.75" hidden="1" x14ac:dyDescent="0.2">
      <c r="A803" s="16"/>
      <c r="B803" s="16"/>
      <c r="C803" s="15"/>
      <c r="D803" s="16"/>
      <c r="E803" s="17"/>
      <c r="F803" s="17"/>
      <c r="H803" s="19"/>
      <c r="I803" s="47"/>
      <c r="J803" s="48"/>
      <c r="K803" s="49"/>
    </row>
    <row r="804" spans="1:11" ht="12.75" hidden="1" x14ac:dyDescent="0.2">
      <c r="A804" s="16"/>
      <c r="B804" s="16"/>
      <c r="C804" s="15"/>
      <c r="D804" s="16"/>
      <c r="E804" s="17"/>
      <c r="F804" s="17"/>
      <c r="H804" s="19"/>
      <c r="I804" s="47"/>
      <c r="J804" s="48"/>
      <c r="K804" s="49"/>
    </row>
    <row r="805" spans="1:11" ht="12.75" hidden="1" x14ac:dyDescent="0.2">
      <c r="A805" s="16"/>
      <c r="B805" s="16"/>
      <c r="C805" s="15"/>
      <c r="D805" s="16"/>
      <c r="E805" s="17"/>
      <c r="F805" s="17"/>
      <c r="H805" s="19"/>
      <c r="I805" s="47"/>
      <c r="J805" s="48"/>
      <c r="K805" s="49"/>
    </row>
    <row r="806" spans="1:11" ht="12.75" hidden="1" x14ac:dyDescent="0.2">
      <c r="A806" s="16"/>
      <c r="B806" s="16"/>
      <c r="C806" s="15"/>
      <c r="D806" s="16"/>
      <c r="E806" s="17"/>
      <c r="F806" s="17"/>
      <c r="H806" s="19"/>
      <c r="I806" s="47"/>
      <c r="J806" s="48"/>
      <c r="K806" s="49"/>
    </row>
    <row r="807" spans="1:11" ht="12.75" hidden="1" x14ac:dyDescent="0.2">
      <c r="A807" s="16"/>
      <c r="B807" s="16"/>
      <c r="C807" s="15"/>
      <c r="D807" s="16"/>
      <c r="E807" s="17"/>
      <c r="F807" s="17"/>
      <c r="H807" s="19"/>
      <c r="I807" s="47"/>
      <c r="J807" s="48"/>
      <c r="K807" s="49"/>
    </row>
    <row r="808" spans="1:11" ht="12.75" hidden="1" x14ac:dyDescent="0.2">
      <c r="A808" s="16"/>
      <c r="B808" s="16"/>
      <c r="C808" s="15"/>
      <c r="D808" s="16"/>
      <c r="E808" s="17"/>
      <c r="F808" s="17"/>
      <c r="H808" s="19"/>
      <c r="I808" s="47"/>
      <c r="J808" s="48"/>
      <c r="K808" s="49"/>
    </row>
    <row r="809" spans="1:11" ht="12.75" hidden="1" x14ac:dyDescent="0.2">
      <c r="A809" s="16"/>
      <c r="B809" s="16"/>
      <c r="C809" s="15"/>
      <c r="D809" s="16"/>
      <c r="E809" s="17"/>
      <c r="F809" s="17"/>
      <c r="H809" s="19"/>
      <c r="I809" s="47"/>
      <c r="J809" s="48"/>
      <c r="K809" s="49"/>
    </row>
    <row r="810" spans="1:11" ht="12.75" hidden="1" x14ac:dyDescent="0.2">
      <c r="A810" s="16"/>
      <c r="B810" s="16"/>
      <c r="C810" s="15"/>
      <c r="D810" s="16"/>
      <c r="E810" s="17"/>
      <c r="F810" s="17"/>
      <c r="H810" s="19"/>
      <c r="I810" s="47"/>
      <c r="J810" s="48"/>
      <c r="K810" s="49"/>
    </row>
    <row r="811" spans="1:11" ht="12.75" hidden="1" x14ac:dyDescent="0.2">
      <c r="A811" s="16"/>
      <c r="B811" s="16"/>
      <c r="C811" s="15"/>
      <c r="D811" s="16"/>
      <c r="E811" s="17"/>
      <c r="F811" s="17"/>
      <c r="H811" s="19"/>
      <c r="I811" s="47"/>
      <c r="J811" s="48"/>
      <c r="K811" s="49"/>
    </row>
    <row r="812" spans="1:11" ht="12.75" hidden="1" x14ac:dyDescent="0.2">
      <c r="A812" s="16"/>
      <c r="B812" s="16"/>
      <c r="C812" s="15"/>
      <c r="D812" s="16"/>
      <c r="E812" s="17"/>
      <c r="F812" s="17"/>
      <c r="H812" s="19"/>
      <c r="I812" s="47"/>
      <c r="J812" s="48"/>
      <c r="K812" s="49"/>
    </row>
    <row r="813" spans="1:11" ht="12.75" hidden="1" x14ac:dyDescent="0.2">
      <c r="A813" s="16"/>
      <c r="B813" s="16"/>
      <c r="C813" s="15"/>
      <c r="D813" s="16"/>
      <c r="E813" s="17"/>
      <c r="F813" s="17"/>
      <c r="H813" s="19"/>
      <c r="I813" s="47"/>
      <c r="J813" s="48"/>
      <c r="K813" s="49"/>
    </row>
    <row r="814" spans="1:11" ht="12.75" hidden="1" x14ac:dyDescent="0.2">
      <c r="A814" s="16"/>
      <c r="B814" s="16"/>
      <c r="C814" s="15"/>
      <c r="D814" s="16"/>
      <c r="E814" s="17"/>
      <c r="F814" s="17"/>
      <c r="H814" s="19"/>
      <c r="I814" s="47"/>
      <c r="J814" s="48"/>
      <c r="K814" s="49"/>
    </row>
    <row r="815" spans="1:11" ht="12.75" hidden="1" x14ac:dyDescent="0.2">
      <c r="A815" s="16"/>
      <c r="B815" s="16"/>
      <c r="C815" s="15"/>
      <c r="D815" s="16"/>
      <c r="E815" s="17"/>
      <c r="F815" s="17"/>
      <c r="H815" s="19"/>
      <c r="I815" s="47"/>
      <c r="J815" s="48"/>
      <c r="K815" s="49"/>
    </row>
    <row r="816" spans="1:11" ht="12.75" hidden="1" x14ac:dyDescent="0.2">
      <c r="A816" s="16"/>
      <c r="B816" s="16"/>
      <c r="C816" s="15"/>
      <c r="D816" s="16"/>
      <c r="E816" s="17"/>
      <c r="F816" s="17"/>
      <c r="H816" s="19"/>
      <c r="I816" s="47"/>
      <c r="J816" s="48"/>
      <c r="K816" s="49"/>
    </row>
    <row r="817" spans="1:11" ht="12.75" hidden="1" x14ac:dyDescent="0.2">
      <c r="A817" s="16"/>
      <c r="B817" s="16"/>
      <c r="C817" s="15"/>
      <c r="D817" s="16"/>
      <c r="E817" s="17"/>
      <c r="F817" s="17"/>
      <c r="H817" s="19"/>
      <c r="I817" s="47"/>
      <c r="J817" s="48"/>
      <c r="K817" s="49"/>
    </row>
    <row r="818" spans="1:11" ht="12.75" hidden="1" x14ac:dyDescent="0.2">
      <c r="A818" s="16"/>
      <c r="B818" s="16"/>
      <c r="C818" s="15"/>
      <c r="D818" s="16"/>
      <c r="E818" s="17"/>
      <c r="F818" s="17"/>
      <c r="H818" s="19"/>
      <c r="I818" s="47"/>
      <c r="J818" s="48"/>
      <c r="K818" s="49"/>
    </row>
    <row r="819" spans="1:11" ht="12.75" hidden="1" x14ac:dyDescent="0.2">
      <c r="A819" s="16"/>
      <c r="B819" s="16"/>
      <c r="C819" s="15"/>
      <c r="D819" s="16"/>
      <c r="E819" s="17"/>
      <c r="F819" s="17"/>
      <c r="H819" s="19"/>
      <c r="I819" s="47"/>
      <c r="J819" s="48"/>
      <c r="K819" s="49"/>
    </row>
    <row r="820" spans="1:11" ht="12.75" hidden="1" x14ac:dyDescent="0.2">
      <c r="A820" s="16"/>
      <c r="B820" s="16"/>
      <c r="C820" s="15"/>
      <c r="D820" s="16"/>
      <c r="E820" s="17"/>
      <c r="F820" s="17"/>
      <c r="H820" s="19"/>
      <c r="I820" s="47"/>
      <c r="J820" s="48"/>
      <c r="K820" s="49"/>
    </row>
    <row r="821" spans="1:11" ht="12.75" hidden="1" x14ac:dyDescent="0.2">
      <c r="A821" s="16"/>
      <c r="B821" s="16"/>
      <c r="C821" s="15"/>
      <c r="D821" s="16"/>
      <c r="E821" s="17"/>
      <c r="F821" s="17"/>
      <c r="H821" s="19"/>
      <c r="I821" s="47"/>
      <c r="J821" s="48"/>
      <c r="K821" s="49"/>
    </row>
    <row r="822" spans="1:11" ht="12.75" hidden="1" x14ac:dyDescent="0.2">
      <c r="A822" s="16"/>
      <c r="B822" s="16"/>
      <c r="C822" s="15"/>
      <c r="D822" s="16"/>
      <c r="E822" s="17"/>
      <c r="F822" s="17"/>
      <c r="H822" s="19"/>
      <c r="I822" s="47"/>
      <c r="J822" s="48"/>
      <c r="K822" s="49"/>
    </row>
    <row r="823" spans="1:11" ht="12.75" hidden="1" x14ac:dyDescent="0.2">
      <c r="A823" s="16"/>
      <c r="B823" s="16"/>
      <c r="C823" s="15"/>
      <c r="D823" s="16"/>
      <c r="E823" s="17"/>
      <c r="F823" s="17"/>
      <c r="H823" s="19"/>
      <c r="I823" s="47"/>
      <c r="J823" s="48"/>
      <c r="K823" s="49"/>
    </row>
    <row r="824" spans="1:11" ht="12.75" hidden="1" x14ac:dyDescent="0.2">
      <c r="A824" s="16"/>
      <c r="B824" s="16"/>
      <c r="C824" s="15"/>
      <c r="D824" s="16"/>
      <c r="E824" s="17"/>
      <c r="F824" s="17"/>
      <c r="H824" s="19"/>
      <c r="I824" s="47"/>
      <c r="J824" s="48"/>
      <c r="K824" s="49"/>
    </row>
    <row r="825" spans="1:11" ht="12.75" hidden="1" x14ac:dyDescent="0.2">
      <c r="A825" s="16"/>
      <c r="B825" s="16"/>
      <c r="C825" s="15"/>
      <c r="D825" s="16"/>
      <c r="E825" s="17"/>
      <c r="F825" s="17"/>
      <c r="H825" s="19"/>
      <c r="I825" s="47"/>
      <c r="J825" s="48"/>
      <c r="K825" s="49"/>
    </row>
    <row r="826" spans="1:11" ht="12.75" hidden="1" x14ac:dyDescent="0.2">
      <c r="A826" s="16"/>
      <c r="B826" s="16"/>
      <c r="C826" s="15"/>
      <c r="D826" s="16"/>
      <c r="E826" s="17"/>
      <c r="F826" s="17"/>
      <c r="H826" s="19"/>
      <c r="I826" s="47"/>
      <c r="J826" s="48"/>
      <c r="K826" s="49"/>
    </row>
    <row r="827" spans="1:11" ht="12.75" hidden="1" x14ac:dyDescent="0.2">
      <c r="A827" s="16"/>
      <c r="B827" s="16"/>
      <c r="C827" s="15"/>
      <c r="D827" s="16"/>
      <c r="E827" s="17"/>
      <c r="F827" s="17"/>
      <c r="H827" s="19"/>
      <c r="I827" s="47"/>
      <c r="J827" s="48"/>
      <c r="K827" s="49"/>
    </row>
    <row r="828" spans="1:11" ht="12.75" hidden="1" x14ac:dyDescent="0.2">
      <c r="A828" s="16"/>
      <c r="B828" s="16"/>
      <c r="C828" s="15"/>
      <c r="D828" s="16"/>
      <c r="E828" s="17"/>
      <c r="F828" s="17"/>
      <c r="H828" s="19"/>
      <c r="I828" s="47"/>
      <c r="J828" s="48"/>
      <c r="K828" s="49"/>
    </row>
    <row r="829" spans="1:11" ht="12.75" hidden="1" x14ac:dyDescent="0.2">
      <c r="A829" s="16"/>
      <c r="B829" s="16"/>
      <c r="C829" s="15"/>
      <c r="D829" s="16"/>
      <c r="E829" s="17"/>
      <c r="F829" s="17"/>
      <c r="H829" s="19"/>
      <c r="I829" s="47"/>
      <c r="J829" s="48"/>
      <c r="K829" s="49"/>
    </row>
    <row r="830" spans="1:11" ht="12.75" hidden="1" x14ac:dyDescent="0.2">
      <c r="A830" s="16"/>
      <c r="B830" s="16"/>
      <c r="C830" s="15"/>
      <c r="D830" s="16"/>
      <c r="E830" s="17"/>
      <c r="F830" s="17"/>
      <c r="H830" s="19"/>
      <c r="I830" s="47"/>
      <c r="J830" s="48"/>
      <c r="K830" s="49"/>
    </row>
    <row r="831" spans="1:11" ht="12.75" hidden="1" x14ac:dyDescent="0.2">
      <c r="A831" s="16"/>
      <c r="B831" s="16"/>
      <c r="C831" s="15"/>
      <c r="D831" s="16"/>
      <c r="E831" s="17"/>
      <c r="F831" s="17"/>
      <c r="H831" s="19"/>
      <c r="I831" s="47"/>
      <c r="J831" s="48"/>
      <c r="K831" s="49"/>
    </row>
    <row r="832" spans="1:11" ht="12.75" hidden="1" x14ac:dyDescent="0.2">
      <c r="A832" s="16"/>
      <c r="B832" s="16"/>
      <c r="C832" s="15"/>
      <c r="D832" s="16"/>
      <c r="E832" s="17"/>
      <c r="F832" s="17"/>
      <c r="H832" s="19"/>
      <c r="I832" s="47"/>
      <c r="J832" s="48"/>
      <c r="K832" s="49"/>
    </row>
    <row r="833" spans="1:11" ht="12.75" hidden="1" x14ac:dyDescent="0.2">
      <c r="A833" s="16"/>
      <c r="B833" s="16"/>
      <c r="C833" s="15"/>
      <c r="D833" s="16"/>
      <c r="E833" s="17"/>
      <c r="F833" s="17"/>
      <c r="H833" s="19"/>
      <c r="I833" s="47"/>
      <c r="J833" s="48"/>
      <c r="K833" s="49"/>
    </row>
    <row r="834" spans="1:11" ht="12.75" hidden="1" x14ac:dyDescent="0.2">
      <c r="A834" s="16"/>
      <c r="B834" s="16"/>
      <c r="C834" s="15"/>
      <c r="D834" s="16"/>
      <c r="E834" s="17"/>
      <c r="F834" s="17"/>
      <c r="H834" s="19"/>
      <c r="I834" s="47"/>
      <c r="J834" s="48"/>
      <c r="K834" s="49"/>
    </row>
    <row r="835" spans="1:11" ht="12.75" hidden="1" x14ac:dyDescent="0.2">
      <c r="A835" s="16"/>
      <c r="B835" s="16"/>
      <c r="C835" s="15"/>
      <c r="D835" s="16"/>
      <c r="E835" s="17"/>
      <c r="F835" s="17"/>
      <c r="H835" s="19"/>
      <c r="I835" s="47"/>
      <c r="J835" s="48"/>
      <c r="K835" s="49"/>
    </row>
    <row r="836" spans="1:11" ht="12.75" hidden="1" x14ac:dyDescent="0.2">
      <c r="A836" s="16"/>
      <c r="B836" s="16"/>
      <c r="C836" s="15"/>
      <c r="D836" s="16"/>
      <c r="E836" s="17"/>
      <c r="F836" s="17"/>
      <c r="H836" s="19"/>
      <c r="I836" s="47"/>
      <c r="J836" s="48"/>
      <c r="K836" s="49"/>
    </row>
    <row r="837" spans="1:11" ht="12.75" hidden="1" x14ac:dyDescent="0.2">
      <c r="A837" s="16"/>
      <c r="B837" s="16"/>
      <c r="C837" s="15"/>
      <c r="D837" s="16"/>
      <c r="E837" s="17"/>
      <c r="F837" s="17"/>
      <c r="H837" s="19"/>
      <c r="I837" s="47"/>
      <c r="J837" s="48"/>
      <c r="K837" s="49"/>
    </row>
    <row r="838" spans="1:11" ht="12.75" hidden="1" x14ac:dyDescent="0.2">
      <c r="A838" s="16"/>
      <c r="B838" s="16"/>
      <c r="C838" s="15"/>
      <c r="D838" s="16"/>
      <c r="E838" s="17"/>
      <c r="F838" s="17"/>
      <c r="H838" s="19"/>
      <c r="I838" s="47"/>
      <c r="J838" s="48"/>
      <c r="K838" s="49"/>
    </row>
    <row r="839" spans="1:11" ht="12.75" hidden="1" x14ac:dyDescent="0.2">
      <c r="A839" s="16"/>
      <c r="B839" s="16"/>
      <c r="C839" s="15"/>
      <c r="D839" s="16"/>
      <c r="E839" s="17"/>
      <c r="F839" s="17"/>
      <c r="H839" s="19"/>
      <c r="I839" s="47"/>
      <c r="J839" s="48"/>
      <c r="K839" s="49"/>
    </row>
    <row r="840" spans="1:11" ht="12.75" hidden="1" x14ac:dyDescent="0.2">
      <c r="A840" s="16"/>
      <c r="B840" s="16"/>
      <c r="C840" s="15"/>
      <c r="D840" s="16"/>
      <c r="E840" s="17"/>
      <c r="F840" s="17"/>
      <c r="H840" s="19"/>
      <c r="I840" s="47"/>
      <c r="J840" s="48"/>
      <c r="K840" s="49"/>
    </row>
    <row r="841" spans="1:11" ht="12.75" hidden="1" x14ac:dyDescent="0.2">
      <c r="A841" s="16"/>
      <c r="B841" s="16"/>
      <c r="C841" s="15"/>
      <c r="D841" s="16"/>
      <c r="E841" s="17"/>
      <c r="F841" s="17"/>
      <c r="H841" s="19"/>
      <c r="I841" s="47"/>
      <c r="J841" s="48"/>
      <c r="K841" s="49"/>
    </row>
    <row r="842" spans="1:11" ht="12.75" hidden="1" x14ac:dyDescent="0.2">
      <c r="A842" s="16"/>
      <c r="B842" s="16"/>
      <c r="C842" s="15"/>
      <c r="D842" s="16"/>
      <c r="E842" s="17"/>
      <c r="F842" s="17"/>
      <c r="H842" s="19"/>
      <c r="I842" s="47"/>
      <c r="J842" s="48"/>
      <c r="K842" s="49"/>
    </row>
    <row r="843" spans="1:11" ht="12.75" hidden="1" x14ac:dyDescent="0.2">
      <c r="A843" s="16"/>
      <c r="B843" s="16"/>
      <c r="C843" s="15"/>
      <c r="D843" s="16"/>
      <c r="E843" s="17"/>
      <c r="F843" s="17"/>
      <c r="H843" s="19"/>
      <c r="I843" s="47"/>
      <c r="J843" s="48"/>
      <c r="K843" s="49"/>
    </row>
    <row r="844" spans="1:11" ht="12.75" hidden="1" x14ac:dyDescent="0.2">
      <c r="A844" s="16"/>
      <c r="B844" s="16"/>
      <c r="C844" s="15"/>
      <c r="D844" s="16"/>
      <c r="E844" s="17"/>
      <c r="F844" s="17"/>
      <c r="H844" s="19"/>
      <c r="I844" s="47"/>
      <c r="J844" s="48"/>
      <c r="K844" s="49"/>
    </row>
    <row r="845" spans="1:11" ht="12.75" hidden="1" x14ac:dyDescent="0.2">
      <c r="A845" s="16"/>
      <c r="B845" s="16"/>
      <c r="C845" s="15"/>
      <c r="D845" s="16"/>
      <c r="E845" s="17"/>
      <c r="F845" s="17"/>
      <c r="H845" s="19"/>
      <c r="I845" s="47"/>
      <c r="J845" s="48"/>
      <c r="K845" s="49"/>
    </row>
    <row r="846" spans="1:11" ht="12.75" hidden="1" x14ac:dyDescent="0.2">
      <c r="A846" s="16"/>
      <c r="B846" s="16"/>
      <c r="C846" s="15"/>
      <c r="D846" s="16"/>
      <c r="E846" s="17"/>
      <c r="F846" s="17"/>
      <c r="H846" s="19"/>
      <c r="I846" s="47"/>
      <c r="J846" s="48"/>
      <c r="K846" s="49"/>
    </row>
    <row r="847" spans="1:11" ht="12.75" hidden="1" x14ac:dyDescent="0.2">
      <c r="A847" s="16"/>
      <c r="B847" s="16"/>
      <c r="C847" s="15"/>
      <c r="D847" s="16"/>
      <c r="E847" s="17"/>
      <c r="F847" s="17"/>
      <c r="H847" s="19"/>
      <c r="I847" s="47"/>
      <c r="J847" s="48"/>
      <c r="K847" s="49"/>
    </row>
    <row r="848" spans="1:11" ht="12.75" hidden="1" x14ac:dyDescent="0.2">
      <c r="A848" s="16"/>
      <c r="B848" s="16"/>
      <c r="C848" s="15"/>
      <c r="D848" s="16"/>
      <c r="E848" s="17"/>
      <c r="F848" s="17"/>
      <c r="H848" s="19"/>
      <c r="I848" s="47"/>
      <c r="J848" s="48"/>
      <c r="K848" s="49"/>
    </row>
    <row r="849" spans="1:11" ht="12.75" hidden="1" x14ac:dyDescent="0.2">
      <c r="A849" s="16"/>
      <c r="B849" s="16"/>
      <c r="C849" s="15"/>
      <c r="D849" s="16"/>
      <c r="E849" s="17"/>
      <c r="F849" s="17"/>
      <c r="H849" s="19"/>
      <c r="I849" s="47"/>
      <c r="J849" s="48"/>
      <c r="K849" s="49"/>
    </row>
    <row r="850" spans="1:11" ht="12.75" hidden="1" x14ac:dyDescent="0.2">
      <c r="A850" s="16"/>
      <c r="B850" s="16"/>
      <c r="C850" s="15"/>
      <c r="D850" s="16"/>
      <c r="E850" s="17"/>
      <c r="F850" s="17"/>
      <c r="H850" s="19"/>
      <c r="I850" s="47"/>
      <c r="J850" s="48"/>
      <c r="K850" s="49"/>
    </row>
    <row r="851" spans="1:11" ht="12.75" hidden="1" x14ac:dyDescent="0.2">
      <c r="A851" s="16"/>
      <c r="B851" s="16"/>
      <c r="C851" s="15"/>
      <c r="D851" s="16"/>
      <c r="E851" s="17"/>
      <c r="F851" s="17"/>
      <c r="H851" s="19"/>
      <c r="I851" s="47"/>
      <c r="J851" s="48"/>
      <c r="K851" s="49"/>
    </row>
    <row r="852" spans="1:11" ht="12.75" hidden="1" x14ac:dyDescent="0.2">
      <c r="A852" s="16"/>
      <c r="B852" s="16"/>
      <c r="C852" s="15"/>
      <c r="D852" s="16"/>
      <c r="E852" s="17"/>
      <c r="F852" s="17"/>
      <c r="H852" s="19"/>
      <c r="I852" s="47"/>
      <c r="J852" s="48"/>
      <c r="K852" s="49"/>
    </row>
    <row r="853" spans="1:11" ht="12.75" hidden="1" x14ac:dyDescent="0.2">
      <c r="A853" s="16"/>
      <c r="B853" s="16"/>
      <c r="C853" s="15"/>
      <c r="D853" s="16"/>
      <c r="E853" s="17"/>
      <c r="F853" s="17"/>
      <c r="H853" s="50"/>
      <c r="I853" s="51"/>
      <c r="J853" s="52"/>
      <c r="K853" s="53"/>
    </row>
  </sheetData>
  <autoFilter ref="A6:I215" xr:uid="{00000000-0009-0000-0000-000002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1:C853">
    <cfRule type="cellIs" dxfId="44" priority="2" operator="lessThan">
      <formula>"90%"</formula>
    </cfRule>
    <cfRule type="cellIs" dxfId="43" priority="3" operator="lessThan">
      <formula>"94%"</formula>
    </cfRule>
  </conditionalFormatting>
  <conditionalFormatting sqref="K1:K853">
    <cfRule type="cellIs" dxfId="42" priority="1" operator="lessThan">
      <formula>0</formula>
    </cfRule>
  </conditionalFormatting>
  <dataValidations count="1">
    <dataValidation type="list" allowBlank="1" sqref="E7:E215" xr:uid="{00000000-0002-0000-0200-000000000000}">
      <formula1>"Weather,Health,Safety,Other"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FF"/>
    <outlinePr summaryBelow="0" summaryRight="0"/>
  </sheetPr>
  <dimension ref="A1:H854"/>
  <sheetViews>
    <sheetView zoomScaleNormal="100" workbookViewId="0">
      <pane ySplit="6" topLeftCell="A68" activePane="bottomLeft" state="frozen"/>
      <selection pane="bottomLeft" activeCell="E3" sqref="E3:F3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2.42578125" customWidth="1"/>
    <col min="5" max="7" width="16.28515625" customWidth="1"/>
    <col min="8" max="8" width="17.42578125" customWidth="1"/>
  </cols>
  <sheetData>
    <row r="1" spans="1:8" ht="27" thickBot="1" x14ac:dyDescent="0.4">
      <c r="A1" s="1"/>
      <c r="B1" s="1"/>
      <c r="C1" s="1"/>
      <c r="D1" s="1"/>
      <c r="E1" s="2"/>
      <c r="F1" s="2"/>
      <c r="G1" s="3"/>
      <c r="H1" s="4">
        <f>SUM(H7:H215)</f>
        <v>-331.85029999999682</v>
      </c>
    </row>
    <row r="2" spans="1:8" ht="15.75" customHeight="1" thickTop="1" x14ac:dyDescent="0.25">
      <c r="A2" s="122" t="s">
        <v>89</v>
      </c>
      <c r="B2" s="119"/>
      <c r="C2" s="119"/>
      <c r="D2" s="119"/>
      <c r="E2" s="123" t="s">
        <v>0</v>
      </c>
      <c r="F2" s="124"/>
      <c r="G2" s="5" t="s">
        <v>9</v>
      </c>
      <c r="H2" s="115" t="s">
        <v>10</v>
      </c>
    </row>
    <row r="3" spans="1:8" ht="23.25" x14ac:dyDescent="0.3">
      <c r="A3" s="119"/>
      <c r="B3" s="119"/>
      <c r="C3" s="119"/>
      <c r="D3" s="119"/>
      <c r="E3" s="126">
        <f>SUM(F7:F128)</f>
        <v>158482.72550000003</v>
      </c>
      <c r="F3" s="124"/>
      <c r="G3" s="127">
        <v>0.95</v>
      </c>
      <c r="H3" s="116"/>
    </row>
    <row r="4" spans="1:8" ht="23.25" customHeight="1" x14ac:dyDescent="0.2">
      <c r="A4" s="119"/>
      <c r="B4" s="119"/>
      <c r="C4" s="119"/>
      <c r="D4" s="119"/>
      <c r="E4" s="129" t="s">
        <v>11</v>
      </c>
      <c r="F4" s="119"/>
      <c r="G4" s="128"/>
      <c r="H4" s="116"/>
    </row>
    <row r="5" spans="1:8" ht="32.25" customHeight="1" thickBot="1" x14ac:dyDescent="0.4">
      <c r="A5" s="119"/>
      <c r="B5" s="119"/>
      <c r="C5" s="119"/>
      <c r="D5" s="119"/>
      <c r="E5" s="130">
        <v>55</v>
      </c>
      <c r="F5" s="119"/>
      <c r="G5" s="128"/>
      <c r="H5" s="116"/>
    </row>
    <row r="6" spans="1:8" ht="48.75" thickTop="1" thickBot="1" x14ac:dyDescent="0.3">
      <c r="A6" s="108" t="s">
        <v>12</v>
      </c>
      <c r="B6" s="109" t="s">
        <v>13</v>
      </c>
      <c r="C6" s="110" t="s">
        <v>14</v>
      </c>
      <c r="D6" s="109" t="s">
        <v>18</v>
      </c>
      <c r="E6" s="111" t="s">
        <v>19</v>
      </c>
      <c r="F6" s="112" t="s">
        <v>20</v>
      </c>
      <c r="G6" s="113" t="s">
        <v>21</v>
      </c>
      <c r="H6" s="114" t="s">
        <v>351</v>
      </c>
    </row>
    <row r="7" spans="1:8" ht="13.5" thickTop="1" x14ac:dyDescent="0.2">
      <c r="A7" s="13">
        <v>45516</v>
      </c>
      <c r="B7" s="14" t="s">
        <v>3</v>
      </c>
      <c r="C7" s="15">
        <v>1</v>
      </c>
      <c r="D7" s="18">
        <v>558</v>
      </c>
      <c r="E7" s="19">
        <f t="shared" ref="E7:E38" si="0">D7-(C7*D7)</f>
        <v>0</v>
      </c>
      <c r="F7" s="20">
        <f t="shared" ref="F7:F215" si="1">E7*$E$5</f>
        <v>0</v>
      </c>
      <c r="G7" s="117">
        <v>0</v>
      </c>
      <c r="H7" s="118">
        <f t="shared" ref="H7:H215" si="2">G7-E7</f>
        <v>0</v>
      </c>
    </row>
    <row r="8" spans="1:8" ht="12.75" x14ac:dyDescent="0.2">
      <c r="A8" s="13">
        <v>45517</v>
      </c>
      <c r="B8" s="14" t="s">
        <v>4</v>
      </c>
      <c r="C8" s="15">
        <v>0.98780000000000001</v>
      </c>
      <c r="D8" s="18">
        <v>572</v>
      </c>
      <c r="E8" s="19">
        <f t="shared" si="0"/>
        <v>6.9783999999999651</v>
      </c>
      <c r="F8" s="20">
        <f t="shared" si="1"/>
        <v>383.81199999999808</v>
      </c>
      <c r="G8" s="117">
        <f t="shared" ref="G8:G215" si="3">D8-(D8*G$3)</f>
        <v>28.600000000000023</v>
      </c>
      <c r="H8" s="118">
        <f t="shared" si="2"/>
        <v>21.621600000000058</v>
      </c>
    </row>
    <row r="9" spans="1:8" ht="12.75" x14ac:dyDescent="0.2">
      <c r="A9" s="13">
        <v>45518</v>
      </c>
      <c r="B9" s="14" t="s">
        <v>5</v>
      </c>
      <c r="C9" s="15">
        <v>0.97570000000000001</v>
      </c>
      <c r="D9" s="18">
        <v>577</v>
      </c>
      <c r="E9" s="19">
        <f t="shared" si="0"/>
        <v>14.021100000000047</v>
      </c>
      <c r="F9" s="20">
        <f t="shared" si="1"/>
        <v>771.16050000000257</v>
      </c>
      <c r="G9" s="117">
        <f t="shared" si="3"/>
        <v>28.850000000000023</v>
      </c>
      <c r="H9" s="118">
        <f t="shared" si="2"/>
        <v>14.828899999999976</v>
      </c>
    </row>
    <row r="10" spans="1:8" ht="12.75" x14ac:dyDescent="0.2">
      <c r="A10" s="13">
        <v>45519</v>
      </c>
      <c r="B10" s="14" t="s">
        <v>6</v>
      </c>
      <c r="C10" s="15">
        <v>0.97430000000000005</v>
      </c>
      <c r="D10" s="18">
        <v>583</v>
      </c>
      <c r="E10" s="19">
        <f t="shared" si="0"/>
        <v>14.983099999999922</v>
      </c>
      <c r="F10" s="20">
        <f t="shared" si="1"/>
        <v>824.07049999999572</v>
      </c>
      <c r="G10" s="117">
        <f t="shared" si="3"/>
        <v>29.149999999999977</v>
      </c>
      <c r="H10" s="118">
        <f t="shared" si="2"/>
        <v>14.166900000000055</v>
      </c>
    </row>
    <row r="11" spans="1:8" ht="12.75" x14ac:dyDescent="0.2">
      <c r="A11" s="13">
        <v>45520</v>
      </c>
      <c r="B11" s="14" t="s">
        <v>7</v>
      </c>
      <c r="C11" s="15">
        <v>0.97599999999999998</v>
      </c>
      <c r="D11" s="18">
        <v>583</v>
      </c>
      <c r="E11" s="19">
        <f t="shared" si="0"/>
        <v>13.991999999999962</v>
      </c>
      <c r="F11" s="20">
        <f t="shared" si="1"/>
        <v>769.5599999999979</v>
      </c>
      <c r="G11" s="117">
        <f t="shared" si="3"/>
        <v>29.149999999999977</v>
      </c>
      <c r="H11" s="118">
        <f t="shared" si="2"/>
        <v>15.158000000000015</v>
      </c>
    </row>
    <row r="12" spans="1:8" ht="12.75" x14ac:dyDescent="0.2">
      <c r="A12" s="13">
        <v>45523</v>
      </c>
      <c r="B12" s="14" t="s">
        <v>3</v>
      </c>
      <c r="C12" s="15">
        <v>0.95909999999999995</v>
      </c>
      <c r="D12" s="18">
        <v>587</v>
      </c>
      <c r="E12" s="19">
        <f t="shared" si="0"/>
        <v>24.008300000000077</v>
      </c>
      <c r="F12" s="20">
        <f t="shared" si="1"/>
        <v>1320.4565000000043</v>
      </c>
      <c r="G12" s="117">
        <f t="shared" si="3"/>
        <v>29.350000000000023</v>
      </c>
      <c r="H12" s="118">
        <f t="shared" si="2"/>
        <v>5.3416999999999462</v>
      </c>
    </row>
    <row r="13" spans="1:8" ht="12.75" x14ac:dyDescent="0.2">
      <c r="A13" s="13">
        <v>45524</v>
      </c>
      <c r="B13" s="14" t="s">
        <v>4</v>
      </c>
      <c r="C13" s="15">
        <v>0.94740000000000002</v>
      </c>
      <c r="D13" s="18">
        <v>589</v>
      </c>
      <c r="E13" s="19">
        <f t="shared" si="0"/>
        <v>30.981400000000008</v>
      </c>
      <c r="F13" s="20">
        <f t="shared" si="1"/>
        <v>1703.9770000000003</v>
      </c>
      <c r="G13" s="117">
        <f t="shared" si="3"/>
        <v>29.450000000000045</v>
      </c>
      <c r="H13" s="118">
        <f t="shared" si="2"/>
        <v>-1.5313999999999623</v>
      </c>
    </row>
    <row r="14" spans="1:8" ht="12.75" x14ac:dyDescent="0.2">
      <c r="A14" s="13">
        <v>45525</v>
      </c>
      <c r="B14" s="14" t="s">
        <v>5</v>
      </c>
      <c r="C14" s="15">
        <v>0.94920000000000004</v>
      </c>
      <c r="D14" s="18">
        <v>591</v>
      </c>
      <c r="E14" s="19">
        <f t="shared" si="0"/>
        <v>30.022799999999961</v>
      </c>
      <c r="F14" s="20">
        <f t="shared" si="1"/>
        <v>1651.2539999999979</v>
      </c>
      <c r="G14" s="117">
        <f t="shared" si="3"/>
        <v>29.550000000000068</v>
      </c>
      <c r="H14" s="118">
        <f t="shared" si="2"/>
        <v>-0.47279999999989286</v>
      </c>
    </row>
    <row r="15" spans="1:8" ht="12.75" x14ac:dyDescent="0.2">
      <c r="A15" s="13">
        <v>45526</v>
      </c>
      <c r="B15" s="14" t="s">
        <v>6</v>
      </c>
      <c r="C15" s="15">
        <v>0.97130000000000005</v>
      </c>
      <c r="D15" s="18">
        <v>592</v>
      </c>
      <c r="E15" s="19">
        <f t="shared" si="0"/>
        <v>16.990400000000022</v>
      </c>
      <c r="F15" s="20">
        <f t="shared" si="1"/>
        <v>934.47200000000123</v>
      </c>
      <c r="G15" s="117">
        <f t="shared" si="3"/>
        <v>29.600000000000023</v>
      </c>
      <c r="H15" s="118">
        <f t="shared" si="2"/>
        <v>12.6096</v>
      </c>
    </row>
    <row r="16" spans="1:8" ht="12.75" x14ac:dyDescent="0.2">
      <c r="A16" s="13">
        <v>45527</v>
      </c>
      <c r="B16" s="14" t="s">
        <v>7</v>
      </c>
      <c r="C16" s="15">
        <v>0.93559999999999999</v>
      </c>
      <c r="D16" s="18">
        <v>590</v>
      </c>
      <c r="E16" s="19">
        <f t="shared" si="0"/>
        <v>37.995999999999981</v>
      </c>
      <c r="F16" s="20">
        <f t="shared" si="1"/>
        <v>2089.7799999999988</v>
      </c>
      <c r="G16" s="117">
        <f t="shared" si="3"/>
        <v>29.5</v>
      </c>
      <c r="H16" s="118">
        <f t="shared" si="2"/>
        <v>-8.4959999999999809</v>
      </c>
    </row>
    <row r="17" spans="1:8" ht="12.75" x14ac:dyDescent="0.2">
      <c r="A17" s="13">
        <v>45530</v>
      </c>
      <c r="B17" s="14" t="s">
        <v>3</v>
      </c>
      <c r="C17" s="15">
        <v>0.93899999999999995</v>
      </c>
      <c r="D17" s="18">
        <v>590</v>
      </c>
      <c r="E17" s="19">
        <f t="shared" si="0"/>
        <v>35.990000000000009</v>
      </c>
      <c r="F17" s="20">
        <f t="shared" si="1"/>
        <v>1979.4500000000005</v>
      </c>
      <c r="G17" s="117">
        <f t="shared" si="3"/>
        <v>29.5</v>
      </c>
      <c r="H17" s="118">
        <f t="shared" si="2"/>
        <v>-6.4900000000000091</v>
      </c>
    </row>
    <row r="18" spans="1:8" ht="12.75" x14ac:dyDescent="0.2">
      <c r="A18" s="13">
        <v>45531</v>
      </c>
      <c r="B18" s="14" t="s">
        <v>4</v>
      </c>
      <c r="C18" s="15">
        <v>0.95950000000000002</v>
      </c>
      <c r="D18" s="18">
        <v>593</v>
      </c>
      <c r="E18" s="19">
        <f t="shared" si="0"/>
        <v>24.016499999999951</v>
      </c>
      <c r="F18" s="20">
        <f t="shared" si="1"/>
        <v>1320.9074999999973</v>
      </c>
      <c r="G18" s="117">
        <f t="shared" si="3"/>
        <v>29.649999999999977</v>
      </c>
      <c r="H18" s="118">
        <f t="shared" si="2"/>
        <v>5.6335000000000264</v>
      </c>
    </row>
    <row r="19" spans="1:8" ht="12.75" x14ac:dyDescent="0.2">
      <c r="A19" s="13">
        <v>45532</v>
      </c>
      <c r="B19" s="14" t="s">
        <v>5</v>
      </c>
      <c r="C19" s="15">
        <v>0.96120000000000005</v>
      </c>
      <c r="D19" s="18">
        <v>593</v>
      </c>
      <c r="E19" s="19">
        <f t="shared" si="0"/>
        <v>23.008399999999938</v>
      </c>
      <c r="F19" s="20">
        <f t="shared" si="1"/>
        <v>1265.4619999999966</v>
      </c>
      <c r="G19" s="117">
        <f t="shared" si="3"/>
        <v>29.649999999999977</v>
      </c>
      <c r="H19" s="118">
        <f t="shared" si="2"/>
        <v>6.6416000000000395</v>
      </c>
    </row>
    <row r="20" spans="1:8" ht="12.75" x14ac:dyDescent="0.2">
      <c r="A20" s="13">
        <v>45533</v>
      </c>
      <c r="B20" s="14" t="s">
        <v>6</v>
      </c>
      <c r="C20" s="15">
        <v>0.96460000000000001</v>
      </c>
      <c r="D20" s="18">
        <v>593</v>
      </c>
      <c r="E20" s="19">
        <f t="shared" si="0"/>
        <v>20.992200000000025</v>
      </c>
      <c r="F20" s="20">
        <f t="shared" si="1"/>
        <v>1154.5710000000013</v>
      </c>
      <c r="G20" s="117">
        <f t="shared" si="3"/>
        <v>29.649999999999977</v>
      </c>
      <c r="H20" s="118">
        <f t="shared" si="2"/>
        <v>8.657799999999952</v>
      </c>
    </row>
    <row r="21" spans="1:8" ht="12.75" x14ac:dyDescent="0.2">
      <c r="A21" s="13">
        <v>45534</v>
      </c>
      <c r="B21" s="14" t="s">
        <v>7</v>
      </c>
      <c r="C21" s="15">
        <v>0.93589999999999995</v>
      </c>
      <c r="D21" s="18">
        <v>593</v>
      </c>
      <c r="E21" s="19">
        <f t="shared" si="0"/>
        <v>38.011300000000006</v>
      </c>
      <c r="F21" s="20">
        <f t="shared" si="1"/>
        <v>2090.6215000000002</v>
      </c>
      <c r="G21" s="117">
        <f t="shared" si="3"/>
        <v>29.649999999999977</v>
      </c>
      <c r="H21" s="118">
        <f t="shared" si="2"/>
        <v>-8.3613000000000284</v>
      </c>
    </row>
    <row r="22" spans="1:8" ht="12.75" x14ac:dyDescent="0.2">
      <c r="A22" s="24">
        <v>45537</v>
      </c>
      <c r="B22" s="25" t="s">
        <v>3</v>
      </c>
      <c r="C22" s="26"/>
      <c r="D22" s="29"/>
      <c r="E22" s="19">
        <f t="shared" si="0"/>
        <v>0</v>
      </c>
      <c r="F22" s="20">
        <f t="shared" si="1"/>
        <v>0</v>
      </c>
      <c r="G22" s="117">
        <f t="shared" si="3"/>
        <v>0</v>
      </c>
      <c r="H22" s="118">
        <f t="shared" si="2"/>
        <v>0</v>
      </c>
    </row>
    <row r="23" spans="1:8" ht="12.75" x14ac:dyDescent="0.2">
      <c r="A23" s="13">
        <v>45538</v>
      </c>
      <c r="B23" s="14" t="s">
        <v>4</v>
      </c>
      <c r="C23" s="15">
        <v>0.93269999999999997</v>
      </c>
      <c r="D23" s="18">
        <v>594</v>
      </c>
      <c r="E23" s="19">
        <f t="shared" si="0"/>
        <v>39.976200000000063</v>
      </c>
      <c r="F23" s="20">
        <f t="shared" si="1"/>
        <v>2198.6910000000034</v>
      </c>
      <c r="G23" s="117">
        <f t="shared" si="3"/>
        <v>29.700000000000045</v>
      </c>
      <c r="H23" s="118">
        <f t="shared" si="2"/>
        <v>-10.276200000000017</v>
      </c>
    </row>
    <row r="24" spans="1:8" ht="12.75" x14ac:dyDescent="0.2">
      <c r="A24" s="13">
        <v>45539</v>
      </c>
      <c r="B24" s="14" t="s">
        <v>5</v>
      </c>
      <c r="C24" s="15">
        <v>0.96130000000000004</v>
      </c>
      <c r="D24" s="18">
        <v>595</v>
      </c>
      <c r="E24" s="19">
        <f t="shared" si="0"/>
        <v>23.026499999999942</v>
      </c>
      <c r="F24" s="20">
        <f t="shared" si="1"/>
        <v>1266.4574999999968</v>
      </c>
      <c r="G24" s="117">
        <f t="shared" si="3"/>
        <v>29.75</v>
      </c>
      <c r="H24" s="118">
        <f t="shared" si="2"/>
        <v>6.7235000000000582</v>
      </c>
    </row>
    <row r="25" spans="1:8" ht="12.75" x14ac:dyDescent="0.2">
      <c r="A25" s="13">
        <v>45540</v>
      </c>
      <c r="B25" s="14" t="s">
        <v>6</v>
      </c>
      <c r="C25" s="15">
        <v>0.95620000000000005</v>
      </c>
      <c r="D25" s="18">
        <v>594</v>
      </c>
      <c r="E25" s="19">
        <f t="shared" si="0"/>
        <v>26.017200000000003</v>
      </c>
      <c r="F25" s="20">
        <f t="shared" si="1"/>
        <v>1430.9460000000001</v>
      </c>
      <c r="G25" s="117">
        <f t="shared" si="3"/>
        <v>29.700000000000045</v>
      </c>
      <c r="H25" s="118">
        <f t="shared" si="2"/>
        <v>3.6828000000000429</v>
      </c>
    </row>
    <row r="26" spans="1:8" ht="12.75" x14ac:dyDescent="0.2">
      <c r="A26" s="13">
        <v>45541</v>
      </c>
      <c r="B26" s="14" t="s">
        <v>7</v>
      </c>
      <c r="C26" s="15">
        <v>0.95279999999999998</v>
      </c>
      <c r="D26" s="18">
        <v>593</v>
      </c>
      <c r="E26" s="19">
        <f t="shared" si="0"/>
        <v>27.989599999999996</v>
      </c>
      <c r="F26" s="20">
        <f t="shared" si="1"/>
        <v>1539.4279999999999</v>
      </c>
      <c r="G26" s="117">
        <f t="shared" si="3"/>
        <v>29.649999999999977</v>
      </c>
      <c r="H26" s="118">
        <f t="shared" si="2"/>
        <v>1.6603999999999814</v>
      </c>
    </row>
    <row r="27" spans="1:8" ht="12.75" x14ac:dyDescent="0.2">
      <c r="A27" s="13">
        <v>45544</v>
      </c>
      <c r="B27" s="14" t="s">
        <v>3</v>
      </c>
      <c r="C27" s="15">
        <v>0.96950000000000003</v>
      </c>
      <c r="D27" s="18">
        <v>591</v>
      </c>
      <c r="E27" s="19">
        <f t="shared" si="0"/>
        <v>18.025499999999965</v>
      </c>
      <c r="F27" s="20">
        <f t="shared" si="1"/>
        <v>991.4024999999981</v>
      </c>
      <c r="G27" s="117">
        <f t="shared" si="3"/>
        <v>29.550000000000068</v>
      </c>
      <c r="H27" s="118">
        <f t="shared" si="2"/>
        <v>11.524500000000103</v>
      </c>
    </row>
    <row r="28" spans="1:8" ht="12.75" x14ac:dyDescent="0.2">
      <c r="A28" s="13">
        <v>45545</v>
      </c>
      <c r="B28" s="14" t="s">
        <v>4</v>
      </c>
      <c r="C28" s="15">
        <v>0.95420000000000005</v>
      </c>
      <c r="D28" s="18">
        <v>590</v>
      </c>
      <c r="E28" s="19">
        <f t="shared" si="0"/>
        <v>27.021999999999935</v>
      </c>
      <c r="F28" s="20">
        <f t="shared" si="1"/>
        <v>1486.2099999999964</v>
      </c>
      <c r="G28" s="117">
        <f t="shared" si="3"/>
        <v>29.5</v>
      </c>
      <c r="H28" s="118">
        <f t="shared" si="2"/>
        <v>2.4780000000000655</v>
      </c>
    </row>
    <row r="29" spans="1:8" ht="12.75" x14ac:dyDescent="0.2">
      <c r="A29" s="13">
        <v>45546</v>
      </c>
      <c r="B29" s="14" t="s">
        <v>5</v>
      </c>
      <c r="C29" s="15">
        <v>0.94920000000000004</v>
      </c>
      <c r="D29" s="18">
        <v>590</v>
      </c>
      <c r="E29" s="19">
        <f t="shared" si="0"/>
        <v>29.97199999999998</v>
      </c>
      <c r="F29" s="20">
        <f t="shared" si="1"/>
        <v>1648.4599999999989</v>
      </c>
      <c r="G29" s="117">
        <f t="shared" si="3"/>
        <v>29.5</v>
      </c>
      <c r="H29" s="118">
        <f t="shared" si="2"/>
        <v>-0.47199999999997999</v>
      </c>
    </row>
    <row r="30" spans="1:8" ht="12.75" x14ac:dyDescent="0.2">
      <c r="A30" s="13">
        <v>45547</v>
      </c>
      <c r="B30" s="14" t="s">
        <v>6</v>
      </c>
      <c r="C30" s="15">
        <v>0.96440000000000003</v>
      </c>
      <c r="D30" s="18">
        <v>590</v>
      </c>
      <c r="E30" s="19">
        <f t="shared" si="0"/>
        <v>21.004000000000019</v>
      </c>
      <c r="F30" s="20">
        <f t="shared" si="1"/>
        <v>1155.2200000000012</v>
      </c>
      <c r="G30" s="117">
        <f t="shared" si="3"/>
        <v>29.5</v>
      </c>
      <c r="H30" s="118">
        <f t="shared" si="2"/>
        <v>8.4959999999999809</v>
      </c>
    </row>
    <row r="31" spans="1:8" ht="12.75" x14ac:dyDescent="0.2">
      <c r="A31" s="13">
        <v>45548</v>
      </c>
      <c r="B31" s="14" t="s">
        <v>7</v>
      </c>
      <c r="C31" s="15">
        <v>0.94750000000000001</v>
      </c>
      <c r="D31" s="18">
        <v>590</v>
      </c>
      <c r="E31" s="19">
        <f t="shared" si="0"/>
        <v>30.975000000000023</v>
      </c>
      <c r="F31" s="20">
        <f t="shared" si="1"/>
        <v>1703.6250000000014</v>
      </c>
      <c r="G31" s="117">
        <f t="shared" si="3"/>
        <v>29.5</v>
      </c>
      <c r="H31" s="118">
        <f t="shared" si="2"/>
        <v>-1.4750000000000227</v>
      </c>
    </row>
    <row r="32" spans="1:8" ht="12.75" x14ac:dyDescent="0.2">
      <c r="A32" s="30">
        <v>45551</v>
      </c>
      <c r="B32" s="31" t="s">
        <v>3</v>
      </c>
      <c r="C32" s="32"/>
      <c r="D32" s="35"/>
      <c r="E32" s="19">
        <f t="shared" si="0"/>
        <v>0</v>
      </c>
      <c r="F32" s="20">
        <f t="shared" si="1"/>
        <v>0</v>
      </c>
      <c r="G32" s="117">
        <f t="shared" si="3"/>
        <v>0</v>
      </c>
      <c r="H32" s="118">
        <f t="shared" si="2"/>
        <v>0</v>
      </c>
    </row>
    <row r="33" spans="1:8" ht="12.75" x14ac:dyDescent="0.2">
      <c r="A33" s="13">
        <v>45552</v>
      </c>
      <c r="B33" s="14" t="s">
        <v>4</v>
      </c>
      <c r="C33" s="15">
        <v>0.96099999999999997</v>
      </c>
      <c r="D33" s="18">
        <v>589</v>
      </c>
      <c r="E33" s="19">
        <f t="shared" si="0"/>
        <v>22.971000000000004</v>
      </c>
      <c r="F33" s="20">
        <f t="shared" si="1"/>
        <v>1263.4050000000002</v>
      </c>
      <c r="G33" s="117">
        <f t="shared" si="3"/>
        <v>29.450000000000045</v>
      </c>
      <c r="H33" s="118">
        <f t="shared" si="2"/>
        <v>6.4790000000000418</v>
      </c>
    </row>
    <row r="34" spans="1:8" ht="12.75" x14ac:dyDescent="0.2">
      <c r="A34" s="13">
        <v>45553</v>
      </c>
      <c r="B34" s="14" t="s">
        <v>5</v>
      </c>
      <c r="C34" s="15">
        <v>0.97450000000000003</v>
      </c>
      <c r="D34" s="18">
        <v>589</v>
      </c>
      <c r="E34" s="19">
        <f t="shared" si="0"/>
        <v>15.019499999999994</v>
      </c>
      <c r="F34" s="20">
        <f t="shared" si="1"/>
        <v>826.07249999999965</v>
      </c>
      <c r="G34" s="117">
        <f t="shared" si="3"/>
        <v>29.450000000000045</v>
      </c>
      <c r="H34" s="118">
        <f t="shared" si="2"/>
        <v>14.430500000000052</v>
      </c>
    </row>
    <row r="35" spans="1:8" ht="12.75" x14ac:dyDescent="0.2">
      <c r="A35" s="13">
        <v>45554</v>
      </c>
      <c r="B35" s="14" t="s">
        <v>6</v>
      </c>
      <c r="C35" s="15">
        <v>0.95930000000000004</v>
      </c>
      <c r="D35" s="18">
        <v>589</v>
      </c>
      <c r="E35" s="19">
        <f t="shared" si="0"/>
        <v>23.972300000000018</v>
      </c>
      <c r="F35" s="20">
        <f t="shared" si="1"/>
        <v>1318.4765000000011</v>
      </c>
      <c r="G35" s="117">
        <f t="shared" si="3"/>
        <v>29.450000000000045</v>
      </c>
      <c r="H35" s="118">
        <f t="shared" si="2"/>
        <v>5.4777000000000271</v>
      </c>
    </row>
    <row r="36" spans="1:8" ht="12.75" x14ac:dyDescent="0.2">
      <c r="A36" s="13">
        <v>45555</v>
      </c>
      <c r="B36" s="14" t="s">
        <v>7</v>
      </c>
      <c r="C36" s="15">
        <v>0.94399999999999995</v>
      </c>
      <c r="D36" s="18">
        <v>589</v>
      </c>
      <c r="E36" s="19">
        <f t="shared" si="0"/>
        <v>32.984000000000037</v>
      </c>
      <c r="F36" s="20">
        <f t="shared" si="1"/>
        <v>1814.1200000000022</v>
      </c>
      <c r="G36" s="117">
        <f t="shared" si="3"/>
        <v>29.450000000000045</v>
      </c>
      <c r="H36" s="118">
        <f t="shared" si="2"/>
        <v>-3.5339999999999918</v>
      </c>
    </row>
    <row r="37" spans="1:8" ht="12.75" x14ac:dyDescent="0.2">
      <c r="A37" s="13">
        <v>45558</v>
      </c>
      <c r="B37" s="14" t="s">
        <v>3</v>
      </c>
      <c r="C37" s="15">
        <v>0.95420000000000005</v>
      </c>
      <c r="D37" s="18">
        <v>590</v>
      </c>
      <c r="E37" s="19">
        <f t="shared" si="0"/>
        <v>27.021999999999935</v>
      </c>
      <c r="F37" s="20">
        <f t="shared" si="1"/>
        <v>1486.2099999999964</v>
      </c>
      <c r="G37" s="117">
        <f t="shared" si="3"/>
        <v>29.5</v>
      </c>
      <c r="H37" s="118">
        <f t="shared" si="2"/>
        <v>2.4780000000000655</v>
      </c>
    </row>
    <row r="38" spans="1:8" ht="12.75" x14ac:dyDescent="0.2">
      <c r="A38" s="13">
        <v>45559</v>
      </c>
      <c r="B38" s="14" t="s">
        <v>4</v>
      </c>
      <c r="C38" s="15">
        <v>0.96950000000000003</v>
      </c>
      <c r="D38" s="18">
        <v>590</v>
      </c>
      <c r="E38" s="19">
        <f t="shared" si="0"/>
        <v>17.995000000000005</v>
      </c>
      <c r="F38" s="20">
        <f t="shared" si="1"/>
        <v>989.72500000000025</v>
      </c>
      <c r="G38" s="117">
        <f t="shared" si="3"/>
        <v>29.5</v>
      </c>
      <c r="H38" s="118">
        <f t="shared" si="2"/>
        <v>11.504999999999995</v>
      </c>
    </row>
    <row r="39" spans="1:8" ht="12.75" x14ac:dyDescent="0.2">
      <c r="A39" s="13">
        <v>45560</v>
      </c>
      <c r="B39" s="14" t="s">
        <v>5</v>
      </c>
      <c r="C39" s="15">
        <v>0.96619999999999995</v>
      </c>
      <c r="D39" s="18">
        <v>592</v>
      </c>
      <c r="E39" s="19">
        <f t="shared" ref="E39:E70" si="4">D39-(C39*D39)</f>
        <v>20.009599999999978</v>
      </c>
      <c r="F39" s="20">
        <f t="shared" si="1"/>
        <v>1100.5279999999989</v>
      </c>
      <c r="G39" s="117">
        <f t="shared" si="3"/>
        <v>29.600000000000023</v>
      </c>
      <c r="H39" s="118">
        <f t="shared" si="2"/>
        <v>9.5904000000000451</v>
      </c>
    </row>
    <row r="40" spans="1:8" ht="12.75" x14ac:dyDescent="0.2">
      <c r="A40" s="13">
        <v>45561</v>
      </c>
      <c r="B40" s="14" t="s">
        <v>6</v>
      </c>
      <c r="C40" s="15">
        <v>0.97640000000000005</v>
      </c>
      <c r="D40" s="18">
        <v>592</v>
      </c>
      <c r="E40" s="19">
        <f t="shared" si="4"/>
        <v>13.971199999999953</v>
      </c>
      <c r="F40" s="20">
        <f t="shared" si="1"/>
        <v>768.41599999999744</v>
      </c>
      <c r="G40" s="117">
        <f t="shared" si="3"/>
        <v>29.600000000000023</v>
      </c>
      <c r="H40" s="118">
        <f t="shared" si="2"/>
        <v>15.628800000000069</v>
      </c>
    </row>
    <row r="41" spans="1:8" ht="12.75" x14ac:dyDescent="0.2">
      <c r="A41" s="13">
        <v>45562</v>
      </c>
      <c r="B41" s="14" t="s">
        <v>7</v>
      </c>
      <c r="C41" s="15">
        <v>0.94589999999999996</v>
      </c>
      <c r="D41" s="18">
        <v>592</v>
      </c>
      <c r="E41" s="19">
        <f t="shared" si="4"/>
        <v>32.027199999999993</v>
      </c>
      <c r="F41" s="20">
        <f t="shared" si="1"/>
        <v>1761.4959999999996</v>
      </c>
      <c r="G41" s="117">
        <f t="shared" si="3"/>
        <v>29.600000000000023</v>
      </c>
      <c r="H41" s="118">
        <f t="shared" si="2"/>
        <v>-2.4271999999999707</v>
      </c>
    </row>
    <row r="42" spans="1:8" ht="12.75" x14ac:dyDescent="0.2">
      <c r="A42" s="13">
        <v>45565</v>
      </c>
      <c r="B42" s="14" t="s">
        <v>3</v>
      </c>
      <c r="C42" s="15">
        <v>0.94589999999999996</v>
      </c>
      <c r="D42" s="18">
        <v>592</v>
      </c>
      <c r="E42" s="19">
        <f t="shared" si="4"/>
        <v>32.027199999999993</v>
      </c>
      <c r="F42" s="20">
        <f t="shared" si="1"/>
        <v>1761.4959999999996</v>
      </c>
      <c r="G42" s="117">
        <f t="shared" si="3"/>
        <v>29.600000000000023</v>
      </c>
      <c r="H42" s="118">
        <f t="shared" si="2"/>
        <v>-2.4271999999999707</v>
      </c>
    </row>
    <row r="43" spans="1:8" ht="12.75" x14ac:dyDescent="0.2">
      <c r="A43" s="13">
        <v>45566</v>
      </c>
      <c r="B43" s="14" t="s">
        <v>4</v>
      </c>
      <c r="C43" s="15">
        <v>0.95420000000000005</v>
      </c>
      <c r="D43" s="18">
        <v>592</v>
      </c>
      <c r="E43" s="19">
        <f t="shared" si="4"/>
        <v>27.113600000000019</v>
      </c>
      <c r="F43" s="20">
        <f t="shared" si="1"/>
        <v>1491.248000000001</v>
      </c>
      <c r="G43" s="117">
        <f t="shared" si="3"/>
        <v>29.600000000000023</v>
      </c>
      <c r="H43" s="118">
        <f t="shared" si="2"/>
        <v>2.4864000000000033</v>
      </c>
    </row>
    <row r="44" spans="1:8" ht="12.75" x14ac:dyDescent="0.2">
      <c r="A44" s="13">
        <v>45567</v>
      </c>
      <c r="B44" s="14" t="s">
        <v>5</v>
      </c>
      <c r="C44" s="15">
        <v>0.97789999999999999</v>
      </c>
      <c r="D44" s="18">
        <v>590</v>
      </c>
      <c r="E44" s="19">
        <f t="shared" si="4"/>
        <v>13.038999999999987</v>
      </c>
      <c r="F44" s="20">
        <f t="shared" si="1"/>
        <v>717.1449999999993</v>
      </c>
      <c r="G44" s="117">
        <f t="shared" si="3"/>
        <v>29.5</v>
      </c>
      <c r="H44" s="118">
        <f t="shared" si="2"/>
        <v>16.461000000000013</v>
      </c>
    </row>
    <row r="45" spans="1:8" ht="12.75" x14ac:dyDescent="0.2">
      <c r="A45" s="13">
        <v>45568</v>
      </c>
      <c r="B45" s="14" t="s">
        <v>6</v>
      </c>
      <c r="C45" s="15">
        <v>0.97789999999999999</v>
      </c>
      <c r="D45" s="18">
        <v>590</v>
      </c>
      <c r="E45" s="19">
        <f t="shared" si="4"/>
        <v>13.038999999999987</v>
      </c>
      <c r="F45" s="20">
        <f t="shared" si="1"/>
        <v>717.1449999999993</v>
      </c>
      <c r="G45" s="117">
        <f t="shared" si="3"/>
        <v>29.5</v>
      </c>
      <c r="H45" s="118">
        <f t="shared" si="2"/>
        <v>16.461000000000013</v>
      </c>
    </row>
    <row r="46" spans="1:8" ht="12.75" x14ac:dyDescent="0.2">
      <c r="A46" s="13">
        <v>45569</v>
      </c>
      <c r="B46" s="14" t="s">
        <v>7</v>
      </c>
      <c r="C46" s="15">
        <v>0.95930000000000004</v>
      </c>
      <c r="D46" s="18">
        <v>591</v>
      </c>
      <c r="E46" s="19">
        <f t="shared" si="4"/>
        <v>24.053699999999935</v>
      </c>
      <c r="F46" s="20">
        <f t="shared" si="1"/>
        <v>1322.9534999999964</v>
      </c>
      <c r="G46" s="117">
        <f t="shared" si="3"/>
        <v>29.550000000000068</v>
      </c>
      <c r="H46" s="118">
        <f t="shared" si="2"/>
        <v>5.496300000000133</v>
      </c>
    </row>
    <row r="47" spans="1:8" ht="12.75" x14ac:dyDescent="0.2">
      <c r="A47" s="24">
        <v>45572</v>
      </c>
      <c r="B47" s="25" t="s">
        <v>3</v>
      </c>
      <c r="C47" s="26"/>
      <c r="D47" s="29"/>
      <c r="E47" s="19">
        <f t="shared" si="4"/>
        <v>0</v>
      </c>
      <c r="F47" s="20">
        <f t="shared" si="1"/>
        <v>0</v>
      </c>
      <c r="G47" s="117">
        <f t="shared" si="3"/>
        <v>0</v>
      </c>
      <c r="H47" s="118">
        <f t="shared" si="2"/>
        <v>0</v>
      </c>
    </row>
    <row r="48" spans="1:8" ht="12.75" x14ac:dyDescent="0.2">
      <c r="A48" s="24">
        <v>45573</v>
      </c>
      <c r="B48" s="25" t="s">
        <v>4</v>
      </c>
      <c r="C48" s="26"/>
      <c r="D48" s="29"/>
      <c r="E48" s="19">
        <f t="shared" si="4"/>
        <v>0</v>
      </c>
      <c r="F48" s="20">
        <f t="shared" si="1"/>
        <v>0</v>
      </c>
      <c r="G48" s="117">
        <f t="shared" si="3"/>
        <v>0</v>
      </c>
      <c r="H48" s="118">
        <f t="shared" si="2"/>
        <v>0</v>
      </c>
    </row>
    <row r="49" spans="1:8" ht="12.75" x14ac:dyDescent="0.2">
      <c r="A49" s="24">
        <v>45574</v>
      </c>
      <c r="B49" s="25" t="s">
        <v>5</v>
      </c>
      <c r="C49" s="26"/>
      <c r="D49" s="29"/>
      <c r="E49" s="19">
        <f t="shared" si="4"/>
        <v>0</v>
      </c>
      <c r="F49" s="20">
        <f t="shared" si="1"/>
        <v>0</v>
      </c>
      <c r="G49" s="117">
        <f t="shared" si="3"/>
        <v>0</v>
      </c>
      <c r="H49" s="118">
        <f t="shared" si="2"/>
        <v>0</v>
      </c>
    </row>
    <row r="50" spans="1:8" ht="12.75" x14ac:dyDescent="0.2">
      <c r="A50" s="24">
        <v>45575</v>
      </c>
      <c r="B50" s="25" t="s">
        <v>6</v>
      </c>
      <c r="C50" s="26"/>
      <c r="D50" s="29"/>
      <c r="E50" s="19">
        <f t="shared" si="4"/>
        <v>0</v>
      </c>
      <c r="F50" s="20">
        <f t="shared" si="1"/>
        <v>0</v>
      </c>
      <c r="G50" s="117">
        <f t="shared" si="3"/>
        <v>0</v>
      </c>
      <c r="H50" s="118">
        <f t="shared" si="2"/>
        <v>0</v>
      </c>
    </row>
    <row r="51" spans="1:8" ht="12.75" x14ac:dyDescent="0.2">
      <c r="A51" s="24">
        <v>45576</v>
      </c>
      <c r="B51" s="25" t="s">
        <v>7</v>
      </c>
      <c r="C51" s="26"/>
      <c r="D51" s="29"/>
      <c r="E51" s="19">
        <f t="shared" si="4"/>
        <v>0</v>
      </c>
      <c r="F51" s="20">
        <f t="shared" si="1"/>
        <v>0</v>
      </c>
      <c r="G51" s="117">
        <f t="shared" si="3"/>
        <v>0</v>
      </c>
      <c r="H51" s="118">
        <f t="shared" si="2"/>
        <v>0</v>
      </c>
    </row>
    <row r="52" spans="1:8" ht="12.75" x14ac:dyDescent="0.2">
      <c r="A52" s="13">
        <v>45579</v>
      </c>
      <c r="B52" s="14" t="s">
        <v>3</v>
      </c>
      <c r="C52" s="15">
        <v>0.9032</v>
      </c>
      <c r="D52" s="18">
        <v>590</v>
      </c>
      <c r="E52" s="19">
        <f t="shared" si="4"/>
        <v>57.111999999999966</v>
      </c>
      <c r="F52" s="20">
        <f t="shared" si="1"/>
        <v>3141.159999999998</v>
      </c>
      <c r="G52" s="117">
        <f t="shared" si="3"/>
        <v>29.5</v>
      </c>
      <c r="H52" s="118">
        <f t="shared" si="2"/>
        <v>-27.611999999999966</v>
      </c>
    </row>
    <row r="53" spans="1:8" ht="12.75" x14ac:dyDescent="0.2">
      <c r="A53" s="13">
        <v>45580</v>
      </c>
      <c r="B53" s="14" t="s">
        <v>4</v>
      </c>
      <c r="C53" s="15">
        <v>0.96760000000000002</v>
      </c>
      <c r="D53" s="18">
        <v>586</v>
      </c>
      <c r="E53" s="19">
        <f t="shared" si="4"/>
        <v>18.986400000000003</v>
      </c>
      <c r="F53" s="20">
        <f t="shared" si="1"/>
        <v>1044.2520000000002</v>
      </c>
      <c r="G53" s="117">
        <f t="shared" si="3"/>
        <v>29.300000000000068</v>
      </c>
      <c r="H53" s="118">
        <f t="shared" si="2"/>
        <v>10.313600000000065</v>
      </c>
    </row>
    <row r="54" spans="1:8" ht="12.75" x14ac:dyDescent="0.2">
      <c r="A54" s="13">
        <v>45581</v>
      </c>
      <c r="B54" s="14" t="s">
        <v>5</v>
      </c>
      <c r="C54" s="36">
        <v>0.96230000000000004</v>
      </c>
      <c r="D54" s="18">
        <v>584</v>
      </c>
      <c r="E54" s="19">
        <f t="shared" si="4"/>
        <v>22.016799999999989</v>
      </c>
      <c r="F54" s="20">
        <f t="shared" si="1"/>
        <v>1210.9239999999995</v>
      </c>
      <c r="G54" s="117">
        <f t="shared" si="3"/>
        <v>29.200000000000045</v>
      </c>
      <c r="H54" s="118">
        <f t="shared" si="2"/>
        <v>7.1832000000000562</v>
      </c>
    </row>
    <row r="55" spans="1:8" ht="12.75" x14ac:dyDescent="0.2">
      <c r="A55" s="13">
        <v>45582</v>
      </c>
      <c r="B55" s="14" t="s">
        <v>6</v>
      </c>
      <c r="C55" s="15">
        <v>0.93659999999999999</v>
      </c>
      <c r="D55" s="18">
        <v>584</v>
      </c>
      <c r="E55" s="19">
        <f t="shared" si="4"/>
        <v>37.025600000000054</v>
      </c>
      <c r="F55" s="20">
        <f t="shared" si="1"/>
        <v>2036.4080000000031</v>
      </c>
      <c r="G55" s="117">
        <f t="shared" si="3"/>
        <v>29.200000000000045</v>
      </c>
      <c r="H55" s="118">
        <f t="shared" si="2"/>
        <v>-7.8256000000000085</v>
      </c>
    </row>
    <row r="56" spans="1:8" ht="12.75" x14ac:dyDescent="0.2">
      <c r="A56" s="13">
        <v>45583</v>
      </c>
      <c r="B56" s="14" t="s">
        <v>7</v>
      </c>
      <c r="C56" s="15">
        <v>0.93320000000000003</v>
      </c>
      <c r="D56" s="18">
        <v>584</v>
      </c>
      <c r="E56" s="19">
        <f t="shared" si="4"/>
        <v>39.011200000000031</v>
      </c>
      <c r="F56" s="20">
        <f t="shared" si="1"/>
        <v>2145.6160000000018</v>
      </c>
      <c r="G56" s="117">
        <f t="shared" si="3"/>
        <v>29.200000000000045</v>
      </c>
      <c r="H56" s="118">
        <f t="shared" si="2"/>
        <v>-9.8111999999999853</v>
      </c>
    </row>
    <row r="57" spans="1:8" ht="12.75" x14ac:dyDescent="0.2">
      <c r="A57" s="13">
        <v>45586</v>
      </c>
      <c r="B57" s="14" t="s">
        <v>3</v>
      </c>
      <c r="C57" s="15">
        <v>0.94520000000000004</v>
      </c>
      <c r="D57" s="18">
        <v>584</v>
      </c>
      <c r="E57" s="19">
        <f t="shared" si="4"/>
        <v>32.003199999999993</v>
      </c>
      <c r="F57" s="20">
        <f t="shared" si="1"/>
        <v>1760.1759999999995</v>
      </c>
      <c r="G57" s="117">
        <f t="shared" si="3"/>
        <v>29.200000000000045</v>
      </c>
      <c r="H57" s="118">
        <f t="shared" si="2"/>
        <v>-2.8031999999999471</v>
      </c>
    </row>
    <row r="58" spans="1:8" ht="12.75" x14ac:dyDescent="0.2">
      <c r="A58" s="13">
        <v>45587</v>
      </c>
      <c r="B58" s="14" t="s">
        <v>4</v>
      </c>
      <c r="C58" s="15">
        <v>0.95899999999999996</v>
      </c>
      <c r="D58" s="18">
        <v>585</v>
      </c>
      <c r="E58" s="19">
        <f t="shared" si="4"/>
        <v>23.985000000000014</v>
      </c>
      <c r="F58" s="20">
        <f t="shared" si="1"/>
        <v>1319.1750000000006</v>
      </c>
      <c r="G58" s="117">
        <f t="shared" si="3"/>
        <v>29.25</v>
      </c>
      <c r="H58" s="118">
        <f t="shared" si="2"/>
        <v>5.2649999999999864</v>
      </c>
    </row>
    <row r="59" spans="1:8" ht="12.75" x14ac:dyDescent="0.2">
      <c r="A59" s="13">
        <v>45588</v>
      </c>
      <c r="B59" s="14" t="s">
        <v>5</v>
      </c>
      <c r="C59" s="15">
        <v>0.94530000000000003</v>
      </c>
      <c r="D59" s="18">
        <v>585</v>
      </c>
      <c r="E59" s="19">
        <f t="shared" si="4"/>
        <v>31.999500000000012</v>
      </c>
      <c r="F59" s="20">
        <f t="shared" si="1"/>
        <v>1759.9725000000008</v>
      </c>
      <c r="G59" s="117">
        <f t="shared" si="3"/>
        <v>29.25</v>
      </c>
      <c r="H59" s="118">
        <f t="shared" si="2"/>
        <v>-2.7495000000000118</v>
      </c>
    </row>
    <row r="60" spans="1:8" ht="12.75" x14ac:dyDescent="0.2">
      <c r="A60" s="13">
        <v>45589</v>
      </c>
      <c r="B60" s="14" t="s">
        <v>6</v>
      </c>
      <c r="C60" s="15">
        <v>0.95730000000000004</v>
      </c>
      <c r="D60" s="18">
        <v>585</v>
      </c>
      <c r="E60" s="19">
        <f t="shared" si="4"/>
        <v>24.97950000000003</v>
      </c>
      <c r="F60" s="20">
        <f t="shared" si="1"/>
        <v>1373.8725000000018</v>
      </c>
      <c r="G60" s="117">
        <f t="shared" si="3"/>
        <v>29.25</v>
      </c>
      <c r="H60" s="118">
        <f t="shared" si="2"/>
        <v>4.27049999999997</v>
      </c>
    </row>
    <row r="61" spans="1:8" ht="12.75" x14ac:dyDescent="0.2">
      <c r="A61" s="13">
        <v>45590</v>
      </c>
      <c r="B61" s="14" t="s">
        <v>7</v>
      </c>
      <c r="C61" s="15">
        <v>0.94189999999999996</v>
      </c>
      <c r="D61" s="18">
        <v>585</v>
      </c>
      <c r="E61" s="19">
        <f t="shared" si="4"/>
        <v>33.988500000000045</v>
      </c>
      <c r="F61" s="20">
        <f t="shared" si="1"/>
        <v>1869.3675000000026</v>
      </c>
      <c r="G61" s="117">
        <f t="shared" si="3"/>
        <v>29.25</v>
      </c>
      <c r="H61" s="118">
        <f t="shared" si="2"/>
        <v>-4.7385000000000446</v>
      </c>
    </row>
    <row r="62" spans="1:8" ht="12.75" x14ac:dyDescent="0.2">
      <c r="A62" s="13">
        <v>45593</v>
      </c>
      <c r="B62" s="14" t="s">
        <v>3</v>
      </c>
      <c r="C62" s="15">
        <v>0.95050000000000001</v>
      </c>
      <c r="D62" s="18">
        <v>587</v>
      </c>
      <c r="E62" s="19">
        <f t="shared" si="4"/>
        <v>29.056500000000028</v>
      </c>
      <c r="F62" s="20">
        <f t="shared" si="1"/>
        <v>1598.1075000000014</v>
      </c>
      <c r="G62" s="117">
        <f t="shared" si="3"/>
        <v>29.350000000000023</v>
      </c>
      <c r="H62" s="118">
        <f t="shared" si="2"/>
        <v>0.29349999999999454</v>
      </c>
    </row>
    <row r="63" spans="1:8" ht="12.75" x14ac:dyDescent="0.2">
      <c r="A63" s="13">
        <v>45594</v>
      </c>
      <c r="B63" s="14" t="s">
        <v>4</v>
      </c>
      <c r="C63" s="15">
        <v>0.95730000000000004</v>
      </c>
      <c r="D63" s="18">
        <v>586</v>
      </c>
      <c r="E63" s="19">
        <f t="shared" si="4"/>
        <v>25.022199999999998</v>
      </c>
      <c r="F63" s="20">
        <f t="shared" si="1"/>
        <v>1376.221</v>
      </c>
      <c r="G63" s="117">
        <f t="shared" si="3"/>
        <v>29.300000000000068</v>
      </c>
      <c r="H63" s="118">
        <f t="shared" si="2"/>
        <v>4.2778000000000702</v>
      </c>
    </row>
    <row r="64" spans="1:8" ht="12.75" x14ac:dyDescent="0.2">
      <c r="A64" s="13">
        <v>45595</v>
      </c>
      <c r="B64" s="14" t="s">
        <v>5</v>
      </c>
      <c r="C64" s="15">
        <v>0.94720000000000004</v>
      </c>
      <c r="D64" s="18">
        <v>587</v>
      </c>
      <c r="E64" s="19">
        <f t="shared" si="4"/>
        <v>30.993600000000015</v>
      </c>
      <c r="F64" s="20">
        <f t="shared" si="1"/>
        <v>1704.6480000000008</v>
      </c>
      <c r="G64" s="117">
        <f t="shared" si="3"/>
        <v>29.350000000000023</v>
      </c>
      <c r="H64" s="118">
        <f t="shared" si="2"/>
        <v>-1.6435999999999922</v>
      </c>
    </row>
    <row r="65" spans="1:8" ht="12.75" x14ac:dyDescent="0.2">
      <c r="A65" s="13">
        <v>45596</v>
      </c>
      <c r="B65" s="14" t="s">
        <v>6</v>
      </c>
      <c r="C65" s="15">
        <v>0.9506</v>
      </c>
      <c r="D65" s="18">
        <v>587</v>
      </c>
      <c r="E65" s="19">
        <f t="shared" si="4"/>
        <v>28.997799999999984</v>
      </c>
      <c r="F65" s="20">
        <f t="shared" si="1"/>
        <v>1594.878999999999</v>
      </c>
      <c r="G65" s="117">
        <f t="shared" si="3"/>
        <v>29.350000000000023</v>
      </c>
      <c r="H65" s="118">
        <f t="shared" si="2"/>
        <v>0.35220000000003893</v>
      </c>
    </row>
    <row r="66" spans="1:8" ht="12.75" x14ac:dyDescent="0.2">
      <c r="A66" s="13">
        <v>45597</v>
      </c>
      <c r="B66" s="14" t="s">
        <v>7</v>
      </c>
      <c r="C66" s="15">
        <v>0.84330000000000005</v>
      </c>
      <c r="D66" s="18">
        <v>587</v>
      </c>
      <c r="E66" s="19">
        <f t="shared" si="4"/>
        <v>91.982899999999972</v>
      </c>
      <c r="F66" s="20">
        <f t="shared" si="1"/>
        <v>5059.0594999999985</v>
      </c>
      <c r="G66" s="117">
        <f t="shared" si="3"/>
        <v>29.350000000000023</v>
      </c>
      <c r="H66" s="118">
        <f t="shared" si="2"/>
        <v>-62.63289999999995</v>
      </c>
    </row>
    <row r="67" spans="1:8" ht="12.75" x14ac:dyDescent="0.2">
      <c r="A67" s="38">
        <v>45600</v>
      </c>
      <c r="B67" s="39" t="s">
        <v>3</v>
      </c>
      <c r="C67" s="40">
        <v>0</v>
      </c>
      <c r="D67" s="43"/>
      <c r="E67" s="19">
        <f t="shared" si="4"/>
        <v>0</v>
      </c>
      <c r="F67" s="20">
        <f t="shared" si="1"/>
        <v>0</v>
      </c>
      <c r="G67" s="117">
        <f t="shared" si="3"/>
        <v>0</v>
      </c>
      <c r="H67" s="118">
        <f t="shared" si="2"/>
        <v>0</v>
      </c>
    </row>
    <row r="68" spans="1:8" ht="12.75" x14ac:dyDescent="0.2">
      <c r="A68" s="30">
        <v>45601</v>
      </c>
      <c r="B68" s="31" t="s">
        <v>4</v>
      </c>
      <c r="C68" s="32">
        <v>0</v>
      </c>
      <c r="D68" s="35"/>
      <c r="E68" s="19">
        <f t="shared" si="4"/>
        <v>0</v>
      </c>
      <c r="F68" s="20">
        <f t="shared" si="1"/>
        <v>0</v>
      </c>
      <c r="G68" s="117">
        <f t="shared" si="3"/>
        <v>0</v>
      </c>
      <c r="H68" s="118">
        <f t="shared" si="2"/>
        <v>0</v>
      </c>
    </row>
    <row r="69" spans="1:8" ht="12.75" x14ac:dyDescent="0.2">
      <c r="A69" s="13">
        <v>45602</v>
      </c>
      <c r="B69" s="14" t="s">
        <v>5</v>
      </c>
      <c r="C69" s="15">
        <v>0.9456</v>
      </c>
      <c r="D69" s="18">
        <v>588</v>
      </c>
      <c r="E69" s="19">
        <f t="shared" si="4"/>
        <v>31.98720000000003</v>
      </c>
      <c r="F69" s="20">
        <f t="shared" si="1"/>
        <v>1759.2960000000016</v>
      </c>
      <c r="G69" s="117">
        <f t="shared" si="3"/>
        <v>29.399999999999977</v>
      </c>
      <c r="H69" s="118">
        <f t="shared" si="2"/>
        <v>-2.5872000000000526</v>
      </c>
    </row>
    <row r="70" spans="1:8" ht="12.75" x14ac:dyDescent="0.2">
      <c r="A70" s="13">
        <v>45603</v>
      </c>
      <c r="B70" s="14" t="s">
        <v>6</v>
      </c>
      <c r="C70" s="15">
        <v>0.97450000000000003</v>
      </c>
      <c r="D70" s="18">
        <v>588</v>
      </c>
      <c r="E70" s="19">
        <f t="shared" si="4"/>
        <v>14.994000000000028</v>
      </c>
      <c r="F70" s="20">
        <f t="shared" si="1"/>
        <v>824.67000000000155</v>
      </c>
      <c r="G70" s="117">
        <f t="shared" si="3"/>
        <v>29.399999999999977</v>
      </c>
      <c r="H70" s="118">
        <f t="shared" si="2"/>
        <v>14.405999999999949</v>
      </c>
    </row>
    <row r="71" spans="1:8" ht="12.75" x14ac:dyDescent="0.2">
      <c r="A71" s="13">
        <v>45604</v>
      </c>
      <c r="B71" s="14" t="s">
        <v>7</v>
      </c>
      <c r="C71" s="15">
        <v>0.9677</v>
      </c>
      <c r="D71" s="18">
        <v>589</v>
      </c>
      <c r="E71" s="19">
        <f t="shared" ref="E71:E102" si="5">D71-(C71*D71)</f>
        <v>19.024700000000053</v>
      </c>
      <c r="F71" s="20">
        <f t="shared" si="1"/>
        <v>1046.358500000003</v>
      </c>
      <c r="G71" s="117">
        <f t="shared" si="3"/>
        <v>29.450000000000045</v>
      </c>
      <c r="H71" s="118">
        <f t="shared" si="2"/>
        <v>10.425299999999993</v>
      </c>
    </row>
    <row r="72" spans="1:8" ht="12.75" x14ac:dyDescent="0.2">
      <c r="A72" s="13">
        <v>45607</v>
      </c>
      <c r="B72" s="14" t="s">
        <v>3</v>
      </c>
      <c r="C72" s="15">
        <v>0.95430000000000004</v>
      </c>
      <c r="D72" s="18">
        <v>591</v>
      </c>
      <c r="E72" s="19">
        <f t="shared" si="5"/>
        <v>27.008699999999976</v>
      </c>
      <c r="F72" s="20">
        <f t="shared" si="1"/>
        <v>1485.4784999999988</v>
      </c>
      <c r="G72" s="117">
        <f t="shared" si="3"/>
        <v>29.550000000000068</v>
      </c>
      <c r="H72" s="118">
        <f t="shared" si="2"/>
        <v>2.541300000000092</v>
      </c>
    </row>
    <row r="73" spans="1:8" ht="12.75" x14ac:dyDescent="0.2">
      <c r="A73" s="13">
        <v>45608</v>
      </c>
      <c r="B73" s="14" t="s">
        <v>4</v>
      </c>
      <c r="C73" s="15">
        <v>0.95089999999999997</v>
      </c>
      <c r="D73" s="18">
        <v>591</v>
      </c>
      <c r="E73" s="19">
        <f t="shared" si="5"/>
        <v>29.018100000000004</v>
      </c>
      <c r="F73" s="20">
        <f t="shared" si="1"/>
        <v>1595.9955000000002</v>
      </c>
      <c r="G73" s="117">
        <f t="shared" si="3"/>
        <v>29.550000000000068</v>
      </c>
      <c r="H73" s="118">
        <f t="shared" si="2"/>
        <v>0.53190000000006421</v>
      </c>
    </row>
    <row r="74" spans="1:8" ht="12.75" x14ac:dyDescent="0.2">
      <c r="A74" s="13">
        <v>45609</v>
      </c>
      <c r="B74" s="14" t="s">
        <v>5</v>
      </c>
      <c r="C74" s="15">
        <v>0.95940000000000003</v>
      </c>
      <c r="D74" s="18">
        <v>591</v>
      </c>
      <c r="E74" s="19">
        <f t="shared" si="5"/>
        <v>23.994599999999991</v>
      </c>
      <c r="F74" s="20">
        <f t="shared" si="1"/>
        <v>1319.7029999999995</v>
      </c>
      <c r="G74" s="117">
        <f t="shared" si="3"/>
        <v>29.550000000000068</v>
      </c>
      <c r="H74" s="118">
        <f t="shared" si="2"/>
        <v>5.5554000000000769</v>
      </c>
    </row>
    <row r="75" spans="1:8" ht="12.75" x14ac:dyDescent="0.2">
      <c r="A75" s="13">
        <v>45610</v>
      </c>
      <c r="B75" s="14" t="s">
        <v>6</v>
      </c>
      <c r="C75" s="15">
        <v>0.92889999999999995</v>
      </c>
      <c r="D75" s="18">
        <v>591</v>
      </c>
      <c r="E75" s="19">
        <f t="shared" si="5"/>
        <v>42.02010000000007</v>
      </c>
      <c r="F75" s="20">
        <f t="shared" si="1"/>
        <v>2311.1055000000038</v>
      </c>
      <c r="G75" s="117">
        <f t="shared" si="3"/>
        <v>29.550000000000068</v>
      </c>
      <c r="H75" s="118">
        <f t="shared" si="2"/>
        <v>-12.470100000000002</v>
      </c>
    </row>
    <row r="76" spans="1:8" ht="12.75" x14ac:dyDescent="0.2">
      <c r="A76" s="13">
        <v>45611</v>
      </c>
      <c r="B76" s="14" t="s">
        <v>7</v>
      </c>
      <c r="C76" s="15">
        <v>0.89849999999999997</v>
      </c>
      <c r="D76" s="18">
        <v>591</v>
      </c>
      <c r="E76" s="19">
        <f t="shared" si="5"/>
        <v>59.986499999999978</v>
      </c>
      <c r="F76" s="20">
        <f t="shared" si="1"/>
        <v>3299.2574999999988</v>
      </c>
      <c r="G76" s="117">
        <f t="shared" si="3"/>
        <v>29.550000000000068</v>
      </c>
      <c r="H76" s="118">
        <f t="shared" si="2"/>
        <v>-30.43649999999991</v>
      </c>
    </row>
    <row r="77" spans="1:8" ht="12.75" x14ac:dyDescent="0.2">
      <c r="A77" s="13">
        <v>45614</v>
      </c>
      <c r="B77" s="14" t="s">
        <v>3</v>
      </c>
      <c r="C77" s="15">
        <v>0.93569999999999998</v>
      </c>
      <c r="D77" s="18">
        <v>591</v>
      </c>
      <c r="E77" s="19">
        <f t="shared" si="5"/>
        <v>38.001300000000015</v>
      </c>
      <c r="F77" s="20">
        <f t="shared" si="1"/>
        <v>2090.0715000000009</v>
      </c>
      <c r="G77" s="117">
        <f t="shared" si="3"/>
        <v>29.550000000000068</v>
      </c>
      <c r="H77" s="118">
        <f t="shared" si="2"/>
        <v>-8.4512999999999465</v>
      </c>
    </row>
    <row r="78" spans="1:8" ht="12.75" x14ac:dyDescent="0.2">
      <c r="A78" s="13">
        <v>45615</v>
      </c>
      <c r="B78" s="14" t="s">
        <v>4</v>
      </c>
      <c r="C78" s="15">
        <v>0.93569999999999998</v>
      </c>
      <c r="D78" s="18">
        <v>591</v>
      </c>
      <c r="E78" s="19">
        <f t="shared" si="5"/>
        <v>38.001300000000015</v>
      </c>
      <c r="F78" s="20">
        <f t="shared" si="1"/>
        <v>2090.0715000000009</v>
      </c>
      <c r="G78" s="117">
        <f t="shared" si="3"/>
        <v>29.550000000000068</v>
      </c>
      <c r="H78" s="118">
        <f t="shared" si="2"/>
        <v>-8.4512999999999465</v>
      </c>
    </row>
    <row r="79" spans="1:8" ht="12.75" x14ac:dyDescent="0.2">
      <c r="A79" s="13">
        <v>45616</v>
      </c>
      <c r="B79" s="14" t="s">
        <v>5</v>
      </c>
      <c r="C79" s="15">
        <v>0.96279999999999999</v>
      </c>
      <c r="D79" s="18">
        <v>591</v>
      </c>
      <c r="E79" s="19">
        <f t="shared" si="5"/>
        <v>21.985199999999963</v>
      </c>
      <c r="F79" s="20">
        <f t="shared" si="1"/>
        <v>1209.1859999999979</v>
      </c>
      <c r="G79" s="117">
        <f t="shared" si="3"/>
        <v>29.550000000000068</v>
      </c>
      <c r="H79" s="118">
        <f t="shared" si="2"/>
        <v>7.5648000000001048</v>
      </c>
    </row>
    <row r="80" spans="1:8" ht="12.75" x14ac:dyDescent="0.2">
      <c r="A80" s="13">
        <v>45617</v>
      </c>
      <c r="B80" s="14" t="s">
        <v>6</v>
      </c>
      <c r="C80" s="15">
        <v>0.94420000000000004</v>
      </c>
      <c r="D80" s="18">
        <v>591</v>
      </c>
      <c r="E80" s="19">
        <f t="shared" si="5"/>
        <v>32.977800000000002</v>
      </c>
      <c r="F80" s="20">
        <f t="shared" si="1"/>
        <v>1813.779</v>
      </c>
      <c r="G80" s="117">
        <f t="shared" si="3"/>
        <v>29.550000000000068</v>
      </c>
      <c r="H80" s="118">
        <f t="shared" si="2"/>
        <v>-3.4277999999999338</v>
      </c>
    </row>
    <row r="81" spans="1:8" ht="12.75" x14ac:dyDescent="0.2">
      <c r="A81" s="13">
        <v>45618</v>
      </c>
      <c r="B81" s="14" t="s">
        <v>7</v>
      </c>
      <c r="C81" s="15">
        <v>0.92220000000000002</v>
      </c>
      <c r="D81" s="18">
        <v>591</v>
      </c>
      <c r="E81" s="19">
        <f t="shared" si="5"/>
        <v>45.979799999999955</v>
      </c>
      <c r="F81" s="20">
        <f t="shared" si="1"/>
        <v>2528.8889999999974</v>
      </c>
      <c r="G81" s="117">
        <f t="shared" si="3"/>
        <v>29.550000000000068</v>
      </c>
      <c r="H81" s="118">
        <f t="shared" si="2"/>
        <v>-16.429799999999886</v>
      </c>
    </row>
    <row r="82" spans="1:8" ht="12.75" x14ac:dyDescent="0.2">
      <c r="A82" s="30">
        <v>45621</v>
      </c>
      <c r="B82" s="31" t="s">
        <v>3</v>
      </c>
      <c r="C82" s="32">
        <v>0</v>
      </c>
      <c r="D82" s="35"/>
      <c r="E82" s="19">
        <f t="shared" si="5"/>
        <v>0</v>
      </c>
      <c r="F82" s="20">
        <f t="shared" si="1"/>
        <v>0</v>
      </c>
      <c r="G82" s="117">
        <f t="shared" si="3"/>
        <v>0</v>
      </c>
      <c r="H82" s="118">
        <f t="shared" si="2"/>
        <v>0</v>
      </c>
    </row>
    <row r="83" spans="1:8" ht="12.75" x14ac:dyDescent="0.2">
      <c r="A83" s="30">
        <v>45622</v>
      </c>
      <c r="B83" s="31" t="s">
        <v>4</v>
      </c>
      <c r="C83" s="32">
        <v>0</v>
      </c>
      <c r="D83" s="35"/>
      <c r="E83" s="19">
        <f t="shared" si="5"/>
        <v>0</v>
      </c>
      <c r="F83" s="20">
        <f t="shared" si="1"/>
        <v>0</v>
      </c>
      <c r="G83" s="117">
        <f t="shared" si="3"/>
        <v>0</v>
      </c>
      <c r="H83" s="118">
        <f t="shared" si="2"/>
        <v>0</v>
      </c>
    </row>
    <row r="84" spans="1:8" ht="12.75" x14ac:dyDescent="0.2">
      <c r="A84" s="30">
        <v>45623</v>
      </c>
      <c r="B84" s="31" t="s">
        <v>5</v>
      </c>
      <c r="C84" s="32">
        <v>0</v>
      </c>
      <c r="D84" s="35"/>
      <c r="E84" s="19">
        <f t="shared" si="5"/>
        <v>0</v>
      </c>
      <c r="F84" s="20">
        <f t="shared" si="1"/>
        <v>0</v>
      </c>
      <c r="G84" s="117">
        <f t="shared" si="3"/>
        <v>0</v>
      </c>
      <c r="H84" s="118">
        <f t="shared" si="2"/>
        <v>0</v>
      </c>
    </row>
    <row r="85" spans="1:8" ht="12.75" x14ac:dyDescent="0.2">
      <c r="A85" s="30">
        <v>45624</v>
      </c>
      <c r="B85" s="31" t="s">
        <v>6</v>
      </c>
      <c r="C85" s="32">
        <v>0</v>
      </c>
      <c r="D85" s="35"/>
      <c r="E85" s="19">
        <f t="shared" ref="E85:E93" si="6">D85-(C86*D85)</f>
        <v>0</v>
      </c>
      <c r="F85" s="20">
        <f t="shared" si="1"/>
        <v>0</v>
      </c>
      <c r="G85" s="117">
        <f t="shared" si="3"/>
        <v>0</v>
      </c>
      <c r="H85" s="118">
        <f t="shared" si="2"/>
        <v>0</v>
      </c>
    </row>
    <row r="86" spans="1:8" ht="12.75" x14ac:dyDescent="0.2">
      <c r="A86" s="30">
        <v>45625</v>
      </c>
      <c r="B86" s="31" t="s">
        <v>7</v>
      </c>
      <c r="C86" s="32">
        <v>0</v>
      </c>
      <c r="D86" s="35"/>
      <c r="E86" s="19">
        <f t="shared" si="6"/>
        <v>0</v>
      </c>
      <c r="F86" s="20">
        <f t="shared" si="1"/>
        <v>0</v>
      </c>
      <c r="G86" s="117">
        <f t="shared" si="3"/>
        <v>0</v>
      </c>
      <c r="H86" s="118">
        <f t="shared" si="2"/>
        <v>0</v>
      </c>
    </row>
    <row r="87" spans="1:8" ht="12.75" x14ac:dyDescent="0.2">
      <c r="A87" s="13">
        <v>45628</v>
      </c>
      <c r="B87" s="14" t="s">
        <v>3</v>
      </c>
      <c r="C87" s="15">
        <v>0.94569999999999999</v>
      </c>
      <c r="D87" s="18">
        <v>589</v>
      </c>
      <c r="E87" s="19">
        <f t="shared" si="6"/>
        <v>27.918599999999969</v>
      </c>
      <c r="F87" s="20">
        <f t="shared" si="1"/>
        <v>1535.5229999999983</v>
      </c>
      <c r="G87" s="117">
        <f t="shared" si="3"/>
        <v>29.450000000000045</v>
      </c>
      <c r="H87" s="118">
        <f t="shared" si="2"/>
        <v>1.531400000000076</v>
      </c>
    </row>
    <row r="88" spans="1:8" ht="12.75" x14ac:dyDescent="0.2">
      <c r="A88" s="13">
        <v>45629</v>
      </c>
      <c r="B88" s="14" t="s">
        <v>4</v>
      </c>
      <c r="C88" s="15">
        <v>0.9526</v>
      </c>
      <c r="D88" s="18">
        <v>591</v>
      </c>
      <c r="E88" s="19">
        <f t="shared" si="6"/>
        <v>24.999299999999948</v>
      </c>
      <c r="F88" s="20">
        <f t="shared" si="1"/>
        <v>1374.9614999999972</v>
      </c>
      <c r="G88" s="117">
        <f t="shared" si="3"/>
        <v>29.550000000000068</v>
      </c>
      <c r="H88" s="118">
        <f t="shared" si="2"/>
        <v>4.5507000000001199</v>
      </c>
    </row>
    <row r="89" spans="1:8" ht="12.75" x14ac:dyDescent="0.2">
      <c r="A89" s="13">
        <v>45630</v>
      </c>
      <c r="B89" s="14" t="s">
        <v>5</v>
      </c>
      <c r="C89" s="15">
        <v>0.9577</v>
      </c>
      <c r="D89" s="18">
        <v>591</v>
      </c>
      <c r="E89" s="19">
        <f t="shared" si="6"/>
        <v>39.065100000000029</v>
      </c>
      <c r="F89" s="20">
        <f t="shared" si="1"/>
        <v>2148.5805000000018</v>
      </c>
      <c r="G89" s="117">
        <f t="shared" si="3"/>
        <v>29.550000000000068</v>
      </c>
      <c r="H89" s="118">
        <f t="shared" si="2"/>
        <v>-9.5150999999999613</v>
      </c>
    </row>
    <row r="90" spans="1:8" ht="12.75" x14ac:dyDescent="0.2">
      <c r="A90" s="13">
        <v>45631</v>
      </c>
      <c r="B90" s="14" t="s">
        <v>6</v>
      </c>
      <c r="C90" s="15">
        <v>0.93389999999999995</v>
      </c>
      <c r="D90" s="18">
        <v>590</v>
      </c>
      <c r="E90" s="19">
        <f t="shared" si="6"/>
        <v>34.986999999999966</v>
      </c>
      <c r="F90" s="20">
        <f t="shared" si="1"/>
        <v>1924.284999999998</v>
      </c>
      <c r="G90" s="117">
        <f t="shared" si="3"/>
        <v>29.5</v>
      </c>
      <c r="H90" s="118">
        <f t="shared" si="2"/>
        <v>-5.4869999999999663</v>
      </c>
    </row>
    <row r="91" spans="1:8" ht="12.75" x14ac:dyDescent="0.2">
      <c r="A91" s="13">
        <v>45632</v>
      </c>
      <c r="B91" s="14" t="s">
        <v>7</v>
      </c>
      <c r="C91" s="15">
        <v>0.94069999999999998</v>
      </c>
      <c r="D91" s="18">
        <v>590</v>
      </c>
      <c r="E91" s="19">
        <f t="shared" si="6"/>
        <v>42.008000000000038</v>
      </c>
      <c r="F91" s="20">
        <f t="shared" si="1"/>
        <v>2310.4400000000023</v>
      </c>
      <c r="G91" s="117">
        <f t="shared" si="3"/>
        <v>29.5</v>
      </c>
      <c r="H91" s="118">
        <f t="shared" si="2"/>
        <v>-12.508000000000038</v>
      </c>
    </row>
    <row r="92" spans="1:8" ht="12.75" x14ac:dyDescent="0.2">
      <c r="A92" s="13">
        <v>45635</v>
      </c>
      <c r="B92" s="14" t="s">
        <v>3</v>
      </c>
      <c r="C92" s="15">
        <v>0.92879999999999996</v>
      </c>
      <c r="D92" s="18">
        <v>590</v>
      </c>
      <c r="E92" s="19">
        <f t="shared" si="6"/>
        <v>23.009999999999991</v>
      </c>
      <c r="F92" s="20">
        <f t="shared" si="1"/>
        <v>1265.5499999999995</v>
      </c>
      <c r="G92" s="117">
        <f t="shared" si="3"/>
        <v>29.5</v>
      </c>
      <c r="H92" s="118">
        <f t="shared" si="2"/>
        <v>6.4900000000000091</v>
      </c>
    </row>
    <row r="93" spans="1:8" ht="12.75" x14ac:dyDescent="0.2">
      <c r="A93" s="13">
        <v>45636</v>
      </c>
      <c r="B93" s="14" t="s">
        <v>4</v>
      </c>
      <c r="C93" s="15">
        <v>0.96099999999999997</v>
      </c>
      <c r="D93" s="18">
        <v>590</v>
      </c>
      <c r="E93" s="19">
        <f t="shared" si="6"/>
        <v>25.015999999999963</v>
      </c>
      <c r="F93" s="20">
        <f t="shared" si="1"/>
        <v>1375.8799999999978</v>
      </c>
      <c r="G93" s="117">
        <f t="shared" si="3"/>
        <v>29.5</v>
      </c>
      <c r="H93" s="118">
        <f t="shared" si="2"/>
        <v>4.4840000000000373</v>
      </c>
    </row>
    <row r="94" spans="1:8" ht="12.75" x14ac:dyDescent="0.2">
      <c r="A94" s="13">
        <v>45637</v>
      </c>
      <c r="B94" s="14" t="s">
        <v>5</v>
      </c>
      <c r="C94" s="15">
        <v>0.95760000000000001</v>
      </c>
      <c r="D94" s="18">
        <v>590</v>
      </c>
      <c r="E94" s="19">
        <f t="shared" ref="E94:E125" si="7">D94-(C94*D94)</f>
        <v>25.015999999999963</v>
      </c>
      <c r="F94" s="20">
        <f t="shared" si="1"/>
        <v>1375.8799999999978</v>
      </c>
      <c r="G94" s="117">
        <f t="shared" si="3"/>
        <v>29.5</v>
      </c>
      <c r="H94" s="118">
        <f t="shared" si="2"/>
        <v>4.4840000000000373</v>
      </c>
    </row>
    <row r="95" spans="1:8" ht="12.75" x14ac:dyDescent="0.2">
      <c r="A95" s="13">
        <v>45638</v>
      </c>
      <c r="B95" s="14" t="s">
        <v>6</v>
      </c>
      <c r="C95" s="15">
        <v>0.94410000000000005</v>
      </c>
      <c r="D95" s="18">
        <v>592</v>
      </c>
      <c r="E95" s="19">
        <f t="shared" si="7"/>
        <v>33.092800000000011</v>
      </c>
      <c r="F95" s="20">
        <f t="shared" si="1"/>
        <v>1820.1040000000007</v>
      </c>
      <c r="G95" s="117">
        <f t="shared" si="3"/>
        <v>29.600000000000023</v>
      </c>
      <c r="H95" s="118">
        <f t="shared" si="2"/>
        <v>-3.4927999999999884</v>
      </c>
    </row>
    <row r="96" spans="1:8" ht="12.75" x14ac:dyDescent="0.2">
      <c r="A96" s="13">
        <v>45639</v>
      </c>
      <c r="B96" s="14" t="s">
        <v>7</v>
      </c>
      <c r="C96" s="15">
        <v>0.9274</v>
      </c>
      <c r="D96" s="18">
        <v>592</v>
      </c>
      <c r="E96" s="19">
        <f t="shared" si="7"/>
        <v>42.979199999999992</v>
      </c>
      <c r="F96" s="20">
        <f t="shared" si="1"/>
        <v>2363.8559999999998</v>
      </c>
      <c r="G96" s="117">
        <f t="shared" si="3"/>
        <v>29.600000000000023</v>
      </c>
      <c r="H96" s="118">
        <f t="shared" si="2"/>
        <v>-13.379199999999969</v>
      </c>
    </row>
    <row r="97" spans="1:8" ht="12.75" x14ac:dyDescent="0.2">
      <c r="A97" s="13">
        <v>45642</v>
      </c>
      <c r="B97" s="14" t="s">
        <v>3</v>
      </c>
      <c r="C97" s="15">
        <v>0.95440000000000003</v>
      </c>
      <c r="D97" s="18">
        <v>592</v>
      </c>
      <c r="E97" s="19">
        <f t="shared" si="7"/>
        <v>26.995199999999954</v>
      </c>
      <c r="F97" s="20">
        <f t="shared" si="1"/>
        <v>1484.7359999999976</v>
      </c>
      <c r="G97" s="117">
        <f t="shared" si="3"/>
        <v>29.600000000000023</v>
      </c>
      <c r="H97" s="118">
        <f t="shared" si="2"/>
        <v>2.6048000000000684</v>
      </c>
    </row>
    <row r="98" spans="1:8" ht="12.75" x14ac:dyDescent="0.2">
      <c r="A98" s="13">
        <v>45643</v>
      </c>
      <c r="B98" s="14" t="s">
        <v>4</v>
      </c>
      <c r="C98" s="15">
        <v>0.95779999999999998</v>
      </c>
      <c r="D98" s="18">
        <v>592</v>
      </c>
      <c r="E98" s="19">
        <f t="shared" si="7"/>
        <v>24.982399999999984</v>
      </c>
      <c r="F98" s="20">
        <f t="shared" si="1"/>
        <v>1374.0319999999992</v>
      </c>
      <c r="G98" s="117">
        <f t="shared" si="3"/>
        <v>29.600000000000023</v>
      </c>
      <c r="H98" s="118">
        <f t="shared" si="2"/>
        <v>4.6176000000000386</v>
      </c>
    </row>
    <row r="99" spans="1:8" ht="12.75" x14ac:dyDescent="0.2">
      <c r="A99" s="13">
        <v>45644</v>
      </c>
      <c r="B99" s="14" t="s">
        <v>5</v>
      </c>
      <c r="C99" s="15">
        <v>0.95950000000000002</v>
      </c>
      <c r="D99" s="18">
        <v>592</v>
      </c>
      <c r="E99" s="19">
        <f t="shared" si="7"/>
        <v>23.975999999999999</v>
      </c>
      <c r="F99" s="20">
        <f t="shared" si="1"/>
        <v>1318.6799999999998</v>
      </c>
      <c r="G99" s="117">
        <f t="shared" si="3"/>
        <v>29.600000000000023</v>
      </c>
      <c r="H99" s="118">
        <f t="shared" si="2"/>
        <v>5.6240000000000236</v>
      </c>
    </row>
    <row r="100" spans="1:8" ht="12.75" x14ac:dyDescent="0.2">
      <c r="A100" s="13">
        <v>45645</v>
      </c>
      <c r="B100" s="14" t="s">
        <v>6</v>
      </c>
      <c r="C100" s="15">
        <v>0.96450000000000002</v>
      </c>
      <c r="D100" s="18">
        <v>591</v>
      </c>
      <c r="E100" s="19">
        <f t="shared" si="7"/>
        <v>20.980500000000006</v>
      </c>
      <c r="F100" s="20">
        <f t="shared" si="1"/>
        <v>1153.9275000000002</v>
      </c>
      <c r="G100" s="117">
        <f t="shared" si="3"/>
        <v>29.550000000000068</v>
      </c>
      <c r="H100" s="118">
        <f t="shared" si="2"/>
        <v>8.5695000000000618</v>
      </c>
    </row>
    <row r="101" spans="1:8" ht="12.75" x14ac:dyDescent="0.2">
      <c r="A101" s="13">
        <v>45646</v>
      </c>
      <c r="B101" s="14" t="s">
        <v>7</v>
      </c>
      <c r="C101" s="15">
        <v>0.80369999999999997</v>
      </c>
      <c r="D101" s="18">
        <v>591</v>
      </c>
      <c r="E101" s="19">
        <f t="shared" si="7"/>
        <v>116.01330000000002</v>
      </c>
      <c r="F101" s="20">
        <f t="shared" si="1"/>
        <v>6380.7315000000008</v>
      </c>
      <c r="G101" s="117">
        <f t="shared" si="3"/>
        <v>29.550000000000068</v>
      </c>
      <c r="H101" s="118">
        <f t="shared" si="2"/>
        <v>-86.463299999999947</v>
      </c>
    </row>
    <row r="102" spans="1:8" ht="12.75" x14ac:dyDescent="0.2">
      <c r="A102" s="24">
        <v>45649</v>
      </c>
      <c r="B102" s="25" t="s">
        <v>3</v>
      </c>
      <c r="C102" s="26">
        <v>0</v>
      </c>
      <c r="D102" s="29"/>
      <c r="E102" s="19">
        <f t="shared" si="7"/>
        <v>0</v>
      </c>
      <c r="F102" s="20">
        <f t="shared" si="1"/>
        <v>0</v>
      </c>
      <c r="G102" s="117">
        <f t="shared" si="3"/>
        <v>0</v>
      </c>
      <c r="H102" s="118">
        <f t="shared" si="2"/>
        <v>0</v>
      </c>
    </row>
    <row r="103" spans="1:8" ht="12.75" x14ac:dyDescent="0.2">
      <c r="A103" s="24">
        <v>45650</v>
      </c>
      <c r="B103" s="25" t="s">
        <v>4</v>
      </c>
      <c r="C103" s="26">
        <v>0</v>
      </c>
      <c r="D103" s="29"/>
      <c r="E103" s="19">
        <f t="shared" si="7"/>
        <v>0</v>
      </c>
      <c r="F103" s="20">
        <f t="shared" si="1"/>
        <v>0</v>
      </c>
      <c r="G103" s="117">
        <f t="shared" si="3"/>
        <v>0</v>
      </c>
      <c r="H103" s="118">
        <f t="shared" si="2"/>
        <v>0</v>
      </c>
    </row>
    <row r="104" spans="1:8" ht="12.75" x14ac:dyDescent="0.2">
      <c r="A104" s="24">
        <v>45651</v>
      </c>
      <c r="B104" s="25" t="s">
        <v>5</v>
      </c>
      <c r="C104" s="26">
        <v>0</v>
      </c>
      <c r="D104" s="29"/>
      <c r="E104" s="19">
        <f t="shared" si="7"/>
        <v>0</v>
      </c>
      <c r="F104" s="20">
        <f t="shared" si="1"/>
        <v>0</v>
      </c>
      <c r="G104" s="117">
        <f t="shared" si="3"/>
        <v>0</v>
      </c>
      <c r="H104" s="118">
        <f t="shared" si="2"/>
        <v>0</v>
      </c>
    </row>
    <row r="105" spans="1:8" ht="12.75" x14ac:dyDescent="0.2">
      <c r="A105" s="24">
        <v>45652</v>
      </c>
      <c r="B105" s="25" t="s">
        <v>6</v>
      </c>
      <c r="C105" s="26">
        <v>0</v>
      </c>
      <c r="D105" s="29"/>
      <c r="E105" s="19">
        <f t="shared" si="7"/>
        <v>0</v>
      </c>
      <c r="F105" s="20">
        <f t="shared" si="1"/>
        <v>0</v>
      </c>
      <c r="G105" s="117">
        <f t="shared" si="3"/>
        <v>0</v>
      </c>
      <c r="H105" s="118">
        <f t="shared" si="2"/>
        <v>0</v>
      </c>
    </row>
    <row r="106" spans="1:8" ht="12.75" x14ac:dyDescent="0.2">
      <c r="A106" s="24">
        <v>45653</v>
      </c>
      <c r="B106" s="25" t="s">
        <v>7</v>
      </c>
      <c r="C106" s="26">
        <v>0</v>
      </c>
      <c r="D106" s="29"/>
      <c r="E106" s="19">
        <f t="shared" si="7"/>
        <v>0</v>
      </c>
      <c r="F106" s="20">
        <f t="shared" si="1"/>
        <v>0</v>
      </c>
      <c r="G106" s="117">
        <f t="shared" si="3"/>
        <v>0</v>
      </c>
      <c r="H106" s="118">
        <f t="shared" si="2"/>
        <v>0</v>
      </c>
    </row>
    <row r="107" spans="1:8" ht="12.75" x14ac:dyDescent="0.2">
      <c r="A107" s="24">
        <v>45656</v>
      </c>
      <c r="B107" s="25" t="s">
        <v>3</v>
      </c>
      <c r="C107" s="26">
        <v>0</v>
      </c>
      <c r="D107" s="29"/>
      <c r="E107" s="19">
        <f t="shared" si="7"/>
        <v>0</v>
      </c>
      <c r="F107" s="20">
        <f t="shared" si="1"/>
        <v>0</v>
      </c>
      <c r="G107" s="117">
        <f t="shared" si="3"/>
        <v>0</v>
      </c>
      <c r="H107" s="118">
        <f t="shared" si="2"/>
        <v>0</v>
      </c>
    </row>
    <row r="108" spans="1:8" ht="12.75" x14ac:dyDescent="0.2">
      <c r="A108" s="24">
        <v>45657</v>
      </c>
      <c r="B108" s="25" t="s">
        <v>4</v>
      </c>
      <c r="C108" s="26">
        <v>0</v>
      </c>
      <c r="D108" s="29"/>
      <c r="E108" s="19">
        <f t="shared" si="7"/>
        <v>0</v>
      </c>
      <c r="F108" s="20">
        <f t="shared" si="1"/>
        <v>0</v>
      </c>
      <c r="G108" s="117">
        <f t="shared" si="3"/>
        <v>0</v>
      </c>
      <c r="H108" s="118">
        <f t="shared" si="2"/>
        <v>0</v>
      </c>
    </row>
    <row r="109" spans="1:8" ht="12.75" x14ac:dyDescent="0.2">
      <c r="A109" s="24">
        <v>45658</v>
      </c>
      <c r="B109" s="25" t="s">
        <v>5</v>
      </c>
      <c r="C109" s="26">
        <v>0</v>
      </c>
      <c r="D109" s="29"/>
      <c r="E109" s="19">
        <f t="shared" si="7"/>
        <v>0</v>
      </c>
      <c r="F109" s="20">
        <f t="shared" si="1"/>
        <v>0</v>
      </c>
      <c r="G109" s="117">
        <f t="shared" si="3"/>
        <v>0</v>
      </c>
      <c r="H109" s="118">
        <f t="shared" si="2"/>
        <v>0</v>
      </c>
    </row>
    <row r="110" spans="1:8" ht="12.75" x14ac:dyDescent="0.2">
      <c r="A110" s="24">
        <v>45659</v>
      </c>
      <c r="B110" s="25" t="s">
        <v>6</v>
      </c>
      <c r="C110" s="26">
        <v>0</v>
      </c>
      <c r="D110" s="29"/>
      <c r="E110" s="19">
        <f t="shared" si="7"/>
        <v>0</v>
      </c>
      <c r="F110" s="20">
        <f t="shared" si="1"/>
        <v>0</v>
      </c>
      <c r="G110" s="117">
        <f t="shared" si="3"/>
        <v>0</v>
      </c>
      <c r="H110" s="118">
        <f t="shared" si="2"/>
        <v>0</v>
      </c>
    </row>
    <row r="111" spans="1:8" ht="12.75" x14ac:dyDescent="0.2">
      <c r="A111" s="24">
        <v>45660</v>
      </c>
      <c r="B111" s="25" t="s">
        <v>7</v>
      </c>
      <c r="C111" s="26">
        <v>0</v>
      </c>
      <c r="D111" s="29"/>
      <c r="E111" s="19">
        <f t="shared" si="7"/>
        <v>0</v>
      </c>
      <c r="F111" s="20">
        <f t="shared" si="1"/>
        <v>0</v>
      </c>
      <c r="G111" s="117">
        <f t="shared" si="3"/>
        <v>0</v>
      </c>
      <c r="H111" s="118">
        <f t="shared" si="2"/>
        <v>0</v>
      </c>
    </row>
    <row r="112" spans="1:8" ht="12.75" x14ac:dyDescent="0.2">
      <c r="A112" s="30">
        <v>45663</v>
      </c>
      <c r="B112" s="31" t="s">
        <v>3</v>
      </c>
      <c r="C112" s="26">
        <v>0</v>
      </c>
      <c r="D112" s="35"/>
      <c r="E112" s="19">
        <f t="shared" si="7"/>
        <v>0</v>
      </c>
      <c r="F112" s="20">
        <f t="shared" si="1"/>
        <v>0</v>
      </c>
      <c r="G112" s="117">
        <f t="shared" si="3"/>
        <v>0</v>
      </c>
      <c r="H112" s="118">
        <f t="shared" si="2"/>
        <v>0</v>
      </c>
    </row>
    <row r="113" spans="1:8" ht="12.75" x14ac:dyDescent="0.2">
      <c r="A113" s="30">
        <v>45664</v>
      </c>
      <c r="B113" s="31" t="s">
        <v>4</v>
      </c>
      <c r="C113" s="32"/>
      <c r="D113" s="35"/>
      <c r="E113" s="19">
        <f t="shared" si="7"/>
        <v>0</v>
      </c>
      <c r="F113" s="20">
        <f t="shared" si="1"/>
        <v>0</v>
      </c>
      <c r="G113" s="117">
        <f t="shared" si="3"/>
        <v>0</v>
      </c>
      <c r="H113" s="118">
        <f t="shared" si="2"/>
        <v>0</v>
      </c>
    </row>
    <row r="114" spans="1:8" ht="12.75" x14ac:dyDescent="0.2">
      <c r="A114" s="13">
        <v>45665</v>
      </c>
      <c r="B114" s="14" t="s">
        <v>5</v>
      </c>
      <c r="C114" s="15">
        <v>0.92369999999999997</v>
      </c>
      <c r="D114" s="18">
        <v>591</v>
      </c>
      <c r="E114" s="19">
        <f t="shared" si="7"/>
        <v>45.093299999999999</v>
      </c>
      <c r="F114" s="20">
        <f t="shared" si="1"/>
        <v>2480.1315</v>
      </c>
      <c r="G114" s="117">
        <f t="shared" si="3"/>
        <v>29.550000000000068</v>
      </c>
      <c r="H114" s="118">
        <f t="shared" si="2"/>
        <v>-15.543299999999931</v>
      </c>
    </row>
    <row r="115" spans="1:8" ht="12.75" x14ac:dyDescent="0.2">
      <c r="A115" s="13">
        <v>45666</v>
      </c>
      <c r="B115" s="14" t="s">
        <v>6</v>
      </c>
      <c r="C115" s="15">
        <v>0.91820000000000002</v>
      </c>
      <c r="D115" s="18">
        <v>587</v>
      </c>
      <c r="E115" s="19">
        <f t="shared" si="7"/>
        <v>48.016600000000039</v>
      </c>
      <c r="F115" s="20">
        <f t="shared" si="1"/>
        <v>2640.9130000000023</v>
      </c>
      <c r="G115" s="117">
        <f t="shared" si="3"/>
        <v>29.350000000000023</v>
      </c>
      <c r="H115" s="118">
        <f t="shared" si="2"/>
        <v>-18.666600000000017</v>
      </c>
    </row>
    <row r="116" spans="1:8" ht="12.75" x14ac:dyDescent="0.2">
      <c r="A116" s="13">
        <v>45667</v>
      </c>
      <c r="B116" s="14" t="s">
        <v>7</v>
      </c>
      <c r="C116" s="15">
        <v>0.91139999999999999</v>
      </c>
      <c r="D116" s="18">
        <v>587</v>
      </c>
      <c r="E116" s="19">
        <f t="shared" si="7"/>
        <v>52.008199999999988</v>
      </c>
      <c r="F116" s="20">
        <f t="shared" si="1"/>
        <v>2860.4509999999991</v>
      </c>
      <c r="G116" s="117">
        <f t="shared" si="3"/>
        <v>29.350000000000023</v>
      </c>
      <c r="H116" s="118">
        <f t="shared" si="2"/>
        <v>-22.658199999999965</v>
      </c>
    </row>
    <row r="117" spans="1:8" ht="12.75" x14ac:dyDescent="0.2">
      <c r="A117" s="13">
        <v>45670</v>
      </c>
      <c r="B117" s="14" t="s">
        <v>3</v>
      </c>
      <c r="C117" s="15">
        <v>0.9456</v>
      </c>
      <c r="D117" s="18">
        <v>588</v>
      </c>
      <c r="E117" s="19">
        <f t="shared" si="7"/>
        <v>31.98720000000003</v>
      </c>
      <c r="F117" s="20">
        <f t="shared" si="1"/>
        <v>1759.2960000000016</v>
      </c>
      <c r="G117" s="117">
        <f t="shared" si="3"/>
        <v>29.399999999999977</v>
      </c>
      <c r="H117" s="118">
        <f t="shared" si="2"/>
        <v>-2.5872000000000526</v>
      </c>
    </row>
    <row r="118" spans="1:8" ht="12.75" x14ac:dyDescent="0.2">
      <c r="A118" s="13">
        <v>45671</v>
      </c>
      <c r="B118" s="14" t="s">
        <v>4</v>
      </c>
      <c r="C118" s="15">
        <v>0.94740000000000002</v>
      </c>
      <c r="D118" s="18">
        <v>589</v>
      </c>
      <c r="E118" s="19">
        <f t="shared" si="7"/>
        <v>30.981400000000008</v>
      </c>
      <c r="F118" s="20">
        <f t="shared" si="1"/>
        <v>1703.9770000000003</v>
      </c>
      <c r="G118" s="117">
        <f t="shared" si="3"/>
        <v>29.450000000000045</v>
      </c>
      <c r="H118" s="118">
        <f t="shared" si="2"/>
        <v>-1.5313999999999623</v>
      </c>
    </row>
    <row r="119" spans="1:8" ht="12.75" x14ac:dyDescent="0.2">
      <c r="A119" s="13">
        <v>45672</v>
      </c>
      <c r="B119" s="14" t="s">
        <v>5</v>
      </c>
      <c r="C119" s="15">
        <v>0.95760000000000001</v>
      </c>
      <c r="D119" s="18">
        <v>589</v>
      </c>
      <c r="E119" s="19">
        <f t="shared" si="7"/>
        <v>24.973600000000033</v>
      </c>
      <c r="F119" s="20">
        <f t="shared" si="1"/>
        <v>1373.5480000000018</v>
      </c>
      <c r="G119" s="117">
        <f t="shared" si="3"/>
        <v>29.450000000000045</v>
      </c>
      <c r="H119" s="118">
        <f t="shared" si="2"/>
        <v>4.4764000000000124</v>
      </c>
    </row>
    <row r="120" spans="1:8" ht="12.75" x14ac:dyDescent="0.2">
      <c r="A120" s="13">
        <v>45673</v>
      </c>
      <c r="B120" s="14" t="s">
        <v>6</v>
      </c>
      <c r="C120" s="15">
        <v>0.95420000000000005</v>
      </c>
      <c r="D120" s="18">
        <v>589</v>
      </c>
      <c r="E120" s="19">
        <f t="shared" si="7"/>
        <v>26.976199999999949</v>
      </c>
      <c r="F120" s="20">
        <f t="shared" si="1"/>
        <v>1483.6909999999971</v>
      </c>
      <c r="G120" s="117">
        <f t="shared" si="3"/>
        <v>29.450000000000045</v>
      </c>
      <c r="H120" s="118">
        <f t="shared" si="2"/>
        <v>2.4738000000000966</v>
      </c>
    </row>
    <row r="121" spans="1:8" ht="12.75" x14ac:dyDescent="0.2">
      <c r="A121" s="13">
        <v>45674</v>
      </c>
      <c r="B121" s="14" t="s">
        <v>7</v>
      </c>
      <c r="C121" s="15">
        <v>0.94740000000000002</v>
      </c>
      <c r="D121" s="18">
        <v>589</v>
      </c>
      <c r="E121" s="19">
        <f t="shared" si="7"/>
        <v>30.981400000000008</v>
      </c>
      <c r="F121" s="20">
        <f t="shared" si="1"/>
        <v>1703.9770000000003</v>
      </c>
      <c r="G121" s="117">
        <f t="shared" si="3"/>
        <v>29.450000000000045</v>
      </c>
      <c r="H121" s="118">
        <f t="shared" si="2"/>
        <v>-1.5313999999999623</v>
      </c>
    </row>
    <row r="122" spans="1:8" ht="12.75" x14ac:dyDescent="0.2">
      <c r="A122" s="24">
        <v>45677</v>
      </c>
      <c r="B122" s="25" t="s">
        <v>3</v>
      </c>
      <c r="C122" s="26">
        <v>0</v>
      </c>
      <c r="D122" s="29"/>
      <c r="E122" s="19">
        <f t="shared" si="7"/>
        <v>0</v>
      </c>
      <c r="F122" s="20">
        <f t="shared" si="1"/>
        <v>0</v>
      </c>
      <c r="G122" s="117">
        <f t="shared" si="3"/>
        <v>0</v>
      </c>
      <c r="H122" s="118">
        <f t="shared" si="2"/>
        <v>0</v>
      </c>
    </row>
    <row r="123" spans="1:8" ht="12.75" x14ac:dyDescent="0.2">
      <c r="A123" s="13">
        <v>45678</v>
      </c>
      <c r="B123" s="14" t="s">
        <v>4</v>
      </c>
      <c r="C123" s="15"/>
      <c r="E123" s="19">
        <f t="shared" si="7"/>
        <v>0</v>
      </c>
      <c r="F123" s="20">
        <f t="shared" si="1"/>
        <v>0</v>
      </c>
      <c r="G123" s="117">
        <f t="shared" si="3"/>
        <v>0</v>
      </c>
      <c r="H123" s="118">
        <f t="shared" si="2"/>
        <v>0</v>
      </c>
    </row>
    <row r="124" spans="1:8" ht="12.75" x14ac:dyDescent="0.2">
      <c r="A124" s="13">
        <v>45679</v>
      </c>
      <c r="B124" s="14" t="s">
        <v>5</v>
      </c>
      <c r="C124" s="15"/>
      <c r="E124" s="19">
        <f t="shared" si="7"/>
        <v>0</v>
      </c>
      <c r="F124" s="20">
        <f t="shared" si="1"/>
        <v>0</v>
      </c>
      <c r="G124" s="117">
        <f t="shared" si="3"/>
        <v>0</v>
      </c>
      <c r="H124" s="118">
        <f t="shared" si="2"/>
        <v>0</v>
      </c>
    </row>
    <row r="125" spans="1:8" ht="12.75" x14ac:dyDescent="0.2">
      <c r="A125" s="13">
        <v>45680</v>
      </c>
      <c r="B125" s="14" t="s">
        <v>6</v>
      </c>
      <c r="C125" s="15">
        <v>0.81830000000000003</v>
      </c>
      <c r="D125" s="18">
        <v>589</v>
      </c>
      <c r="E125" s="19">
        <f t="shared" si="7"/>
        <v>107.0213</v>
      </c>
      <c r="F125" s="20">
        <f t="shared" si="1"/>
        <v>5886.1714999999995</v>
      </c>
      <c r="G125" s="117">
        <f t="shared" si="3"/>
        <v>29.450000000000045</v>
      </c>
      <c r="H125" s="118">
        <f t="shared" si="2"/>
        <v>-77.571299999999951</v>
      </c>
    </row>
    <row r="126" spans="1:8" ht="12.75" x14ac:dyDescent="0.2">
      <c r="A126" s="13">
        <v>45681</v>
      </c>
      <c r="B126" s="14" t="s">
        <v>7</v>
      </c>
      <c r="C126" s="15">
        <v>0.89129999999999998</v>
      </c>
      <c r="D126" s="18">
        <v>589</v>
      </c>
      <c r="E126" s="19">
        <f t="shared" ref="E126:E157" si="8">D126-(C126*D126)</f>
        <v>64.024300000000039</v>
      </c>
      <c r="F126" s="20">
        <f t="shared" si="1"/>
        <v>3521.3365000000022</v>
      </c>
      <c r="G126" s="117">
        <f t="shared" si="3"/>
        <v>29.450000000000045</v>
      </c>
      <c r="H126" s="118">
        <f t="shared" si="2"/>
        <v>-34.574299999999994</v>
      </c>
    </row>
    <row r="127" spans="1:8" ht="12.75" x14ac:dyDescent="0.2">
      <c r="A127" s="13">
        <v>45684</v>
      </c>
      <c r="B127" s="14" t="s">
        <v>3</v>
      </c>
      <c r="C127" s="15">
        <v>0.95930000000000004</v>
      </c>
      <c r="D127" s="18">
        <v>590</v>
      </c>
      <c r="E127" s="19">
        <f t="shared" si="8"/>
        <v>24.01299999999992</v>
      </c>
      <c r="F127" s="20">
        <f t="shared" si="1"/>
        <v>1320.7149999999956</v>
      </c>
      <c r="G127" s="117">
        <f t="shared" si="3"/>
        <v>29.5</v>
      </c>
      <c r="H127" s="118">
        <f t="shared" si="2"/>
        <v>5.48700000000008</v>
      </c>
    </row>
    <row r="128" spans="1:8" ht="12.75" x14ac:dyDescent="0.2">
      <c r="A128" s="13">
        <v>45685</v>
      </c>
      <c r="B128" s="14" t="s">
        <v>4</v>
      </c>
      <c r="C128" s="15">
        <v>0.96440000000000003</v>
      </c>
      <c r="D128" s="18">
        <v>590</v>
      </c>
      <c r="E128" s="19">
        <f t="shared" si="8"/>
        <v>21.004000000000019</v>
      </c>
      <c r="F128" s="20">
        <f t="shared" si="1"/>
        <v>1155.2200000000012</v>
      </c>
      <c r="G128" s="117">
        <f t="shared" si="3"/>
        <v>29.5</v>
      </c>
      <c r="H128" s="118">
        <f t="shared" si="2"/>
        <v>8.4959999999999809</v>
      </c>
    </row>
    <row r="129" spans="1:8" ht="12.75" x14ac:dyDescent="0.2">
      <c r="A129" s="13">
        <v>45686</v>
      </c>
      <c r="B129" s="14" t="s">
        <v>5</v>
      </c>
      <c r="C129" s="15">
        <v>0.93240000000000001</v>
      </c>
      <c r="D129" s="18">
        <v>592</v>
      </c>
      <c r="E129" s="19">
        <f t="shared" si="8"/>
        <v>40.019199999999955</v>
      </c>
      <c r="F129" s="20">
        <f t="shared" si="1"/>
        <v>2201.0559999999978</v>
      </c>
      <c r="G129" s="117">
        <f t="shared" si="3"/>
        <v>29.600000000000023</v>
      </c>
      <c r="H129" s="118">
        <f t="shared" si="2"/>
        <v>-10.419199999999933</v>
      </c>
    </row>
    <row r="130" spans="1:8" ht="12.75" x14ac:dyDescent="0.2">
      <c r="A130" s="13">
        <v>45687</v>
      </c>
      <c r="B130" s="14" t="s">
        <v>6</v>
      </c>
      <c r="C130" s="15">
        <v>0.9375</v>
      </c>
      <c r="D130" s="18">
        <v>592</v>
      </c>
      <c r="E130" s="19">
        <f t="shared" si="8"/>
        <v>37</v>
      </c>
      <c r="F130" s="20">
        <f t="shared" si="1"/>
        <v>2035</v>
      </c>
      <c r="G130" s="117">
        <f t="shared" si="3"/>
        <v>29.600000000000023</v>
      </c>
      <c r="H130" s="118">
        <f t="shared" si="2"/>
        <v>-7.3999999999999773</v>
      </c>
    </row>
    <row r="131" spans="1:8" ht="12.75" x14ac:dyDescent="0.2">
      <c r="A131" s="13">
        <v>45688</v>
      </c>
      <c r="B131" s="14" t="s">
        <v>7</v>
      </c>
      <c r="C131" s="15">
        <v>0.91549999999999998</v>
      </c>
      <c r="D131" s="18">
        <v>592</v>
      </c>
      <c r="E131" s="19">
        <f t="shared" si="8"/>
        <v>50.024000000000001</v>
      </c>
      <c r="F131" s="20">
        <f t="shared" si="1"/>
        <v>2751.32</v>
      </c>
      <c r="G131" s="117">
        <f t="shared" si="3"/>
        <v>29.600000000000023</v>
      </c>
      <c r="H131" s="118">
        <f t="shared" si="2"/>
        <v>-20.423999999999978</v>
      </c>
    </row>
    <row r="132" spans="1:8" ht="12.75" x14ac:dyDescent="0.2">
      <c r="A132" s="13">
        <v>45691</v>
      </c>
      <c r="B132" s="14" t="s">
        <v>3</v>
      </c>
      <c r="C132" s="15">
        <v>0.80910000000000004</v>
      </c>
      <c r="D132" s="18">
        <v>592</v>
      </c>
      <c r="E132" s="19">
        <f t="shared" si="8"/>
        <v>113.01279999999997</v>
      </c>
      <c r="F132" s="20">
        <f t="shared" si="1"/>
        <v>6215.7039999999979</v>
      </c>
      <c r="G132" s="117">
        <f t="shared" si="3"/>
        <v>29.600000000000023</v>
      </c>
      <c r="H132" s="118">
        <f t="shared" si="2"/>
        <v>-83.412799999999947</v>
      </c>
    </row>
    <row r="133" spans="1:8" ht="12.75" x14ac:dyDescent="0.2">
      <c r="A133" s="13">
        <v>45692</v>
      </c>
      <c r="B133" s="14" t="s">
        <v>4</v>
      </c>
      <c r="C133" s="15">
        <v>0.9375</v>
      </c>
      <c r="D133" s="18">
        <v>592</v>
      </c>
      <c r="E133" s="19">
        <f t="shared" si="8"/>
        <v>37</v>
      </c>
      <c r="F133" s="20">
        <f t="shared" si="1"/>
        <v>2035</v>
      </c>
      <c r="G133" s="117">
        <f t="shared" si="3"/>
        <v>29.600000000000023</v>
      </c>
      <c r="H133" s="118">
        <f t="shared" si="2"/>
        <v>-7.3999999999999773</v>
      </c>
    </row>
    <row r="134" spans="1:8" ht="12.75" x14ac:dyDescent="0.2">
      <c r="A134" s="13">
        <v>45693</v>
      </c>
      <c r="B134" s="14" t="s">
        <v>5</v>
      </c>
      <c r="C134" s="15">
        <v>0.93579999999999997</v>
      </c>
      <c r="D134" s="18">
        <v>592</v>
      </c>
      <c r="E134" s="19">
        <f t="shared" si="8"/>
        <v>38.006399999999985</v>
      </c>
      <c r="F134" s="20">
        <f t="shared" si="1"/>
        <v>2090.351999999999</v>
      </c>
      <c r="G134" s="117">
        <f t="shared" si="3"/>
        <v>29.600000000000023</v>
      </c>
      <c r="H134" s="118">
        <f t="shared" si="2"/>
        <v>-8.4063999999999623</v>
      </c>
    </row>
    <row r="135" spans="1:8" ht="12.75" x14ac:dyDescent="0.2">
      <c r="A135" s="13">
        <v>45694</v>
      </c>
      <c r="B135" s="14" t="s">
        <v>6</v>
      </c>
      <c r="C135" s="15">
        <v>0.95099999999999996</v>
      </c>
      <c r="D135" s="18">
        <v>592</v>
      </c>
      <c r="E135" s="19">
        <f t="shared" si="8"/>
        <v>29.008000000000038</v>
      </c>
      <c r="F135" s="20">
        <f t="shared" si="1"/>
        <v>1595.4400000000021</v>
      </c>
      <c r="G135" s="117">
        <f t="shared" si="3"/>
        <v>29.600000000000023</v>
      </c>
      <c r="H135" s="118">
        <f t="shared" si="2"/>
        <v>0.59199999999998454</v>
      </c>
    </row>
    <row r="136" spans="1:8" ht="12.75" x14ac:dyDescent="0.2">
      <c r="A136" s="13">
        <v>45695</v>
      </c>
      <c r="B136" s="14" t="s">
        <v>7</v>
      </c>
      <c r="C136" s="15">
        <v>0.91220000000000001</v>
      </c>
      <c r="D136" s="18">
        <v>592</v>
      </c>
      <c r="E136" s="19">
        <f t="shared" si="8"/>
        <v>51.977599999999939</v>
      </c>
      <c r="F136" s="20">
        <f t="shared" si="1"/>
        <v>2858.7679999999964</v>
      </c>
      <c r="G136" s="117">
        <f t="shared" si="3"/>
        <v>29.600000000000023</v>
      </c>
      <c r="H136" s="118">
        <f t="shared" si="2"/>
        <v>-22.377599999999916</v>
      </c>
    </row>
    <row r="137" spans="1:8" ht="12.75" x14ac:dyDescent="0.2">
      <c r="A137" s="30">
        <v>45698</v>
      </c>
      <c r="B137" s="31" t="s">
        <v>3</v>
      </c>
      <c r="C137" s="32"/>
      <c r="D137" s="35"/>
      <c r="E137" s="19">
        <f t="shared" si="8"/>
        <v>0</v>
      </c>
      <c r="F137" s="20">
        <f t="shared" si="1"/>
        <v>0</v>
      </c>
      <c r="G137" s="117">
        <f t="shared" si="3"/>
        <v>0</v>
      </c>
      <c r="H137" s="118">
        <f t="shared" si="2"/>
        <v>0</v>
      </c>
    </row>
    <row r="138" spans="1:8" ht="12.75" x14ac:dyDescent="0.2">
      <c r="A138" s="30">
        <v>45699</v>
      </c>
      <c r="B138" s="31" t="s">
        <v>4</v>
      </c>
      <c r="C138" s="32"/>
      <c r="D138" s="35"/>
      <c r="E138" s="19">
        <f t="shared" si="8"/>
        <v>0</v>
      </c>
      <c r="F138" s="20">
        <f t="shared" si="1"/>
        <v>0</v>
      </c>
      <c r="G138" s="117">
        <f t="shared" si="3"/>
        <v>0</v>
      </c>
      <c r="H138" s="118">
        <f t="shared" si="2"/>
        <v>0</v>
      </c>
    </row>
    <row r="139" spans="1:8" ht="12.75" x14ac:dyDescent="0.2">
      <c r="A139" s="13">
        <v>45700</v>
      </c>
      <c r="B139" s="14" t="s">
        <v>5</v>
      </c>
      <c r="C139" s="15">
        <v>0.94430000000000003</v>
      </c>
      <c r="D139" s="18">
        <v>592</v>
      </c>
      <c r="E139" s="19">
        <f t="shared" si="8"/>
        <v>32.974399999999946</v>
      </c>
      <c r="F139" s="20">
        <f t="shared" si="1"/>
        <v>1813.5919999999969</v>
      </c>
      <c r="G139" s="117">
        <f t="shared" si="3"/>
        <v>29.600000000000023</v>
      </c>
      <c r="H139" s="118">
        <f t="shared" si="2"/>
        <v>-3.3743999999999232</v>
      </c>
    </row>
    <row r="140" spans="1:8" ht="12.75" x14ac:dyDescent="0.2">
      <c r="A140" s="13">
        <v>45701</v>
      </c>
      <c r="B140" s="14" t="s">
        <v>6</v>
      </c>
      <c r="C140" s="15">
        <v>0.95950000000000002</v>
      </c>
      <c r="D140" s="18">
        <v>592</v>
      </c>
      <c r="E140" s="19">
        <f t="shared" si="8"/>
        <v>23.975999999999999</v>
      </c>
      <c r="F140" s="20">
        <f t="shared" si="1"/>
        <v>1318.6799999999998</v>
      </c>
      <c r="G140" s="117">
        <f t="shared" si="3"/>
        <v>29.600000000000023</v>
      </c>
      <c r="H140" s="118">
        <f t="shared" si="2"/>
        <v>5.6240000000000236</v>
      </c>
    </row>
    <row r="141" spans="1:8" ht="12.75" x14ac:dyDescent="0.2">
      <c r="A141" s="13">
        <v>45702</v>
      </c>
      <c r="B141" s="14" t="s">
        <v>7</v>
      </c>
      <c r="C141" s="15">
        <v>0.96960000000000002</v>
      </c>
      <c r="D141" s="18">
        <v>592</v>
      </c>
      <c r="E141" s="19">
        <f t="shared" si="8"/>
        <v>17.996800000000007</v>
      </c>
      <c r="F141" s="20">
        <f t="shared" si="1"/>
        <v>989.82400000000041</v>
      </c>
      <c r="G141" s="117">
        <f t="shared" si="3"/>
        <v>29.600000000000023</v>
      </c>
      <c r="H141" s="118">
        <f t="shared" si="2"/>
        <v>11.603200000000015</v>
      </c>
    </row>
    <row r="142" spans="1:8" ht="12.75" x14ac:dyDescent="0.2">
      <c r="A142" s="38">
        <v>45705</v>
      </c>
      <c r="B142" s="39" t="s">
        <v>3</v>
      </c>
      <c r="C142" s="40"/>
      <c r="D142" s="43"/>
      <c r="E142" s="19">
        <f t="shared" si="8"/>
        <v>0</v>
      </c>
      <c r="F142" s="20">
        <f t="shared" si="1"/>
        <v>0</v>
      </c>
      <c r="G142" s="117">
        <f t="shared" si="3"/>
        <v>0</v>
      </c>
      <c r="H142" s="118">
        <f t="shared" si="2"/>
        <v>0</v>
      </c>
    </row>
    <row r="143" spans="1:8" ht="12.75" x14ac:dyDescent="0.2">
      <c r="A143" s="13">
        <v>45706</v>
      </c>
      <c r="B143" s="14" t="s">
        <v>4</v>
      </c>
      <c r="C143" s="15">
        <v>0.95250000000000001</v>
      </c>
      <c r="D143" s="18">
        <v>590</v>
      </c>
      <c r="E143" s="19">
        <f t="shared" si="8"/>
        <v>28.024999999999977</v>
      </c>
      <c r="F143" s="20">
        <f t="shared" si="1"/>
        <v>1541.3749999999986</v>
      </c>
      <c r="G143" s="117">
        <f t="shared" si="3"/>
        <v>29.5</v>
      </c>
      <c r="H143" s="118">
        <f t="shared" si="2"/>
        <v>1.4750000000000227</v>
      </c>
    </row>
    <row r="144" spans="1:8" ht="12.75" x14ac:dyDescent="0.2">
      <c r="A144" s="13">
        <v>45707</v>
      </c>
      <c r="B144" s="14" t="s">
        <v>5</v>
      </c>
      <c r="C144" s="15">
        <v>0.96779999999999999</v>
      </c>
      <c r="D144" s="18">
        <v>590</v>
      </c>
      <c r="E144" s="19">
        <f t="shared" si="8"/>
        <v>18.998000000000047</v>
      </c>
      <c r="F144" s="20">
        <f t="shared" si="1"/>
        <v>1044.8900000000026</v>
      </c>
      <c r="G144" s="117">
        <f t="shared" si="3"/>
        <v>29.5</v>
      </c>
      <c r="H144" s="118">
        <f t="shared" si="2"/>
        <v>10.501999999999953</v>
      </c>
    </row>
    <row r="145" spans="1:8" ht="12.75" x14ac:dyDescent="0.2">
      <c r="A145" s="13">
        <v>45708</v>
      </c>
      <c r="B145" s="14" t="s">
        <v>6</v>
      </c>
      <c r="C145" s="15">
        <v>0.92030000000000001</v>
      </c>
      <c r="D145" s="18">
        <v>590</v>
      </c>
      <c r="E145" s="19">
        <f t="shared" si="8"/>
        <v>47.023000000000025</v>
      </c>
      <c r="F145" s="20">
        <f t="shared" si="1"/>
        <v>2586.2650000000012</v>
      </c>
      <c r="G145" s="117">
        <f t="shared" si="3"/>
        <v>29.5</v>
      </c>
      <c r="H145" s="118">
        <f t="shared" si="2"/>
        <v>-17.523000000000025</v>
      </c>
    </row>
    <row r="146" spans="1:8" ht="12.75" x14ac:dyDescent="0.2">
      <c r="A146" s="13">
        <v>45709</v>
      </c>
      <c r="B146" s="14" t="s">
        <v>7</v>
      </c>
      <c r="C146" s="15">
        <v>0.95420000000000005</v>
      </c>
      <c r="D146" s="18">
        <v>590</v>
      </c>
      <c r="E146" s="19">
        <f t="shared" si="8"/>
        <v>27.021999999999935</v>
      </c>
      <c r="F146" s="20">
        <f t="shared" si="1"/>
        <v>1486.2099999999964</v>
      </c>
      <c r="G146" s="117">
        <f t="shared" si="3"/>
        <v>29.5</v>
      </c>
      <c r="H146" s="118">
        <f t="shared" si="2"/>
        <v>2.4780000000000655</v>
      </c>
    </row>
    <row r="147" spans="1:8" ht="12.75" x14ac:dyDescent="0.2">
      <c r="A147" s="13">
        <v>45712</v>
      </c>
      <c r="B147" s="14" t="s">
        <v>3</v>
      </c>
      <c r="C147" s="15">
        <v>0.9254</v>
      </c>
      <c r="D147" s="18">
        <v>590</v>
      </c>
      <c r="E147" s="19">
        <f t="shared" si="8"/>
        <v>44.01400000000001</v>
      </c>
      <c r="F147" s="20">
        <f t="shared" si="1"/>
        <v>2420.7700000000004</v>
      </c>
      <c r="G147" s="117">
        <f t="shared" si="3"/>
        <v>29.5</v>
      </c>
      <c r="H147" s="118">
        <f t="shared" si="2"/>
        <v>-14.51400000000001</v>
      </c>
    </row>
    <row r="148" spans="1:8" ht="12.75" x14ac:dyDescent="0.2">
      <c r="A148" s="13">
        <v>45713</v>
      </c>
      <c r="B148" s="14" t="s">
        <v>4</v>
      </c>
      <c r="C148" s="15">
        <v>0.96609999999999996</v>
      </c>
      <c r="D148" s="18">
        <v>590</v>
      </c>
      <c r="E148" s="19">
        <f t="shared" si="8"/>
        <v>20.000999999999976</v>
      </c>
      <c r="F148" s="20">
        <f t="shared" si="1"/>
        <v>1100.0549999999987</v>
      </c>
      <c r="G148" s="117">
        <f t="shared" si="3"/>
        <v>29.5</v>
      </c>
      <c r="H148" s="118">
        <f t="shared" si="2"/>
        <v>9.4990000000000236</v>
      </c>
    </row>
    <row r="149" spans="1:8" ht="12.75" x14ac:dyDescent="0.2">
      <c r="A149" s="13">
        <v>45714</v>
      </c>
      <c r="B149" s="14" t="s">
        <v>5</v>
      </c>
      <c r="C149" s="15">
        <v>0.95750000000000002</v>
      </c>
      <c r="D149" s="18">
        <v>588</v>
      </c>
      <c r="E149" s="19">
        <f t="shared" si="8"/>
        <v>24.990000000000009</v>
      </c>
      <c r="F149" s="20">
        <f t="shared" si="1"/>
        <v>1374.4500000000005</v>
      </c>
      <c r="G149" s="117">
        <f t="shared" si="3"/>
        <v>29.399999999999977</v>
      </c>
      <c r="H149" s="118">
        <f t="shared" si="2"/>
        <v>4.4099999999999682</v>
      </c>
    </row>
    <row r="150" spans="1:8" ht="12.75" x14ac:dyDescent="0.2">
      <c r="A150" s="13">
        <v>45715</v>
      </c>
      <c r="B150" s="14" t="s">
        <v>6</v>
      </c>
      <c r="C150" s="15">
        <v>0.95079999999999998</v>
      </c>
      <c r="D150" s="18">
        <v>590</v>
      </c>
      <c r="E150" s="19">
        <f t="shared" si="8"/>
        <v>29.02800000000002</v>
      </c>
      <c r="F150" s="20">
        <f t="shared" si="1"/>
        <v>1596.5400000000011</v>
      </c>
      <c r="G150" s="117">
        <f t="shared" si="3"/>
        <v>29.5</v>
      </c>
      <c r="H150" s="118">
        <f t="shared" si="2"/>
        <v>0.47199999999997999</v>
      </c>
    </row>
    <row r="151" spans="1:8" ht="12.75" x14ac:dyDescent="0.2">
      <c r="A151" s="13">
        <v>45716</v>
      </c>
      <c r="B151" s="14" t="s">
        <v>7</v>
      </c>
      <c r="C151" s="15">
        <v>0.94069999999999998</v>
      </c>
      <c r="D151" s="18">
        <v>590</v>
      </c>
      <c r="E151" s="19">
        <f t="shared" si="8"/>
        <v>34.986999999999966</v>
      </c>
      <c r="F151" s="20">
        <f t="shared" si="1"/>
        <v>1924.284999999998</v>
      </c>
      <c r="G151" s="117">
        <f t="shared" si="3"/>
        <v>29.5</v>
      </c>
      <c r="H151" s="118">
        <f t="shared" si="2"/>
        <v>-5.4869999999999663</v>
      </c>
    </row>
    <row r="152" spans="1:8" ht="12.75" x14ac:dyDescent="0.2">
      <c r="A152" s="13">
        <v>45719</v>
      </c>
      <c r="B152" s="14" t="s">
        <v>3</v>
      </c>
      <c r="C152" s="15">
        <v>0.93369999999999997</v>
      </c>
      <c r="D152" s="18">
        <v>588</v>
      </c>
      <c r="E152" s="19">
        <f t="shared" si="8"/>
        <v>38.984400000000051</v>
      </c>
      <c r="F152" s="20">
        <f t="shared" si="1"/>
        <v>2144.1420000000026</v>
      </c>
      <c r="G152" s="117">
        <f t="shared" si="3"/>
        <v>29.399999999999977</v>
      </c>
      <c r="H152" s="118">
        <f t="shared" si="2"/>
        <v>-9.5844000000000733</v>
      </c>
    </row>
    <row r="153" spans="1:8" ht="12.75" x14ac:dyDescent="0.2">
      <c r="A153" s="13">
        <v>45720</v>
      </c>
      <c r="B153" s="14" t="s">
        <v>4</v>
      </c>
      <c r="C153" s="15">
        <v>0.96430000000000005</v>
      </c>
      <c r="D153" s="18">
        <v>588</v>
      </c>
      <c r="E153" s="19">
        <f t="shared" si="8"/>
        <v>20.991599999999949</v>
      </c>
      <c r="F153" s="20">
        <f t="shared" si="1"/>
        <v>1154.5379999999973</v>
      </c>
      <c r="G153" s="117">
        <f t="shared" si="3"/>
        <v>29.399999999999977</v>
      </c>
      <c r="H153" s="118">
        <f t="shared" si="2"/>
        <v>8.4084000000000287</v>
      </c>
    </row>
    <row r="154" spans="1:8" ht="12.75" x14ac:dyDescent="0.2">
      <c r="A154" s="13">
        <v>45721</v>
      </c>
      <c r="B154" s="14" t="s">
        <v>5</v>
      </c>
      <c r="C154" s="15">
        <v>0.96599999999999997</v>
      </c>
      <c r="D154" s="18">
        <v>588</v>
      </c>
      <c r="E154" s="19">
        <f t="shared" si="8"/>
        <v>19.991999999999962</v>
      </c>
      <c r="F154" s="20">
        <f t="shared" si="1"/>
        <v>1099.5599999999979</v>
      </c>
      <c r="G154" s="117">
        <f t="shared" si="3"/>
        <v>29.399999999999977</v>
      </c>
      <c r="H154" s="118">
        <f t="shared" si="2"/>
        <v>9.4080000000000155</v>
      </c>
    </row>
    <row r="155" spans="1:8" ht="12.75" x14ac:dyDescent="0.2">
      <c r="A155" s="13">
        <v>45722</v>
      </c>
      <c r="B155" s="14" t="s">
        <v>6</v>
      </c>
      <c r="C155" s="15">
        <v>0.95760000000000001</v>
      </c>
      <c r="D155" s="18">
        <v>590</v>
      </c>
      <c r="E155" s="19">
        <f t="shared" si="8"/>
        <v>25.015999999999963</v>
      </c>
      <c r="F155" s="20">
        <f t="shared" si="1"/>
        <v>1375.8799999999978</v>
      </c>
      <c r="G155" s="117">
        <f t="shared" si="3"/>
        <v>29.5</v>
      </c>
      <c r="H155" s="118">
        <f t="shared" si="2"/>
        <v>4.4840000000000373</v>
      </c>
    </row>
    <row r="156" spans="1:8" ht="12.75" x14ac:dyDescent="0.2">
      <c r="A156" s="13">
        <v>45723</v>
      </c>
      <c r="B156" s="14" t="s">
        <v>7</v>
      </c>
      <c r="C156" s="15">
        <v>0.93730000000000002</v>
      </c>
      <c r="D156" s="18">
        <v>590</v>
      </c>
      <c r="E156" s="19">
        <f t="shared" si="8"/>
        <v>36.992999999999938</v>
      </c>
      <c r="F156" s="20">
        <f t="shared" si="1"/>
        <v>2034.6149999999966</v>
      </c>
      <c r="G156" s="117">
        <f t="shared" si="3"/>
        <v>29.5</v>
      </c>
      <c r="H156" s="118">
        <f t="shared" si="2"/>
        <v>-7.4929999999999382</v>
      </c>
    </row>
    <row r="157" spans="1:8" ht="12.75" x14ac:dyDescent="0.2">
      <c r="A157" s="44">
        <v>45726</v>
      </c>
      <c r="B157" s="45" t="s">
        <v>3</v>
      </c>
      <c r="C157" s="15">
        <v>0.91859999999999997</v>
      </c>
      <c r="D157" s="18">
        <v>590</v>
      </c>
      <c r="E157" s="19">
        <f t="shared" si="8"/>
        <v>48.026000000000067</v>
      </c>
      <c r="F157" s="20">
        <f t="shared" si="1"/>
        <v>2641.4300000000039</v>
      </c>
      <c r="G157" s="117">
        <f t="shared" si="3"/>
        <v>29.5</v>
      </c>
      <c r="H157" s="118">
        <f t="shared" si="2"/>
        <v>-18.526000000000067</v>
      </c>
    </row>
    <row r="158" spans="1:8" ht="12.75" x14ac:dyDescent="0.2">
      <c r="A158" s="44">
        <v>45727</v>
      </c>
      <c r="B158" s="45" t="s">
        <v>4</v>
      </c>
      <c r="C158" s="15">
        <v>0.96099999999999997</v>
      </c>
      <c r="D158" s="18">
        <v>590</v>
      </c>
      <c r="E158" s="19">
        <f t="shared" ref="E158:E189" si="9">D158-(C158*D158)</f>
        <v>23.009999999999991</v>
      </c>
      <c r="F158" s="20">
        <f t="shared" si="1"/>
        <v>1265.5499999999995</v>
      </c>
      <c r="G158" s="117">
        <f t="shared" si="3"/>
        <v>29.5</v>
      </c>
      <c r="H158" s="118">
        <f t="shared" si="2"/>
        <v>6.4900000000000091</v>
      </c>
    </row>
    <row r="159" spans="1:8" ht="12.75" x14ac:dyDescent="0.2">
      <c r="A159" s="44">
        <v>45728</v>
      </c>
      <c r="B159" s="45" t="s">
        <v>5</v>
      </c>
      <c r="C159" s="15"/>
      <c r="E159" s="19">
        <f t="shared" si="9"/>
        <v>0</v>
      </c>
      <c r="F159" s="20">
        <f t="shared" si="1"/>
        <v>0</v>
      </c>
      <c r="G159" s="117">
        <f t="shared" si="3"/>
        <v>0</v>
      </c>
      <c r="H159" s="118">
        <f t="shared" si="2"/>
        <v>0</v>
      </c>
    </row>
    <row r="160" spans="1:8" ht="12.75" x14ac:dyDescent="0.2">
      <c r="A160" s="44">
        <v>45729</v>
      </c>
      <c r="B160" s="45" t="s">
        <v>6</v>
      </c>
      <c r="C160" s="15"/>
      <c r="E160" s="19">
        <f t="shared" si="9"/>
        <v>0</v>
      </c>
      <c r="F160" s="20">
        <f t="shared" si="1"/>
        <v>0</v>
      </c>
      <c r="G160" s="117">
        <f t="shared" si="3"/>
        <v>0</v>
      </c>
      <c r="H160" s="118">
        <f t="shared" si="2"/>
        <v>0</v>
      </c>
    </row>
    <row r="161" spans="1:8" ht="12.75" x14ac:dyDescent="0.2">
      <c r="A161" s="44">
        <v>45730</v>
      </c>
      <c r="B161" s="45" t="s">
        <v>7</v>
      </c>
      <c r="C161" s="15"/>
      <c r="E161" s="19">
        <f t="shared" si="9"/>
        <v>0</v>
      </c>
      <c r="F161" s="20">
        <f t="shared" si="1"/>
        <v>0</v>
      </c>
      <c r="G161" s="117">
        <f t="shared" si="3"/>
        <v>0</v>
      </c>
      <c r="H161" s="118">
        <f t="shared" si="2"/>
        <v>0</v>
      </c>
    </row>
    <row r="162" spans="1:8" ht="12.75" x14ac:dyDescent="0.2">
      <c r="A162" s="24">
        <v>45733</v>
      </c>
      <c r="B162" s="25" t="s">
        <v>3</v>
      </c>
      <c r="C162" s="26"/>
      <c r="D162" s="29"/>
      <c r="E162" s="19">
        <f t="shared" si="9"/>
        <v>0</v>
      </c>
      <c r="F162" s="20">
        <f t="shared" si="1"/>
        <v>0</v>
      </c>
      <c r="G162" s="117">
        <f t="shared" si="3"/>
        <v>0</v>
      </c>
      <c r="H162" s="118">
        <f t="shared" si="2"/>
        <v>0</v>
      </c>
    </row>
    <row r="163" spans="1:8" ht="12.75" x14ac:dyDescent="0.2">
      <c r="A163" s="24">
        <v>45734</v>
      </c>
      <c r="B163" s="25" t="s">
        <v>4</v>
      </c>
      <c r="C163" s="26"/>
      <c r="D163" s="29"/>
      <c r="E163" s="19">
        <f t="shared" si="9"/>
        <v>0</v>
      </c>
      <c r="F163" s="20">
        <f t="shared" si="1"/>
        <v>0</v>
      </c>
      <c r="G163" s="117">
        <f t="shared" si="3"/>
        <v>0</v>
      </c>
      <c r="H163" s="118">
        <f t="shared" si="2"/>
        <v>0</v>
      </c>
    </row>
    <row r="164" spans="1:8" ht="12.75" x14ac:dyDescent="0.2">
      <c r="A164" s="24">
        <v>45735</v>
      </c>
      <c r="B164" s="25" t="s">
        <v>5</v>
      </c>
      <c r="C164" s="26"/>
      <c r="D164" s="29"/>
      <c r="E164" s="19">
        <f t="shared" si="9"/>
        <v>0</v>
      </c>
      <c r="F164" s="20">
        <f t="shared" si="1"/>
        <v>0</v>
      </c>
      <c r="G164" s="117">
        <f t="shared" si="3"/>
        <v>0</v>
      </c>
      <c r="H164" s="118">
        <f t="shared" si="2"/>
        <v>0</v>
      </c>
    </row>
    <row r="165" spans="1:8" ht="12.75" x14ac:dyDescent="0.2">
      <c r="A165" s="24">
        <v>45736</v>
      </c>
      <c r="B165" s="25" t="s">
        <v>6</v>
      </c>
      <c r="C165" s="26"/>
      <c r="D165" s="29"/>
      <c r="E165" s="19">
        <f t="shared" si="9"/>
        <v>0</v>
      </c>
      <c r="F165" s="20">
        <f t="shared" si="1"/>
        <v>0</v>
      </c>
      <c r="G165" s="117">
        <f t="shared" si="3"/>
        <v>0</v>
      </c>
      <c r="H165" s="118">
        <f t="shared" si="2"/>
        <v>0</v>
      </c>
    </row>
    <row r="166" spans="1:8" ht="12.75" x14ac:dyDescent="0.2">
      <c r="A166" s="24">
        <v>45737</v>
      </c>
      <c r="B166" s="25" t="s">
        <v>7</v>
      </c>
      <c r="C166" s="26"/>
      <c r="D166" s="29"/>
      <c r="E166" s="19">
        <f t="shared" si="9"/>
        <v>0</v>
      </c>
      <c r="F166" s="20">
        <f t="shared" si="1"/>
        <v>0</v>
      </c>
      <c r="G166" s="117">
        <f t="shared" si="3"/>
        <v>0</v>
      </c>
      <c r="H166" s="118">
        <f t="shared" si="2"/>
        <v>0</v>
      </c>
    </row>
    <row r="167" spans="1:8" ht="12.75" x14ac:dyDescent="0.2">
      <c r="A167" s="13">
        <v>45740</v>
      </c>
      <c r="B167" s="14" t="s">
        <v>3</v>
      </c>
      <c r="C167" s="15"/>
      <c r="E167" s="19">
        <f t="shared" si="9"/>
        <v>0</v>
      </c>
      <c r="F167" s="20">
        <f t="shared" si="1"/>
        <v>0</v>
      </c>
      <c r="G167" s="117">
        <f t="shared" si="3"/>
        <v>0</v>
      </c>
      <c r="H167" s="118">
        <f t="shared" si="2"/>
        <v>0</v>
      </c>
    </row>
    <row r="168" spans="1:8" ht="12.75" x14ac:dyDescent="0.2">
      <c r="A168" s="13">
        <v>45741</v>
      </c>
      <c r="B168" s="14" t="s">
        <v>4</v>
      </c>
      <c r="C168" s="15"/>
      <c r="E168" s="19">
        <f t="shared" si="9"/>
        <v>0</v>
      </c>
      <c r="F168" s="20">
        <f t="shared" si="1"/>
        <v>0</v>
      </c>
      <c r="G168" s="117">
        <f t="shared" si="3"/>
        <v>0</v>
      </c>
      <c r="H168" s="118">
        <f t="shared" si="2"/>
        <v>0</v>
      </c>
    </row>
    <row r="169" spans="1:8" ht="12.75" x14ac:dyDescent="0.2">
      <c r="A169" s="13">
        <v>45742</v>
      </c>
      <c r="B169" s="14" t="s">
        <v>5</v>
      </c>
      <c r="C169" s="15"/>
      <c r="E169" s="19">
        <f t="shared" si="9"/>
        <v>0</v>
      </c>
      <c r="F169" s="20">
        <f t="shared" si="1"/>
        <v>0</v>
      </c>
      <c r="G169" s="117">
        <f t="shared" si="3"/>
        <v>0</v>
      </c>
      <c r="H169" s="118">
        <f t="shared" si="2"/>
        <v>0</v>
      </c>
    </row>
    <row r="170" spans="1:8" ht="12.75" x14ac:dyDescent="0.2">
      <c r="A170" s="13">
        <v>45743</v>
      </c>
      <c r="B170" s="14" t="s">
        <v>6</v>
      </c>
      <c r="C170" s="15"/>
      <c r="E170" s="19">
        <f t="shared" si="9"/>
        <v>0</v>
      </c>
      <c r="F170" s="20">
        <f t="shared" si="1"/>
        <v>0</v>
      </c>
      <c r="G170" s="117">
        <f t="shared" si="3"/>
        <v>0</v>
      </c>
      <c r="H170" s="118">
        <f t="shared" si="2"/>
        <v>0</v>
      </c>
    </row>
    <row r="171" spans="1:8" ht="12.75" x14ac:dyDescent="0.2">
      <c r="A171" s="13">
        <v>45744</v>
      </c>
      <c r="B171" s="14" t="s">
        <v>7</v>
      </c>
      <c r="C171" s="15"/>
      <c r="E171" s="19">
        <f t="shared" si="9"/>
        <v>0</v>
      </c>
      <c r="F171" s="20">
        <f t="shared" si="1"/>
        <v>0</v>
      </c>
      <c r="G171" s="117">
        <f t="shared" si="3"/>
        <v>0</v>
      </c>
      <c r="H171" s="118">
        <f t="shared" si="2"/>
        <v>0</v>
      </c>
    </row>
    <row r="172" spans="1:8" ht="12.75" x14ac:dyDescent="0.2">
      <c r="A172" s="13">
        <v>45747</v>
      </c>
      <c r="B172" s="14" t="s">
        <v>3</v>
      </c>
      <c r="C172" s="15"/>
      <c r="E172" s="19">
        <f t="shared" si="9"/>
        <v>0</v>
      </c>
      <c r="F172" s="20">
        <f t="shared" si="1"/>
        <v>0</v>
      </c>
      <c r="G172" s="117">
        <f t="shared" si="3"/>
        <v>0</v>
      </c>
      <c r="H172" s="118">
        <f t="shared" si="2"/>
        <v>0</v>
      </c>
    </row>
    <row r="173" spans="1:8" ht="12.75" x14ac:dyDescent="0.2">
      <c r="A173" s="13">
        <v>45748</v>
      </c>
      <c r="B173" s="14" t="s">
        <v>4</v>
      </c>
      <c r="C173" s="15"/>
      <c r="E173" s="19">
        <f t="shared" si="9"/>
        <v>0</v>
      </c>
      <c r="F173" s="20">
        <f t="shared" si="1"/>
        <v>0</v>
      </c>
      <c r="G173" s="117">
        <f t="shared" si="3"/>
        <v>0</v>
      </c>
      <c r="H173" s="118">
        <f t="shared" si="2"/>
        <v>0</v>
      </c>
    </row>
    <row r="174" spans="1:8" ht="12.75" x14ac:dyDescent="0.2">
      <c r="A174" s="13">
        <v>45749</v>
      </c>
      <c r="B174" s="14" t="s">
        <v>5</v>
      </c>
      <c r="C174" s="15"/>
      <c r="E174" s="19">
        <f t="shared" si="9"/>
        <v>0</v>
      </c>
      <c r="F174" s="20">
        <f t="shared" si="1"/>
        <v>0</v>
      </c>
      <c r="G174" s="117">
        <f t="shared" si="3"/>
        <v>0</v>
      </c>
      <c r="H174" s="118">
        <f t="shared" si="2"/>
        <v>0</v>
      </c>
    </row>
    <row r="175" spans="1:8" ht="12.75" x14ac:dyDescent="0.2">
      <c r="A175" s="13">
        <v>45750</v>
      </c>
      <c r="B175" s="14" t="s">
        <v>6</v>
      </c>
      <c r="C175" s="15"/>
      <c r="E175" s="19">
        <f t="shared" si="9"/>
        <v>0</v>
      </c>
      <c r="F175" s="20">
        <f t="shared" si="1"/>
        <v>0</v>
      </c>
      <c r="G175" s="117">
        <f t="shared" si="3"/>
        <v>0</v>
      </c>
      <c r="H175" s="118">
        <f t="shared" si="2"/>
        <v>0</v>
      </c>
    </row>
    <row r="176" spans="1:8" ht="12.75" x14ac:dyDescent="0.2">
      <c r="A176" s="13">
        <v>45751</v>
      </c>
      <c r="B176" s="14" t="s">
        <v>7</v>
      </c>
      <c r="C176" s="15"/>
      <c r="E176" s="19">
        <f t="shared" si="9"/>
        <v>0</v>
      </c>
      <c r="F176" s="20">
        <f t="shared" si="1"/>
        <v>0</v>
      </c>
      <c r="G176" s="117">
        <f t="shared" si="3"/>
        <v>0</v>
      </c>
      <c r="H176" s="118">
        <f t="shared" si="2"/>
        <v>0</v>
      </c>
    </row>
    <row r="177" spans="1:8" ht="12.75" x14ac:dyDescent="0.2">
      <c r="A177" s="13">
        <v>45754</v>
      </c>
      <c r="B177" s="14" t="s">
        <v>3</v>
      </c>
      <c r="C177" s="15"/>
      <c r="E177" s="19">
        <f t="shared" si="9"/>
        <v>0</v>
      </c>
      <c r="F177" s="20">
        <f t="shared" si="1"/>
        <v>0</v>
      </c>
      <c r="G177" s="117">
        <f t="shared" si="3"/>
        <v>0</v>
      </c>
      <c r="H177" s="118">
        <f t="shared" si="2"/>
        <v>0</v>
      </c>
    </row>
    <row r="178" spans="1:8" ht="12.75" x14ac:dyDescent="0.2">
      <c r="A178" s="13">
        <v>45755</v>
      </c>
      <c r="B178" s="14" t="s">
        <v>4</v>
      </c>
      <c r="C178" s="15"/>
      <c r="E178" s="19">
        <f t="shared" si="9"/>
        <v>0</v>
      </c>
      <c r="F178" s="20">
        <f t="shared" si="1"/>
        <v>0</v>
      </c>
      <c r="G178" s="117">
        <f t="shared" si="3"/>
        <v>0</v>
      </c>
      <c r="H178" s="118">
        <f t="shared" si="2"/>
        <v>0</v>
      </c>
    </row>
    <row r="179" spans="1:8" ht="12.75" x14ac:dyDescent="0.2">
      <c r="A179" s="13">
        <v>45756</v>
      </c>
      <c r="B179" s="14" t="s">
        <v>5</v>
      </c>
      <c r="C179" s="15"/>
      <c r="E179" s="19">
        <f t="shared" si="9"/>
        <v>0</v>
      </c>
      <c r="F179" s="20">
        <f t="shared" si="1"/>
        <v>0</v>
      </c>
      <c r="G179" s="117">
        <f t="shared" si="3"/>
        <v>0</v>
      </c>
      <c r="H179" s="118">
        <f t="shared" si="2"/>
        <v>0</v>
      </c>
    </row>
    <row r="180" spans="1:8" ht="12.75" x14ac:dyDescent="0.2">
      <c r="A180" s="13">
        <v>45757</v>
      </c>
      <c r="B180" s="14" t="s">
        <v>6</v>
      </c>
      <c r="C180" s="15"/>
      <c r="E180" s="19">
        <f t="shared" si="9"/>
        <v>0</v>
      </c>
      <c r="F180" s="20">
        <f t="shared" si="1"/>
        <v>0</v>
      </c>
      <c r="G180" s="117">
        <f t="shared" si="3"/>
        <v>0</v>
      </c>
      <c r="H180" s="118">
        <f t="shared" si="2"/>
        <v>0</v>
      </c>
    </row>
    <row r="181" spans="1:8" ht="12.75" x14ac:dyDescent="0.2">
      <c r="A181" s="13">
        <v>45758</v>
      </c>
      <c r="B181" s="14" t="s">
        <v>7</v>
      </c>
      <c r="C181" s="15"/>
      <c r="E181" s="19">
        <f t="shared" si="9"/>
        <v>0</v>
      </c>
      <c r="F181" s="20">
        <f t="shared" si="1"/>
        <v>0</v>
      </c>
      <c r="G181" s="117">
        <f t="shared" si="3"/>
        <v>0</v>
      </c>
      <c r="H181" s="118">
        <f t="shared" si="2"/>
        <v>0</v>
      </c>
    </row>
    <row r="182" spans="1:8" ht="12.75" x14ac:dyDescent="0.2">
      <c r="A182" s="13">
        <v>45761</v>
      </c>
      <c r="B182" s="14" t="s">
        <v>3</v>
      </c>
      <c r="C182" s="15"/>
      <c r="E182" s="19">
        <f t="shared" si="9"/>
        <v>0</v>
      </c>
      <c r="F182" s="20">
        <f t="shared" si="1"/>
        <v>0</v>
      </c>
      <c r="G182" s="117">
        <f t="shared" si="3"/>
        <v>0</v>
      </c>
      <c r="H182" s="118">
        <f t="shared" si="2"/>
        <v>0</v>
      </c>
    </row>
    <row r="183" spans="1:8" ht="12.75" x14ac:dyDescent="0.2">
      <c r="A183" s="13">
        <v>45762</v>
      </c>
      <c r="B183" s="14" t="s">
        <v>4</v>
      </c>
      <c r="C183" s="15"/>
      <c r="E183" s="19">
        <f t="shared" si="9"/>
        <v>0</v>
      </c>
      <c r="F183" s="20">
        <f t="shared" si="1"/>
        <v>0</v>
      </c>
      <c r="G183" s="117">
        <f t="shared" si="3"/>
        <v>0</v>
      </c>
      <c r="H183" s="118">
        <f t="shared" si="2"/>
        <v>0</v>
      </c>
    </row>
    <row r="184" spans="1:8" ht="12.75" x14ac:dyDescent="0.2">
      <c r="A184" s="13">
        <v>45763</v>
      </c>
      <c r="B184" s="14" t="s">
        <v>5</v>
      </c>
      <c r="C184" s="15"/>
      <c r="E184" s="19">
        <f t="shared" si="9"/>
        <v>0</v>
      </c>
      <c r="F184" s="20">
        <f t="shared" si="1"/>
        <v>0</v>
      </c>
      <c r="G184" s="117">
        <f t="shared" si="3"/>
        <v>0</v>
      </c>
      <c r="H184" s="118">
        <f t="shared" si="2"/>
        <v>0</v>
      </c>
    </row>
    <row r="185" spans="1:8" ht="12.75" x14ac:dyDescent="0.2">
      <c r="A185" s="13">
        <v>45764</v>
      </c>
      <c r="B185" s="14" t="s">
        <v>6</v>
      </c>
      <c r="C185" s="15"/>
      <c r="E185" s="19">
        <f t="shared" si="9"/>
        <v>0</v>
      </c>
      <c r="F185" s="20">
        <f t="shared" si="1"/>
        <v>0</v>
      </c>
      <c r="G185" s="117">
        <f t="shared" si="3"/>
        <v>0</v>
      </c>
      <c r="H185" s="118">
        <f t="shared" si="2"/>
        <v>0</v>
      </c>
    </row>
    <row r="186" spans="1:8" ht="12.75" x14ac:dyDescent="0.2">
      <c r="A186" s="24">
        <v>45765</v>
      </c>
      <c r="B186" s="25" t="s">
        <v>7</v>
      </c>
      <c r="C186" s="26"/>
      <c r="D186" s="29"/>
      <c r="E186" s="19">
        <f t="shared" si="9"/>
        <v>0</v>
      </c>
      <c r="F186" s="20">
        <f t="shared" si="1"/>
        <v>0</v>
      </c>
      <c r="G186" s="117">
        <f t="shared" si="3"/>
        <v>0</v>
      </c>
      <c r="H186" s="118">
        <f t="shared" si="2"/>
        <v>0</v>
      </c>
    </row>
    <row r="187" spans="1:8" ht="12.75" x14ac:dyDescent="0.2">
      <c r="A187" s="24">
        <v>45768</v>
      </c>
      <c r="B187" s="25" t="s">
        <v>3</v>
      </c>
      <c r="C187" s="26"/>
      <c r="D187" s="29"/>
      <c r="E187" s="19">
        <f t="shared" si="9"/>
        <v>0</v>
      </c>
      <c r="F187" s="20">
        <f t="shared" si="1"/>
        <v>0</v>
      </c>
      <c r="G187" s="117">
        <f t="shared" si="3"/>
        <v>0</v>
      </c>
      <c r="H187" s="118">
        <f t="shared" si="2"/>
        <v>0</v>
      </c>
    </row>
    <row r="188" spans="1:8" ht="12.75" x14ac:dyDescent="0.2">
      <c r="A188" s="13">
        <v>45769</v>
      </c>
      <c r="B188" s="14" t="s">
        <v>4</v>
      </c>
      <c r="C188" s="15"/>
      <c r="E188" s="19">
        <f t="shared" si="9"/>
        <v>0</v>
      </c>
      <c r="F188" s="20">
        <f t="shared" si="1"/>
        <v>0</v>
      </c>
      <c r="G188" s="117">
        <f t="shared" si="3"/>
        <v>0</v>
      </c>
      <c r="H188" s="118">
        <f t="shared" si="2"/>
        <v>0</v>
      </c>
    </row>
    <row r="189" spans="1:8" ht="12.75" x14ac:dyDescent="0.2">
      <c r="A189" s="13">
        <v>45770</v>
      </c>
      <c r="B189" s="14" t="s">
        <v>5</v>
      </c>
      <c r="C189" s="15"/>
      <c r="E189" s="19">
        <f t="shared" si="9"/>
        <v>0</v>
      </c>
      <c r="F189" s="20">
        <f t="shared" si="1"/>
        <v>0</v>
      </c>
      <c r="G189" s="117">
        <f t="shared" si="3"/>
        <v>0</v>
      </c>
      <c r="H189" s="118">
        <f t="shared" si="2"/>
        <v>0</v>
      </c>
    </row>
    <row r="190" spans="1:8" ht="12.75" x14ac:dyDescent="0.2">
      <c r="A190" s="13">
        <v>45771</v>
      </c>
      <c r="B190" s="14" t="s">
        <v>6</v>
      </c>
      <c r="C190" s="15"/>
      <c r="E190" s="19">
        <f t="shared" ref="E190:E221" si="10">D190-(C190*D190)</f>
        <v>0</v>
      </c>
      <c r="F190" s="20">
        <f t="shared" si="1"/>
        <v>0</v>
      </c>
      <c r="G190" s="117">
        <f t="shared" si="3"/>
        <v>0</v>
      </c>
      <c r="H190" s="118">
        <f t="shared" si="2"/>
        <v>0</v>
      </c>
    </row>
    <row r="191" spans="1:8" ht="12.75" x14ac:dyDescent="0.2">
      <c r="A191" s="13">
        <v>45772</v>
      </c>
      <c r="B191" s="14" t="s">
        <v>7</v>
      </c>
      <c r="C191" s="15"/>
      <c r="E191" s="19">
        <f t="shared" si="10"/>
        <v>0</v>
      </c>
      <c r="F191" s="20">
        <f t="shared" si="1"/>
        <v>0</v>
      </c>
      <c r="G191" s="117">
        <f t="shared" si="3"/>
        <v>0</v>
      </c>
      <c r="H191" s="118">
        <f t="shared" si="2"/>
        <v>0</v>
      </c>
    </row>
    <row r="192" spans="1:8" ht="12.75" x14ac:dyDescent="0.2">
      <c r="A192" s="13">
        <v>45775</v>
      </c>
      <c r="B192" s="14" t="s">
        <v>3</v>
      </c>
      <c r="C192" s="15"/>
      <c r="E192" s="19">
        <f t="shared" si="10"/>
        <v>0</v>
      </c>
      <c r="F192" s="20">
        <f t="shared" si="1"/>
        <v>0</v>
      </c>
      <c r="G192" s="117">
        <f t="shared" si="3"/>
        <v>0</v>
      </c>
      <c r="H192" s="118">
        <f t="shared" si="2"/>
        <v>0</v>
      </c>
    </row>
    <row r="193" spans="1:8" ht="12.75" x14ac:dyDescent="0.2">
      <c r="A193" s="13">
        <v>45776</v>
      </c>
      <c r="B193" s="14" t="s">
        <v>4</v>
      </c>
      <c r="C193" s="15"/>
      <c r="E193" s="19">
        <f t="shared" si="10"/>
        <v>0</v>
      </c>
      <c r="F193" s="20">
        <f t="shared" si="1"/>
        <v>0</v>
      </c>
      <c r="G193" s="117">
        <f t="shared" si="3"/>
        <v>0</v>
      </c>
      <c r="H193" s="118">
        <f t="shared" si="2"/>
        <v>0</v>
      </c>
    </row>
    <row r="194" spans="1:8" ht="12.75" x14ac:dyDescent="0.2">
      <c r="A194" s="13">
        <v>45777</v>
      </c>
      <c r="B194" s="14" t="s">
        <v>5</v>
      </c>
      <c r="C194" s="15"/>
      <c r="E194" s="19">
        <f t="shared" si="10"/>
        <v>0</v>
      </c>
      <c r="F194" s="20">
        <f t="shared" si="1"/>
        <v>0</v>
      </c>
      <c r="G194" s="117">
        <f t="shared" si="3"/>
        <v>0</v>
      </c>
      <c r="H194" s="118">
        <f t="shared" si="2"/>
        <v>0</v>
      </c>
    </row>
    <row r="195" spans="1:8" ht="12.75" x14ac:dyDescent="0.2">
      <c r="A195" s="13">
        <v>45778</v>
      </c>
      <c r="B195" s="14" t="s">
        <v>6</v>
      </c>
      <c r="C195" s="15"/>
      <c r="E195" s="19">
        <f t="shared" si="10"/>
        <v>0</v>
      </c>
      <c r="F195" s="20">
        <f t="shared" si="1"/>
        <v>0</v>
      </c>
      <c r="G195" s="117">
        <f t="shared" si="3"/>
        <v>0</v>
      </c>
      <c r="H195" s="118">
        <f t="shared" si="2"/>
        <v>0</v>
      </c>
    </row>
    <row r="196" spans="1:8" ht="12.75" x14ac:dyDescent="0.2">
      <c r="A196" s="13">
        <v>45779</v>
      </c>
      <c r="B196" s="14" t="s">
        <v>7</v>
      </c>
      <c r="C196" s="15"/>
      <c r="E196" s="19">
        <f t="shared" si="10"/>
        <v>0</v>
      </c>
      <c r="F196" s="20">
        <f t="shared" si="1"/>
        <v>0</v>
      </c>
      <c r="G196" s="117">
        <f t="shared" si="3"/>
        <v>0</v>
      </c>
      <c r="H196" s="118">
        <f t="shared" si="2"/>
        <v>0</v>
      </c>
    </row>
    <row r="197" spans="1:8" ht="12.75" x14ac:dyDescent="0.2">
      <c r="A197" s="13">
        <v>45782</v>
      </c>
      <c r="B197" s="14" t="s">
        <v>3</v>
      </c>
      <c r="C197" s="15"/>
      <c r="E197" s="19">
        <f t="shared" si="10"/>
        <v>0</v>
      </c>
      <c r="F197" s="20">
        <f t="shared" si="1"/>
        <v>0</v>
      </c>
      <c r="G197" s="117">
        <f t="shared" si="3"/>
        <v>0</v>
      </c>
      <c r="H197" s="118">
        <f t="shared" si="2"/>
        <v>0</v>
      </c>
    </row>
    <row r="198" spans="1:8" ht="12.75" x14ac:dyDescent="0.2">
      <c r="A198" s="13">
        <v>45783</v>
      </c>
      <c r="B198" s="14" t="s">
        <v>4</v>
      </c>
      <c r="C198" s="15"/>
      <c r="E198" s="19">
        <f t="shared" si="10"/>
        <v>0</v>
      </c>
      <c r="F198" s="20">
        <f t="shared" si="1"/>
        <v>0</v>
      </c>
      <c r="G198" s="117">
        <f t="shared" si="3"/>
        <v>0</v>
      </c>
      <c r="H198" s="118">
        <f t="shared" si="2"/>
        <v>0</v>
      </c>
    </row>
    <row r="199" spans="1:8" ht="12.75" x14ac:dyDescent="0.2">
      <c r="A199" s="13">
        <v>45784</v>
      </c>
      <c r="B199" s="14" t="s">
        <v>5</v>
      </c>
      <c r="C199" s="15"/>
      <c r="E199" s="19">
        <f t="shared" si="10"/>
        <v>0</v>
      </c>
      <c r="F199" s="20">
        <f t="shared" si="1"/>
        <v>0</v>
      </c>
      <c r="G199" s="117">
        <f t="shared" si="3"/>
        <v>0</v>
      </c>
      <c r="H199" s="118">
        <f t="shared" si="2"/>
        <v>0</v>
      </c>
    </row>
    <row r="200" spans="1:8" ht="12.75" x14ac:dyDescent="0.2">
      <c r="A200" s="13">
        <v>45785</v>
      </c>
      <c r="B200" s="14" t="s">
        <v>6</v>
      </c>
      <c r="C200" s="15"/>
      <c r="E200" s="19">
        <f t="shared" si="10"/>
        <v>0</v>
      </c>
      <c r="F200" s="20">
        <f t="shared" si="1"/>
        <v>0</v>
      </c>
      <c r="G200" s="117">
        <f t="shared" si="3"/>
        <v>0</v>
      </c>
      <c r="H200" s="118">
        <f t="shared" si="2"/>
        <v>0</v>
      </c>
    </row>
    <row r="201" spans="1:8" ht="12.75" x14ac:dyDescent="0.2">
      <c r="A201" s="13">
        <v>45786</v>
      </c>
      <c r="B201" s="14" t="s">
        <v>7</v>
      </c>
      <c r="C201" s="15"/>
      <c r="E201" s="19">
        <f t="shared" si="10"/>
        <v>0</v>
      </c>
      <c r="F201" s="20">
        <f t="shared" si="1"/>
        <v>0</v>
      </c>
      <c r="G201" s="117">
        <f t="shared" si="3"/>
        <v>0</v>
      </c>
      <c r="H201" s="118">
        <f t="shared" si="2"/>
        <v>0</v>
      </c>
    </row>
    <row r="202" spans="1:8" ht="12.75" x14ac:dyDescent="0.2">
      <c r="A202" s="13">
        <v>45789</v>
      </c>
      <c r="B202" s="14" t="s">
        <v>3</v>
      </c>
      <c r="C202" s="15"/>
      <c r="E202" s="19">
        <f t="shared" si="10"/>
        <v>0</v>
      </c>
      <c r="F202" s="20">
        <f t="shared" si="1"/>
        <v>0</v>
      </c>
      <c r="G202" s="117">
        <f t="shared" si="3"/>
        <v>0</v>
      </c>
      <c r="H202" s="118">
        <f t="shared" si="2"/>
        <v>0</v>
      </c>
    </row>
    <row r="203" spans="1:8" ht="12.75" x14ac:dyDescent="0.2">
      <c r="A203" s="13">
        <v>45790</v>
      </c>
      <c r="B203" s="14" t="s">
        <v>4</v>
      </c>
      <c r="C203" s="15"/>
      <c r="E203" s="19">
        <f t="shared" si="10"/>
        <v>0</v>
      </c>
      <c r="F203" s="20">
        <f t="shared" si="1"/>
        <v>0</v>
      </c>
      <c r="G203" s="117">
        <f t="shared" si="3"/>
        <v>0</v>
      </c>
      <c r="H203" s="118">
        <f t="shared" si="2"/>
        <v>0</v>
      </c>
    </row>
    <row r="204" spans="1:8" ht="12.75" x14ac:dyDescent="0.2">
      <c r="A204" s="13">
        <v>45791</v>
      </c>
      <c r="B204" s="14" t="s">
        <v>5</v>
      </c>
      <c r="C204" s="15"/>
      <c r="E204" s="19">
        <f t="shared" si="10"/>
        <v>0</v>
      </c>
      <c r="F204" s="20">
        <f t="shared" si="1"/>
        <v>0</v>
      </c>
      <c r="G204" s="117">
        <f t="shared" si="3"/>
        <v>0</v>
      </c>
      <c r="H204" s="118">
        <f t="shared" si="2"/>
        <v>0</v>
      </c>
    </row>
    <row r="205" spans="1:8" ht="12.75" x14ac:dyDescent="0.2">
      <c r="A205" s="13">
        <v>45792</v>
      </c>
      <c r="B205" s="14" t="s">
        <v>6</v>
      </c>
      <c r="C205" s="15"/>
      <c r="E205" s="19">
        <f t="shared" si="10"/>
        <v>0</v>
      </c>
      <c r="F205" s="20">
        <f t="shared" si="1"/>
        <v>0</v>
      </c>
      <c r="G205" s="117">
        <f t="shared" si="3"/>
        <v>0</v>
      </c>
      <c r="H205" s="118">
        <f t="shared" si="2"/>
        <v>0</v>
      </c>
    </row>
    <row r="206" spans="1:8" ht="12.75" x14ac:dyDescent="0.2">
      <c r="A206" s="13">
        <v>45793</v>
      </c>
      <c r="B206" s="14" t="s">
        <v>7</v>
      </c>
      <c r="C206" s="15"/>
      <c r="E206" s="19">
        <f t="shared" si="10"/>
        <v>0</v>
      </c>
      <c r="F206" s="20">
        <f t="shared" si="1"/>
        <v>0</v>
      </c>
      <c r="G206" s="117">
        <f t="shared" si="3"/>
        <v>0</v>
      </c>
      <c r="H206" s="118">
        <f t="shared" si="2"/>
        <v>0</v>
      </c>
    </row>
    <row r="207" spans="1:8" ht="12.75" x14ac:dyDescent="0.2">
      <c r="A207" s="13">
        <v>45796</v>
      </c>
      <c r="B207" s="14" t="s">
        <v>3</v>
      </c>
      <c r="C207" s="15"/>
      <c r="E207" s="19">
        <f t="shared" si="10"/>
        <v>0</v>
      </c>
      <c r="F207" s="20">
        <f t="shared" si="1"/>
        <v>0</v>
      </c>
      <c r="G207" s="117">
        <f t="shared" si="3"/>
        <v>0</v>
      </c>
      <c r="H207" s="118">
        <f t="shared" si="2"/>
        <v>0</v>
      </c>
    </row>
    <row r="208" spans="1:8" ht="12.75" x14ac:dyDescent="0.2">
      <c r="A208" s="13">
        <v>45797</v>
      </c>
      <c r="B208" s="14" t="s">
        <v>4</v>
      </c>
      <c r="C208" s="15"/>
      <c r="E208" s="19">
        <f t="shared" si="10"/>
        <v>0</v>
      </c>
      <c r="F208" s="20">
        <f t="shared" si="1"/>
        <v>0</v>
      </c>
      <c r="G208" s="117">
        <f t="shared" si="3"/>
        <v>0</v>
      </c>
      <c r="H208" s="118">
        <f t="shared" si="2"/>
        <v>0</v>
      </c>
    </row>
    <row r="209" spans="1:8" ht="12.75" x14ac:dyDescent="0.2">
      <c r="A209" s="13">
        <v>45798</v>
      </c>
      <c r="B209" s="14" t="s">
        <v>5</v>
      </c>
      <c r="C209" s="15"/>
      <c r="E209" s="19">
        <f t="shared" si="10"/>
        <v>0</v>
      </c>
      <c r="F209" s="20">
        <f t="shared" si="1"/>
        <v>0</v>
      </c>
      <c r="G209" s="117">
        <f t="shared" si="3"/>
        <v>0</v>
      </c>
      <c r="H209" s="118">
        <f t="shared" si="2"/>
        <v>0</v>
      </c>
    </row>
    <row r="210" spans="1:8" ht="12.75" x14ac:dyDescent="0.2">
      <c r="A210" s="13">
        <v>45799</v>
      </c>
      <c r="B210" s="14" t="s">
        <v>6</v>
      </c>
      <c r="C210" s="15"/>
      <c r="E210" s="19">
        <f t="shared" si="10"/>
        <v>0</v>
      </c>
      <c r="F210" s="20">
        <f t="shared" si="1"/>
        <v>0</v>
      </c>
      <c r="G210" s="117">
        <f t="shared" si="3"/>
        <v>0</v>
      </c>
      <c r="H210" s="118">
        <f t="shared" si="2"/>
        <v>0</v>
      </c>
    </row>
    <row r="211" spans="1:8" ht="12.75" x14ac:dyDescent="0.2">
      <c r="A211" s="13">
        <v>45800</v>
      </c>
      <c r="B211" s="14" t="s">
        <v>7</v>
      </c>
      <c r="C211" s="15"/>
      <c r="E211" s="19">
        <f t="shared" si="10"/>
        <v>0</v>
      </c>
      <c r="F211" s="20">
        <f t="shared" si="1"/>
        <v>0</v>
      </c>
      <c r="G211" s="117">
        <f t="shared" si="3"/>
        <v>0</v>
      </c>
      <c r="H211" s="118">
        <f t="shared" si="2"/>
        <v>0</v>
      </c>
    </row>
    <row r="212" spans="1:8" ht="12.75" x14ac:dyDescent="0.2">
      <c r="A212" s="24">
        <v>45803</v>
      </c>
      <c r="B212" s="25" t="s">
        <v>3</v>
      </c>
      <c r="C212" s="26"/>
      <c r="D212" s="29"/>
      <c r="E212" s="19">
        <f t="shared" si="10"/>
        <v>0</v>
      </c>
      <c r="F212" s="20">
        <f t="shared" si="1"/>
        <v>0</v>
      </c>
      <c r="G212" s="117">
        <f t="shared" si="3"/>
        <v>0</v>
      </c>
      <c r="H212" s="118">
        <f t="shared" si="2"/>
        <v>0</v>
      </c>
    </row>
    <row r="213" spans="1:8" ht="12.75" x14ac:dyDescent="0.2">
      <c r="A213" s="13">
        <v>45804</v>
      </c>
      <c r="B213" s="14" t="s">
        <v>4</v>
      </c>
      <c r="C213" s="15"/>
      <c r="E213" s="19">
        <f t="shared" si="10"/>
        <v>0</v>
      </c>
      <c r="F213" s="20">
        <f t="shared" si="1"/>
        <v>0</v>
      </c>
      <c r="G213" s="117">
        <f t="shared" si="3"/>
        <v>0</v>
      </c>
      <c r="H213" s="118">
        <f t="shared" si="2"/>
        <v>0</v>
      </c>
    </row>
    <row r="214" spans="1:8" ht="12.75" x14ac:dyDescent="0.2">
      <c r="A214" s="13">
        <v>45805</v>
      </c>
      <c r="B214" s="14" t="s">
        <v>5</v>
      </c>
      <c r="C214" s="15"/>
      <c r="E214" s="19">
        <f t="shared" si="10"/>
        <v>0</v>
      </c>
      <c r="F214" s="20">
        <f t="shared" si="1"/>
        <v>0</v>
      </c>
      <c r="G214" s="117">
        <f t="shared" si="3"/>
        <v>0</v>
      </c>
      <c r="H214" s="118">
        <f t="shared" si="2"/>
        <v>0</v>
      </c>
    </row>
    <row r="215" spans="1:8" ht="13.5" thickBot="1" x14ac:dyDescent="0.25">
      <c r="A215" s="13">
        <v>45806</v>
      </c>
      <c r="B215" s="46" t="s">
        <v>6</v>
      </c>
      <c r="C215" s="15"/>
      <c r="E215" s="19">
        <f t="shared" si="10"/>
        <v>0</v>
      </c>
      <c r="F215" s="20">
        <f t="shared" si="1"/>
        <v>0</v>
      </c>
      <c r="G215" s="117">
        <f t="shared" si="3"/>
        <v>0</v>
      </c>
      <c r="H215" s="118">
        <f t="shared" si="2"/>
        <v>0</v>
      </c>
    </row>
    <row r="216" spans="1:8" ht="13.5" hidden="1" thickTop="1" x14ac:dyDescent="0.2">
      <c r="A216" s="16"/>
      <c r="B216" s="16"/>
      <c r="C216" s="15"/>
      <c r="E216" s="19"/>
      <c r="F216" s="47"/>
      <c r="G216" s="48"/>
      <c r="H216" s="49"/>
    </row>
    <row r="217" spans="1:8" ht="13.5" hidden="1" thickTop="1" x14ac:dyDescent="0.2">
      <c r="A217" s="16"/>
      <c r="B217" s="16"/>
      <c r="C217" s="15"/>
      <c r="E217" s="19"/>
      <c r="F217" s="47"/>
      <c r="G217" s="48"/>
      <c r="H217" s="49"/>
    </row>
    <row r="218" spans="1:8" ht="13.5" hidden="1" thickTop="1" x14ac:dyDescent="0.2">
      <c r="A218" s="16"/>
      <c r="B218" s="16"/>
      <c r="C218" s="15"/>
      <c r="E218" s="19"/>
      <c r="F218" s="47"/>
      <c r="G218" s="48"/>
      <c r="H218" s="49"/>
    </row>
    <row r="219" spans="1:8" ht="13.5" hidden="1" thickTop="1" x14ac:dyDescent="0.2">
      <c r="A219" s="16"/>
      <c r="B219" s="16"/>
      <c r="C219" s="15"/>
      <c r="E219" s="19"/>
      <c r="F219" s="47"/>
      <c r="G219" s="48"/>
      <c r="H219" s="49"/>
    </row>
    <row r="220" spans="1:8" ht="13.5" hidden="1" thickTop="1" x14ac:dyDescent="0.2">
      <c r="A220" s="16"/>
      <c r="B220" s="16"/>
      <c r="C220" s="15"/>
      <c r="E220" s="19"/>
      <c r="F220" s="47"/>
      <c r="G220" s="48"/>
      <c r="H220" s="49"/>
    </row>
    <row r="221" spans="1:8" ht="13.5" hidden="1" thickTop="1" x14ac:dyDescent="0.2">
      <c r="A221" s="16"/>
      <c r="B221" s="16"/>
      <c r="C221" s="15"/>
      <c r="E221" s="19"/>
      <c r="F221" s="47"/>
      <c r="G221" s="48"/>
      <c r="H221" s="49"/>
    </row>
    <row r="222" spans="1:8" ht="13.5" hidden="1" thickTop="1" x14ac:dyDescent="0.2">
      <c r="A222" s="16"/>
      <c r="B222" s="16"/>
      <c r="C222" s="15"/>
      <c r="E222" s="19"/>
      <c r="F222" s="47"/>
      <c r="G222" s="48"/>
      <c r="H222" s="49"/>
    </row>
    <row r="223" spans="1:8" ht="13.5" hidden="1" thickTop="1" x14ac:dyDescent="0.2">
      <c r="A223" s="16"/>
      <c r="B223" s="16"/>
      <c r="C223" s="15"/>
      <c r="E223" s="19"/>
      <c r="F223" s="47"/>
      <c r="G223" s="48"/>
      <c r="H223" s="49"/>
    </row>
    <row r="224" spans="1:8" ht="13.5" hidden="1" thickTop="1" x14ac:dyDescent="0.2">
      <c r="A224" s="16"/>
      <c r="B224" s="16"/>
      <c r="C224" s="15"/>
      <c r="E224" s="19"/>
      <c r="F224" s="47"/>
      <c r="G224" s="48"/>
      <c r="H224" s="49"/>
    </row>
    <row r="225" spans="1:8" ht="13.5" hidden="1" thickTop="1" x14ac:dyDescent="0.2">
      <c r="A225" s="16"/>
      <c r="B225" s="16"/>
      <c r="C225" s="15"/>
      <c r="E225" s="19"/>
      <c r="F225" s="47"/>
      <c r="G225" s="48"/>
      <c r="H225" s="49"/>
    </row>
    <row r="226" spans="1:8" ht="13.5" hidden="1" thickTop="1" x14ac:dyDescent="0.2">
      <c r="A226" s="16"/>
      <c r="B226" s="16"/>
      <c r="C226" s="15"/>
      <c r="E226" s="19"/>
      <c r="F226" s="47"/>
      <c r="G226" s="48"/>
      <c r="H226" s="49"/>
    </row>
    <row r="227" spans="1:8" ht="13.5" hidden="1" thickTop="1" x14ac:dyDescent="0.2">
      <c r="A227" s="16"/>
      <c r="B227" s="16"/>
      <c r="C227" s="15"/>
      <c r="E227" s="19"/>
      <c r="F227" s="47"/>
      <c r="G227" s="48"/>
      <c r="H227" s="49"/>
    </row>
    <row r="228" spans="1:8" ht="13.5" hidden="1" thickTop="1" x14ac:dyDescent="0.2">
      <c r="A228" s="16"/>
      <c r="B228" s="16"/>
      <c r="C228" s="15"/>
      <c r="E228" s="19"/>
      <c r="F228" s="47"/>
      <c r="G228" s="48"/>
      <c r="H228" s="49"/>
    </row>
    <row r="229" spans="1:8" ht="13.5" hidden="1" thickTop="1" x14ac:dyDescent="0.2">
      <c r="A229" s="16"/>
      <c r="B229" s="16"/>
      <c r="C229" s="15"/>
      <c r="E229" s="19"/>
      <c r="F229" s="47"/>
      <c r="G229" s="48"/>
      <c r="H229" s="49"/>
    </row>
    <row r="230" spans="1:8" ht="13.5" hidden="1" thickTop="1" x14ac:dyDescent="0.2">
      <c r="A230" s="16"/>
      <c r="B230" s="16"/>
      <c r="C230" s="15"/>
      <c r="E230" s="19"/>
      <c r="F230" s="47"/>
      <c r="G230" s="48"/>
      <c r="H230" s="49"/>
    </row>
    <row r="231" spans="1:8" ht="13.5" hidden="1" thickTop="1" x14ac:dyDescent="0.2">
      <c r="A231" s="16"/>
      <c r="B231" s="16"/>
      <c r="C231" s="15"/>
      <c r="E231" s="19"/>
      <c r="F231" s="47"/>
      <c r="G231" s="48"/>
      <c r="H231" s="49"/>
    </row>
    <row r="232" spans="1:8" ht="13.5" hidden="1" thickTop="1" x14ac:dyDescent="0.2">
      <c r="A232" s="16"/>
      <c r="B232" s="16"/>
      <c r="C232" s="15"/>
      <c r="E232" s="19"/>
      <c r="F232" s="47"/>
      <c r="G232" s="48"/>
      <c r="H232" s="49"/>
    </row>
    <row r="233" spans="1:8" ht="13.5" hidden="1" thickTop="1" x14ac:dyDescent="0.2">
      <c r="A233" s="16"/>
      <c r="B233" s="16"/>
      <c r="C233" s="15"/>
      <c r="E233" s="19"/>
      <c r="F233" s="47"/>
      <c r="G233" s="48"/>
      <c r="H233" s="49"/>
    </row>
    <row r="234" spans="1:8" ht="13.5" hidden="1" thickTop="1" x14ac:dyDescent="0.2">
      <c r="A234" s="16"/>
      <c r="B234" s="16"/>
      <c r="C234" s="15"/>
      <c r="E234" s="19"/>
      <c r="F234" s="47"/>
      <c r="G234" s="48"/>
      <c r="H234" s="49"/>
    </row>
    <row r="235" spans="1:8" ht="13.5" hidden="1" thickTop="1" x14ac:dyDescent="0.2">
      <c r="A235" s="16"/>
      <c r="B235" s="16"/>
      <c r="C235" s="15"/>
      <c r="E235" s="19"/>
      <c r="F235" s="47"/>
      <c r="G235" s="48"/>
      <c r="H235" s="49"/>
    </row>
    <row r="236" spans="1:8" ht="13.5" hidden="1" thickTop="1" x14ac:dyDescent="0.2">
      <c r="A236" s="16"/>
      <c r="B236" s="16"/>
      <c r="C236" s="15"/>
      <c r="E236" s="19"/>
      <c r="F236" s="47"/>
      <c r="G236" s="48"/>
      <c r="H236" s="49"/>
    </row>
    <row r="237" spans="1:8" ht="13.5" hidden="1" thickTop="1" x14ac:dyDescent="0.2">
      <c r="A237" s="16"/>
      <c r="B237" s="16"/>
      <c r="C237" s="15"/>
      <c r="E237" s="19"/>
      <c r="F237" s="47"/>
      <c r="G237" s="48"/>
      <c r="H237" s="49"/>
    </row>
    <row r="238" spans="1:8" ht="13.5" hidden="1" thickTop="1" x14ac:dyDescent="0.2">
      <c r="A238" s="16"/>
      <c r="B238" s="16"/>
      <c r="C238" s="15"/>
      <c r="E238" s="19"/>
      <c r="F238" s="47"/>
      <c r="G238" s="48"/>
      <c r="H238" s="49"/>
    </row>
    <row r="239" spans="1:8" ht="13.5" hidden="1" thickTop="1" x14ac:dyDescent="0.2">
      <c r="A239" s="16"/>
      <c r="B239" s="16"/>
      <c r="C239" s="15"/>
      <c r="E239" s="19"/>
      <c r="F239" s="47"/>
      <c r="G239" s="48"/>
      <c r="H239" s="49"/>
    </row>
    <row r="240" spans="1:8" ht="13.5" hidden="1" thickTop="1" x14ac:dyDescent="0.2">
      <c r="A240" s="16"/>
      <c r="B240" s="16"/>
      <c r="C240" s="15"/>
      <c r="E240" s="19"/>
      <c r="F240" s="47"/>
      <c r="G240" s="48"/>
      <c r="H240" s="49"/>
    </row>
    <row r="241" spans="1:8" ht="13.5" hidden="1" thickTop="1" x14ac:dyDescent="0.2">
      <c r="A241" s="16"/>
      <c r="B241" s="16"/>
      <c r="C241" s="15"/>
      <c r="E241" s="19"/>
      <c r="F241" s="47"/>
      <c r="G241" s="48"/>
      <c r="H241" s="49"/>
    </row>
    <row r="242" spans="1:8" ht="13.5" hidden="1" thickTop="1" x14ac:dyDescent="0.2">
      <c r="A242" s="16"/>
      <c r="B242" s="16"/>
      <c r="C242" s="15"/>
      <c r="E242" s="19"/>
      <c r="F242" s="47"/>
      <c r="G242" s="48"/>
      <c r="H242" s="49"/>
    </row>
    <row r="243" spans="1:8" ht="13.5" hidden="1" thickTop="1" x14ac:dyDescent="0.2">
      <c r="A243" s="16"/>
      <c r="B243" s="16"/>
      <c r="C243" s="15"/>
      <c r="E243" s="19"/>
      <c r="F243" s="47"/>
      <c r="G243" s="48"/>
      <c r="H243" s="49"/>
    </row>
    <row r="244" spans="1:8" ht="13.5" hidden="1" thickTop="1" x14ac:dyDescent="0.2">
      <c r="A244" s="16"/>
      <c r="B244" s="16"/>
      <c r="C244" s="15"/>
      <c r="E244" s="19"/>
      <c r="F244" s="47"/>
      <c r="G244" s="48"/>
      <c r="H244" s="49"/>
    </row>
    <row r="245" spans="1:8" ht="13.5" hidden="1" thickTop="1" x14ac:dyDescent="0.2">
      <c r="A245" s="16"/>
      <c r="B245" s="16"/>
      <c r="C245" s="15"/>
      <c r="E245" s="19"/>
      <c r="F245" s="47"/>
      <c r="G245" s="48"/>
      <c r="H245" s="49"/>
    </row>
    <row r="246" spans="1:8" ht="13.5" hidden="1" thickTop="1" x14ac:dyDescent="0.2">
      <c r="A246" s="16"/>
      <c r="B246" s="16"/>
      <c r="C246" s="15"/>
      <c r="E246" s="19"/>
      <c r="F246" s="47"/>
      <c r="G246" s="48"/>
      <c r="H246" s="49"/>
    </row>
    <row r="247" spans="1:8" ht="13.5" hidden="1" thickTop="1" x14ac:dyDescent="0.2">
      <c r="A247" s="16"/>
      <c r="B247" s="16"/>
      <c r="C247" s="15"/>
      <c r="E247" s="19"/>
      <c r="F247" s="47"/>
      <c r="G247" s="48"/>
      <c r="H247" s="49"/>
    </row>
    <row r="248" spans="1:8" ht="13.5" hidden="1" thickTop="1" x14ac:dyDescent="0.2">
      <c r="A248" s="16"/>
      <c r="B248" s="16"/>
      <c r="C248" s="15"/>
      <c r="E248" s="19"/>
      <c r="F248" s="47"/>
      <c r="G248" s="48"/>
      <c r="H248" s="49"/>
    </row>
    <row r="249" spans="1:8" ht="13.5" hidden="1" thickTop="1" x14ac:dyDescent="0.2">
      <c r="A249" s="16"/>
      <c r="B249" s="16"/>
      <c r="C249" s="15"/>
      <c r="E249" s="19"/>
      <c r="F249" s="47"/>
      <c r="G249" s="48"/>
      <c r="H249" s="49"/>
    </row>
    <row r="250" spans="1:8" ht="13.5" hidden="1" thickTop="1" x14ac:dyDescent="0.2">
      <c r="A250" s="16"/>
      <c r="B250" s="16"/>
      <c r="C250" s="15"/>
      <c r="E250" s="19"/>
      <c r="F250" s="47"/>
      <c r="G250" s="48"/>
      <c r="H250" s="49"/>
    </row>
    <row r="251" spans="1:8" ht="13.5" hidden="1" thickTop="1" x14ac:dyDescent="0.2">
      <c r="A251" s="16"/>
      <c r="B251" s="16"/>
      <c r="C251" s="15"/>
      <c r="E251" s="19"/>
      <c r="F251" s="47"/>
      <c r="G251" s="48"/>
      <c r="H251" s="49"/>
    </row>
    <row r="252" spans="1:8" ht="13.5" hidden="1" thickTop="1" x14ac:dyDescent="0.2">
      <c r="A252" s="16"/>
      <c r="B252" s="16"/>
      <c r="C252" s="15"/>
      <c r="E252" s="19"/>
      <c r="F252" s="47"/>
      <c r="G252" s="48"/>
      <c r="H252" s="49"/>
    </row>
    <row r="253" spans="1:8" ht="13.5" hidden="1" thickTop="1" x14ac:dyDescent="0.2">
      <c r="A253" s="16"/>
      <c r="B253" s="16"/>
      <c r="C253" s="15"/>
      <c r="E253" s="19"/>
      <c r="F253" s="47"/>
      <c r="G253" s="48"/>
      <c r="H253" s="49"/>
    </row>
    <row r="254" spans="1:8" ht="13.5" hidden="1" thickTop="1" x14ac:dyDescent="0.2">
      <c r="A254" s="16"/>
      <c r="B254" s="16"/>
      <c r="C254" s="15"/>
      <c r="E254" s="19"/>
      <c r="F254" s="47"/>
      <c r="G254" s="48"/>
      <c r="H254" s="49"/>
    </row>
    <row r="255" spans="1:8" ht="13.5" hidden="1" thickTop="1" x14ac:dyDescent="0.2">
      <c r="A255" s="16"/>
      <c r="B255" s="16"/>
      <c r="C255" s="15"/>
      <c r="E255" s="19"/>
      <c r="F255" s="47"/>
      <c r="G255" s="48"/>
      <c r="H255" s="49"/>
    </row>
    <row r="256" spans="1:8" ht="13.5" hidden="1" thickTop="1" x14ac:dyDescent="0.2">
      <c r="A256" s="16"/>
      <c r="B256" s="16"/>
      <c r="C256" s="15"/>
      <c r="E256" s="19"/>
      <c r="F256" s="47"/>
      <c r="G256" s="48"/>
      <c r="H256" s="49"/>
    </row>
    <row r="257" spans="1:8" ht="13.5" hidden="1" thickTop="1" x14ac:dyDescent="0.2">
      <c r="A257" s="16"/>
      <c r="B257" s="16"/>
      <c r="C257" s="15"/>
      <c r="E257" s="19"/>
      <c r="F257" s="47"/>
      <c r="G257" s="48"/>
      <c r="H257" s="49"/>
    </row>
    <row r="258" spans="1:8" ht="13.5" hidden="1" thickTop="1" x14ac:dyDescent="0.2">
      <c r="A258" s="16"/>
      <c r="B258" s="16"/>
      <c r="C258" s="15"/>
      <c r="E258" s="19"/>
      <c r="F258" s="47"/>
      <c r="G258" s="48"/>
      <c r="H258" s="49"/>
    </row>
    <row r="259" spans="1:8" ht="13.5" hidden="1" thickTop="1" x14ac:dyDescent="0.2">
      <c r="A259" s="16"/>
      <c r="B259" s="16"/>
      <c r="C259" s="15"/>
      <c r="E259" s="19"/>
      <c r="F259" s="47"/>
      <c r="G259" s="48"/>
      <c r="H259" s="49"/>
    </row>
    <row r="260" spans="1:8" ht="13.5" hidden="1" thickTop="1" x14ac:dyDescent="0.2">
      <c r="A260" s="16"/>
      <c r="B260" s="16"/>
      <c r="C260" s="15"/>
      <c r="E260" s="19"/>
      <c r="F260" s="47"/>
      <c r="G260" s="48"/>
      <c r="H260" s="49"/>
    </row>
    <row r="261" spans="1:8" ht="13.5" hidden="1" thickTop="1" x14ac:dyDescent="0.2">
      <c r="A261" s="16"/>
      <c r="B261" s="16"/>
      <c r="C261" s="15"/>
      <c r="E261" s="19"/>
      <c r="F261" s="47"/>
      <c r="G261" s="48"/>
      <c r="H261" s="49"/>
    </row>
    <row r="262" spans="1:8" ht="13.5" hidden="1" thickTop="1" x14ac:dyDescent="0.2">
      <c r="A262" s="16"/>
      <c r="B262" s="16"/>
      <c r="C262" s="15"/>
      <c r="E262" s="19"/>
      <c r="F262" s="47"/>
      <c r="G262" s="48"/>
      <c r="H262" s="49"/>
    </row>
    <row r="263" spans="1:8" ht="13.5" hidden="1" thickTop="1" x14ac:dyDescent="0.2">
      <c r="A263" s="16"/>
      <c r="B263" s="16"/>
      <c r="C263" s="15"/>
      <c r="E263" s="19"/>
      <c r="F263" s="47"/>
      <c r="G263" s="48"/>
      <c r="H263" s="49"/>
    </row>
    <row r="264" spans="1:8" ht="13.5" hidden="1" thickTop="1" x14ac:dyDescent="0.2">
      <c r="A264" s="16"/>
      <c r="B264" s="16"/>
      <c r="C264" s="15"/>
      <c r="E264" s="19"/>
      <c r="F264" s="47"/>
      <c r="G264" s="48"/>
      <c r="H264" s="49"/>
    </row>
    <row r="265" spans="1:8" ht="13.5" hidden="1" thickTop="1" x14ac:dyDescent="0.2">
      <c r="A265" s="16"/>
      <c r="B265" s="16"/>
      <c r="C265" s="15"/>
      <c r="E265" s="19"/>
      <c r="F265" s="47"/>
      <c r="G265" s="48"/>
      <c r="H265" s="49"/>
    </row>
    <row r="266" spans="1:8" ht="13.5" hidden="1" thickTop="1" x14ac:dyDescent="0.2">
      <c r="A266" s="16"/>
      <c r="B266" s="16"/>
      <c r="C266" s="15"/>
      <c r="E266" s="19"/>
      <c r="F266" s="47"/>
      <c r="G266" s="48"/>
      <c r="H266" s="49"/>
    </row>
    <row r="267" spans="1:8" ht="13.5" hidden="1" thickTop="1" x14ac:dyDescent="0.2">
      <c r="A267" s="16"/>
      <c r="B267" s="16"/>
      <c r="C267" s="15"/>
      <c r="E267" s="19"/>
      <c r="F267" s="47"/>
      <c r="G267" s="48"/>
      <c r="H267" s="49"/>
    </row>
    <row r="268" spans="1:8" ht="13.5" hidden="1" thickTop="1" x14ac:dyDescent="0.2">
      <c r="A268" s="16"/>
      <c r="B268" s="16"/>
      <c r="C268" s="15"/>
      <c r="E268" s="19"/>
      <c r="F268" s="47"/>
      <c r="G268" s="48"/>
      <c r="H268" s="49"/>
    </row>
    <row r="269" spans="1:8" ht="13.5" hidden="1" thickTop="1" x14ac:dyDescent="0.2">
      <c r="A269" s="16"/>
      <c r="B269" s="16"/>
      <c r="C269" s="15"/>
      <c r="E269" s="19"/>
      <c r="F269" s="47"/>
      <c r="G269" s="48"/>
      <c r="H269" s="49"/>
    </row>
    <row r="270" spans="1:8" ht="13.5" hidden="1" thickTop="1" x14ac:dyDescent="0.2">
      <c r="A270" s="16"/>
      <c r="B270" s="16"/>
      <c r="C270" s="15"/>
      <c r="E270" s="19"/>
      <c r="F270" s="47"/>
      <c r="G270" s="48"/>
      <c r="H270" s="49"/>
    </row>
    <row r="271" spans="1:8" ht="13.5" hidden="1" thickTop="1" x14ac:dyDescent="0.2">
      <c r="A271" s="16"/>
      <c r="B271" s="16"/>
      <c r="C271" s="15"/>
      <c r="E271" s="19"/>
      <c r="F271" s="47"/>
      <c r="G271" s="48"/>
      <c r="H271" s="49"/>
    </row>
    <row r="272" spans="1:8" ht="13.5" hidden="1" thickTop="1" x14ac:dyDescent="0.2">
      <c r="A272" s="16"/>
      <c r="B272" s="16"/>
      <c r="C272" s="15"/>
      <c r="E272" s="19"/>
      <c r="F272" s="47"/>
      <c r="G272" s="48"/>
      <c r="H272" s="49"/>
    </row>
    <row r="273" spans="1:8" ht="13.5" hidden="1" thickTop="1" x14ac:dyDescent="0.2">
      <c r="A273" s="16"/>
      <c r="B273" s="16"/>
      <c r="C273" s="15"/>
      <c r="E273" s="19"/>
      <c r="F273" s="47"/>
      <c r="G273" s="48"/>
      <c r="H273" s="49"/>
    </row>
    <row r="274" spans="1:8" ht="13.5" hidden="1" thickTop="1" x14ac:dyDescent="0.2">
      <c r="A274" s="16"/>
      <c r="B274" s="16"/>
      <c r="C274" s="15"/>
      <c r="E274" s="19"/>
      <c r="F274" s="47"/>
      <c r="G274" s="48"/>
      <c r="H274" s="49"/>
    </row>
    <row r="275" spans="1:8" ht="13.5" hidden="1" thickTop="1" x14ac:dyDescent="0.2">
      <c r="A275" s="16"/>
      <c r="B275" s="16"/>
      <c r="C275" s="15"/>
      <c r="E275" s="19"/>
      <c r="F275" s="47"/>
      <c r="G275" s="48"/>
      <c r="H275" s="49"/>
    </row>
    <row r="276" spans="1:8" ht="13.5" hidden="1" thickTop="1" x14ac:dyDescent="0.2">
      <c r="A276" s="16"/>
      <c r="B276" s="16"/>
      <c r="C276" s="15"/>
      <c r="E276" s="19"/>
      <c r="F276" s="47"/>
      <c r="G276" s="48"/>
      <c r="H276" s="49"/>
    </row>
    <row r="277" spans="1:8" ht="13.5" hidden="1" thickTop="1" x14ac:dyDescent="0.2">
      <c r="A277" s="16"/>
      <c r="B277" s="16"/>
      <c r="C277" s="15"/>
      <c r="E277" s="19"/>
      <c r="F277" s="47"/>
      <c r="G277" s="48"/>
      <c r="H277" s="49"/>
    </row>
    <row r="278" spans="1:8" ht="13.5" hidden="1" thickTop="1" x14ac:dyDescent="0.2">
      <c r="A278" s="16"/>
      <c r="B278" s="16"/>
      <c r="C278" s="15"/>
      <c r="E278" s="19"/>
      <c r="F278" s="47"/>
      <c r="G278" s="48"/>
      <c r="H278" s="49"/>
    </row>
    <row r="279" spans="1:8" ht="13.5" hidden="1" thickTop="1" x14ac:dyDescent="0.2">
      <c r="A279" s="16"/>
      <c r="B279" s="16"/>
      <c r="C279" s="15"/>
      <c r="E279" s="19"/>
      <c r="F279" s="47"/>
      <c r="G279" s="48"/>
      <c r="H279" s="49"/>
    </row>
    <row r="280" spans="1:8" ht="13.5" hidden="1" thickTop="1" x14ac:dyDescent="0.2">
      <c r="A280" s="16"/>
      <c r="B280" s="16"/>
      <c r="C280" s="15"/>
      <c r="E280" s="19"/>
      <c r="F280" s="47"/>
      <c r="G280" s="48"/>
      <c r="H280" s="49"/>
    </row>
    <row r="281" spans="1:8" ht="13.5" hidden="1" thickTop="1" x14ac:dyDescent="0.2">
      <c r="A281" s="16"/>
      <c r="B281" s="16"/>
      <c r="C281" s="15"/>
      <c r="E281" s="19"/>
      <c r="F281" s="47"/>
      <c r="G281" s="48"/>
      <c r="H281" s="49"/>
    </row>
    <row r="282" spans="1:8" ht="13.5" hidden="1" thickTop="1" x14ac:dyDescent="0.2">
      <c r="A282" s="16"/>
      <c r="B282" s="16"/>
      <c r="C282" s="15"/>
      <c r="E282" s="19"/>
      <c r="F282" s="47"/>
      <c r="G282" s="48"/>
      <c r="H282" s="49"/>
    </row>
    <row r="283" spans="1:8" ht="13.5" hidden="1" thickTop="1" x14ac:dyDescent="0.2">
      <c r="A283" s="16"/>
      <c r="B283" s="16"/>
      <c r="C283" s="15"/>
      <c r="E283" s="19"/>
      <c r="F283" s="47"/>
      <c r="G283" s="48"/>
      <c r="H283" s="49"/>
    </row>
    <row r="284" spans="1:8" ht="13.5" hidden="1" thickTop="1" x14ac:dyDescent="0.2">
      <c r="A284" s="16"/>
      <c r="B284" s="16"/>
      <c r="C284" s="15"/>
      <c r="E284" s="19"/>
      <c r="F284" s="47"/>
      <c r="G284" s="48"/>
      <c r="H284" s="49"/>
    </row>
    <row r="285" spans="1:8" ht="13.5" hidden="1" thickTop="1" x14ac:dyDescent="0.2">
      <c r="A285" s="16"/>
      <c r="B285" s="16"/>
      <c r="C285" s="15"/>
      <c r="E285" s="19"/>
      <c r="F285" s="47"/>
      <c r="G285" s="48"/>
      <c r="H285" s="49"/>
    </row>
    <row r="286" spans="1:8" ht="13.5" hidden="1" thickTop="1" x14ac:dyDescent="0.2">
      <c r="A286" s="16"/>
      <c r="B286" s="16"/>
      <c r="C286" s="15"/>
      <c r="E286" s="19"/>
      <c r="F286" s="47"/>
      <c r="G286" s="48"/>
      <c r="H286" s="49"/>
    </row>
    <row r="287" spans="1:8" ht="13.5" hidden="1" thickTop="1" x14ac:dyDescent="0.2">
      <c r="A287" s="16"/>
      <c r="B287" s="16"/>
      <c r="C287" s="15"/>
      <c r="E287" s="19"/>
      <c r="F287" s="47"/>
      <c r="G287" s="48"/>
      <c r="H287" s="49"/>
    </row>
    <row r="288" spans="1:8" ht="13.5" hidden="1" thickTop="1" x14ac:dyDescent="0.2">
      <c r="A288" s="16"/>
      <c r="B288" s="16"/>
      <c r="C288" s="15"/>
      <c r="E288" s="19"/>
      <c r="F288" s="47"/>
      <c r="G288" s="48"/>
      <c r="H288" s="49"/>
    </row>
    <row r="289" spans="1:8" ht="13.5" hidden="1" thickTop="1" x14ac:dyDescent="0.2">
      <c r="A289" s="16"/>
      <c r="B289" s="16"/>
      <c r="C289" s="15"/>
      <c r="E289" s="19"/>
      <c r="F289" s="47"/>
      <c r="G289" s="48"/>
      <c r="H289" s="49"/>
    </row>
    <row r="290" spans="1:8" ht="13.5" hidden="1" thickTop="1" x14ac:dyDescent="0.2">
      <c r="A290" s="16"/>
      <c r="B290" s="16"/>
      <c r="C290" s="15"/>
      <c r="E290" s="19"/>
      <c r="F290" s="47"/>
      <c r="G290" s="48"/>
      <c r="H290" s="49"/>
    </row>
    <row r="291" spans="1:8" ht="13.5" hidden="1" thickTop="1" x14ac:dyDescent="0.2">
      <c r="A291" s="16"/>
      <c r="B291" s="16"/>
      <c r="C291" s="15"/>
      <c r="E291" s="19"/>
      <c r="F291" s="47"/>
      <c r="G291" s="48"/>
      <c r="H291" s="49"/>
    </row>
    <row r="292" spans="1:8" ht="13.5" hidden="1" thickTop="1" x14ac:dyDescent="0.2">
      <c r="A292" s="16"/>
      <c r="B292" s="16"/>
      <c r="C292" s="15"/>
      <c r="E292" s="19"/>
      <c r="F292" s="47"/>
      <c r="G292" s="48"/>
      <c r="H292" s="49"/>
    </row>
    <row r="293" spans="1:8" ht="13.5" hidden="1" thickTop="1" x14ac:dyDescent="0.2">
      <c r="A293" s="16"/>
      <c r="B293" s="16"/>
      <c r="C293" s="15"/>
      <c r="E293" s="19"/>
      <c r="F293" s="47"/>
      <c r="G293" s="48"/>
      <c r="H293" s="49"/>
    </row>
    <row r="294" spans="1:8" ht="13.5" hidden="1" thickTop="1" x14ac:dyDescent="0.2">
      <c r="A294" s="16"/>
      <c r="B294" s="16"/>
      <c r="C294" s="15"/>
      <c r="E294" s="19"/>
      <c r="F294" s="47"/>
      <c r="G294" s="48"/>
      <c r="H294" s="49"/>
    </row>
    <row r="295" spans="1:8" ht="13.5" hidden="1" thickTop="1" x14ac:dyDescent="0.2">
      <c r="A295" s="16"/>
      <c r="B295" s="16"/>
      <c r="C295" s="15"/>
      <c r="E295" s="19"/>
      <c r="F295" s="47"/>
      <c r="G295" s="48"/>
      <c r="H295" s="49"/>
    </row>
    <row r="296" spans="1:8" ht="13.5" hidden="1" thickTop="1" x14ac:dyDescent="0.2">
      <c r="A296" s="16"/>
      <c r="B296" s="16"/>
      <c r="C296" s="15"/>
      <c r="E296" s="19"/>
      <c r="F296" s="47"/>
      <c r="G296" s="48"/>
      <c r="H296" s="49"/>
    </row>
    <row r="297" spans="1:8" ht="13.5" hidden="1" thickTop="1" x14ac:dyDescent="0.2">
      <c r="A297" s="16"/>
      <c r="B297" s="16"/>
      <c r="C297" s="15"/>
      <c r="E297" s="19"/>
      <c r="F297" s="47"/>
      <c r="G297" s="48"/>
      <c r="H297" s="49"/>
    </row>
    <row r="298" spans="1:8" ht="13.5" hidden="1" thickTop="1" x14ac:dyDescent="0.2">
      <c r="A298" s="16"/>
      <c r="B298" s="16"/>
      <c r="C298" s="15"/>
      <c r="E298" s="19"/>
      <c r="F298" s="47"/>
      <c r="G298" s="48"/>
      <c r="H298" s="49"/>
    </row>
    <row r="299" spans="1:8" ht="13.5" hidden="1" thickTop="1" x14ac:dyDescent="0.2">
      <c r="A299" s="16"/>
      <c r="B299" s="16"/>
      <c r="C299" s="15"/>
      <c r="E299" s="19"/>
      <c r="F299" s="47"/>
      <c r="G299" s="48"/>
      <c r="H299" s="49"/>
    </row>
    <row r="300" spans="1:8" ht="13.5" hidden="1" thickTop="1" x14ac:dyDescent="0.2">
      <c r="A300" s="16"/>
      <c r="B300" s="16"/>
      <c r="C300" s="15"/>
      <c r="E300" s="19"/>
      <c r="F300" s="47"/>
      <c r="G300" s="48"/>
      <c r="H300" s="49"/>
    </row>
    <row r="301" spans="1:8" ht="13.5" hidden="1" thickTop="1" x14ac:dyDescent="0.2">
      <c r="A301" s="16"/>
      <c r="B301" s="16"/>
      <c r="C301" s="15"/>
      <c r="E301" s="19"/>
      <c r="F301" s="47"/>
      <c r="G301" s="48"/>
      <c r="H301" s="49"/>
    </row>
    <row r="302" spans="1:8" ht="13.5" hidden="1" thickTop="1" x14ac:dyDescent="0.2">
      <c r="A302" s="16"/>
      <c r="B302" s="16"/>
      <c r="C302" s="15"/>
      <c r="E302" s="19"/>
      <c r="F302" s="47"/>
      <c r="G302" s="48"/>
      <c r="H302" s="49"/>
    </row>
    <row r="303" spans="1:8" ht="13.5" hidden="1" thickTop="1" x14ac:dyDescent="0.2">
      <c r="A303" s="16"/>
      <c r="B303" s="16"/>
      <c r="C303" s="15"/>
      <c r="E303" s="19"/>
      <c r="F303" s="47"/>
      <c r="G303" s="48"/>
      <c r="H303" s="49"/>
    </row>
    <row r="304" spans="1:8" ht="13.5" hidden="1" thickTop="1" x14ac:dyDescent="0.2">
      <c r="A304" s="16"/>
      <c r="B304" s="16"/>
      <c r="C304" s="15"/>
      <c r="E304" s="19"/>
      <c r="F304" s="47"/>
      <c r="G304" s="48"/>
      <c r="H304" s="49"/>
    </row>
    <row r="305" spans="1:8" ht="13.5" hidden="1" thickTop="1" x14ac:dyDescent="0.2">
      <c r="A305" s="16"/>
      <c r="B305" s="16"/>
      <c r="C305" s="15"/>
      <c r="E305" s="19"/>
      <c r="F305" s="47"/>
      <c r="G305" s="48"/>
      <c r="H305" s="49"/>
    </row>
    <row r="306" spans="1:8" ht="13.5" hidden="1" thickTop="1" x14ac:dyDescent="0.2">
      <c r="A306" s="16"/>
      <c r="B306" s="16"/>
      <c r="C306" s="15"/>
      <c r="E306" s="19"/>
      <c r="F306" s="47"/>
      <c r="G306" s="48"/>
      <c r="H306" s="49"/>
    </row>
    <row r="307" spans="1:8" ht="13.5" hidden="1" thickTop="1" x14ac:dyDescent="0.2">
      <c r="A307" s="16"/>
      <c r="B307" s="16"/>
      <c r="C307" s="15"/>
      <c r="E307" s="19"/>
      <c r="F307" s="47"/>
      <c r="G307" s="48"/>
      <c r="H307" s="49"/>
    </row>
    <row r="308" spans="1:8" ht="13.5" hidden="1" thickTop="1" x14ac:dyDescent="0.2">
      <c r="A308" s="16"/>
      <c r="B308" s="16"/>
      <c r="C308" s="15"/>
      <c r="E308" s="19"/>
      <c r="F308" s="47"/>
      <c r="G308" s="48"/>
      <c r="H308" s="49"/>
    </row>
    <row r="309" spans="1:8" ht="13.5" hidden="1" thickTop="1" x14ac:dyDescent="0.2">
      <c r="A309" s="16"/>
      <c r="B309" s="16"/>
      <c r="C309" s="15"/>
      <c r="E309" s="19"/>
      <c r="F309" s="47"/>
      <c r="G309" s="48"/>
      <c r="H309" s="49"/>
    </row>
    <row r="310" spans="1:8" ht="13.5" hidden="1" thickTop="1" x14ac:dyDescent="0.2">
      <c r="A310" s="16"/>
      <c r="B310" s="16"/>
      <c r="C310" s="15"/>
      <c r="E310" s="19"/>
      <c r="F310" s="47"/>
      <c r="G310" s="48"/>
      <c r="H310" s="49"/>
    </row>
    <row r="311" spans="1:8" ht="13.5" hidden="1" thickTop="1" x14ac:dyDescent="0.2">
      <c r="A311" s="16"/>
      <c r="B311" s="16"/>
      <c r="C311" s="15"/>
      <c r="E311" s="19"/>
      <c r="F311" s="47"/>
      <c r="G311" s="48"/>
      <c r="H311" s="49"/>
    </row>
    <row r="312" spans="1:8" ht="13.5" hidden="1" thickTop="1" x14ac:dyDescent="0.2">
      <c r="A312" s="16"/>
      <c r="B312" s="16"/>
      <c r="C312" s="15"/>
      <c r="E312" s="19"/>
      <c r="F312" s="47"/>
      <c r="G312" s="48"/>
      <c r="H312" s="49"/>
    </row>
    <row r="313" spans="1:8" ht="13.5" hidden="1" thickTop="1" x14ac:dyDescent="0.2">
      <c r="A313" s="16"/>
      <c r="B313" s="16"/>
      <c r="C313" s="15"/>
      <c r="E313" s="19"/>
      <c r="F313" s="47"/>
      <c r="G313" s="48"/>
      <c r="H313" s="49"/>
    </row>
    <row r="314" spans="1:8" ht="13.5" hidden="1" thickTop="1" x14ac:dyDescent="0.2">
      <c r="A314" s="16"/>
      <c r="B314" s="16"/>
      <c r="C314" s="15"/>
      <c r="E314" s="19"/>
      <c r="F314" s="47"/>
      <c r="G314" s="48"/>
      <c r="H314" s="49"/>
    </row>
    <row r="315" spans="1:8" ht="13.5" hidden="1" thickTop="1" x14ac:dyDescent="0.2">
      <c r="A315" s="16"/>
      <c r="B315" s="16"/>
      <c r="C315" s="15"/>
      <c r="E315" s="19"/>
      <c r="F315" s="47"/>
      <c r="G315" s="48"/>
      <c r="H315" s="49"/>
    </row>
    <row r="316" spans="1:8" ht="13.5" hidden="1" thickTop="1" x14ac:dyDescent="0.2">
      <c r="A316" s="16"/>
      <c r="B316" s="16"/>
      <c r="C316" s="15"/>
      <c r="E316" s="19"/>
      <c r="F316" s="47"/>
      <c r="G316" s="48"/>
      <c r="H316" s="49"/>
    </row>
    <row r="317" spans="1:8" ht="13.5" hidden="1" thickTop="1" x14ac:dyDescent="0.2">
      <c r="A317" s="16"/>
      <c r="B317" s="16"/>
      <c r="C317" s="15"/>
      <c r="E317" s="19"/>
      <c r="F317" s="47"/>
      <c r="G317" s="48"/>
      <c r="H317" s="49"/>
    </row>
    <row r="318" spans="1:8" ht="13.5" hidden="1" thickTop="1" x14ac:dyDescent="0.2">
      <c r="A318" s="16"/>
      <c r="B318" s="16"/>
      <c r="C318" s="15"/>
      <c r="E318" s="19"/>
      <c r="F318" s="47"/>
      <c r="G318" s="48"/>
      <c r="H318" s="49"/>
    </row>
    <row r="319" spans="1:8" ht="13.5" hidden="1" thickTop="1" x14ac:dyDescent="0.2">
      <c r="A319" s="16"/>
      <c r="B319" s="16"/>
      <c r="C319" s="15"/>
      <c r="E319" s="19"/>
      <c r="F319" s="47"/>
      <c r="G319" s="48"/>
      <c r="H319" s="49"/>
    </row>
    <row r="320" spans="1:8" ht="13.5" hidden="1" thickTop="1" x14ac:dyDescent="0.2">
      <c r="A320" s="16"/>
      <c r="B320" s="16"/>
      <c r="C320" s="15"/>
      <c r="E320" s="19"/>
      <c r="F320" s="47"/>
      <c r="G320" s="48"/>
      <c r="H320" s="49"/>
    </row>
    <row r="321" spans="1:8" ht="13.5" hidden="1" thickTop="1" x14ac:dyDescent="0.2">
      <c r="A321" s="16"/>
      <c r="B321" s="16"/>
      <c r="C321" s="15"/>
      <c r="E321" s="19"/>
      <c r="F321" s="47"/>
      <c r="G321" s="48"/>
      <c r="H321" s="49"/>
    </row>
    <row r="322" spans="1:8" ht="13.5" hidden="1" thickTop="1" x14ac:dyDescent="0.2">
      <c r="A322" s="16"/>
      <c r="B322" s="16"/>
      <c r="C322" s="15"/>
      <c r="E322" s="19"/>
      <c r="F322" s="47"/>
      <c r="G322" s="48"/>
      <c r="H322" s="49"/>
    </row>
    <row r="323" spans="1:8" ht="13.5" hidden="1" thickTop="1" x14ac:dyDescent="0.2">
      <c r="A323" s="16"/>
      <c r="B323" s="16"/>
      <c r="C323" s="15"/>
      <c r="E323" s="19"/>
      <c r="F323" s="47"/>
      <c r="G323" s="48"/>
      <c r="H323" s="49"/>
    </row>
    <row r="324" spans="1:8" ht="13.5" hidden="1" thickTop="1" x14ac:dyDescent="0.2">
      <c r="A324" s="16"/>
      <c r="B324" s="16"/>
      <c r="C324" s="15"/>
      <c r="E324" s="19"/>
      <c r="F324" s="47"/>
      <c r="G324" s="48"/>
      <c r="H324" s="49"/>
    </row>
    <row r="325" spans="1:8" ht="13.5" hidden="1" thickTop="1" x14ac:dyDescent="0.2">
      <c r="A325" s="16"/>
      <c r="B325" s="16"/>
      <c r="C325" s="15"/>
      <c r="E325" s="19"/>
      <c r="F325" s="47"/>
      <c r="G325" s="48"/>
      <c r="H325" s="49"/>
    </row>
    <row r="326" spans="1:8" ht="13.5" hidden="1" thickTop="1" x14ac:dyDescent="0.2">
      <c r="A326" s="16"/>
      <c r="B326" s="16"/>
      <c r="C326" s="15"/>
      <c r="E326" s="19"/>
      <c r="F326" s="47"/>
      <c r="G326" s="48"/>
      <c r="H326" s="49"/>
    </row>
    <row r="327" spans="1:8" ht="13.5" hidden="1" thickTop="1" x14ac:dyDescent="0.2">
      <c r="A327" s="16"/>
      <c r="B327" s="16"/>
      <c r="C327" s="15"/>
      <c r="E327" s="19"/>
      <c r="F327" s="47"/>
      <c r="G327" s="48"/>
      <c r="H327" s="49"/>
    </row>
    <row r="328" spans="1:8" ht="13.5" hidden="1" thickTop="1" x14ac:dyDescent="0.2">
      <c r="A328" s="16"/>
      <c r="B328" s="16"/>
      <c r="C328" s="15"/>
      <c r="E328" s="19"/>
      <c r="F328" s="47"/>
      <c r="G328" s="48"/>
      <c r="H328" s="49"/>
    </row>
    <row r="329" spans="1:8" ht="13.5" hidden="1" thickTop="1" x14ac:dyDescent="0.2">
      <c r="A329" s="16"/>
      <c r="B329" s="16"/>
      <c r="C329" s="15"/>
      <c r="E329" s="19"/>
      <c r="F329" s="47"/>
      <c r="G329" s="48"/>
      <c r="H329" s="49"/>
    </row>
    <row r="330" spans="1:8" ht="13.5" hidden="1" thickTop="1" x14ac:dyDescent="0.2">
      <c r="A330" s="16"/>
      <c r="B330" s="16"/>
      <c r="C330" s="15"/>
      <c r="E330" s="19"/>
      <c r="F330" s="47"/>
      <c r="G330" s="48"/>
      <c r="H330" s="49"/>
    </row>
    <row r="331" spans="1:8" ht="13.5" hidden="1" thickTop="1" x14ac:dyDescent="0.2">
      <c r="A331" s="16"/>
      <c r="B331" s="16"/>
      <c r="C331" s="15"/>
      <c r="E331" s="19"/>
      <c r="F331" s="47"/>
      <c r="G331" s="48"/>
      <c r="H331" s="49"/>
    </row>
    <row r="332" spans="1:8" ht="13.5" hidden="1" thickTop="1" x14ac:dyDescent="0.2">
      <c r="A332" s="16"/>
      <c r="B332" s="16"/>
      <c r="C332" s="15"/>
      <c r="E332" s="19"/>
      <c r="F332" s="47"/>
      <c r="G332" s="48"/>
      <c r="H332" s="49"/>
    </row>
    <row r="333" spans="1:8" ht="13.5" hidden="1" thickTop="1" x14ac:dyDescent="0.2">
      <c r="A333" s="16"/>
      <c r="B333" s="16"/>
      <c r="C333" s="15"/>
      <c r="E333" s="19"/>
      <c r="F333" s="47"/>
      <c r="G333" s="48"/>
      <c r="H333" s="49"/>
    </row>
    <row r="334" spans="1:8" ht="13.5" hidden="1" thickTop="1" x14ac:dyDescent="0.2">
      <c r="A334" s="16"/>
      <c r="B334" s="16"/>
      <c r="C334" s="15"/>
      <c r="E334" s="19"/>
      <c r="F334" s="47"/>
      <c r="G334" s="48"/>
      <c r="H334" s="49"/>
    </row>
    <row r="335" spans="1:8" ht="13.5" hidden="1" thickTop="1" x14ac:dyDescent="0.2">
      <c r="A335" s="16"/>
      <c r="B335" s="16"/>
      <c r="C335" s="15"/>
      <c r="E335" s="19"/>
      <c r="F335" s="47"/>
      <c r="G335" s="48"/>
      <c r="H335" s="49"/>
    </row>
    <row r="336" spans="1:8" ht="13.5" hidden="1" thickTop="1" x14ac:dyDescent="0.2">
      <c r="A336" s="16"/>
      <c r="B336" s="16"/>
      <c r="C336" s="15"/>
      <c r="E336" s="19"/>
      <c r="F336" s="47"/>
      <c r="G336" s="48"/>
      <c r="H336" s="49"/>
    </row>
    <row r="337" spans="1:8" ht="13.5" hidden="1" thickTop="1" x14ac:dyDescent="0.2">
      <c r="A337" s="16"/>
      <c r="B337" s="16"/>
      <c r="C337" s="15"/>
      <c r="E337" s="19"/>
      <c r="F337" s="47"/>
      <c r="G337" s="48"/>
      <c r="H337" s="49"/>
    </row>
    <row r="338" spans="1:8" ht="13.5" hidden="1" thickTop="1" x14ac:dyDescent="0.2">
      <c r="A338" s="16"/>
      <c r="B338" s="16"/>
      <c r="C338" s="15"/>
      <c r="E338" s="19"/>
      <c r="F338" s="47"/>
      <c r="G338" s="48"/>
      <c r="H338" s="49"/>
    </row>
    <row r="339" spans="1:8" ht="13.5" hidden="1" thickTop="1" x14ac:dyDescent="0.2">
      <c r="A339" s="16"/>
      <c r="B339" s="16"/>
      <c r="C339" s="15"/>
      <c r="E339" s="19"/>
      <c r="F339" s="47"/>
      <c r="G339" s="48"/>
      <c r="H339" s="49"/>
    </row>
    <row r="340" spans="1:8" ht="13.5" hidden="1" thickTop="1" x14ac:dyDescent="0.2">
      <c r="A340" s="16"/>
      <c r="B340" s="16"/>
      <c r="C340" s="15"/>
      <c r="E340" s="19"/>
      <c r="F340" s="47"/>
      <c r="G340" s="48"/>
      <c r="H340" s="49"/>
    </row>
    <row r="341" spans="1:8" ht="13.5" hidden="1" thickTop="1" x14ac:dyDescent="0.2">
      <c r="A341" s="16"/>
      <c r="B341" s="16"/>
      <c r="C341" s="15"/>
      <c r="E341" s="19"/>
      <c r="F341" s="47"/>
      <c r="G341" s="48"/>
      <c r="H341" s="49"/>
    </row>
    <row r="342" spans="1:8" ht="13.5" hidden="1" thickTop="1" x14ac:dyDescent="0.2">
      <c r="A342" s="16"/>
      <c r="B342" s="16"/>
      <c r="C342" s="15"/>
      <c r="E342" s="19"/>
      <c r="F342" s="47"/>
      <c r="G342" s="48"/>
      <c r="H342" s="49"/>
    </row>
    <row r="343" spans="1:8" ht="13.5" hidden="1" thickTop="1" x14ac:dyDescent="0.2">
      <c r="A343" s="16"/>
      <c r="B343" s="16"/>
      <c r="C343" s="15"/>
      <c r="E343" s="19"/>
      <c r="F343" s="47"/>
      <c r="G343" s="48"/>
      <c r="H343" s="49"/>
    </row>
    <row r="344" spans="1:8" ht="13.5" hidden="1" thickTop="1" x14ac:dyDescent="0.2">
      <c r="A344" s="16"/>
      <c r="B344" s="16"/>
      <c r="C344" s="15"/>
      <c r="E344" s="19"/>
      <c r="F344" s="47"/>
      <c r="G344" s="48"/>
      <c r="H344" s="49"/>
    </row>
    <row r="345" spans="1:8" ht="13.5" hidden="1" thickTop="1" x14ac:dyDescent="0.2">
      <c r="A345" s="16"/>
      <c r="B345" s="16"/>
      <c r="C345" s="15"/>
      <c r="E345" s="19"/>
      <c r="F345" s="47"/>
      <c r="G345" s="48"/>
      <c r="H345" s="49"/>
    </row>
    <row r="346" spans="1:8" ht="13.5" hidden="1" thickTop="1" x14ac:dyDescent="0.2">
      <c r="A346" s="16"/>
      <c r="B346" s="16"/>
      <c r="C346" s="15"/>
      <c r="E346" s="19"/>
      <c r="F346" s="47"/>
      <c r="G346" s="48"/>
      <c r="H346" s="49"/>
    </row>
    <row r="347" spans="1:8" ht="13.5" hidden="1" thickTop="1" x14ac:dyDescent="0.2">
      <c r="A347" s="16"/>
      <c r="B347" s="16"/>
      <c r="C347" s="15"/>
      <c r="E347" s="19"/>
      <c r="F347" s="47"/>
      <c r="G347" s="48"/>
      <c r="H347" s="49"/>
    </row>
    <row r="348" spans="1:8" ht="13.5" hidden="1" thickTop="1" x14ac:dyDescent="0.2">
      <c r="A348" s="16"/>
      <c r="B348" s="16"/>
      <c r="C348" s="15"/>
      <c r="E348" s="19"/>
      <c r="F348" s="47"/>
      <c r="G348" s="48"/>
      <c r="H348" s="49"/>
    </row>
    <row r="349" spans="1:8" ht="13.5" hidden="1" thickTop="1" x14ac:dyDescent="0.2">
      <c r="A349" s="16"/>
      <c r="B349" s="16"/>
      <c r="C349" s="15"/>
      <c r="E349" s="19"/>
      <c r="F349" s="47"/>
      <c r="G349" s="48"/>
      <c r="H349" s="49"/>
    </row>
    <row r="350" spans="1:8" ht="13.5" hidden="1" thickTop="1" x14ac:dyDescent="0.2">
      <c r="A350" s="16"/>
      <c r="B350" s="16"/>
      <c r="C350" s="15"/>
      <c r="E350" s="19"/>
      <c r="F350" s="47"/>
      <c r="G350" s="48"/>
      <c r="H350" s="49"/>
    </row>
    <row r="351" spans="1:8" ht="13.5" hidden="1" thickTop="1" x14ac:dyDescent="0.2">
      <c r="A351" s="16"/>
      <c r="B351" s="16"/>
      <c r="C351" s="15"/>
      <c r="E351" s="19"/>
      <c r="F351" s="47"/>
      <c r="G351" s="48"/>
      <c r="H351" s="49"/>
    </row>
    <row r="352" spans="1:8" ht="13.5" hidden="1" thickTop="1" x14ac:dyDescent="0.2">
      <c r="A352" s="16"/>
      <c r="B352" s="16"/>
      <c r="C352" s="15"/>
      <c r="E352" s="19"/>
      <c r="F352" s="47"/>
      <c r="G352" s="48"/>
      <c r="H352" s="49"/>
    </row>
    <row r="353" spans="1:8" ht="13.5" hidden="1" thickTop="1" x14ac:dyDescent="0.2">
      <c r="A353" s="16"/>
      <c r="B353" s="16"/>
      <c r="C353" s="15"/>
      <c r="E353" s="19"/>
      <c r="F353" s="47"/>
      <c r="G353" s="48"/>
      <c r="H353" s="49"/>
    </row>
    <row r="354" spans="1:8" ht="13.5" hidden="1" thickTop="1" x14ac:dyDescent="0.2">
      <c r="A354" s="16"/>
      <c r="B354" s="16"/>
      <c r="C354" s="15"/>
      <c r="E354" s="19"/>
      <c r="F354" s="47"/>
      <c r="G354" s="48"/>
      <c r="H354" s="49"/>
    </row>
    <row r="355" spans="1:8" ht="13.5" hidden="1" thickTop="1" x14ac:dyDescent="0.2">
      <c r="A355" s="16"/>
      <c r="B355" s="16"/>
      <c r="C355" s="15"/>
      <c r="E355" s="19"/>
      <c r="F355" s="47"/>
      <c r="G355" s="48"/>
      <c r="H355" s="49"/>
    </row>
    <row r="356" spans="1:8" ht="13.5" hidden="1" thickTop="1" x14ac:dyDescent="0.2">
      <c r="A356" s="16"/>
      <c r="B356" s="16"/>
      <c r="C356" s="15"/>
      <c r="E356" s="19"/>
      <c r="F356" s="47"/>
      <c r="G356" s="48"/>
      <c r="H356" s="49"/>
    </row>
    <row r="357" spans="1:8" ht="13.5" hidden="1" thickTop="1" x14ac:dyDescent="0.2">
      <c r="A357" s="16"/>
      <c r="B357" s="16"/>
      <c r="C357" s="15"/>
      <c r="E357" s="19"/>
      <c r="F357" s="47"/>
      <c r="G357" s="48"/>
      <c r="H357" s="49"/>
    </row>
    <row r="358" spans="1:8" ht="13.5" hidden="1" thickTop="1" x14ac:dyDescent="0.2">
      <c r="A358" s="16"/>
      <c r="B358" s="16"/>
      <c r="C358" s="15"/>
      <c r="E358" s="19"/>
      <c r="F358" s="47"/>
      <c r="G358" s="48"/>
      <c r="H358" s="49"/>
    </row>
    <row r="359" spans="1:8" ht="13.5" hidden="1" thickTop="1" x14ac:dyDescent="0.2">
      <c r="A359" s="16"/>
      <c r="B359" s="16"/>
      <c r="C359" s="15"/>
      <c r="E359" s="19"/>
      <c r="F359" s="47"/>
      <c r="G359" s="48"/>
      <c r="H359" s="49"/>
    </row>
    <row r="360" spans="1:8" ht="13.5" hidden="1" thickTop="1" x14ac:dyDescent="0.2">
      <c r="A360" s="16"/>
      <c r="B360" s="16"/>
      <c r="C360" s="15"/>
      <c r="E360" s="19"/>
      <c r="F360" s="47"/>
      <c r="G360" s="48"/>
      <c r="H360" s="49"/>
    </row>
    <row r="361" spans="1:8" ht="13.5" hidden="1" thickTop="1" x14ac:dyDescent="0.2">
      <c r="A361" s="16"/>
      <c r="B361" s="16"/>
      <c r="C361" s="15"/>
      <c r="E361" s="19"/>
      <c r="F361" s="47"/>
      <c r="G361" s="48"/>
      <c r="H361" s="49"/>
    </row>
    <row r="362" spans="1:8" ht="13.5" hidden="1" thickTop="1" x14ac:dyDescent="0.2">
      <c r="A362" s="16"/>
      <c r="B362" s="16"/>
      <c r="C362" s="15"/>
      <c r="E362" s="19"/>
      <c r="F362" s="47"/>
      <c r="G362" s="48"/>
      <c r="H362" s="49"/>
    </row>
    <row r="363" spans="1:8" ht="13.5" hidden="1" thickTop="1" x14ac:dyDescent="0.2">
      <c r="A363" s="16"/>
      <c r="B363" s="16"/>
      <c r="C363" s="15"/>
      <c r="E363" s="19"/>
      <c r="F363" s="47"/>
      <c r="G363" s="48"/>
      <c r="H363" s="49"/>
    </row>
    <row r="364" spans="1:8" ht="13.5" hidden="1" thickTop="1" x14ac:dyDescent="0.2">
      <c r="A364" s="16"/>
      <c r="B364" s="16"/>
      <c r="C364" s="15"/>
      <c r="E364" s="19"/>
      <c r="F364" s="47"/>
      <c r="G364" s="48"/>
      <c r="H364" s="49"/>
    </row>
    <row r="365" spans="1:8" ht="13.5" hidden="1" thickTop="1" x14ac:dyDescent="0.2">
      <c r="A365" s="16"/>
      <c r="B365" s="16"/>
      <c r="C365" s="15"/>
      <c r="E365" s="19"/>
      <c r="F365" s="47"/>
      <c r="G365" s="48"/>
      <c r="H365" s="49"/>
    </row>
    <row r="366" spans="1:8" ht="13.5" hidden="1" thickTop="1" x14ac:dyDescent="0.2">
      <c r="A366" s="16"/>
      <c r="B366" s="16"/>
      <c r="C366" s="15"/>
      <c r="E366" s="19"/>
      <c r="F366" s="47"/>
      <c r="G366" s="48"/>
      <c r="H366" s="49"/>
    </row>
    <row r="367" spans="1:8" ht="13.5" hidden="1" thickTop="1" x14ac:dyDescent="0.2">
      <c r="A367" s="16"/>
      <c r="B367" s="16"/>
      <c r="C367" s="15"/>
      <c r="E367" s="19"/>
      <c r="F367" s="47"/>
      <c r="G367" s="48"/>
      <c r="H367" s="49"/>
    </row>
    <row r="368" spans="1:8" ht="13.5" hidden="1" thickTop="1" x14ac:dyDescent="0.2">
      <c r="A368" s="16"/>
      <c r="B368" s="16"/>
      <c r="C368" s="15"/>
      <c r="E368" s="19"/>
      <c r="F368" s="47"/>
      <c r="G368" s="48"/>
      <c r="H368" s="49"/>
    </row>
    <row r="369" spans="1:8" ht="13.5" hidden="1" thickTop="1" x14ac:dyDescent="0.2">
      <c r="A369" s="16"/>
      <c r="B369" s="16"/>
      <c r="C369" s="15"/>
      <c r="E369" s="19"/>
      <c r="F369" s="47"/>
      <c r="G369" s="48"/>
      <c r="H369" s="49"/>
    </row>
    <row r="370" spans="1:8" ht="13.5" hidden="1" thickTop="1" x14ac:dyDescent="0.2">
      <c r="A370" s="16"/>
      <c r="B370" s="16"/>
      <c r="C370" s="15"/>
      <c r="E370" s="19"/>
      <c r="F370" s="47"/>
      <c r="G370" s="48"/>
      <c r="H370" s="49"/>
    </row>
    <row r="371" spans="1:8" ht="13.5" hidden="1" thickTop="1" x14ac:dyDescent="0.2">
      <c r="A371" s="16"/>
      <c r="B371" s="16"/>
      <c r="C371" s="15"/>
      <c r="E371" s="19"/>
      <c r="F371" s="47"/>
      <c r="G371" s="48"/>
      <c r="H371" s="49"/>
    </row>
    <row r="372" spans="1:8" ht="13.5" hidden="1" thickTop="1" x14ac:dyDescent="0.2">
      <c r="A372" s="16"/>
      <c r="B372" s="16"/>
      <c r="C372" s="15"/>
      <c r="E372" s="19"/>
      <c r="F372" s="47"/>
      <c r="G372" s="48"/>
      <c r="H372" s="49"/>
    </row>
    <row r="373" spans="1:8" ht="13.5" hidden="1" thickTop="1" x14ac:dyDescent="0.2">
      <c r="A373" s="16"/>
      <c r="B373" s="16"/>
      <c r="C373" s="15"/>
      <c r="E373" s="19"/>
      <c r="F373" s="47"/>
      <c r="G373" s="48"/>
      <c r="H373" s="49"/>
    </row>
    <row r="374" spans="1:8" ht="13.5" hidden="1" thickTop="1" x14ac:dyDescent="0.2">
      <c r="A374" s="16"/>
      <c r="B374" s="16"/>
      <c r="C374" s="15"/>
      <c r="E374" s="19"/>
      <c r="F374" s="47"/>
      <c r="G374" s="48"/>
      <c r="H374" s="49"/>
    </row>
    <row r="375" spans="1:8" ht="13.5" hidden="1" thickTop="1" x14ac:dyDescent="0.2">
      <c r="A375" s="16"/>
      <c r="B375" s="16"/>
      <c r="C375" s="15"/>
      <c r="E375" s="19"/>
      <c r="F375" s="47"/>
      <c r="G375" s="48"/>
      <c r="H375" s="49"/>
    </row>
    <row r="376" spans="1:8" ht="13.5" hidden="1" thickTop="1" x14ac:dyDescent="0.2">
      <c r="A376" s="16"/>
      <c r="B376" s="16"/>
      <c r="C376" s="15"/>
      <c r="E376" s="19"/>
      <c r="F376" s="47"/>
      <c r="G376" s="48"/>
      <c r="H376" s="49"/>
    </row>
    <row r="377" spans="1:8" ht="13.5" hidden="1" thickTop="1" x14ac:dyDescent="0.2">
      <c r="A377" s="16"/>
      <c r="B377" s="16"/>
      <c r="C377" s="15"/>
      <c r="E377" s="19"/>
      <c r="F377" s="47"/>
      <c r="G377" s="48"/>
      <c r="H377" s="49"/>
    </row>
    <row r="378" spans="1:8" ht="13.5" hidden="1" thickTop="1" x14ac:dyDescent="0.2">
      <c r="A378" s="16"/>
      <c r="B378" s="16"/>
      <c r="C378" s="15"/>
      <c r="E378" s="19"/>
      <c r="F378" s="47"/>
      <c r="G378" s="48"/>
      <c r="H378" s="49"/>
    </row>
    <row r="379" spans="1:8" ht="13.5" hidden="1" thickTop="1" x14ac:dyDescent="0.2">
      <c r="A379" s="16"/>
      <c r="B379" s="16"/>
      <c r="C379" s="15"/>
      <c r="E379" s="19"/>
      <c r="F379" s="47"/>
      <c r="G379" s="48"/>
      <c r="H379" s="49"/>
    </row>
    <row r="380" spans="1:8" ht="13.5" hidden="1" thickTop="1" x14ac:dyDescent="0.2">
      <c r="A380" s="16"/>
      <c r="B380" s="16"/>
      <c r="C380" s="15"/>
      <c r="E380" s="19"/>
      <c r="F380" s="47"/>
      <c r="G380" s="48"/>
      <c r="H380" s="49"/>
    </row>
    <row r="381" spans="1:8" ht="13.5" hidden="1" thickTop="1" x14ac:dyDescent="0.2">
      <c r="A381" s="16"/>
      <c r="B381" s="16"/>
      <c r="C381" s="15"/>
      <c r="E381" s="19"/>
      <c r="F381" s="47"/>
      <c r="G381" s="48"/>
      <c r="H381" s="49"/>
    </row>
    <row r="382" spans="1:8" ht="13.5" hidden="1" thickTop="1" x14ac:dyDescent="0.2">
      <c r="A382" s="16"/>
      <c r="B382" s="16"/>
      <c r="C382" s="15"/>
      <c r="E382" s="19"/>
      <c r="F382" s="47"/>
      <c r="G382" s="48"/>
      <c r="H382" s="49"/>
    </row>
    <row r="383" spans="1:8" ht="13.5" hidden="1" thickTop="1" x14ac:dyDescent="0.2">
      <c r="A383" s="16"/>
      <c r="B383" s="16"/>
      <c r="C383" s="15"/>
      <c r="E383" s="19"/>
      <c r="F383" s="47"/>
      <c r="G383" s="48"/>
      <c r="H383" s="49"/>
    </row>
    <row r="384" spans="1:8" ht="13.5" hidden="1" thickTop="1" x14ac:dyDescent="0.2">
      <c r="A384" s="16"/>
      <c r="B384" s="16"/>
      <c r="C384" s="15"/>
      <c r="E384" s="19"/>
      <c r="F384" s="47"/>
      <c r="G384" s="48"/>
      <c r="H384" s="49"/>
    </row>
    <row r="385" spans="1:8" ht="13.5" hidden="1" thickTop="1" x14ac:dyDescent="0.2">
      <c r="A385" s="16"/>
      <c r="B385" s="16"/>
      <c r="C385" s="15"/>
      <c r="E385" s="19"/>
      <c r="F385" s="47"/>
      <c r="G385" s="48"/>
      <c r="H385" s="49"/>
    </row>
    <row r="386" spans="1:8" ht="13.5" hidden="1" thickTop="1" x14ac:dyDescent="0.2">
      <c r="A386" s="16"/>
      <c r="B386" s="16"/>
      <c r="C386" s="15"/>
      <c r="E386" s="19"/>
      <c r="F386" s="47"/>
      <c r="G386" s="48"/>
      <c r="H386" s="49"/>
    </row>
    <row r="387" spans="1:8" ht="13.5" hidden="1" thickTop="1" x14ac:dyDescent="0.2">
      <c r="A387" s="16"/>
      <c r="B387" s="16"/>
      <c r="C387" s="15"/>
      <c r="E387" s="19"/>
      <c r="F387" s="47"/>
      <c r="G387" s="48"/>
      <c r="H387" s="49"/>
    </row>
    <row r="388" spans="1:8" ht="13.5" hidden="1" thickTop="1" x14ac:dyDescent="0.2">
      <c r="A388" s="16"/>
      <c r="B388" s="16"/>
      <c r="C388" s="15"/>
      <c r="E388" s="19"/>
      <c r="F388" s="47"/>
      <c r="G388" s="48"/>
      <c r="H388" s="49"/>
    </row>
    <row r="389" spans="1:8" ht="13.5" hidden="1" thickTop="1" x14ac:dyDescent="0.2">
      <c r="A389" s="16"/>
      <c r="B389" s="16"/>
      <c r="C389" s="15"/>
      <c r="E389" s="19"/>
      <c r="F389" s="47"/>
      <c r="G389" s="48"/>
      <c r="H389" s="49"/>
    </row>
    <row r="390" spans="1:8" ht="13.5" hidden="1" thickTop="1" x14ac:dyDescent="0.2">
      <c r="A390" s="16"/>
      <c r="B390" s="16"/>
      <c r="C390" s="15"/>
      <c r="E390" s="19"/>
      <c r="F390" s="47"/>
      <c r="G390" s="48"/>
      <c r="H390" s="49"/>
    </row>
    <row r="391" spans="1:8" ht="13.5" hidden="1" thickTop="1" x14ac:dyDescent="0.2">
      <c r="A391" s="16"/>
      <c r="B391" s="16"/>
      <c r="C391" s="15"/>
      <c r="E391" s="19"/>
      <c r="F391" s="47"/>
      <c r="G391" s="48"/>
      <c r="H391" s="49"/>
    </row>
    <row r="392" spans="1:8" ht="13.5" hidden="1" thickTop="1" x14ac:dyDescent="0.2">
      <c r="A392" s="16"/>
      <c r="B392" s="16"/>
      <c r="C392" s="15"/>
      <c r="E392" s="19"/>
      <c r="F392" s="47"/>
      <c r="G392" s="48"/>
      <c r="H392" s="49"/>
    </row>
    <row r="393" spans="1:8" ht="13.5" hidden="1" thickTop="1" x14ac:dyDescent="0.2">
      <c r="A393" s="16"/>
      <c r="B393" s="16"/>
      <c r="C393" s="15"/>
      <c r="E393" s="19"/>
      <c r="F393" s="47"/>
      <c r="G393" s="48"/>
      <c r="H393" s="49"/>
    </row>
    <row r="394" spans="1:8" ht="13.5" hidden="1" thickTop="1" x14ac:dyDescent="0.2">
      <c r="A394" s="16"/>
      <c r="B394" s="16"/>
      <c r="C394" s="15"/>
      <c r="E394" s="19"/>
      <c r="F394" s="47"/>
      <c r="G394" s="48"/>
      <c r="H394" s="49"/>
    </row>
    <row r="395" spans="1:8" ht="13.5" hidden="1" thickTop="1" x14ac:dyDescent="0.2">
      <c r="A395" s="16"/>
      <c r="B395" s="16"/>
      <c r="C395" s="15"/>
      <c r="E395" s="19"/>
      <c r="F395" s="47"/>
      <c r="G395" s="48"/>
      <c r="H395" s="49"/>
    </row>
    <row r="396" spans="1:8" ht="13.5" hidden="1" thickTop="1" x14ac:dyDescent="0.2">
      <c r="A396" s="16"/>
      <c r="B396" s="16"/>
      <c r="C396" s="15"/>
      <c r="E396" s="19"/>
      <c r="F396" s="47"/>
      <c r="G396" s="48"/>
      <c r="H396" s="49"/>
    </row>
    <row r="397" spans="1:8" ht="13.5" hidden="1" thickTop="1" x14ac:dyDescent="0.2">
      <c r="A397" s="16"/>
      <c r="B397" s="16"/>
      <c r="C397" s="15"/>
      <c r="E397" s="19"/>
      <c r="F397" s="47"/>
      <c r="G397" s="48"/>
      <c r="H397" s="49"/>
    </row>
    <row r="398" spans="1:8" ht="13.5" hidden="1" thickTop="1" x14ac:dyDescent="0.2">
      <c r="A398" s="16"/>
      <c r="B398" s="16"/>
      <c r="C398" s="15"/>
      <c r="E398" s="19"/>
      <c r="F398" s="47"/>
      <c r="G398" s="48"/>
      <c r="H398" s="49"/>
    </row>
    <row r="399" spans="1:8" ht="13.5" hidden="1" thickTop="1" x14ac:dyDescent="0.2">
      <c r="A399" s="16"/>
      <c r="B399" s="16"/>
      <c r="C399" s="15"/>
      <c r="E399" s="19"/>
      <c r="F399" s="47"/>
      <c r="G399" s="48"/>
      <c r="H399" s="49"/>
    </row>
    <row r="400" spans="1:8" ht="13.5" hidden="1" thickTop="1" x14ac:dyDescent="0.2">
      <c r="A400" s="16"/>
      <c r="B400" s="16"/>
      <c r="C400" s="15"/>
      <c r="E400" s="19"/>
      <c r="F400" s="47"/>
      <c r="G400" s="48"/>
      <c r="H400" s="49"/>
    </row>
    <row r="401" spans="1:8" ht="13.5" hidden="1" thickTop="1" x14ac:dyDescent="0.2">
      <c r="A401" s="16"/>
      <c r="B401" s="16"/>
      <c r="C401" s="15"/>
      <c r="E401" s="19"/>
      <c r="F401" s="47"/>
      <c r="G401" s="48"/>
      <c r="H401" s="49"/>
    </row>
    <row r="402" spans="1:8" ht="13.5" hidden="1" thickTop="1" x14ac:dyDescent="0.2">
      <c r="A402" s="16"/>
      <c r="B402" s="16"/>
      <c r="C402" s="15"/>
      <c r="E402" s="19"/>
      <c r="F402" s="47"/>
      <c r="G402" s="48"/>
      <c r="H402" s="49"/>
    </row>
    <row r="403" spans="1:8" ht="13.5" hidden="1" thickTop="1" x14ac:dyDescent="0.2">
      <c r="A403" s="16"/>
      <c r="B403" s="16"/>
      <c r="C403" s="15"/>
      <c r="E403" s="19"/>
      <c r="F403" s="47"/>
      <c r="G403" s="48"/>
      <c r="H403" s="49"/>
    </row>
    <row r="404" spans="1:8" ht="13.5" hidden="1" thickTop="1" x14ac:dyDescent="0.2">
      <c r="A404" s="16"/>
      <c r="B404" s="16"/>
      <c r="C404" s="15"/>
      <c r="E404" s="19"/>
      <c r="F404" s="47"/>
      <c r="G404" s="48"/>
      <c r="H404" s="49"/>
    </row>
    <row r="405" spans="1:8" ht="13.5" hidden="1" thickTop="1" x14ac:dyDescent="0.2">
      <c r="A405" s="16"/>
      <c r="B405" s="16"/>
      <c r="C405" s="15"/>
      <c r="E405" s="19"/>
      <c r="F405" s="47"/>
      <c r="G405" s="48"/>
      <c r="H405" s="49"/>
    </row>
    <row r="406" spans="1:8" ht="13.5" hidden="1" thickTop="1" x14ac:dyDescent="0.2">
      <c r="A406" s="16"/>
      <c r="B406" s="16"/>
      <c r="C406" s="15"/>
      <c r="E406" s="19"/>
      <c r="F406" s="47"/>
      <c r="G406" s="48"/>
      <c r="H406" s="49"/>
    </row>
    <row r="407" spans="1:8" ht="13.5" hidden="1" thickTop="1" x14ac:dyDescent="0.2">
      <c r="A407" s="16"/>
      <c r="B407" s="16"/>
      <c r="C407" s="15"/>
      <c r="E407" s="19"/>
      <c r="F407" s="47"/>
      <c r="G407" s="48"/>
      <c r="H407" s="49"/>
    </row>
    <row r="408" spans="1:8" ht="13.5" hidden="1" thickTop="1" x14ac:dyDescent="0.2">
      <c r="A408" s="16"/>
      <c r="B408" s="16"/>
      <c r="C408" s="15"/>
      <c r="E408" s="19"/>
      <c r="F408" s="47"/>
      <c r="G408" s="48"/>
      <c r="H408" s="49"/>
    </row>
    <row r="409" spans="1:8" ht="13.5" hidden="1" thickTop="1" x14ac:dyDescent="0.2">
      <c r="A409" s="16"/>
      <c r="B409" s="16"/>
      <c r="C409" s="15"/>
      <c r="E409" s="19"/>
      <c r="F409" s="47"/>
      <c r="G409" s="48"/>
      <c r="H409" s="49"/>
    </row>
    <row r="410" spans="1:8" ht="13.5" hidden="1" thickTop="1" x14ac:dyDescent="0.2">
      <c r="A410" s="16"/>
      <c r="B410" s="16"/>
      <c r="C410" s="15"/>
      <c r="E410" s="19"/>
      <c r="F410" s="47"/>
      <c r="G410" s="48"/>
      <c r="H410" s="49"/>
    </row>
    <row r="411" spans="1:8" ht="13.5" hidden="1" thickTop="1" x14ac:dyDescent="0.2">
      <c r="A411" s="16"/>
      <c r="B411" s="16"/>
      <c r="C411" s="15"/>
      <c r="E411" s="19"/>
      <c r="F411" s="47"/>
      <c r="G411" s="48"/>
      <c r="H411" s="49"/>
    </row>
    <row r="412" spans="1:8" ht="13.5" hidden="1" thickTop="1" x14ac:dyDescent="0.2">
      <c r="A412" s="16"/>
      <c r="B412" s="16"/>
      <c r="C412" s="15"/>
      <c r="E412" s="19"/>
      <c r="F412" s="47"/>
      <c r="G412" s="48"/>
      <c r="H412" s="49"/>
    </row>
    <row r="413" spans="1:8" ht="13.5" hidden="1" thickTop="1" x14ac:dyDescent="0.2">
      <c r="A413" s="16"/>
      <c r="B413" s="16"/>
      <c r="C413" s="15"/>
      <c r="E413" s="19"/>
      <c r="F413" s="47"/>
      <c r="G413" s="48"/>
      <c r="H413" s="49"/>
    </row>
    <row r="414" spans="1:8" ht="13.5" hidden="1" thickTop="1" x14ac:dyDescent="0.2">
      <c r="A414" s="16"/>
      <c r="B414" s="16"/>
      <c r="C414" s="15"/>
      <c r="E414" s="19"/>
      <c r="F414" s="47"/>
      <c r="G414" s="48"/>
      <c r="H414" s="49"/>
    </row>
    <row r="415" spans="1:8" ht="13.5" hidden="1" thickTop="1" x14ac:dyDescent="0.2">
      <c r="A415" s="16"/>
      <c r="B415" s="16"/>
      <c r="C415" s="15"/>
      <c r="E415" s="19"/>
      <c r="F415" s="47"/>
      <c r="G415" s="48"/>
      <c r="H415" s="49"/>
    </row>
    <row r="416" spans="1:8" ht="13.5" hidden="1" thickTop="1" x14ac:dyDescent="0.2">
      <c r="A416" s="16"/>
      <c r="B416" s="16"/>
      <c r="C416" s="15"/>
      <c r="E416" s="19"/>
      <c r="F416" s="47"/>
      <c r="G416" s="48"/>
      <c r="H416" s="49"/>
    </row>
    <row r="417" spans="1:8" ht="13.5" hidden="1" thickTop="1" x14ac:dyDescent="0.2">
      <c r="A417" s="16"/>
      <c r="B417" s="16"/>
      <c r="C417" s="15"/>
      <c r="E417" s="19"/>
      <c r="F417" s="47"/>
      <c r="G417" s="48"/>
      <c r="H417" s="49"/>
    </row>
    <row r="418" spans="1:8" ht="13.5" hidden="1" thickTop="1" x14ac:dyDescent="0.2">
      <c r="A418" s="16"/>
      <c r="B418" s="16"/>
      <c r="C418" s="15"/>
      <c r="E418" s="19"/>
      <c r="F418" s="47"/>
      <c r="G418" s="48"/>
      <c r="H418" s="49"/>
    </row>
    <row r="419" spans="1:8" ht="13.5" hidden="1" thickTop="1" x14ac:dyDescent="0.2">
      <c r="A419" s="16"/>
      <c r="B419" s="16"/>
      <c r="C419" s="15"/>
      <c r="E419" s="19"/>
      <c r="F419" s="47"/>
      <c r="G419" s="48"/>
      <c r="H419" s="49"/>
    </row>
    <row r="420" spans="1:8" ht="13.5" hidden="1" thickTop="1" x14ac:dyDescent="0.2">
      <c r="A420" s="16"/>
      <c r="B420" s="16"/>
      <c r="C420" s="15"/>
      <c r="E420" s="19"/>
      <c r="F420" s="47"/>
      <c r="G420" s="48"/>
      <c r="H420" s="49"/>
    </row>
    <row r="421" spans="1:8" ht="13.5" hidden="1" thickTop="1" x14ac:dyDescent="0.2">
      <c r="A421" s="16"/>
      <c r="B421" s="16"/>
      <c r="C421" s="15"/>
      <c r="E421" s="19"/>
      <c r="F421" s="47"/>
      <c r="G421" s="48"/>
      <c r="H421" s="49"/>
    </row>
    <row r="422" spans="1:8" ht="13.5" hidden="1" thickTop="1" x14ac:dyDescent="0.2">
      <c r="A422" s="16"/>
      <c r="B422" s="16"/>
      <c r="C422" s="15"/>
      <c r="E422" s="19"/>
      <c r="F422" s="47"/>
      <c r="G422" s="48"/>
      <c r="H422" s="49"/>
    </row>
    <row r="423" spans="1:8" ht="13.5" hidden="1" thickTop="1" x14ac:dyDescent="0.2">
      <c r="A423" s="16"/>
      <c r="B423" s="16"/>
      <c r="C423" s="15"/>
      <c r="E423" s="19"/>
      <c r="F423" s="47"/>
      <c r="G423" s="48"/>
      <c r="H423" s="49"/>
    </row>
    <row r="424" spans="1:8" ht="13.5" hidden="1" thickTop="1" x14ac:dyDescent="0.2">
      <c r="A424" s="16"/>
      <c r="B424" s="16"/>
      <c r="C424" s="15"/>
      <c r="E424" s="19"/>
      <c r="F424" s="47"/>
      <c r="G424" s="48"/>
      <c r="H424" s="49"/>
    </row>
    <row r="425" spans="1:8" ht="13.5" hidden="1" thickTop="1" x14ac:dyDescent="0.2">
      <c r="A425" s="16"/>
      <c r="B425" s="16"/>
      <c r="C425" s="15"/>
      <c r="E425" s="19"/>
      <c r="F425" s="47"/>
      <c r="G425" s="48"/>
      <c r="H425" s="49"/>
    </row>
    <row r="426" spans="1:8" ht="13.5" hidden="1" thickTop="1" x14ac:dyDescent="0.2">
      <c r="A426" s="16"/>
      <c r="B426" s="16"/>
      <c r="C426" s="15"/>
      <c r="E426" s="19"/>
      <c r="F426" s="47"/>
      <c r="G426" s="48"/>
      <c r="H426" s="49"/>
    </row>
    <row r="427" spans="1:8" ht="13.5" hidden="1" thickTop="1" x14ac:dyDescent="0.2">
      <c r="A427" s="16"/>
      <c r="B427" s="16"/>
      <c r="C427" s="15"/>
      <c r="E427" s="19"/>
      <c r="F427" s="47"/>
      <c r="G427" s="48"/>
      <c r="H427" s="49"/>
    </row>
    <row r="428" spans="1:8" ht="13.5" hidden="1" thickTop="1" x14ac:dyDescent="0.2">
      <c r="A428" s="16"/>
      <c r="B428" s="16"/>
      <c r="C428" s="15"/>
      <c r="E428" s="19"/>
      <c r="F428" s="47"/>
      <c r="G428" s="48"/>
      <c r="H428" s="49"/>
    </row>
    <row r="429" spans="1:8" ht="13.5" hidden="1" thickTop="1" x14ac:dyDescent="0.2">
      <c r="A429" s="16"/>
      <c r="B429" s="16"/>
      <c r="C429" s="15"/>
      <c r="E429" s="19"/>
      <c r="F429" s="47"/>
      <c r="G429" s="48"/>
      <c r="H429" s="49"/>
    </row>
    <row r="430" spans="1:8" ht="13.5" hidden="1" thickTop="1" x14ac:dyDescent="0.2">
      <c r="A430" s="16"/>
      <c r="B430" s="16"/>
      <c r="C430" s="15"/>
      <c r="E430" s="19"/>
      <c r="F430" s="47"/>
      <c r="G430" s="48"/>
      <c r="H430" s="49"/>
    </row>
    <row r="431" spans="1:8" ht="13.5" hidden="1" thickTop="1" x14ac:dyDescent="0.2">
      <c r="A431" s="16"/>
      <c r="B431" s="16"/>
      <c r="C431" s="15"/>
      <c r="E431" s="19"/>
      <c r="F431" s="47"/>
      <c r="G431" s="48"/>
      <c r="H431" s="49"/>
    </row>
    <row r="432" spans="1:8" ht="13.5" hidden="1" thickTop="1" x14ac:dyDescent="0.2">
      <c r="A432" s="16"/>
      <c r="B432" s="16"/>
      <c r="C432" s="15"/>
      <c r="E432" s="19"/>
      <c r="F432" s="47"/>
      <c r="G432" s="48"/>
      <c r="H432" s="49"/>
    </row>
    <row r="433" spans="1:8" ht="13.5" hidden="1" thickTop="1" x14ac:dyDescent="0.2">
      <c r="A433" s="16"/>
      <c r="B433" s="16"/>
      <c r="C433" s="15"/>
      <c r="E433" s="19"/>
      <c r="F433" s="47"/>
      <c r="G433" s="48"/>
      <c r="H433" s="49"/>
    </row>
    <row r="434" spans="1:8" ht="13.5" hidden="1" thickTop="1" x14ac:dyDescent="0.2">
      <c r="A434" s="16"/>
      <c r="B434" s="16"/>
      <c r="C434" s="15"/>
      <c r="E434" s="19"/>
      <c r="F434" s="47"/>
      <c r="G434" s="48"/>
      <c r="H434" s="49"/>
    </row>
    <row r="435" spans="1:8" ht="13.5" hidden="1" thickTop="1" x14ac:dyDescent="0.2">
      <c r="A435" s="16"/>
      <c r="B435" s="16"/>
      <c r="C435" s="15"/>
      <c r="E435" s="19"/>
      <c r="F435" s="47"/>
      <c r="G435" s="48"/>
      <c r="H435" s="49"/>
    </row>
    <row r="436" spans="1:8" ht="13.5" hidden="1" thickTop="1" x14ac:dyDescent="0.2">
      <c r="A436" s="16"/>
      <c r="B436" s="16"/>
      <c r="C436" s="15"/>
      <c r="E436" s="19"/>
      <c r="F436" s="47"/>
      <c r="G436" s="48"/>
      <c r="H436" s="49"/>
    </row>
    <row r="437" spans="1:8" ht="13.5" hidden="1" thickTop="1" x14ac:dyDescent="0.2">
      <c r="A437" s="16"/>
      <c r="B437" s="16"/>
      <c r="C437" s="15"/>
      <c r="E437" s="19"/>
      <c r="F437" s="47"/>
      <c r="G437" s="48"/>
      <c r="H437" s="49"/>
    </row>
    <row r="438" spans="1:8" ht="13.5" hidden="1" thickTop="1" x14ac:dyDescent="0.2">
      <c r="A438" s="16"/>
      <c r="B438" s="16"/>
      <c r="C438" s="15"/>
      <c r="E438" s="19"/>
      <c r="F438" s="47"/>
      <c r="G438" s="48"/>
      <c r="H438" s="49"/>
    </row>
    <row r="439" spans="1:8" ht="13.5" hidden="1" thickTop="1" x14ac:dyDescent="0.2">
      <c r="A439" s="16"/>
      <c r="B439" s="16"/>
      <c r="C439" s="15"/>
      <c r="E439" s="19"/>
      <c r="F439" s="47"/>
      <c r="G439" s="48"/>
      <c r="H439" s="49"/>
    </row>
    <row r="440" spans="1:8" ht="13.5" hidden="1" thickTop="1" x14ac:dyDescent="0.2">
      <c r="A440" s="16"/>
      <c r="B440" s="16"/>
      <c r="C440" s="15"/>
      <c r="E440" s="19"/>
      <c r="F440" s="47"/>
      <c r="G440" s="48"/>
      <c r="H440" s="49"/>
    </row>
    <row r="441" spans="1:8" ht="13.5" hidden="1" thickTop="1" x14ac:dyDescent="0.2">
      <c r="A441" s="16"/>
      <c r="B441" s="16"/>
      <c r="C441" s="15"/>
      <c r="E441" s="19"/>
      <c r="F441" s="47"/>
      <c r="G441" s="48"/>
      <c r="H441" s="49"/>
    </row>
    <row r="442" spans="1:8" ht="13.5" hidden="1" thickTop="1" x14ac:dyDescent="0.2">
      <c r="A442" s="16"/>
      <c r="B442" s="16"/>
      <c r="C442" s="15"/>
      <c r="E442" s="19"/>
      <c r="F442" s="47"/>
      <c r="G442" s="48"/>
      <c r="H442" s="49"/>
    </row>
    <row r="443" spans="1:8" ht="13.5" hidden="1" thickTop="1" x14ac:dyDescent="0.2">
      <c r="A443" s="16"/>
      <c r="B443" s="16"/>
      <c r="C443" s="15"/>
      <c r="E443" s="19"/>
      <c r="F443" s="47"/>
      <c r="G443" s="48"/>
      <c r="H443" s="49"/>
    </row>
    <row r="444" spans="1:8" ht="13.5" hidden="1" thickTop="1" x14ac:dyDescent="0.2">
      <c r="A444" s="16"/>
      <c r="B444" s="16"/>
      <c r="C444" s="15"/>
      <c r="E444" s="19"/>
      <c r="F444" s="47"/>
      <c r="G444" s="48"/>
      <c r="H444" s="49"/>
    </row>
    <row r="445" spans="1:8" ht="13.5" hidden="1" thickTop="1" x14ac:dyDescent="0.2">
      <c r="A445" s="16"/>
      <c r="B445" s="16"/>
      <c r="C445" s="15"/>
      <c r="E445" s="19"/>
      <c r="F445" s="47"/>
      <c r="G445" s="48"/>
      <c r="H445" s="49"/>
    </row>
    <row r="446" spans="1:8" ht="13.5" hidden="1" thickTop="1" x14ac:dyDescent="0.2">
      <c r="A446" s="16"/>
      <c r="B446" s="16"/>
      <c r="C446" s="15"/>
      <c r="E446" s="19"/>
      <c r="F446" s="47"/>
      <c r="G446" s="48"/>
      <c r="H446" s="49"/>
    </row>
    <row r="447" spans="1:8" ht="13.5" hidden="1" thickTop="1" x14ac:dyDescent="0.2">
      <c r="A447" s="16"/>
      <c r="B447" s="16"/>
      <c r="C447" s="15"/>
      <c r="E447" s="19"/>
      <c r="F447" s="47"/>
      <c r="G447" s="48"/>
      <c r="H447" s="49"/>
    </row>
    <row r="448" spans="1:8" ht="13.5" hidden="1" thickTop="1" x14ac:dyDescent="0.2">
      <c r="A448" s="16"/>
      <c r="B448" s="16"/>
      <c r="C448" s="15"/>
      <c r="E448" s="19"/>
      <c r="F448" s="47"/>
      <c r="G448" s="48"/>
      <c r="H448" s="49"/>
    </row>
    <row r="449" spans="1:8" ht="13.5" hidden="1" thickTop="1" x14ac:dyDescent="0.2">
      <c r="A449" s="16"/>
      <c r="B449" s="16"/>
      <c r="C449" s="15"/>
      <c r="E449" s="19"/>
      <c r="F449" s="47"/>
      <c r="G449" s="48"/>
      <c r="H449" s="49"/>
    </row>
    <row r="450" spans="1:8" ht="13.5" hidden="1" thickTop="1" x14ac:dyDescent="0.2">
      <c r="A450" s="16"/>
      <c r="B450" s="16"/>
      <c r="C450" s="15"/>
      <c r="E450" s="19"/>
      <c r="F450" s="47"/>
      <c r="G450" s="48"/>
      <c r="H450" s="49"/>
    </row>
    <row r="451" spans="1:8" ht="13.5" hidden="1" thickTop="1" x14ac:dyDescent="0.2">
      <c r="A451" s="16"/>
      <c r="B451" s="16"/>
      <c r="C451" s="15"/>
      <c r="E451" s="19"/>
      <c r="F451" s="47"/>
      <c r="G451" s="48"/>
      <c r="H451" s="49"/>
    </row>
    <row r="452" spans="1:8" ht="13.5" hidden="1" thickTop="1" x14ac:dyDescent="0.2">
      <c r="A452" s="16"/>
      <c r="B452" s="16"/>
      <c r="C452" s="15"/>
      <c r="E452" s="19"/>
      <c r="F452" s="47"/>
      <c r="G452" s="48"/>
      <c r="H452" s="49"/>
    </row>
    <row r="453" spans="1:8" ht="13.5" hidden="1" thickTop="1" x14ac:dyDescent="0.2">
      <c r="A453" s="16"/>
      <c r="B453" s="16"/>
      <c r="C453" s="15"/>
      <c r="E453" s="19"/>
      <c r="F453" s="47"/>
      <c r="G453" s="48"/>
      <c r="H453" s="49"/>
    </row>
    <row r="454" spans="1:8" ht="13.5" hidden="1" thickTop="1" x14ac:dyDescent="0.2">
      <c r="A454" s="16"/>
      <c r="B454" s="16"/>
      <c r="C454" s="15"/>
      <c r="E454" s="19"/>
      <c r="F454" s="47"/>
      <c r="G454" s="48"/>
      <c r="H454" s="49"/>
    </row>
    <row r="455" spans="1:8" ht="13.5" hidden="1" thickTop="1" x14ac:dyDescent="0.2">
      <c r="A455" s="16"/>
      <c r="B455" s="16"/>
      <c r="C455" s="15"/>
      <c r="E455" s="19"/>
      <c r="F455" s="47"/>
      <c r="G455" s="48"/>
      <c r="H455" s="49"/>
    </row>
    <row r="456" spans="1:8" ht="13.5" hidden="1" thickTop="1" x14ac:dyDescent="0.2">
      <c r="A456" s="16"/>
      <c r="B456" s="16"/>
      <c r="C456" s="15"/>
      <c r="E456" s="19"/>
      <c r="F456" s="47"/>
      <c r="G456" s="48"/>
      <c r="H456" s="49"/>
    </row>
    <row r="457" spans="1:8" ht="13.5" hidden="1" thickTop="1" x14ac:dyDescent="0.2">
      <c r="A457" s="16"/>
      <c r="B457" s="16"/>
      <c r="C457" s="15"/>
      <c r="E457" s="19"/>
      <c r="F457" s="47"/>
      <c r="G457" s="48"/>
      <c r="H457" s="49"/>
    </row>
    <row r="458" spans="1:8" ht="13.5" hidden="1" thickTop="1" x14ac:dyDescent="0.2">
      <c r="A458" s="16"/>
      <c r="B458" s="16"/>
      <c r="C458" s="15"/>
      <c r="E458" s="19"/>
      <c r="F458" s="47"/>
      <c r="G458" s="48"/>
      <c r="H458" s="49"/>
    </row>
    <row r="459" spans="1:8" ht="13.5" hidden="1" thickTop="1" x14ac:dyDescent="0.2">
      <c r="A459" s="16"/>
      <c r="B459" s="16"/>
      <c r="C459" s="15"/>
      <c r="E459" s="19"/>
      <c r="F459" s="47"/>
      <c r="G459" s="48"/>
      <c r="H459" s="49"/>
    </row>
    <row r="460" spans="1:8" ht="13.5" hidden="1" thickTop="1" x14ac:dyDescent="0.2">
      <c r="A460" s="16"/>
      <c r="B460" s="16"/>
      <c r="C460" s="15"/>
      <c r="E460" s="19"/>
      <c r="F460" s="47"/>
      <c r="G460" s="48"/>
      <c r="H460" s="49"/>
    </row>
    <row r="461" spans="1:8" ht="13.5" hidden="1" thickTop="1" x14ac:dyDescent="0.2">
      <c r="A461" s="16"/>
      <c r="B461" s="16"/>
      <c r="C461" s="15"/>
      <c r="E461" s="19"/>
      <c r="F461" s="47"/>
      <c r="G461" s="48"/>
      <c r="H461" s="49"/>
    </row>
    <row r="462" spans="1:8" ht="13.5" hidden="1" thickTop="1" x14ac:dyDescent="0.2">
      <c r="A462" s="16"/>
      <c r="B462" s="16"/>
      <c r="C462" s="15"/>
      <c r="E462" s="19"/>
      <c r="F462" s="47"/>
      <c r="G462" s="48"/>
      <c r="H462" s="49"/>
    </row>
    <row r="463" spans="1:8" ht="13.5" hidden="1" thickTop="1" x14ac:dyDescent="0.2">
      <c r="A463" s="16"/>
      <c r="B463" s="16"/>
      <c r="C463" s="15"/>
      <c r="E463" s="19"/>
      <c r="F463" s="47"/>
      <c r="G463" s="48"/>
      <c r="H463" s="49"/>
    </row>
    <row r="464" spans="1:8" ht="13.5" hidden="1" thickTop="1" x14ac:dyDescent="0.2">
      <c r="A464" s="16"/>
      <c r="B464" s="16"/>
      <c r="C464" s="15"/>
      <c r="E464" s="19"/>
      <c r="F464" s="47"/>
      <c r="G464" s="48"/>
      <c r="H464" s="49"/>
    </row>
    <row r="465" spans="1:8" ht="13.5" hidden="1" thickTop="1" x14ac:dyDescent="0.2">
      <c r="A465" s="16"/>
      <c r="B465" s="16"/>
      <c r="C465" s="15"/>
      <c r="E465" s="19"/>
      <c r="F465" s="47"/>
      <c r="G465" s="48"/>
      <c r="H465" s="49"/>
    </row>
    <row r="466" spans="1:8" ht="13.5" hidden="1" thickTop="1" x14ac:dyDescent="0.2">
      <c r="A466" s="16"/>
      <c r="B466" s="16"/>
      <c r="C466" s="15"/>
      <c r="E466" s="19"/>
      <c r="F466" s="47"/>
      <c r="G466" s="48"/>
      <c r="H466" s="49"/>
    </row>
    <row r="467" spans="1:8" ht="13.5" hidden="1" thickTop="1" x14ac:dyDescent="0.2">
      <c r="A467" s="16"/>
      <c r="B467" s="16"/>
      <c r="C467" s="15"/>
      <c r="E467" s="19"/>
      <c r="F467" s="47"/>
      <c r="G467" s="48"/>
      <c r="H467" s="49"/>
    </row>
    <row r="468" spans="1:8" ht="13.5" hidden="1" thickTop="1" x14ac:dyDescent="0.2">
      <c r="A468" s="16"/>
      <c r="B468" s="16"/>
      <c r="C468" s="15"/>
      <c r="E468" s="19"/>
      <c r="F468" s="47"/>
      <c r="G468" s="48"/>
      <c r="H468" s="49"/>
    </row>
    <row r="469" spans="1:8" ht="13.5" hidden="1" thickTop="1" x14ac:dyDescent="0.2">
      <c r="A469" s="16"/>
      <c r="B469" s="16"/>
      <c r="C469" s="15"/>
      <c r="E469" s="19"/>
      <c r="F469" s="47"/>
      <c r="G469" s="48"/>
      <c r="H469" s="49"/>
    </row>
    <row r="470" spans="1:8" ht="13.5" hidden="1" thickTop="1" x14ac:dyDescent="0.2">
      <c r="A470" s="16"/>
      <c r="B470" s="16"/>
      <c r="C470" s="15"/>
      <c r="E470" s="19"/>
      <c r="F470" s="47"/>
      <c r="G470" s="48"/>
      <c r="H470" s="49"/>
    </row>
    <row r="471" spans="1:8" ht="13.5" hidden="1" thickTop="1" x14ac:dyDescent="0.2">
      <c r="A471" s="16"/>
      <c r="B471" s="16"/>
      <c r="C471" s="15"/>
      <c r="E471" s="19"/>
      <c r="F471" s="47"/>
      <c r="G471" s="48"/>
      <c r="H471" s="49"/>
    </row>
    <row r="472" spans="1:8" ht="13.5" hidden="1" thickTop="1" x14ac:dyDescent="0.2">
      <c r="A472" s="16"/>
      <c r="B472" s="16"/>
      <c r="C472" s="15"/>
      <c r="E472" s="19"/>
      <c r="F472" s="47"/>
      <c r="G472" s="48"/>
      <c r="H472" s="49"/>
    </row>
    <row r="473" spans="1:8" ht="13.5" hidden="1" thickTop="1" x14ac:dyDescent="0.2">
      <c r="A473" s="16"/>
      <c r="B473" s="16"/>
      <c r="C473" s="15"/>
      <c r="E473" s="19"/>
      <c r="F473" s="47"/>
      <c r="G473" s="48"/>
      <c r="H473" s="49"/>
    </row>
    <row r="474" spans="1:8" ht="13.5" hidden="1" thickTop="1" x14ac:dyDescent="0.2">
      <c r="A474" s="16"/>
      <c r="B474" s="16"/>
      <c r="C474" s="15"/>
      <c r="E474" s="19"/>
      <c r="F474" s="47"/>
      <c r="G474" s="48"/>
      <c r="H474" s="49"/>
    </row>
    <row r="475" spans="1:8" ht="13.5" hidden="1" thickTop="1" x14ac:dyDescent="0.2">
      <c r="A475" s="16"/>
      <c r="B475" s="16"/>
      <c r="C475" s="15"/>
      <c r="E475" s="19"/>
      <c r="F475" s="47"/>
      <c r="G475" s="48"/>
      <c r="H475" s="49"/>
    </row>
    <row r="476" spans="1:8" ht="13.5" hidden="1" thickTop="1" x14ac:dyDescent="0.2">
      <c r="A476" s="16"/>
      <c r="B476" s="16"/>
      <c r="C476" s="15"/>
      <c r="E476" s="19"/>
      <c r="F476" s="47"/>
      <c r="G476" s="48"/>
      <c r="H476" s="49"/>
    </row>
    <row r="477" spans="1:8" ht="13.5" hidden="1" thickTop="1" x14ac:dyDescent="0.2">
      <c r="A477" s="16"/>
      <c r="B477" s="16"/>
      <c r="C477" s="15"/>
      <c r="E477" s="19"/>
      <c r="F477" s="47"/>
      <c r="G477" s="48"/>
      <c r="H477" s="49"/>
    </row>
    <row r="478" spans="1:8" ht="13.5" hidden="1" thickTop="1" x14ac:dyDescent="0.2">
      <c r="A478" s="16"/>
      <c r="B478" s="16"/>
      <c r="C478" s="15"/>
      <c r="E478" s="19"/>
      <c r="F478" s="47"/>
      <c r="G478" s="48"/>
      <c r="H478" s="49"/>
    </row>
    <row r="479" spans="1:8" ht="13.5" hidden="1" thickTop="1" x14ac:dyDescent="0.2">
      <c r="A479" s="16"/>
      <c r="B479" s="16"/>
      <c r="C479" s="15"/>
      <c r="E479" s="19"/>
      <c r="F479" s="47"/>
      <c r="G479" s="48"/>
      <c r="H479" s="49"/>
    </row>
    <row r="480" spans="1:8" ht="13.5" hidden="1" thickTop="1" x14ac:dyDescent="0.2">
      <c r="A480" s="16"/>
      <c r="B480" s="16"/>
      <c r="C480" s="15"/>
      <c r="E480" s="19"/>
      <c r="F480" s="47"/>
      <c r="G480" s="48"/>
      <c r="H480" s="49"/>
    </row>
    <row r="481" spans="1:8" ht="13.5" hidden="1" thickTop="1" x14ac:dyDescent="0.2">
      <c r="A481" s="16"/>
      <c r="B481" s="16"/>
      <c r="C481" s="15"/>
      <c r="E481" s="19"/>
      <c r="F481" s="47"/>
      <c r="G481" s="48"/>
      <c r="H481" s="49"/>
    </row>
    <row r="482" spans="1:8" ht="13.5" hidden="1" thickTop="1" x14ac:dyDescent="0.2">
      <c r="A482" s="16"/>
      <c r="B482" s="16"/>
      <c r="C482" s="15"/>
      <c r="E482" s="19"/>
      <c r="F482" s="47"/>
      <c r="G482" s="48"/>
      <c r="H482" s="49"/>
    </row>
    <row r="483" spans="1:8" ht="13.5" hidden="1" thickTop="1" x14ac:dyDescent="0.2">
      <c r="A483" s="16"/>
      <c r="B483" s="16"/>
      <c r="C483" s="15"/>
      <c r="E483" s="19"/>
      <c r="F483" s="47"/>
      <c r="G483" s="48"/>
      <c r="H483" s="49"/>
    </row>
    <row r="484" spans="1:8" ht="13.5" hidden="1" thickTop="1" x14ac:dyDescent="0.2">
      <c r="A484" s="16"/>
      <c r="B484" s="16"/>
      <c r="C484" s="15"/>
      <c r="E484" s="19"/>
      <c r="F484" s="47"/>
      <c r="G484" s="48"/>
      <c r="H484" s="49"/>
    </row>
    <row r="485" spans="1:8" ht="13.5" hidden="1" thickTop="1" x14ac:dyDescent="0.2">
      <c r="A485" s="16"/>
      <c r="B485" s="16"/>
      <c r="C485" s="15"/>
      <c r="E485" s="19"/>
      <c r="F485" s="47"/>
      <c r="G485" s="48"/>
      <c r="H485" s="49"/>
    </row>
    <row r="486" spans="1:8" ht="13.5" hidden="1" thickTop="1" x14ac:dyDescent="0.2">
      <c r="A486" s="16"/>
      <c r="B486" s="16"/>
      <c r="C486" s="15"/>
      <c r="E486" s="19"/>
      <c r="F486" s="47"/>
      <c r="G486" s="48"/>
      <c r="H486" s="49"/>
    </row>
    <row r="487" spans="1:8" ht="13.5" hidden="1" thickTop="1" x14ac:dyDescent="0.2">
      <c r="A487" s="16"/>
      <c r="B487" s="16"/>
      <c r="C487" s="15"/>
      <c r="E487" s="19"/>
      <c r="F487" s="47"/>
      <c r="G487" s="48"/>
      <c r="H487" s="49"/>
    </row>
    <row r="488" spans="1:8" ht="13.5" hidden="1" thickTop="1" x14ac:dyDescent="0.2">
      <c r="A488" s="16"/>
      <c r="B488" s="16"/>
      <c r="C488" s="15"/>
      <c r="E488" s="19"/>
      <c r="F488" s="47"/>
      <c r="G488" s="48"/>
      <c r="H488" s="49"/>
    </row>
    <row r="489" spans="1:8" ht="13.5" hidden="1" thickTop="1" x14ac:dyDescent="0.2">
      <c r="A489" s="16"/>
      <c r="B489" s="16"/>
      <c r="C489" s="15"/>
      <c r="E489" s="19"/>
      <c r="F489" s="47"/>
      <c r="G489" s="48"/>
      <c r="H489" s="49"/>
    </row>
    <row r="490" spans="1:8" ht="13.5" hidden="1" thickTop="1" x14ac:dyDescent="0.2">
      <c r="A490" s="16"/>
      <c r="B490" s="16"/>
      <c r="C490" s="15"/>
      <c r="E490" s="19"/>
      <c r="F490" s="47"/>
      <c r="G490" s="48"/>
      <c r="H490" s="49"/>
    </row>
    <row r="491" spans="1:8" ht="13.5" hidden="1" thickTop="1" x14ac:dyDescent="0.2">
      <c r="A491" s="16"/>
      <c r="B491" s="16"/>
      <c r="C491" s="15"/>
      <c r="E491" s="19"/>
      <c r="F491" s="47"/>
      <c r="G491" s="48"/>
      <c r="H491" s="49"/>
    </row>
    <row r="492" spans="1:8" ht="13.5" hidden="1" thickTop="1" x14ac:dyDescent="0.2">
      <c r="A492" s="16"/>
      <c r="B492" s="16"/>
      <c r="C492" s="15"/>
      <c r="E492" s="19"/>
      <c r="F492" s="47"/>
      <c r="G492" s="48"/>
      <c r="H492" s="49"/>
    </row>
    <row r="493" spans="1:8" ht="13.5" hidden="1" thickTop="1" x14ac:dyDescent="0.2">
      <c r="A493" s="16"/>
      <c r="B493" s="16"/>
      <c r="C493" s="15"/>
      <c r="E493" s="19"/>
      <c r="F493" s="47"/>
      <c r="G493" s="48"/>
      <c r="H493" s="49"/>
    </row>
    <row r="494" spans="1:8" ht="13.5" hidden="1" thickTop="1" x14ac:dyDescent="0.2">
      <c r="A494" s="16"/>
      <c r="B494" s="16"/>
      <c r="C494" s="15"/>
      <c r="E494" s="19"/>
      <c r="F494" s="47"/>
      <c r="G494" s="48"/>
      <c r="H494" s="49"/>
    </row>
    <row r="495" spans="1:8" ht="13.5" hidden="1" thickTop="1" x14ac:dyDescent="0.2">
      <c r="A495" s="16"/>
      <c r="B495" s="16"/>
      <c r="C495" s="15"/>
      <c r="E495" s="19"/>
      <c r="F495" s="47"/>
      <c r="G495" s="48"/>
      <c r="H495" s="49"/>
    </row>
    <row r="496" spans="1:8" ht="13.5" hidden="1" thickTop="1" x14ac:dyDescent="0.2">
      <c r="A496" s="16"/>
      <c r="B496" s="16"/>
      <c r="C496" s="15"/>
      <c r="E496" s="19"/>
      <c r="F496" s="47"/>
      <c r="G496" s="48"/>
      <c r="H496" s="49"/>
    </row>
    <row r="497" spans="1:8" ht="13.5" hidden="1" thickTop="1" x14ac:dyDescent="0.2">
      <c r="A497" s="16"/>
      <c r="B497" s="16"/>
      <c r="C497" s="15"/>
      <c r="E497" s="19"/>
      <c r="F497" s="47"/>
      <c r="G497" s="48"/>
      <c r="H497" s="49"/>
    </row>
    <row r="498" spans="1:8" ht="13.5" hidden="1" thickTop="1" x14ac:dyDescent="0.2">
      <c r="A498" s="16"/>
      <c r="B498" s="16"/>
      <c r="C498" s="15"/>
      <c r="E498" s="19"/>
      <c r="F498" s="47"/>
      <c r="G498" s="48"/>
      <c r="H498" s="49"/>
    </row>
    <row r="499" spans="1:8" ht="13.5" hidden="1" thickTop="1" x14ac:dyDescent="0.2">
      <c r="A499" s="16"/>
      <c r="B499" s="16"/>
      <c r="C499" s="15"/>
      <c r="E499" s="19"/>
      <c r="F499" s="47"/>
      <c r="G499" s="48"/>
      <c r="H499" s="49"/>
    </row>
    <row r="500" spans="1:8" ht="13.5" hidden="1" thickTop="1" x14ac:dyDescent="0.2">
      <c r="A500" s="16"/>
      <c r="B500" s="16"/>
      <c r="C500" s="15"/>
      <c r="E500" s="19"/>
      <c r="F500" s="47"/>
      <c r="G500" s="48"/>
      <c r="H500" s="49"/>
    </row>
    <row r="501" spans="1:8" ht="13.5" hidden="1" thickTop="1" x14ac:dyDescent="0.2">
      <c r="A501" s="16"/>
      <c r="B501" s="16"/>
      <c r="C501" s="15"/>
      <c r="E501" s="19"/>
      <c r="F501" s="47"/>
      <c r="G501" s="48"/>
      <c r="H501" s="49"/>
    </row>
    <row r="502" spans="1:8" ht="13.5" hidden="1" thickTop="1" x14ac:dyDescent="0.2">
      <c r="A502" s="16"/>
      <c r="B502" s="16"/>
      <c r="C502" s="15"/>
      <c r="E502" s="19"/>
      <c r="F502" s="47"/>
      <c r="G502" s="48"/>
      <c r="H502" s="49"/>
    </row>
    <row r="503" spans="1:8" ht="13.5" hidden="1" thickTop="1" x14ac:dyDescent="0.2">
      <c r="A503" s="16"/>
      <c r="B503" s="16"/>
      <c r="C503" s="15"/>
      <c r="E503" s="19"/>
      <c r="F503" s="47"/>
      <c r="G503" s="48"/>
      <c r="H503" s="49"/>
    </row>
    <row r="504" spans="1:8" ht="13.5" hidden="1" thickTop="1" x14ac:dyDescent="0.2">
      <c r="A504" s="16"/>
      <c r="B504" s="16"/>
      <c r="C504" s="15"/>
      <c r="E504" s="19"/>
      <c r="F504" s="47"/>
      <c r="G504" s="48"/>
      <c r="H504" s="49"/>
    </row>
    <row r="505" spans="1:8" ht="13.5" hidden="1" thickTop="1" x14ac:dyDescent="0.2">
      <c r="A505" s="16"/>
      <c r="B505" s="16"/>
      <c r="C505" s="15"/>
      <c r="E505" s="19"/>
      <c r="F505" s="47"/>
      <c r="G505" s="48"/>
      <c r="H505" s="49"/>
    </row>
    <row r="506" spans="1:8" ht="13.5" hidden="1" thickTop="1" x14ac:dyDescent="0.2">
      <c r="A506" s="16"/>
      <c r="B506" s="16"/>
      <c r="C506" s="15"/>
      <c r="E506" s="19"/>
      <c r="F506" s="47"/>
      <c r="G506" s="48"/>
      <c r="H506" s="49"/>
    </row>
    <row r="507" spans="1:8" ht="13.5" hidden="1" thickTop="1" x14ac:dyDescent="0.2">
      <c r="A507" s="16"/>
      <c r="B507" s="16"/>
      <c r="C507" s="15"/>
      <c r="E507" s="19"/>
      <c r="F507" s="47"/>
      <c r="G507" s="48"/>
      <c r="H507" s="49"/>
    </row>
    <row r="508" spans="1:8" ht="13.5" hidden="1" thickTop="1" x14ac:dyDescent="0.2">
      <c r="A508" s="16"/>
      <c r="B508" s="16"/>
      <c r="C508" s="15"/>
      <c r="E508" s="19"/>
      <c r="F508" s="47"/>
      <c r="G508" s="48"/>
      <c r="H508" s="49"/>
    </row>
    <row r="509" spans="1:8" ht="13.5" hidden="1" thickTop="1" x14ac:dyDescent="0.2">
      <c r="A509" s="16"/>
      <c r="B509" s="16"/>
      <c r="C509" s="15"/>
      <c r="E509" s="19"/>
      <c r="F509" s="47"/>
      <c r="G509" s="48"/>
      <c r="H509" s="49"/>
    </row>
    <row r="510" spans="1:8" ht="13.5" hidden="1" thickTop="1" x14ac:dyDescent="0.2">
      <c r="A510" s="16"/>
      <c r="B510" s="16"/>
      <c r="C510" s="15"/>
      <c r="E510" s="19"/>
      <c r="F510" s="47"/>
      <c r="G510" s="48"/>
      <c r="H510" s="49"/>
    </row>
    <row r="511" spans="1:8" ht="13.5" hidden="1" thickTop="1" x14ac:dyDescent="0.2">
      <c r="A511" s="16"/>
      <c r="B511" s="16"/>
      <c r="C511" s="15"/>
      <c r="E511" s="19"/>
      <c r="F511" s="47"/>
      <c r="G511" s="48"/>
      <c r="H511" s="49"/>
    </row>
    <row r="512" spans="1:8" ht="13.5" hidden="1" thickTop="1" x14ac:dyDescent="0.2">
      <c r="A512" s="16"/>
      <c r="B512" s="16"/>
      <c r="C512" s="15"/>
      <c r="E512" s="19"/>
      <c r="F512" s="47"/>
      <c r="G512" s="48"/>
      <c r="H512" s="49"/>
    </row>
    <row r="513" spans="1:8" ht="13.5" hidden="1" thickTop="1" x14ac:dyDescent="0.2">
      <c r="A513" s="16"/>
      <c r="B513" s="16"/>
      <c r="C513" s="15"/>
      <c r="E513" s="19"/>
      <c r="F513" s="47"/>
      <c r="G513" s="48"/>
      <c r="H513" s="49"/>
    </row>
    <row r="514" spans="1:8" ht="13.5" hidden="1" thickTop="1" x14ac:dyDescent="0.2">
      <c r="A514" s="16"/>
      <c r="B514" s="16"/>
      <c r="C514" s="15"/>
      <c r="E514" s="19"/>
      <c r="F514" s="47"/>
      <c r="G514" s="48"/>
      <c r="H514" s="49"/>
    </row>
    <row r="515" spans="1:8" ht="13.5" hidden="1" thickTop="1" x14ac:dyDescent="0.2">
      <c r="A515" s="16"/>
      <c r="B515" s="16"/>
      <c r="C515" s="15"/>
      <c r="E515" s="19"/>
      <c r="F515" s="47"/>
      <c r="G515" s="48"/>
      <c r="H515" s="49"/>
    </row>
    <row r="516" spans="1:8" ht="13.5" hidden="1" thickTop="1" x14ac:dyDescent="0.2">
      <c r="A516" s="16"/>
      <c r="B516" s="16"/>
      <c r="C516" s="15"/>
      <c r="E516" s="19"/>
      <c r="F516" s="47"/>
      <c r="G516" s="48"/>
      <c r="H516" s="49"/>
    </row>
    <row r="517" spans="1:8" ht="13.5" hidden="1" thickTop="1" x14ac:dyDescent="0.2">
      <c r="A517" s="16"/>
      <c r="B517" s="16"/>
      <c r="C517" s="15"/>
      <c r="E517" s="19"/>
      <c r="F517" s="47"/>
      <c r="G517" s="48"/>
      <c r="H517" s="49"/>
    </row>
    <row r="518" spans="1:8" ht="13.5" hidden="1" thickTop="1" x14ac:dyDescent="0.2">
      <c r="A518" s="16"/>
      <c r="B518" s="16"/>
      <c r="C518" s="15"/>
      <c r="E518" s="19"/>
      <c r="F518" s="47"/>
      <c r="G518" s="48"/>
      <c r="H518" s="49"/>
    </row>
    <row r="519" spans="1:8" ht="13.5" hidden="1" thickTop="1" x14ac:dyDescent="0.2">
      <c r="A519" s="16"/>
      <c r="B519" s="16"/>
      <c r="C519" s="15"/>
      <c r="E519" s="19"/>
      <c r="F519" s="47"/>
      <c r="G519" s="48"/>
      <c r="H519" s="49"/>
    </row>
    <row r="520" spans="1:8" ht="13.5" hidden="1" thickTop="1" x14ac:dyDescent="0.2">
      <c r="A520" s="16"/>
      <c r="B520" s="16"/>
      <c r="C520" s="15"/>
      <c r="E520" s="19"/>
      <c r="F520" s="47"/>
      <c r="G520" s="48"/>
      <c r="H520" s="49"/>
    </row>
    <row r="521" spans="1:8" ht="13.5" hidden="1" thickTop="1" x14ac:dyDescent="0.2">
      <c r="A521" s="16"/>
      <c r="B521" s="16"/>
      <c r="C521" s="15"/>
      <c r="E521" s="19"/>
      <c r="F521" s="47"/>
      <c r="G521" s="48"/>
      <c r="H521" s="49"/>
    </row>
    <row r="522" spans="1:8" ht="13.5" hidden="1" thickTop="1" x14ac:dyDescent="0.2">
      <c r="A522" s="16"/>
      <c r="B522" s="16"/>
      <c r="C522" s="15"/>
      <c r="E522" s="19"/>
      <c r="F522" s="47"/>
      <c r="G522" s="48"/>
      <c r="H522" s="49"/>
    </row>
    <row r="523" spans="1:8" ht="13.5" hidden="1" thickTop="1" x14ac:dyDescent="0.2">
      <c r="A523" s="16"/>
      <c r="B523" s="16"/>
      <c r="C523" s="15"/>
      <c r="E523" s="19"/>
      <c r="F523" s="47"/>
      <c r="G523" s="48"/>
      <c r="H523" s="49"/>
    </row>
    <row r="524" spans="1:8" ht="13.5" hidden="1" thickTop="1" x14ac:dyDescent="0.2">
      <c r="A524" s="16"/>
      <c r="B524" s="16"/>
      <c r="C524" s="15"/>
      <c r="E524" s="19"/>
      <c r="F524" s="47"/>
      <c r="G524" s="48"/>
      <c r="H524" s="49"/>
    </row>
    <row r="525" spans="1:8" ht="13.5" hidden="1" thickTop="1" x14ac:dyDescent="0.2">
      <c r="A525" s="16"/>
      <c r="B525" s="16"/>
      <c r="C525" s="15"/>
      <c r="E525" s="19"/>
      <c r="F525" s="47"/>
      <c r="G525" s="48"/>
      <c r="H525" s="49"/>
    </row>
    <row r="526" spans="1:8" ht="13.5" hidden="1" thickTop="1" x14ac:dyDescent="0.2">
      <c r="A526" s="16"/>
      <c r="B526" s="16"/>
      <c r="C526" s="15"/>
      <c r="E526" s="19"/>
      <c r="F526" s="47"/>
      <c r="G526" s="48"/>
      <c r="H526" s="49"/>
    </row>
    <row r="527" spans="1:8" ht="13.5" hidden="1" thickTop="1" x14ac:dyDescent="0.2">
      <c r="A527" s="16"/>
      <c r="B527" s="16"/>
      <c r="C527" s="15"/>
      <c r="E527" s="19"/>
      <c r="F527" s="47"/>
      <c r="G527" s="48"/>
      <c r="H527" s="49"/>
    </row>
    <row r="528" spans="1:8" ht="13.5" hidden="1" thickTop="1" x14ac:dyDescent="0.2">
      <c r="A528" s="16"/>
      <c r="B528" s="16"/>
      <c r="C528" s="15"/>
      <c r="E528" s="19"/>
      <c r="F528" s="47"/>
      <c r="G528" s="48"/>
      <c r="H528" s="49"/>
    </row>
    <row r="529" spans="1:8" ht="13.5" hidden="1" thickTop="1" x14ac:dyDescent="0.2">
      <c r="A529" s="16"/>
      <c r="B529" s="16"/>
      <c r="C529" s="15"/>
      <c r="E529" s="19"/>
      <c r="F529" s="47"/>
      <c r="G529" s="48"/>
      <c r="H529" s="49"/>
    </row>
    <row r="530" spans="1:8" ht="13.5" hidden="1" thickTop="1" x14ac:dyDescent="0.2">
      <c r="A530" s="16"/>
      <c r="B530" s="16"/>
      <c r="C530" s="15"/>
      <c r="E530" s="19"/>
      <c r="F530" s="47"/>
      <c r="G530" s="48"/>
      <c r="H530" s="49"/>
    </row>
    <row r="531" spans="1:8" ht="13.5" hidden="1" thickTop="1" x14ac:dyDescent="0.2">
      <c r="A531" s="16"/>
      <c r="B531" s="16"/>
      <c r="C531" s="15"/>
      <c r="E531" s="19"/>
      <c r="F531" s="47"/>
      <c r="G531" s="48"/>
      <c r="H531" s="49"/>
    </row>
    <row r="532" spans="1:8" ht="13.5" hidden="1" thickTop="1" x14ac:dyDescent="0.2">
      <c r="A532" s="16"/>
      <c r="B532" s="16"/>
      <c r="C532" s="15"/>
      <c r="E532" s="19"/>
      <c r="F532" s="47"/>
      <c r="G532" s="48"/>
      <c r="H532" s="49"/>
    </row>
    <row r="533" spans="1:8" ht="13.5" hidden="1" thickTop="1" x14ac:dyDescent="0.2">
      <c r="A533" s="16"/>
      <c r="B533" s="16"/>
      <c r="C533" s="15"/>
      <c r="E533" s="19"/>
      <c r="F533" s="47"/>
      <c r="G533" s="48"/>
      <c r="H533" s="49"/>
    </row>
    <row r="534" spans="1:8" ht="13.5" hidden="1" thickTop="1" x14ac:dyDescent="0.2">
      <c r="A534" s="16"/>
      <c r="B534" s="16"/>
      <c r="C534" s="15"/>
      <c r="E534" s="19"/>
      <c r="F534" s="47"/>
      <c r="G534" s="48"/>
      <c r="H534" s="49"/>
    </row>
    <row r="535" spans="1:8" ht="13.5" hidden="1" thickTop="1" x14ac:dyDescent="0.2">
      <c r="A535" s="16"/>
      <c r="B535" s="16"/>
      <c r="C535" s="15"/>
      <c r="E535" s="19"/>
      <c r="F535" s="47"/>
      <c r="G535" s="48"/>
      <c r="H535" s="49"/>
    </row>
    <row r="536" spans="1:8" ht="13.5" hidden="1" thickTop="1" x14ac:dyDescent="0.2">
      <c r="A536" s="16"/>
      <c r="B536" s="16"/>
      <c r="C536" s="15"/>
      <c r="E536" s="19"/>
      <c r="F536" s="47"/>
      <c r="G536" s="48"/>
      <c r="H536" s="49"/>
    </row>
    <row r="537" spans="1:8" ht="13.5" hidden="1" thickTop="1" x14ac:dyDescent="0.2">
      <c r="A537" s="16"/>
      <c r="B537" s="16"/>
      <c r="C537" s="15"/>
      <c r="E537" s="19"/>
      <c r="F537" s="47"/>
      <c r="G537" s="48"/>
      <c r="H537" s="49"/>
    </row>
    <row r="538" spans="1:8" ht="13.5" hidden="1" thickTop="1" x14ac:dyDescent="0.2">
      <c r="A538" s="16"/>
      <c r="B538" s="16"/>
      <c r="C538" s="15"/>
      <c r="E538" s="19"/>
      <c r="F538" s="47"/>
      <c r="G538" s="48"/>
      <c r="H538" s="49"/>
    </row>
    <row r="539" spans="1:8" ht="13.5" hidden="1" thickTop="1" x14ac:dyDescent="0.2">
      <c r="A539" s="16"/>
      <c r="B539" s="16"/>
      <c r="C539" s="15"/>
      <c r="E539" s="19"/>
      <c r="F539" s="47"/>
      <c r="G539" s="48"/>
      <c r="H539" s="49"/>
    </row>
    <row r="540" spans="1:8" ht="13.5" hidden="1" thickTop="1" x14ac:dyDescent="0.2">
      <c r="A540" s="16"/>
      <c r="B540" s="16"/>
      <c r="C540" s="15"/>
      <c r="E540" s="19"/>
      <c r="F540" s="47"/>
      <c r="G540" s="48"/>
      <c r="H540" s="49"/>
    </row>
    <row r="541" spans="1:8" ht="13.5" hidden="1" thickTop="1" x14ac:dyDescent="0.2">
      <c r="A541" s="16"/>
      <c r="B541" s="16"/>
      <c r="C541" s="15"/>
      <c r="E541" s="19"/>
      <c r="F541" s="47"/>
      <c r="G541" s="48"/>
      <c r="H541" s="49"/>
    </row>
    <row r="542" spans="1:8" ht="13.5" hidden="1" thickTop="1" x14ac:dyDescent="0.2">
      <c r="A542" s="16"/>
      <c r="B542" s="16"/>
      <c r="C542" s="15"/>
      <c r="E542" s="19"/>
      <c r="F542" s="47"/>
      <c r="G542" s="48"/>
      <c r="H542" s="49"/>
    </row>
    <row r="543" spans="1:8" ht="13.5" hidden="1" thickTop="1" x14ac:dyDescent="0.2">
      <c r="A543" s="16"/>
      <c r="B543" s="16"/>
      <c r="C543" s="15"/>
      <c r="E543" s="19"/>
      <c r="F543" s="47"/>
      <c r="G543" s="48"/>
      <c r="H543" s="49"/>
    </row>
    <row r="544" spans="1:8" ht="13.5" hidden="1" thickTop="1" x14ac:dyDescent="0.2">
      <c r="A544" s="16"/>
      <c r="B544" s="16"/>
      <c r="C544" s="15"/>
      <c r="E544" s="19"/>
      <c r="F544" s="47"/>
      <c r="G544" s="48"/>
      <c r="H544" s="49"/>
    </row>
    <row r="545" spans="1:8" ht="13.5" hidden="1" thickTop="1" x14ac:dyDescent="0.2">
      <c r="A545" s="16"/>
      <c r="B545" s="16"/>
      <c r="C545" s="15"/>
      <c r="E545" s="19"/>
      <c r="F545" s="47"/>
      <c r="G545" s="48"/>
      <c r="H545" s="49"/>
    </row>
    <row r="546" spans="1:8" ht="13.5" hidden="1" thickTop="1" x14ac:dyDescent="0.2">
      <c r="A546" s="16"/>
      <c r="B546" s="16"/>
      <c r="C546" s="15"/>
      <c r="E546" s="19"/>
      <c r="F546" s="47"/>
      <c r="G546" s="48"/>
      <c r="H546" s="49"/>
    </row>
    <row r="547" spans="1:8" ht="13.5" hidden="1" thickTop="1" x14ac:dyDescent="0.2">
      <c r="A547" s="16"/>
      <c r="B547" s="16"/>
      <c r="C547" s="15"/>
      <c r="E547" s="19"/>
      <c r="F547" s="47"/>
      <c r="G547" s="48"/>
      <c r="H547" s="49"/>
    </row>
    <row r="548" spans="1:8" ht="13.5" hidden="1" thickTop="1" x14ac:dyDescent="0.2">
      <c r="A548" s="16"/>
      <c r="B548" s="16"/>
      <c r="C548" s="15"/>
      <c r="E548" s="19"/>
      <c r="F548" s="47"/>
      <c r="G548" s="48"/>
      <c r="H548" s="49"/>
    </row>
    <row r="549" spans="1:8" ht="13.5" hidden="1" thickTop="1" x14ac:dyDescent="0.2">
      <c r="A549" s="16"/>
      <c r="B549" s="16"/>
      <c r="C549" s="15"/>
      <c r="E549" s="19"/>
      <c r="F549" s="47"/>
      <c r="G549" s="48"/>
      <c r="H549" s="49"/>
    </row>
    <row r="550" spans="1:8" ht="13.5" hidden="1" thickTop="1" x14ac:dyDescent="0.2">
      <c r="A550" s="16"/>
      <c r="B550" s="16"/>
      <c r="C550" s="15"/>
      <c r="E550" s="19"/>
      <c r="F550" s="47"/>
      <c r="G550" s="48"/>
      <c r="H550" s="49"/>
    </row>
    <row r="551" spans="1:8" ht="13.5" hidden="1" thickTop="1" x14ac:dyDescent="0.2">
      <c r="A551" s="16"/>
      <c r="B551" s="16"/>
      <c r="C551" s="15"/>
      <c r="E551" s="19"/>
      <c r="F551" s="47"/>
      <c r="G551" s="48"/>
      <c r="H551" s="49"/>
    </row>
    <row r="552" spans="1:8" ht="13.5" hidden="1" thickTop="1" x14ac:dyDescent="0.2">
      <c r="A552" s="16"/>
      <c r="B552" s="16"/>
      <c r="C552" s="15"/>
      <c r="E552" s="19"/>
      <c r="F552" s="47"/>
      <c r="G552" s="48"/>
      <c r="H552" s="49"/>
    </row>
    <row r="553" spans="1:8" ht="13.5" hidden="1" thickTop="1" x14ac:dyDescent="0.2">
      <c r="A553" s="16"/>
      <c r="B553" s="16"/>
      <c r="C553" s="15"/>
      <c r="E553" s="19"/>
      <c r="F553" s="47"/>
      <c r="G553" s="48"/>
      <c r="H553" s="49"/>
    </row>
    <row r="554" spans="1:8" ht="13.5" hidden="1" thickTop="1" x14ac:dyDescent="0.2">
      <c r="A554" s="16"/>
      <c r="B554" s="16"/>
      <c r="C554" s="15"/>
      <c r="E554" s="19"/>
      <c r="F554" s="47"/>
      <c r="G554" s="48"/>
      <c r="H554" s="49"/>
    </row>
    <row r="555" spans="1:8" ht="13.5" hidden="1" thickTop="1" x14ac:dyDescent="0.2">
      <c r="A555" s="16"/>
      <c r="B555" s="16"/>
      <c r="C555" s="15"/>
      <c r="E555" s="19"/>
      <c r="F555" s="47"/>
      <c r="G555" s="48"/>
      <c r="H555" s="49"/>
    </row>
    <row r="556" spans="1:8" ht="13.5" hidden="1" thickTop="1" x14ac:dyDescent="0.2">
      <c r="A556" s="16"/>
      <c r="B556" s="16"/>
      <c r="C556" s="15"/>
      <c r="E556" s="19"/>
      <c r="F556" s="47"/>
      <c r="G556" s="48"/>
      <c r="H556" s="49"/>
    </row>
    <row r="557" spans="1:8" ht="13.5" hidden="1" thickTop="1" x14ac:dyDescent="0.2">
      <c r="A557" s="16"/>
      <c r="B557" s="16"/>
      <c r="C557" s="15"/>
      <c r="E557" s="19"/>
      <c r="F557" s="47"/>
      <c r="G557" s="48"/>
      <c r="H557" s="49"/>
    </row>
    <row r="558" spans="1:8" ht="13.5" hidden="1" thickTop="1" x14ac:dyDescent="0.2">
      <c r="A558" s="16"/>
      <c r="B558" s="16"/>
      <c r="C558" s="15"/>
      <c r="E558" s="19"/>
      <c r="F558" s="47"/>
      <c r="G558" s="48"/>
      <c r="H558" s="49"/>
    </row>
    <row r="559" spans="1:8" ht="13.5" hidden="1" thickTop="1" x14ac:dyDescent="0.2">
      <c r="A559" s="16"/>
      <c r="B559" s="16"/>
      <c r="C559" s="15"/>
      <c r="E559" s="19"/>
      <c r="F559" s="47"/>
      <c r="G559" s="48"/>
      <c r="H559" s="49"/>
    </row>
    <row r="560" spans="1:8" ht="13.5" hidden="1" thickTop="1" x14ac:dyDescent="0.2">
      <c r="A560" s="16"/>
      <c r="B560" s="16"/>
      <c r="C560" s="15"/>
      <c r="E560" s="19"/>
      <c r="F560" s="47"/>
      <c r="G560" s="48"/>
      <c r="H560" s="49"/>
    </row>
    <row r="561" spans="1:8" ht="13.5" hidden="1" thickTop="1" x14ac:dyDescent="0.2">
      <c r="A561" s="16"/>
      <c r="B561" s="16"/>
      <c r="C561" s="15"/>
      <c r="E561" s="19"/>
      <c r="F561" s="47"/>
      <c r="G561" s="48"/>
      <c r="H561" s="49"/>
    </row>
    <row r="562" spans="1:8" ht="13.5" hidden="1" thickTop="1" x14ac:dyDescent="0.2">
      <c r="A562" s="16"/>
      <c r="B562" s="16"/>
      <c r="C562" s="15"/>
      <c r="E562" s="19"/>
      <c r="F562" s="47"/>
      <c r="G562" s="48"/>
      <c r="H562" s="49"/>
    </row>
    <row r="563" spans="1:8" ht="13.5" hidden="1" thickTop="1" x14ac:dyDescent="0.2">
      <c r="A563" s="16"/>
      <c r="B563" s="16"/>
      <c r="C563" s="15"/>
      <c r="E563" s="19"/>
      <c r="F563" s="47"/>
      <c r="G563" s="48"/>
      <c r="H563" s="49"/>
    </row>
    <row r="564" spans="1:8" ht="13.5" hidden="1" thickTop="1" x14ac:dyDescent="0.2">
      <c r="A564" s="16"/>
      <c r="B564" s="16"/>
      <c r="C564" s="15"/>
      <c r="E564" s="19"/>
      <c r="F564" s="47"/>
      <c r="G564" s="48"/>
      <c r="H564" s="49"/>
    </row>
    <row r="565" spans="1:8" ht="13.5" hidden="1" thickTop="1" x14ac:dyDescent="0.2">
      <c r="A565" s="16"/>
      <c r="B565" s="16"/>
      <c r="C565" s="15"/>
      <c r="E565" s="19"/>
      <c r="F565" s="47"/>
      <c r="G565" s="48"/>
      <c r="H565" s="49"/>
    </row>
    <row r="566" spans="1:8" ht="13.5" hidden="1" thickTop="1" x14ac:dyDescent="0.2">
      <c r="A566" s="16"/>
      <c r="B566" s="16"/>
      <c r="C566" s="15"/>
      <c r="E566" s="19"/>
      <c r="F566" s="47"/>
      <c r="G566" s="48"/>
      <c r="H566" s="49"/>
    </row>
    <row r="567" spans="1:8" ht="13.5" hidden="1" thickTop="1" x14ac:dyDescent="0.2">
      <c r="A567" s="16"/>
      <c r="B567" s="16"/>
      <c r="C567" s="15"/>
      <c r="E567" s="19"/>
      <c r="F567" s="47"/>
      <c r="G567" s="48"/>
      <c r="H567" s="49"/>
    </row>
    <row r="568" spans="1:8" ht="13.5" hidden="1" thickTop="1" x14ac:dyDescent="0.2">
      <c r="A568" s="16"/>
      <c r="B568" s="16"/>
      <c r="C568" s="15"/>
      <c r="E568" s="19"/>
      <c r="F568" s="47"/>
      <c r="G568" s="48"/>
      <c r="H568" s="49"/>
    </row>
    <row r="569" spans="1:8" ht="13.5" hidden="1" thickTop="1" x14ac:dyDescent="0.2">
      <c r="A569" s="16"/>
      <c r="B569" s="16"/>
      <c r="C569" s="15"/>
      <c r="E569" s="19"/>
      <c r="F569" s="47"/>
      <c r="G569" s="48"/>
      <c r="H569" s="49"/>
    </row>
    <row r="570" spans="1:8" ht="13.5" hidden="1" thickTop="1" x14ac:dyDescent="0.2">
      <c r="A570" s="16"/>
      <c r="B570" s="16"/>
      <c r="C570" s="15"/>
      <c r="E570" s="19"/>
      <c r="F570" s="47"/>
      <c r="G570" s="48"/>
      <c r="H570" s="49"/>
    </row>
    <row r="571" spans="1:8" ht="13.5" hidden="1" thickTop="1" x14ac:dyDescent="0.2">
      <c r="A571" s="16"/>
      <c r="B571" s="16"/>
      <c r="C571" s="15"/>
      <c r="E571" s="19"/>
      <c r="F571" s="47"/>
      <c r="G571" s="48"/>
      <c r="H571" s="49"/>
    </row>
    <row r="572" spans="1:8" ht="13.5" hidden="1" thickTop="1" x14ac:dyDescent="0.2">
      <c r="A572" s="16"/>
      <c r="B572" s="16"/>
      <c r="C572" s="15"/>
      <c r="E572" s="19"/>
      <c r="F572" s="47"/>
      <c r="G572" s="48"/>
      <c r="H572" s="49"/>
    </row>
    <row r="573" spans="1:8" ht="13.5" hidden="1" thickTop="1" x14ac:dyDescent="0.2">
      <c r="A573" s="16"/>
      <c r="B573" s="16"/>
      <c r="C573" s="15"/>
      <c r="E573" s="19"/>
      <c r="F573" s="47"/>
      <c r="G573" s="48"/>
      <c r="H573" s="49"/>
    </row>
    <row r="574" spans="1:8" ht="13.5" hidden="1" thickTop="1" x14ac:dyDescent="0.2">
      <c r="A574" s="16"/>
      <c r="B574" s="16"/>
      <c r="C574" s="15"/>
      <c r="E574" s="19"/>
      <c r="F574" s="47"/>
      <c r="G574" s="48"/>
      <c r="H574" s="49"/>
    </row>
    <row r="575" spans="1:8" ht="13.5" hidden="1" thickTop="1" x14ac:dyDescent="0.2">
      <c r="A575" s="16"/>
      <c r="B575" s="16"/>
      <c r="C575" s="15"/>
      <c r="E575" s="19"/>
      <c r="F575" s="47"/>
      <c r="G575" s="48"/>
      <c r="H575" s="49"/>
    </row>
    <row r="576" spans="1:8" ht="13.5" hidden="1" thickTop="1" x14ac:dyDescent="0.2">
      <c r="A576" s="16"/>
      <c r="B576" s="16"/>
      <c r="C576" s="15"/>
      <c r="E576" s="19"/>
      <c r="F576" s="47"/>
      <c r="G576" s="48"/>
      <c r="H576" s="49"/>
    </row>
    <row r="577" spans="1:8" ht="13.5" hidden="1" thickTop="1" x14ac:dyDescent="0.2">
      <c r="A577" s="16"/>
      <c r="B577" s="16"/>
      <c r="C577" s="15"/>
      <c r="E577" s="19"/>
      <c r="F577" s="47"/>
      <c r="G577" s="48"/>
      <c r="H577" s="49"/>
    </row>
    <row r="578" spans="1:8" ht="13.5" hidden="1" thickTop="1" x14ac:dyDescent="0.2">
      <c r="A578" s="16"/>
      <c r="B578" s="16"/>
      <c r="C578" s="15"/>
      <c r="E578" s="19"/>
      <c r="F578" s="47"/>
      <c r="G578" s="48"/>
      <c r="H578" s="49"/>
    </row>
    <row r="579" spans="1:8" ht="13.5" hidden="1" thickTop="1" x14ac:dyDescent="0.2">
      <c r="A579" s="16"/>
      <c r="B579" s="16"/>
      <c r="C579" s="15"/>
      <c r="E579" s="19"/>
      <c r="F579" s="47"/>
      <c r="G579" s="48"/>
      <c r="H579" s="49"/>
    </row>
    <row r="580" spans="1:8" ht="13.5" hidden="1" thickTop="1" x14ac:dyDescent="0.2">
      <c r="A580" s="16"/>
      <c r="B580" s="16"/>
      <c r="C580" s="15"/>
      <c r="E580" s="19"/>
      <c r="F580" s="47"/>
      <c r="G580" s="48"/>
      <c r="H580" s="49"/>
    </row>
    <row r="581" spans="1:8" ht="13.5" hidden="1" thickTop="1" x14ac:dyDescent="0.2">
      <c r="A581" s="16"/>
      <c r="B581" s="16"/>
      <c r="C581" s="15"/>
      <c r="E581" s="19"/>
      <c r="F581" s="47"/>
      <c r="G581" s="48"/>
      <c r="H581" s="49"/>
    </row>
    <row r="582" spans="1:8" ht="13.5" hidden="1" thickTop="1" x14ac:dyDescent="0.2">
      <c r="A582" s="16"/>
      <c r="B582" s="16"/>
      <c r="C582" s="15"/>
      <c r="E582" s="19"/>
      <c r="F582" s="47"/>
      <c r="G582" s="48"/>
      <c r="H582" s="49"/>
    </row>
    <row r="583" spans="1:8" ht="13.5" hidden="1" thickTop="1" x14ac:dyDescent="0.2">
      <c r="A583" s="16"/>
      <c r="B583" s="16"/>
      <c r="C583" s="15"/>
      <c r="E583" s="19"/>
      <c r="F583" s="47"/>
      <c r="G583" s="48"/>
      <c r="H583" s="49"/>
    </row>
    <row r="584" spans="1:8" ht="13.5" hidden="1" thickTop="1" x14ac:dyDescent="0.2">
      <c r="A584" s="16"/>
      <c r="B584" s="16"/>
      <c r="C584" s="15"/>
      <c r="E584" s="19"/>
      <c r="F584" s="47"/>
      <c r="G584" s="48"/>
      <c r="H584" s="49"/>
    </row>
    <row r="585" spans="1:8" ht="13.5" hidden="1" thickTop="1" x14ac:dyDescent="0.2">
      <c r="A585" s="16"/>
      <c r="B585" s="16"/>
      <c r="C585" s="15"/>
      <c r="E585" s="19"/>
      <c r="F585" s="47"/>
      <c r="G585" s="48"/>
      <c r="H585" s="49"/>
    </row>
    <row r="586" spans="1:8" ht="13.5" hidden="1" thickTop="1" x14ac:dyDescent="0.2">
      <c r="A586" s="16"/>
      <c r="B586" s="16"/>
      <c r="C586" s="15"/>
      <c r="E586" s="19"/>
      <c r="F586" s="47"/>
      <c r="G586" s="48"/>
      <c r="H586" s="49"/>
    </row>
    <row r="587" spans="1:8" ht="13.5" hidden="1" thickTop="1" x14ac:dyDescent="0.2">
      <c r="A587" s="16"/>
      <c r="B587" s="16"/>
      <c r="C587" s="15"/>
      <c r="E587" s="19"/>
      <c r="F587" s="47"/>
      <c r="G587" s="48"/>
      <c r="H587" s="49"/>
    </row>
    <row r="588" spans="1:8" ht="13.5" hidden="1" thickTop="1" x14ac:dyDescent="0.2">
      <c r="A588" s="16"/>
      <c r="B588" s="16"/>
      <c r="C588" s="15"/>
      <c r="E588" s="19"/>
      <c r="F588" s="47"/>
      <c r="G588" s="48"/>
      <c r="H588" s="49"/>
    </row>
    <row r="589" spans="1:8" ht="13.5" hidden="1" thickTop="1" x14ac:dyDescent="0.2">
      <c r="A589" s="16"/>
      <c r="B589" s="16"/>
      <c r="C589" s="15"/>
      <c r="E589" s="19"/>
      <c r="F589" s="47"/>
      <c r="G589" s="48"/>
      <c r="H589" s="49"/>
    </row>
    <row r="590" spans="1:8" ht="13.5" hidden="1" thickTop="1" x14ac:dyDescent="0.2">
      <c r="A590" s="16"/>
      <c r="B590" s="16"/>
      <c r="C590" s="15"/>
      <c r="E590" s="19"/>
      <c r="F590" s="47"/>
      <c r="G590" s="48"/>
      <c r="H590" s="49"/>
    </row>
    <row r="591" spans="1:8" ht="13.5" hidden="1" thickTop="1" x14ac:dyDescent="0.2">
      <c r="A591" s="16"/>
      <c r="B591" s="16"/>
      <c r="C591" s="15"/>
      <c r="E591" s="19"/>
      <c r="F591" s="47"/>
      <c r="G591" s="48"/>
      <c r="H591" s="49"/>
    </row>
    <row r="592" spans="1:8" ht="13.5" hidden="1" thickTop="1" x14ac:dyDescent="0.2">
      <c r="A592" s="16"/>
      <c r="B592" s="16"/>
      <c r="C592" s="15"/>
      <c r="E592" s="19"/>
      <c r="F592" s="47"/>
      <c r="G592" s="48"/>
      <c r="H592" s="49"/>
    </row>
    <row r="593" spans="1:8" ht="13.5" hidden="1" thickTop="1" x14ac:dyDescent="0.2">
      <c r="A593" s="16"/>
      <c r="B593" s="16"/>
      <c r="C593" s="15"/>
      <c r="E593" s="19"/>
      <c r="F593" s="47"/>
      <c r="G593" s="48"/>
      <c r="H593" s="49"/>
    </row>
    <row r="594" spans="1:8" ht="13.5" hidden="1" thickTop="1" x14ac:dyDescent="0.2">
      <c r="A594" s="16"/>
      <c r="B594" s="16"/>
      <c r="C594" s="15"/>
      <c r="E594" s="19"/>
      <c r="F594" s="47"/>
      <c r="G594" s="48"/>
      <c r="H594" s="49"/>
    </row>
    <row r="595" spans="1:8" ht="13.5" hidden="1" thickTop="1" x14ac:dyDescent="0.2">
      <c r="A595" s="16"/>
      <c r="B595" s="16"/>
      <c r="C595" s="15"/>
      <c r="E595" s="19"/>
      <c r="F595" s="47"/>
      <c r="G595" s="48"/>
      <c r="H595" s="49"/>
    </row>
    <row r="596" spans="1:8" ht="13.5" hidden="1" thickTop="1" x14ac:dyDescent="0.2">
      <c r="A596" s="16"/>
      <c r="B596" s="16"/>
      <c r="C596" s="15"/>
      <c r="E596" s="19"/>
      <c r="F596" s="47"/>
      <c r="G596" s="48"/>
      <c r="H596" s="49"/>
    </row>
    <row r="597" spans="1:8" ht="13.5" hidden="1" thickTop="1" x14ac:dyDescent="0.2">
      <c r="A597" s="16"/>
      <c r="B597" s="16"/>
      <c r="C597" s="15"/>
      <c r="E597" s="19"/>
      <c r="F597" s="47"/>
      <c r="G597" s="48"/>
      <c r="H597" s="49"/>
    </row>
    <row r="598" spans="1:8" ht="13.5" hidden="1" thickTop="1" x14ac:dyDescent="0.2">
      <c r="A598" s="16"/>
      <c r="B598" s="16"/>
      <c r="C598" s="15"/>
      <c r="E598" s="19"/>
      <c r="F598" s="47"/>
      <c r="G598" s="48"/>
      <c r="H598" s="49"/>
    </row>
    <row r="599" spans="1:8" ht="13.5" hidden="1" thickTop="1" x14ac:dyDescent="0.2">
      <c r="A599" s="16"/>
      <c r="B599" s="16"/>
      <c r="C599" s="15"/>
      <c r="E599" s="19"/>
      <c r="F599" s="47"/>
      <c r="G599" s="48"/>
      <c r="H599" s="49"/>
    </row>
    <row r="600" spans="1:8" ht="13.5" hidden="1" thickTop="1" x14ac:dyDescent="0.2">
      <c r="A600" s="16"/>
      <c r="B600" s="16"/>
      <c r="C600" s="15"/>
      <c r="E600" s="19"/>
      <c r="F600" s="47"/>
      <c r="G600" s="48"/>
      <c r="H600" s="49"/>
    </row>
    <row r="601" spans="1:8" ht="13.5" hidden="1" thickTop="1" x14ac:dyDescent="0.2">
      <c r="A601" s="16"/>
      <c r="B601" s="16"/>
      <c r="C601" s="15"/>
      <c r="E601" s="19"/>
      <c r="F601" s="47"/>
      <c r="G601" s="48"/>
      <c r="H601" s="49"/>
    </row>
    <row r="602" spans="1:8" ht="13.5" hidden="1" thickTop="1" x14ac:dyDescent="0.2">
      <c r="A602" s="16"/>
      <c r="B602" s="16"/>
      <c r="C602" s="15"/>
      <c r="E602" s="19"/>
      <c r="F602" s="47"/>
      <c r="G602" s="48"/>
      <c r="H602" s="49"/>
    </row>
    <row r="603" spans="1:8" ht="13.5" hidden="1" thickTop="1" x14ac:dyDescent="0.2">
      <c r="A603" s="16"/>
      <c r="B603" s="16"/>
      <c r="C603" s="15"/>
      <c r="E603" s="19"/>
      <c r="F603" s="47"/>
      <c r="G603" s="48"/>
      <c r="H603" s="49"/>
    </row>
    <row r="604" spans="1:8" ht="13.5" hidden="1" thickTop="1" x14ac:dyDescent="0.2">
      <c r="A604" s="16"/>
      <c r="B604" s="16"/>
      <c r="C604" s="15"/>
      <c r="E604" s="19"/>
      <c r="F604" s="47"/>
      <c r="G604" s="48"/>
      <c r="H604" s="49"/>
    </row>
    <row r="605" spans="1:8" ht="13.5" hidden="1" thickTop="1" x14ac:dyDescent="0.2">
      <c r="A605" s="16"/>
      <c r="B605" s="16"/>
      <c r="C605" s="15"/>
      <c r="E605" s="19"/>
      <c r="F605" s="47"/>
      <c r="G605" s="48"/>
      <c r="H605" s="49"/>
    </row>
    <row r="606" spans="1:8" ht="13.5" hidden="1" thickTop="1" x14ac:dyDescent="0.2">
      <c r="A606" s="16"/>
      <c r="B606" s="16"/>
      <c r="C606" s="15"/>
      <c r="E606" s="19"/>
      <c r="F606" s="47"/>
      <c r="G606" s="48"/>
      <c r="H606" s="49"/>
    </row>
    <row r="607" spans="1:8" ht="13.5" hidden="1" thickTop="1" x14ac:dyDescent="0.2">
      <c r="A607" s="16"/>
      <c r="B607" s="16"/>
      <c r="C607" s="15"/>
      <c r="E607" s="19"/>
      <c r="F607" s="47"/>
      <c r="G607" s="48"/>
      <c r="H607" s="49"/>
    </row>
    <row r="608" spans="1:8" ht="13.5" hidden="1" thickTop="1" x14ac:dyDescent="0.2">
      <c r="A608" s="16"/>
      <c r="B608" s="16"/>
      <c r="C608" s="15"/>
      <c r="E608" s="19"/>
      <c r="F608" s="47"/>
      <c r="G608" s="48"/>
      <c r="H608" s="49"/>
    </row>
    <row r="609" spans="1:8" ht="13.5" hidden="1" thickTop="1" x14ac:dyDescent="0.2">
      <c r="A609" s="16"/>
      <c r="B609" s="16"/>
      <c r="C609" s="15"/>
      <c r="E609" s="19"/>
      <c r="F609" s="47"/>
      <c r="G609" s="48"/>
      <c r="H609" s="49"/>
    </row>
    <row r="610" spans="1:8" ht="13.5" hidden="1" thickTop="1" x14ac:dyDescent="0.2">
      <c r="A610" s="16"/>
      <c r="B610" s="16"/>
      <c r="C610" s="15"/>
      <c r="E610" s="19"/>
      <c r="F610" s="47"/>
      <c r="G610" s="48"/>
      <c r="H610" s="49"/>
    </row>
    <row r="611" spans="1:8" ht="13.5" hidden="1" thickTop="1" x14ac:dyDescent="0.2">
      <c r="A611" s="16"/>
      <c r="B611" s="16"/>
      <c r="C611" s="15"/>
      <c r="E611" s="19"/>
      <c r="F611" s="47"/>
      <c r="G611" s="48"/>
      <c r="H611" s="49"/>
    </row>
    <row r="612" spans="1:8" ht="13.5" hidden="1" thickTop="1" x14ac:dyDescent="0.2">
      <c r="A612" s="16"/>
      <c r="B612" s="16"/>
      <c r="C612" s="15"/>
      <c r="E612" s="19"/>
      <c r="F612" s="47"/>
      <c r="G612" s="48"/>
      <c r="H612" s="49"/>
    </row>
    <row r="613" spans="1:8" ht="13.5" hidden="1" thickTop="1" x14ac:dyDescent="0.2">
      <c r="A613" s="16"/>
      <c r="B613" s="16"/>
      <c r="C613" s="15"/>
      <c r="E613" s="19"/>
      <c r="F613" s="47"/>
      <c r="G613" s="48"/>
      <c r="H613" s="49"/>
    </row>
    <row r="614" spans="1:8" ht="13.5" hidden="1" thickTop="1" x14ac:dyDescent="0.2">
      <c r="A614" s="16"/>
      <c r="B614" s="16"/>
      <c r="C614" s="15"/>
      <c r="E614" s="19"/>
      <c r="F614" s="47"/>
      <c r="G614" s="48"/>
      <c r="H614" s="49"/>
    </row>
    <row r="615" spans="1:8" ht="13.5" hidden="1" thickTop="1" x14ac:dyDescent="0.2">
      <c r="A615" s="16"/>
      <c r="B615" s="16"/>
      <c r="C615" s="15"/>
      <c r="E615" s="19"/>
      <c r="F615" s="47"/>
      <c r="G615" s="48"/>
      <c r="H615" s="49"/>
    </row>
    <row r="616" spans="1:8" ht="13.5" hidden="1" thickTop="1" x14ac:dyDescent="0.2">
      <c r="A616" s="16"/>
      <c r="B616" s="16"/>
      <c r="C616" s="15"/>
      <c r="E616" s="19"/>
      <c r="F616" s="47"/>
      <c r="G616" s="48"/>
      <c r="H616" s="49"/>
    </row>
    <row r="617" spans="1:8" ht="13.5" hidden="1" thickTop="1" x14ac:dyDescent="0.2">
      <c r="A617" s="16"/>
      <c r="B617" s="16"/>
      <c r="C617" s="15"/>
      <c r="E617" s="19"/>
      <c r="F617" s="47"/>
      <c r="G617" s="48"/>
      <c r="H617" s="49"/>
    </row>
    <row r="618" spans="1:8" ht="13.5" hidden="1" thickTop="1" x14ac:dyDescent="0.2">
      <c r="A618" s="16"/>
      <c r="B618" s="16"/>
      <c r="C618" s="15"/>
      <c r="E618" s="19"/>
      <c r="F618" s="47"/>
      <c r="G618" s="48"/>
      <c r="H618" s="49"/>
    </row>
    <row r="619" spans="1:8" ht="13.5" hidden="1" thickTop="1" x14ac:dyDescent="0.2">
      <c r="A619" s="16"/>
      <c r="B619" s="16"/>
      <c r="C619" s="15"/>
      <c r="E619" s="19"/>
      <c r="F619" s="47"/>
      <c r="G619" s="48"/>
      <c r="H619" s="49"/>
    </row>
    <row r="620" spans="1:8" ht="13.5" hidden="1" thickTop="1" x14ac:dyDescent="0.2">
      <c r="A620" s="16"/>
      <c r="B620" s="16"/>
      <c r="C620" s="15"/>
      <c r="E620" s="19"/>
      <c r="F620" s="47"/>
      <c r="G620" s="48"/>
      <c r="H620" s="49"/>
    </row>
    <row r="621" spans="1:8" ht="13.5" hidden="1" thickTop="1" x14ac:dyDescent="0.2">
      <c r="A621" s="16"/>
      <c r="B621" s="16"/>
      <c r="C621" s="15"/>
      <c r="E621" s="19"/>
      <c r="F621" s="47"/>
      <c r="G621" s="48"/>
      <c r="H621" s="49"/>
    </row>
    <row r="622" spans="1:8" ht="13.5" hidden="1" thickTop="1" x14ac:dyDescent="0.2">
      <c r="A622" s="16"/>
      <c r="B622" s="16"/>
      <c r="C622" s="15"/>
      <c r="E622" s="19"/>
      <c r="F622" s="47"/>
      <c r="G622" s="48"/>
      <c r="H622" s="49"/>
    </row>
    <row r="623" spans="1:8" ht="13.5" hidden="1" thickTop="1" x14ac:dyDescent="0.2">
      <c r="A623" s="16"/>
      <c r="B623" s="16"/>
      <c r="C623" s="15"/>
      <c r="E623" s="19"/>
      <c r="F623" s="47"/>
      <c r="G623" s="48"/>
      <c r="H623" s="49"/>
    </row>
    <row r="624" spans="1:8" ht="13.5" hidden="1" thickTop="1" x14ac:dyDescent="0.2">
      <c r="A624" s="16"/>
      <c r="B624" s="16"/>
      <c r="C624" s="15"/>
      <c r="E624" s="19"/>
      <c r="F624" s="47"/>
      <c r="G624" s="48"/>
      <c r="H624" s="49"/>
    </row>
    <row r="625" spans="1:8" ht="13.5" hidden="1" thickTop="1" x14ac:dyDescent="0.2">
      <c r="A625" s="16"/>
      <c r="B625" s="16"/>
      <c r="C625" s="15"/>
      <c r="E625" s="19"/>
      <c r="F625" s="47"/>
      <c r="G625" s="48"/>
      <c r="H625" s="49"/>
    </row>
    <row r="626" spans="1:8" ht="13.5" hidden="1" thickTop="1" x14ac:dyDescent="0.2">
      <c r="A626" s="16"/>
      <c r="B626" s="16"/>
      <c r="C626" s="15"/>
      <c r="E626" s="19"/>
      <c r="F626" s="47"/>
      <c r="G626" s="48"/>
      <c r="H626" s="49"/>
    </row>
    <row r="627" spans="1:8" ht="13.5" hidden="1" thickTop="1" x14ac:dyDescent="0.2">
      <c r="A627" s="16"/>
      <c r="B627" s="16"/>
      <c r="C627" s="15"/>
      <c r="E627" s="19"/>
      <c r="F627" s="47"/>
      <c r="G627" s="48"/>
      <c r="H627" s="49"/>
    </row>
    <row r="628" spans="1:8" ht="13.5" hidden="1" thickTop="1" x14ac:dyDescent="0.2">
      <c r="A628" s="16"/>
      <c r="B628" s="16"/>
      <c r="C628" s="15"/>
      <c r="E628" s="19"/>
      <c r="F628" s="47"/>
      <c r="G628" s="48"/>
      <c r="H628" s="49"/>
    </row>
    <row r="629" spans="1:8" ht="13.5" hidden="1" thickTop="1" x14ac:dyDescent="0.2">
      <c r="A629" s="16"/>
      <c r="B629" s="16"/>
      <c r="C629" s="15"/>
      <c r="E629" s="19"/>
      <c r="F629" s="47"/>
      <c r="G629" s="48"/>
      <c r="H629" s="49"/>
    </row>
    <row r="630" spans="1:8" ht="13.5" hidden="1" thickTop="1" x14ac:dyDescent="0.2">
      <c r="A630" s="16"/>
      <c r="B630" s="16"/>
      <c r="C630" s="15"/>
      <c r="E630" s="19"/>
      <c r="F630" s="47"/>
      <c r="G630" s="48"/>
      <c r="H630" s="49"/>
    </row>
    <row r="631" spans="1:8" ht="13.5" hidden="1" thickTop="1" x14ac:dyDescent="0.2">
      <c r="A631" s="16"/>
      <c r="B631" s="16"/>
      <c r="C631" s="15"/>
      <c r="E631" s="19"/>
      <c r="F631" s="47"/>
      <c r="G631" s="48"/>
      <c r="H631" s="49"/>
    </row>
    <row r="632" spans="1:8" ht="13.5" hidden="1" thickTop="1" x14ac:dyDescent="0.2">
      <c r="A632" s="16"/>
      <c r="B632" s="16"/>
      <c r="C632" s="15"/>
      <c r="E632" s="19"/>
      <c r="F632" s="47"/>
      <c r="G632" s="48"/>
      <c r="H632" s="49"/>
    </row>
    <row r="633" spans="1:8" ht="13.5" hidden="1" thickTop="1" x14ac:dyDescent="0.2">
      <c r="A633" s="16"/>
      <c r="B633" s="16"/>
      <c r="C633" s="15"/>
      <c r="E633" s="19"/>
      <c r="F633" s="47"/>
      <c r="G633" s="48"/>
      <c r="H633" s="49"/>
    </row>
    <row r="634" spans="1:8" ht="13.5" hidden="1" thickTop="1" x14ac:dyDescent="0.2">
      <c r="A634" s="16"/>
      <c r="B634" s="16"/>
      <c r="C634" s="15"/>
      <c r="E634" s="19"/>
      <c r="F634" s="47"/>
      <c r="G634" s="48"/>
      <c r="H634" s="49"/>
    </row>
    <row r="635" spans="1:8" ht="13.5" hidden="1" thickTop="1" x14ac:dyDescent="0.2">
      <c r="A635" s="16"/>
      <c r="B635" s="16"/>
      <c r="C635" s="15"/>
      <c r="E635" s="19"/>
      <c r="F635" s="47"/>
      <c r="G635" s="48"/>
      <c r="H635" s="49"/>
    </row>
    <row r="636" spans="1:8" ht="13.5" hidden="1" thickTop="1" x14ac:dyDescent="0.2">
      <c r="A636" s="16"/>
      <c r="B636" s="16"/>
      <c r="C636" s="15"/>
      <c r="E636" s="19"/>
      <c r="F636" s="47"/>
      <c r="G636" s="48"/>
      <c r="H636" s="49"/>
    </row>
    <row r="637" spans="1:8" ht="13.5" hidden="1" thickTop="1" x14ac:dyDescent="0.2">
      <c r="A637" s="16"/>
      <c r="B637" s="16"/>
      <c r="C637" s="15"/>
      <c r="E637" s="19"/>
      <c r="F637" s="47"/>
      <c r="G637" s="48"/>
      <c r="H637" s="49"/>
    </row>
    <row r="638" spans="1:8" ht="13.5" hidden="1" thickTop="1" x14ac:dyDescent="0.2">
      <c r="A638" s="16"/>
      <c r="B638" s="16"/>
      <c r="C638" s="15"/>
      <c r="E638" s="19"/>
      <c r="F638" s="47"/>
      <c r="G638" s="48"/>
      <c r="H638" s="49"/>
    </row>
    <row r="639" spans="1:8" ht="13.5" hidden="1" thickTop="1" x14ac:dyDescent="0.2">
      <c r="A639" s="16"/>
      <c r="B639" s="16"/>
      <c r="C639" s="15"/>
      <c r="E639" s="19"/>
      <c r="F639" s="47"/>
      <c r="G639" s="48"/>
      <c r="H639" s="49"/>
    </row>
    <row r="640" spans="1:8" ht="13.5" hidden="1" thickTop="1" x14ac:dyDescent="0.2">
      <c r="A640" s="16"/>
      <c r="B640" s="16"/>
      <c r="C640" s="15"/>
      <c r="E640" s="19"/>
      <c r="F640" s="47"/>
      <c r="G640" s="48"/>
      <c r="H640" s="49"/>
    </row>
    <row r="641" spans="1:8" ht="13.5" hidden="1" thickTop="1" x14ac:dyDescent="0.2">
      <c r="A641" s="16"/>
      <c r="B641" s="16"/>
      <c r="C641" s="15"/>
      <c r="E641" s="19"/>
      <c r="F641" s="47"/>
      <c r="G641" s="48"/>
      <c r="H641" s="49"/>
    </row>
    <row r="642" spans="1:8" ht="13.5" hidden="1" thickTop="1" x14ac:dyDescent="0.2">
      <c r="A642" s="16"/>
      <c r="B642" s="16"/>
      <c r="C642" s="15"/>
      <c r="E642" s="19"/>
      <c r="F642" s="47"/>
      <c r="G642" s="48"/>
      <c r="H642" s="49"/>
    </row>
    <row r="643" spans="1:8" ht="13.5" hidden="1" thickTop="1" x14ac:dyDescent="0.2">
      <c r="A643" s="16"/>
      <c r="B643" s="16"/>
      <c r="C643" s="15"/>
      <c r="E643" s="19"/>
      <c r="F643" s="47"/>
      <c r="G643" s="48"/>
      <c r="H643" s="49"/>
    </row>
    <row r="644" spans="1:8" ht="13.5" hidden="1" thickTop="1" x14ac:dyDescent="0.2">
      <c r="A644" s="16"/>
      <c r="B644" s="16"/>
      <c r="C644" s="15"/>
      <c r="E644" s="19"/>
      <c r="F644" s="47"/>
      <c r="G644" s="48"/>
      <c r="H644" s="49"/>
    </row>
    <row r="645" spans="1:8" ht="13.5" hidden="1" thickTop="1" x14ac:dyDescent="0.2">
      <c r="A645" s="16"/>
      <c r="B645" s="16"/>
      <c r="C645" s="15"/>
      <c r="E645" s="19"/>
      <c r="F645" s="47"/>
      <c r="G645" s="48"/>
      <c r="H645" s="49"/>
    </row>
    <row r="646" spans="1:8" ht="13.5" hidden="1" thickTop="1" x14ac:dyDescent="0.2">
      <c r="A646" s="16"/>
      <c r="B646" s="16"/>
      <c r="C646" s="15"/>
      <c r="E646" s="19"/>
      <c r="F646" s="47"/>
      <c r="G646" s="48"/>
      <c r="H646" s="49"/>
    </row>
    <row r="647" spans="1:8" ht="13.5" hidden="1" thickTop="1" x14ac:dyDescent="0.2">
      <c r="A647" s="16"/>
      <c r="B647" s="16"/>
      <c r="C647" s="15"/>
      <c r="E647" s="19"/>
      <c r="F647" s="47"/>
      <c r="G647" s="48"/>
      <c r="H647" s="49"/>
    </row>
    <row r="648" spans="1:8" ht="13.5" hidden="1" thickTop="1" x14ac:dyDescent="0.2">
      <c r="A648" s="16"/>
      <c r="B648" s="16"/>
      <c r="C648" s="15"/>
      <c r="E648" s="19"/>
      <c r="F648" s="47"/>
      <c r="G648" s="48"/>
      <c r="H648" s="49"/>
    </row>
    <row r="649" spans="1:8" ht="13.5" hidden="1" thickTop="1" x14ac:dyDescent="0.2">
      <c r="A649" s="16"/>
      <c r="B649" s="16"/>
      <c r="C649" s="15"/>
      <c r="E649" s="19"/>
      <c r="F649" s="47"/>
      <c r="G649" s="48"/>
      <c r="H649" s="49"/>
    </row>
    <row r="650" spans="1:8" ht="13.5" hidden="1" thickTop="1" x14ac:dyDescent="0.2">
      <c r="A650" s="16"/>
      <c r="B650" s="16"/>
      <c r="C650" s="15"/>
      <c r="E650" s="19"/>
      <c r="F650" s="47"/>
      <c r="G650" s="48"/>
      <c r="H650" s="49"/>
    </row>
    <row r="651" spans="1:8" ht="13.5" hidden="1" thickTop="1" x14ac:dyDescent="0.2">
      <c r="A651" s="16"/>
      <c r="B651" s="16"/>
      <c r="C651" s="15"/>
      <c r="E651" s="19"/>
      <c r="F651" s="47"/>
      <c r="G651" s="48"/>
      <c r="H651" s="49"/>
    </row>
    <row r="652" spans="1:8" ht="13.5" hidden="1" thickTop="1" x14ac:dyDescent="0.2">
      <c r="A652" s="16"/>
      <c r="B652" s="16"/>
      <c r="C652" s="15"/>
      <c r="E652" s="19"/>
      <c r="F652" s="47"/>
      <c r="G652" s="48"/>
      <c r="H652" s="49"/>
    </row>
    <row r="653" spans="1:8" ht="13.5" hidden="1" thickTop="1" x14ac:dyDescent="0.2">
      <c r="A653" s="16"/>
      <c r="B653" s="16"/>
      <c r="C653" s="15"/>
      <c r="E653" s="19"/>
      <c r="F653" s="47"/>
      <c r="G653" s="48"/>
      <c r="H653" s="49"/>
    </row>
    <row r="654" spans="1:8" ht="13.5" hidden="1" thickTop="1" x14ac:dyDescent="0.2">
      <c r="A654" s="16"/>
      <c r="B654" s="16"/>
      <c r="C654" s="15"/>
      <c r="E654" s="19"/>
      <c r="F654" s="47"/>
      <c r="G654" s="48"/>
      <c r="H654" s="49"/>
    </row>
    <row r="655" spans="1:8" ht="13.5" hidden="1" thickTop="1" x14ac:dyDescent="0.2">
      <c r="A655" s="16"/>
      <c r="B655" s="16"/>
      <c r="C655" s="15"/>
      <c r="E655" s="19"/>
      <c r="F655" s="47"/>
      <c r="G655" s="48"/>
      <c r="H655" s="49"/>
    </row>
    <row r="656" spans="1:8" ht="13.5" hidden="1" thickTop="1" x14ac:dyDescent="0.2">
      <c r="A656" s="16"/>
      <c r="B656" s="16"/>
      <c r="C656" s="15"/>
      <c r="E656" s="19"/>
      <c r="F656" s="47"/>
      <c r="G656" s="48"/>
      <c r="H656" s="49"/>
    </row>
    <row r="657" spans="1:8" ht="13.5" hidden="1" thickTop="1" x14ac:dyDescent="0.2">
      <c r="A657" s="16"/>
      <c r="B657" s="16"/>
      <c r="C657" s="15"/>
      <c r="E657" s="19"/>
      <c r="F657" s="47"/>
      <c r="G657" s="48"/>
      <c r="H657" s="49"/>
    </row>
    <row r="658" spans="1:8" ht="13.5" hidden="1" thickTop="1" x14ac:dyDescent="0.2">
      <c r="A658" s="16"/>
      <c r="B658" s="16"/>
      <c r="C658" s="15"/>
      <c r="E658" s="19"/>
      <c r="F658" s="47"/>
      <c r="G658" s="48"/>
      <c r="H658" s="49"/>
    </row>
    <row r="659" spans="1:8" ht="13.5" hidden="1" thickTop="1" x14ac:dyDescent="0.2">
      <c r="A659" s="16"/>
      <c r="B659" s="16"/>
      <c r="C659" s="15"/>
      <c r="E659" s="19"/>
      <c r="F659" s="47"/>
      <c r="G659" s="48"/>
      <c r="H659" s="49"/>
    </row>
    <row r="660" spans="1:8" ht="13.5" hidden="1" thickTop="1" x14ac:dyDescent="0.2">
      <c r="A660" s="16"/>
      <c r="B660" s="16"/>
      <c r="C660" s="15"/>
      <c r="E660" s="19"/>
      <c r="F660" s="47"/>
      <c r="G660" s="48"/>
      <c r="H660" s="49"/>
    </row>
    <row r="661" spans="1:8" ht="13.5" hidden="1" thickTop="1" x14ac:dyDescent="0.2">
      <c r="A661" s="16"/>
      <c r="B661" s="16"/>
      <c r="C661" s="15"/>
      <c r="E661" s="19"/>
      <c r="F661" s="47"/>
      <c r="G661" s="48"/>
      <c r="H661" s="49"/>
    </row>
    <row r="662" spans="1:8" ht="13.5" hidden="1" thickTop="1" x14ac:dyDescent="0.2">
      <c r="A662" s="16"/>
      <c r="B662" s="16"/>
      <c r="C662" s="15"/>
      <c r="E662" s="19"/>
      <c r="F662" s="47"/>
      <c r="G662" s="48"/>
      <c r="H662" s="49"/>
    </row>
    <row r="663" spans="1:8" ht="13.5" hidden="1" thickTop="1" x14ac:dyDescent="0.2">
      <c r="A663" s="16"/>
      <c r="B663" s="16"/>
      <c r="C663" s="15"/>
      <c r="E663" s="19"/>
      <c r="F663" s="47"/>
      <c r="G663" s="48"/>
      <c r="H663" s="49"/>
    </row>
    <row r="664" spans="1:8" ht="13.5" hidden="1" thickTop="1" x14ac:dyDescent="0.2">
      <c r="A664" s="16"/>
      <c r="B664" s="16"/>
      <c r="C664" s="15"/>
      <c r="E664" s="19"/>
      <c r="F664" s="47"/>
      <c r="G664" s="48"/>
      <c r="H664" s="49"/>
    </row>
    <row r="665" spans="1:8" ht="13.5" hidden="1" thickTop="1" x14ac:dyDescent="0.2">
      <c r="A665" s="16"/>
      <c r="B665" s="16"/>
      <c r="C665" s="15"/>
      <c r="E665" s="19"/>
      <c r="F665" s="47"/>
      <c r="G665" s="48"/>
      <c r="H665" s="49"/>
    </row>
    <row r="666" spans="1:8" ht="13.5" hidden="1" thickTop="1" x14ac:dyDescent="0.2">
      <c r="A666" s="16"/>
      <c r="B666" s="16"/>
      <c r="C666" s="15"/>
      <c r="E666" s="19"/>
      <c r="F666" s="47"/>
      <c r="G666" s="48"/>
      <c r="H666" s="49"/>
    </row>
    <row r="667" spans="1:8" ht="13.5" hidden="1" thickTop="1" x14ac:dyDescent="0.2">
      <c r="A667" s="16"/>
      <c r="B667" s="16"/>
      <c r="C667" s="15"/>
      <c r="E667" s="19"/>
      <c r="F667" s="47"/>
      <c r="G667" s="48"/>
      <c r="H667" s="49"/>
    </row>
    <row r="668" spans="1:8" ht="13.5" hidden="1" thickTop="1" x14ac:dyDescent="0.2">
      <c r="A668" s="16"/>
      <c r="B668" s="16"/>
      <c r="C668" s="15"/>
      <c r="E668" s="19"/>
      <c r="F668" s="47"/>
      <c r="G668" s="48"/>
      <c r="H668" s="49"/>
    </row>
    <row r="669" spans="1:8" ht="13.5" hidden="1" thickTop="1" x14ac:dyDescent="0.2">
      <c r="A669" s="16"/>
      <c r="B669" s="16"/>
      <c r="C669" s="15"/>
      <c r="E669" s="19"/>
      <c r="F669" s="47"/>
      <c r="G669" s="48"/>
      <c r="H669" s="49"/>
    </row>
    <row r="670" spans="1:8" ht="13.5" hidden="1" thickTop="1" x14ac:dyDescent="0.2">
      <c r="A670" s="16"/>
      <c r="B670" s="16"/>
      <c r="C670" s="15"/>
      <c r="E670" s="19"/>
      <c r="F670" s="47"/>
      <c r="G670" s="48"/>
      <c r="H670" s="49"/>
    </row>
    <row r="671" spans="1:8" ht="13.5" hidden="1" thickTop="1" x14ac:dyDescent="0.2">
      <c r="A671" s="16"/>
      <c r="B671" s="16"/>
      <c r="C671" s="15"/>
      <c r="E671" s="19"/>
      <c r="F671" s="47"/>
      <c r="G671" s="48"/>
      <c r="H671" s="49"/>
    </row>
    <row r="672" spans="1:8" ht="13.5" hidden="1" thickTop="1" x14ac:dyDescent="0.2">
      <c r="A672" s="16"/>
      <c r="B672" s="16"/>
      <c r="C672" s="15"/>
      <c r="E672" s="19"/>
      <c r="F672" s="47"/>
      <c r="G672" s="48"/>
      <c r="H672" s="49"/>
    </row>
    <row r="673" spans="1:8" ht="13.5" hidden="1" thickTop="1" x14ac:dyDescent="0.2">
      <c r="A673" s="16"/>
      <c r="B673" s="16"/>
      <c r="C673" s="15"/>
      <c r="E673" s="19"/>
      <c r="F673" s="47"/>
      <c r="G673" s="48"/>
      <c r="H673" s="49"/>
    </row>
    <row r="674" spans="1:8" ht="13.5" hidden="1" thickTop="1" x14ac:dyDescent="0.2">
      <c r="A674" s="16"/>
      <c r="B674" s="16"/>
      <c r="C674" s="15"/>
      <c r="E674" s="19"/>
      <c r="F674" s="47"/>
      <c r="G674" s="48"/>
      <c r="H674" s="49"/>
    </row>
    <row r="675" spans="1:8" ht="13.5" hidden="1" thickTop="1" x14ac:dyDescent="0.2">
      <c r="A675" s="16"/>
      <c r="B675" s="16"/>
      <c r="C675" s="15"/>
      <c r="E675" s="19"/>
      <c r="F675" s="47"/>
      <c r="G675" s="48"/>
      <c r="H675" s="49"/>
    </row>
    <row r="676" spans="1:8" ht="13.5" hidden="1" thickTop="1" x14ac:dyDescent="0.2">
      <c r="A676" s="16"/>
      <c r="B676" s="16"/>
      <c r="C676" s="15"/>
      <c r="E676" s="19"/>
      <c r="F676" s="47"/>
      <c r="G676" s="48"/>
      <c r="H676" s="49"/>
    </row>
    <row r="677" spans="1:8" ht="13.5" hidden="1" thickTop="1" x14ac:dyDescent="0.2">
      <c r="A677" s="16"/>
      <c r="B677" s="16"/>
      <c r="C677" s="15"/>
      <c r="E677" s="19"/>
      <c r="F677" s="47"/>
      <c r="G677" s="48"/>
      <c r="H677" s="49"/>
    </row>
    <row r="678" spans="1:8" ht="13.5" hidden="1" thickTop="1" x14ac:dyDescent="0.2">
      <c r="A678" s="16"/>
      <c r="B678" s="16"/>
      <c r="C678" s="15"/>
      <c r="E678" s="19"/>
      <c r="F678" s="47"/>
      <c r="G678" s="48"/>
      <c r="H678" s="49"/>
    </row>
    <row r="679" spans="1:8" ht="13.5" hidden="1" thickTop="1" x14ac:dyDescent="0.2">
      <c r="A679" s="16"/>
      <c r="B679" s="16"/>
      <c r="C679" s="15"/>
      <c r="E679" s="19"/>
      <c r="F679" s="47"/>
      <c r="G679" s="48"/>
      <c r="H679" s="49"/>
    </row>
    <row r="680" spans="1:8" ht="13.5" hidden="1" thickTop="1" x14ac:dyDescent="0.2">
      <c r="A680" s="16"/>
      <c r="B680" s="16"/>
      <c r="C680" s="15"/>
      <c r="E680" s="19"/>
      <c r="F680" s="47"/>
      <c r="G680" s="48"/>
      <c r="H680" s="49"/>
    </row>
    <row r="681" spans="1:8" ht="13.5" hidden="1" thickTop="1" x14ac:dyDescent="0.2">
      <c r="A681" s="16"/>
      <c r="B681" s="16"/>
      <c r="C681" s="15"/>
      <c r="E681" s="19"/>
      <c r="F681" s="47"/>
      <c r="G681" s="48"/>
      <c r="H681" s="49"/>
    </row>
    <row r="682" spans="1:8" ht="13.5" hidden="1" thickTop="1" x14ac:dyDescent="0.2">
      <c r="A682" s="16"/>
      <c r="B682" s="16"/>
      <c r="C682" s="15"/>
      <c r="E682" s="19"/>
      <c r="F682" s="47"/>
      <c r="G682" s="48"/>
      <c r="H682" s="49"/>
    </row>
    <row r="683" spans="1:8" ht="13.5" hidden="1" thickTop="1" x14ac:dyDescent="0.2">
      <c r="A683" s="16"/>
      <c r="B683" s="16"/>
      <c r="C683" s="15"/>
      <c r="E683" s="19"/>
      <c r="F683" s="47"/>
      <c r="G683" s="48"/>
      <c r="H683" s="49"/>
    </row>
    <row r="684" spans="1:8" ht="13.5" hidden="1" thickTop="1" x14ac:dyDescent="0.2">
      <c r="A684" s="16"/>
      <c r="B684" s="16"/>
      <c r="C684" s="15"/>
      <c r="E684" s="19"/>
      <c r="F684" s="47"/>
      <c r="G684" s="48"/>
      <c r="H684" s="49"/>
    </row>
    <row r="685" spans="1:8" ht="13.5" hidden="1" thickTop="1" x14ac:dyDescent="0.2">
      <c r="A685" s="16"/>
      <c r="B685" s="16"/>
      <c r="C685" s="15"/>
      <c r="E685" s="19"/>
      <c r="F685" s="47"/>
      <c r="G685" s="48"/>
      <c r="H685" s="49"/>
    </row>
    <row r="686" spans="1:8" ht="13.5" hidden="1" thickTop="1" x14ac:dyDescent="0.2">
      <c r="A686" s="16"/>
      <c r="B686" s="16"/>
      <c r="C686" s="15"/>
      <c r="E686" s="19"/>
      <c r="F686" s="47"/>
      <c r="G686" s="48"/>
      <c r="H686" s="49"/>
    </row>
    <row r="687" spans="1:8" ht="13.5" hidden="1" thickTop="1" x14ac:dyDescent="0.2">
      <c r="A687" s="16"/>
      <c r="B687" s="16"/>
      <c r="C687" s="15"/>
      <c r="E687" s="19"/>
      <c r="F687" s="47"/>
      <c r="G687" s="48"/>
      <c r="H687" s="49"/>
    </row>
    <row r="688" spans="1:8" ht="13.5" hidden="1" thickTop="1" x14ac:dyDescent="0.2">
      <c r="A688" s="16"/>
      <c r="B688" s="16"/>
      <c r="C688" s="15"/>
      <c r="E688" s="19"/>
      <c r="F688" s="47"/>
      <c r="G688" s="48"/>
      <c r="H688" s="49"/>
    </row>
    <row r="689" spans="1:8" ht="13.5" hidden="1" thickTop="1" x14ac:dyDescent="0.2">
      <c r="A689" s="16"/>
      <c r="B689" s="16"/>
      <c r="C689" s="15"/>
      <c r="E689" s="19"/>
      <c r="F689" s="47"/>
      <c r="G689" s="48"/>
      <c r="H689" s="49"/>
    </row>
    <row r="690" spans="1:8" ht="13.5" hidden="1" thickTop="1" x14ac:dyDescent="0.2">
      <c r="A690" s="16"/>
      <c r="B690" s="16"/>
      <c r="C690" s="15"/>
      <c r="E690" s="19"/>
      <c r="F690" s="47"/>
      <c r="G690" s="48"/>
      <c r="H690" s="49"/>
    </row>
    <row r="691" spans="1:8" ht="13.5" hidden="1" thickTop="1" x14ac:dyDescent="0.2">
      <c r="A691" s="16"/>
      <c r="B691" s="16"/>
      <c r="C691" s="15"/>
      <c r="E691" s="19"/>
      <c r="F691" s="47"/>
      <c r="G691" s="48"/>
      <c r="H691" s="49"/>
    </row>
    <row r="692" spans="1:8" ht="13.5" hidden="1" thickTop="1" x14ac:dyDescent="0.2">
      <c r="A692" s="16"/>
      <c r="B692" s="16"/>
      <c r="C692" s="15"/>
      <c r="E692" s="19"/>
      <c r="F692" s="47"/>
      <c r="G692" s="48"/>
      <c r="H692" s="49"/>
    </row>
    <row r="693" spans="1:8" ht="13.5" hidden="1" thickTop="1" x14ac:dyDescent="0.2">
      <c r="A693" s="16"/>
      <c r="B693" s="16"/>
      <c r="C693" s="15"/>
      <c r="E693" s="19"/>
      <c r="F693" s="47"/>
      <c r="G693" s="48"/>
      <c r="H693" s="49"/>
    </row>
    <row r="694" spans="1:8" ht="13.5" hidden="1" thickTop="1" x14ac:dyDescent="0.2">
      <c r="A694" s="16"/>
      <c r="B694" s="16"/>
      <c r="C694" s="15"/>
      <c r="E694" s="19"/>
      <c r="F694" s="47"/>
      <c r="G694" s="48"/>
      <c r="H694" s="49"/>
    </row>
    <row r="695" spans="1:8" ht="13.5" hidden="1" thickTop="1" x14ac:dyDescent="0.2">
      <c r="A695" s="16"/>
      <c r="B695" s="16"/>
      <c r="C695" s="15"/>
      <c r="E695" s="19"/>
      <c r="F695" s="47"/>
      <c r="G695" s="48"/>
      <c r="H695" s="49"/>
    </row>
    <row r="696" spans="1:8" ht="13.5" hidden="1" thickTop="1" x14ac:dyDescent="0.2">
      <c r="A696" s="16"/>
      <c r="B696" s="16"/>
      <c r="C696" s="15"/>
      <c r="E696" s="19"/>
      <c r="F696" s="47"/>
      <c r="G696" s="48"/>
      <c r="H696" s="49"/>
    </row>
    <row r="697" spans="1:8" ht="13.5" hidden="1" thickTop="1" x14ac:dyDescent="0.2">
      <c r="A697" s="16"/>
      <c r="B697" s="16"/>
      <c r="C697" s="15"/>
      <c r="E697" s="19"/>
      <c r="F697" s="47"/>
      <c r="G697" s="48"/>
      <c r="H697" s="49"/>
    </row>
    <row r="698" spans="1:8" ht="13.5" hidden="1" thickTop="1" x14ac:dyDescent="0.2">
      <c r="A698" s="16"/>
      <c r="B698" s="16"/>
      <c r="C698" s="15"/>
      <c r="E698" s="19"/>
      <c r="F698" s="47"/>
      <c r="G698" s="48"/>
      <c r="H698" s="49"/>
    </row>
    <row r="699" spans="1:8" ht="13.5" hidden="1" thickTop="1" x14ac:dyDescent="0.2">
      <c r="A699" s="16"/>
      <c r="B699" s="16"/>
      <c r="C699" s="15"/>
      <c r="E699" s="19"/>
      <c r="F699" s="47"/>
      <c r="G699" s="48"/>
      <c r="H699" s="49"/>
    </row>
    <row r="700" spans="1:8" ht="13.5" hidden="1" thickTop="1" x14ac:dyDescent="0.2">
      <c r="A700" s="16"/>
      <c r="B700" s="16"/>
      <c r="C700" s="15"/>
      <c r="E700" s="19"/>
      <c r="F700" s="47"/>
      <c r="G700" s="48"/>
      <c r="H700" s="49"/>
    </row>
    <row r="701" spans="1:8" ht="13.5" hidden="1" thickTop="1" x14ac:dyDescent="0.2">
      <c r="A701" s="16"/>
      <c r="B701" s="16"/>
      <c r="C701" s="15"/>
      <c r="E701" s="19"/>
      <c r="F701" s="47"/>
      <c r="G701" s="48"/>
      <c r="H701" s="49"/>
    </row>
    <row r="702" spans="1:8" ht="13.5" hidden="1" thickTop="1" x14ac:dyDescent="0.2">
      <c r="A702" s="16"/>
      <c r="B702" s="16"/>
      <c r="C702" s="15"/>
      <c r="E702" s="19"/>
      <c r="F702" s="47"/>
      <c r="G702" s="48"/>
      <c r="H702" s="49"/>
    </row>
    <row r="703" spans="1:8" ht="13.5" hidden="1" thickTop="1" x14ac:dyDescent="0.2">
      <c r="A703" s="16"/>
      <c r="B703" s="16"/>
      <c r="C703" s="15"/>
      <c r="E703" s="19"/>
      <c r="F703" s="47"/>
      <c r="G703" s="48"/>
      <c r="H703" s="49"/>
    </row>
    <row r="704" spans="1:8" ht="13.5" hidden="1" thickTop="1" x14ac:dyDescent="0.2">
      <c r="A704" s="16"/>
      <c r="B704" s="16"/>
      <c r="C704" s="15"/>
      <c r="E704" s="19"/>
      <c r="F704" s="47"/>
      <c r="G704" s="48"/>
      <c r="H704" s="49"/>
    </row>
    <row r="705" spans="1:8" ht="13.5" hidden="1" thickTop="1" x14ac:dyDescent="0.2">
      <c r="A705" s="16"/>
      <c r="B705" s="16"/>
      <c r="C705" s="15"/>
      <c r="E705" s="19"/>
      <c r="F705" s="47"/>
      <c r="G705" s="48"/>
      <c r="H705" s="49"/>
    </row>
    <row r="706" spans="1:8" ht="13.5" hidden="1" thickTop="1" x14ac:dyDescent="0.2">
      <c r="A706" s="16"/>
      <c r="B706" s="16"/>
      <c r="C706" s="15"/>
      <c r="E706" s="19"/>
      <c r="F706" s="47"/>
      <c r="G706" s="48"/>
      <c r="H706" s="49"/>
    </row>
    <row r="707" spans="1:8" ht="13.5" hidden="1" thickTop="1" x14ac:dyDescent="0.2">
      <c r="A707" s="16"/>
      <c r="B707" s="16"/>
      <c r="C707" s="15"/>
      <c r="E707" s="19"/>
      <c r="F707" s="47"/>
      <c r="G707" s="48"/>
      <c r="H707" s="49"/>
    </row>
    <row r="708" spans="1:8" ht="13.5" hidden="1" thickTop="1" x14ac:dyDescent="0.2">
      <c r="A708" s="16"/>
      <c r="B708" s="16"/>
      <c r="C708" s="15"/>
      <c r="E708" s="19"/>
      <c r="F708" s="47"/>
      <c r="G708" s="48"/>
      <c r="H708" s="49"/>
    </row>
    <row r="709" spans="1:8" ht="13.5" hidden="1" thickTop="1" x14ac:dyDescent="0.2">
      <c r="A709" s="16"/>
      <c r="B709" s="16"/>
      <c r="C709" s="15"/>
      <c r="E709" s="19"/>
      <c r="F709" s="47"/>
      <c r="G709" s="48"/>
      <c r="H709" s="49"/>
    </row>
    <row r="710" spans="1:8" ht="13.5" hidden="1" thickTop="1" x14ac:dyDescent="0.2">
      <c r="A710" s="16"/>
      <c r="B710" s="16"/>
      <c r="C710" s="15"/>
      <c r="E710" s="19"/>
      <c r="F710" s="47"/>
      <c r="G710" s="48"/>
      <c r="H710" s="49"/>
    </row>
    <row r="711" spans="1:8" ht="13.5" hidden="1" thickTop="1" x14ac:dyDescent="0.2">
      <c r="A711" s="16"/>
      <c r="B711" s="16"/>
      <c r="C711" s="15"/>
      <c r="E711" s="19"/>
      <c r="F711" s="47"/>
      <c r="G711" s="48"/>
      <c r="H711" s="49"/>
    </row>
    <row r="712" spans="1:8" ht="13.5" hidden="1" thickTop="1" x14ac:dyDescent="0.2">
      <c r="A712" s="16"/>
      <c r="B712" s="16"/>
      <c r="C712" s="15"/>
      <c r="E712" s="19"/>
      <c r="F712" s="47"/>
      <c r="G712" s="48"/>
      <c r="H712" s="49"/>
    </row>
    <row r="713" spans="1:8" ht="13.5" hidden="1" thickTop="1" x14ac:dyDescent="0.2">
      <c r="A713" s="16"/>
      <c r="B713" s="16"/>
      <c r="C713" s="15"/>
      <c r="E713" s="19"/>
      <c r="F713" s="47"/>
      <c r="G713" s="48"/>
      <c r="H713" s="49"/>
    </row>
    <row r="714" spans="1:8" ht="13.5" hidden="1" thickTop="1" x14ac:dyDescent="0.2">
      <c r="A714" s="16"/>
      <c r="B714" s="16"/>
      <c r="C714" s="15"/>
      <c r="E714" s="19"/>
      <c r="F714" s="47"/>
      <c r="G714" s="48"/>
      <c r="H714" s="49"/>
    </row>
    <row r="715" spans="1:8" ht="13.5" hidden="1" thickTop="1" x14ac:dyDescent="0.2">
      <c r="A715" s="16"/>
      <c r="B715" s="16"/>
      <c r="C715" s="15"/>
      <c r="E715" s="19"/>
      <c r="F715" s="47"/>
      <c r="G715" s="48"/>
      <c r="H715" s="49"/>
    </row>
    <row r="716" spans="1:8" ht="13.5" hidden="1" thickTop="1" x14ac:dyDescent="0.2">
      <c r="A716" s="16"/>
      <c r="B716" s="16"/>
      <c r="C716" s="15"/>
      <c r="E716" s="19"/>
      <c r="F716" s="47"/>
      <c r="G716" s="48"/>
      <c r="H716" s="49"/>
    </row>
    <row r="717" spans="1:8" ht="13.5" hidden="1" thickTop="1" x14ac:dyDescent="0.2">
      <c r="A717" s="16"/>
      <c r="B717" s="16"/>
      <c r="C717" s="15"/>
      <c r="E717" s="19"/>
      <c r="F717" s="47"/>
      <c r="G717" s="48"/>
      <c r="H717" s="49"/>
    </row>
    <row r="718" spans="1:8" ht="13.5" hidden="1" thickTop="1" x14ac:dyDescent="0.2">
      <c r="A718" s="16"/>
      <c r="B718" s="16"/>
      <c r="C718" s="15"/>
      <c r="E718" s="19"/>
      <c r="F718" s="47"/>
      <c r="G718" s="48"/>
      <c r="H718" s="49"/>
    </row>
    <row r="719" spans="1:8" ht="13.5" hidden="1" thickTop="1" x14ac:dyDescent="0.2">
      <c r="A719" s="16"/>
      <c r="B719" s="16"/>
      <c r="C719" s="15"/>
      <c r="E719" s="19"/>
      <c r="F719" s="47"/>
      <c r="G719" s="48"/>
      <c r="H719" s="49"/>
    </row>
    <row r="720" spans="1:8" ht="13.5" hidden="1" thickTop="1" x14ac:dyDescent="0.2">
      <c r="A720" s="16"/>
      <c r="B720" s="16"/>
      <c r="C720" s="15"/>
      <c r="E720" s="19"/>
      <c r="F720" s="47"/>
      <c r="G720" s="48"/>
      <c r="H720" s="49"/>
    </row>
    <row r="721" spans="1:8" ht="13.5" hidden="1" thickTop="1" x14ac:dyDescent="0.2">
      <c r="A721" s="16"/>
      <c r="B721" s="16"/>
      <c r="C721" s="15"/>
      <c r="E721" s="19"/>
      <c r="F721" s="47"/>
      <c r="G721" s="48"/>
      <c r="H721" s="49"/>
    </row>
    <row r="722" spans="1:8" ht="13.5" hidden="1" thickTop="1" x14ac:dyDescent="0.2">
      <c r="A722" s="16"/>
      <c r="B722" s="16"/>
      <c r="C722" s="15"/>
      <c r="E722" s="19"/>
      <c r="F722" s="47"/>
      <c r="G722" s="48"/>
      <c r="H722" s="49"/>
    </row>
    <row r="723" spans="1:8" ht="13.5" hidden="1" thickTop="1" x14ac:dyDescent="0.2">
      <c r="A723" s="16"/>
      <c r="B723" s="16"/>
      <c r="C723" s="15"/>
      <c r="E723" s="19"/>
      <c r="F723" s="47"/>
      <c r="G723" s="48"/>
      <c r="H723" s="49"/>
    </row>
    <row r="724" spans="1:8" ht="13.5" hidden="1" thickTop="1" x14ac:dyDescent="0.2">
      <c r="A724" s="16"/>
      <c r="B724" s="16"/>
      <c r="C724" s="15"/>
      <c r="E724" s="19"/>
      <c r="F724" s="47"/>
      <c r="G724" s="48"/>
      <c r="H724" s="49"/>
    </row>
    <row r="725" spans="1:8" ht="13.5" hidden="1" thickTop="1" x14ac:dyDescent="0.2">
      <c r="A725" s="16"/>
      <c r="B725" s="16"/>
      <c r="C725" s="15"/>
      <c r="E725" s="19"/>
      <c r="F725" s="47"/>
      <c r="G725" s="48"/>
      <c r="H725" s="49"/>
    </row>
    <row r="726" spans="1:8" ht="13.5" hidden="1" thickTop="1" x14ac:dyDescent="0.2">
      <c r="A726" s="16"/>
      <c r="B726" s="16"/>
      <c r="C726" s="15"/>
      <c r="E726" s="19"/>
      <c r="F726" s="47"/>
      <c r="G726" s="48"/>
      <c r="H726" s="49"/>
    </row>
    <row r="727" spans="1:8" ht="13.5" hidden="1" thickTop="1" x14ac:dyDescent="0.2">
      <c r="A727" s="16"/>
      <c r="B727" s="16"/>
      <c r="C727" s="15"/>
      <c r="E727" s="19"/>
      <c r="F727" s="47"/>
      <c r="G727" s="48"/>
      <c r="H727" s="49"/>
    </row>
    <row r="728" spans="1:8" ht="13.5" hidden="1" thickTop="1" x14ac:dyDescent="0.2">
      <c r="A728" s="16"/>
      <c r="B728" s="16"/>
      <c r="C728" s="15"/>
      <c r="E728" s="19"/>
      <c r="F728" s="47"/>
      <c r="G728" s="48"/>
      <c r="H728" s="49"/>
    </row>
    <row r="729" spans="1:8" ht="13.5" hidden="1" thickTop="1" x14ac:dyDescent="0.2">
      <c r="A729" s="16"/>
      <c r="B729" s="16"/>
      <c r="C729" s="15"/>
      <c r="E729" s="19"/>
      <c r="F729" s="47"/>
      <c r="G729" s="48"/>
      <c r="H729" s="49"/>
    </row>
    <row r="730" spans="1:8" ht="13.5" hidden="1" thickTop="1" x14ac:dyDescent="0.2">
      <c r="A730" s="16"/>
      <c r="B730" s="16"/>
      <c r="C730" s="15"/>
      <c r="E730" s="19"/>
      <c r="F730" s="47"/>
      <c r="G730" s="48"/>
      <c r="H730" s="49"/>
    </row>
    <row r="731" spans="1:8" ht="13.5" hidden="1" thickTop="1" x14ac:dyDescent="0.2">
      <c r="A731" s="16"/>
      <c r="B731" s="16"/>
      <c r="C731" s="15"/>
      <c r="E731" s="19"/>
      <c r="F731" s="47"/>
      <c r="G731" s="48"/>
      <c r="H731" s="49"/>
    </row>
    <row r="732" spans="1:8" ht="13.5" hidden="1" thickTop="1" x14ac:dyDescent="0.2">
      <c r="A732" s="16"/>
      <c r="B732" s="16"/>
      <c r="C732" s="15"/>
      <c r="E732" s="19"/>
      <c r="F732" s="47"/>
      <c r="G732" s="48"/>
      <c r="H732" s="49"/>
    </row>
    <row r="733" spans="1:8" ht="13.5" hidden="1" thickTop="1" x14ac:dyDescent="0.2">
      <c r="A733" s="16"/>
      <c r="B733" s="16"/>
      <c r="C733" s="15"/>
      <c r="E733" s="19"/>
      <c r="F733" s="47"/>
      <c r="G733" s="48"/>
      <c r="H733" s="49"/>
    </row>
    <row r="734" spans="1:8" ht="13.5" hidden="1" thickTop="1" x14ac:dyDescent="0.2">
      <c r="A734" s="16"/>
      <c r="B734" s="16"/>
      <c r="C734" s="15"/>
      <c r="E734" s="19"/>
      <c r="F734" s="47"/>
      <c r="G734" s="48"/>
      <c r="H734" s="49"/>
    </row>
    <row r="735" spans="1:8" ht="13.5" hidden="1" thickTop="1" x14ac:dyDescent="0.2">
      <c r="A735" s="16"/>
      <c r="B735" s="16"/>
      <c r="C735" s="15"/>
      <c r="E735" s="19"/>
      <c r="F735" s="47"/>
      <c r="G735" s="48"/>
      <c r="H735" s="49"/>
    </row>
    <row r="736" spans="1:8" ht="13.5" hidden="1" thickTop="1" x14ac:dyDescent="0.2">
      <c r="A736" s="16"/>
      <c r="B736" s="16"/>
      <c r="C736" s="15"/>
      <c r="E736" s="19"/>
      <c r="F736" s="47"/>
      <c r="G736" s="48"/>
      <c r="H736" s="49"/>
    </row>
    <row r="737" spans="1:8" ht="13.5" hidden="1" thickTop="1" x14ac:dyDescent="0.2">
      <c r="A737" s="16"/>
      <c r="B737" s="16"/>
      <c r="C737" s="15"/>
      <c r="E737" s="19"/>
      <c r="F737" s="47"/>
      <c r="G737" s="48"/>
      <c r="H737" s="49"/>
    </row>
    <row r="738" spans="1:8" ht="13.5" hidden="1" thickTop="1" x14ac:dyDescent="0.2">
      <c r="A738" s="16"/>
      <c r="B738" s="16"/>
      <c r="C738" s="15"/>
      <c r="E738" s="19"/>
      <c r="F738" s="47"/>
      <c r="G738" s="48"/>
      <c r="H738" s="49"/>
    </row>
    <row r="739" spans="1:8" ht="13.5" hidden="1" thickTop="1" x14ac:dyDescent="0.2">
      <c r="A739" s="16"/>
      <c r="B739" s="16"/>
      <c r="C739" s="15"/>
      <c r="E739" s="19"/>
      <c r="F739" s="47"/>
      <c r="G739" s="48"/>
      <c r="H739" s="49"/>
    </row>
    <row r="740" spans="1:8" ht="13.5" hidden="1" thickTop="1" x14ac:dyDescent="0.2">
      <c r="A740" s="16"/>
      <c r="B740" s="16"/>
      <c r="C740" s="15"/>
      <c r="E740" s="19"/>
      <c r="F740" s="47"/>
      <c r="G740" s="48"/>
      <c r="H740" s="49"/>
    </row>
    <row r="741" spans="1:8" ht="13.5" hidden="1" thickTop="1" x14ac:dyDescent="0.2">
      <c r="A741" s="16"/>
      <c r="B741" s="16"/>
      <c r="C741" s="15"/>
      <c r="E741" s="19"/>
      <c r="F741" s="47"/>
      <c r="G741" s="48"/>
      <c r="H741" s="49"/>
    </row>
    <row r="742" spans="1:8" ht="13.5" hidden="1" thickTop="1" x14ac:dyDescent="0.2">
      <c r="A742" s="16"/>
      <c r="B742" s="16"/>
      <c r="C742" s="15"/>
      <c r="E742" s="19"/>
      <c r="F742" s="47"/>
      <c r="G742" s="48"/>
      <c r="H742" s="49"/>
    </row>
    <row r="743" spans="1:8" ht="13.5" hidden="1" thickTop="1" x14ac:dyDescent="0.2">
      <c r="A743" s="16"/>
      <c r="B743" s="16"/>
      <c r="C743" s="15"/>
      <c r="E743" s="19"/>
      <c r="F743" s="47"/>
      <c r="G743" s="48"/>
      <c r="H743" s="49"/>
    </row>
    <row r="744" spans="1:8" ht="13.5" hidden="1" thickTop="1" x14ac:dyDescent="0.2">
      <c r="A744" s="16"/>
      <c r="B744" s="16"/>
      <c r="C744" s="15"/>
      <c r="E744" s="19"/>
      <c r="F744" s="47"/>
      <c r="G744" s="48"/>
      <c r="H744" s="49"/>
    </row>
    <row r="745" spans="1:8" ht="13.5" hidden="1" thickTop="1" x14ac:dyDescent="0.2">
      <c r="A745" s="16"/>
      <c r="B745" s="16"/>
      <c r="C745" s="15"/>
      <c r="E745" s="19"/>
      <c r="F745" s="47"/>
      <c r="G745" s="48"/>
      <c r="H745" s="49"/>
    </row>
    <row r="746" spans="1:8" ht="13.5" hidden="1" thickTop="1" x14ac:dyDescent="0.2">
      <c r="A746" s="16"/>
      <c r="B746" s="16"/>
      <c r="C746" s="15"/>
      <c r="E746" s="19"/>
      <c r="F746" s="47"/>
      <c r="G746" s="48"/>
      <c r="H746" s="49"/>
    </row>
    <row r="747" spans="1:8" ht="13.5" hidden="1" thickTop="1" x14ac:dyDescent="0.2">
      <c r="A747" s="16"/>
      <c r="B747" s="16"/>
      <c r="C747" s="15"/>
      <c r="E747" s="19"/>
      <c r="F747" s="47"/>
      <c r="G747" s="48"/>
      <c r="H747" s="49"/>
    </row>
    <row r="748" spans="1:8" ht="13.5" hidden="1" thickTop="1" x14ac:dyDescent="0.2">
      <c r="A748" s="16"/>
      <c r="B748" s="16"/>
      <c r="C748" s="15"/>
      <c r="E748" s="19"/>
      <c r="F748" s="47"/>
      <c r="G748" s="48"/>
      <c r="H748" s="49"/>
    </row>
    <row r="749" spans="1:8" ht="13.5" hidden="1" thickTop="1" x14ac:dyDescent="0.2">
      <c r="A749" s="16"/>
      <c r="B749" s="16"/>
      <c r="C749" s="15"/>
      <c r="E749" s="19"/>
      <c r="F749" s="47"/>
      <c r="G749" s="48"/>
      <c r="H749" s="49"/>
    </row>
    <row r="750" spans="1:8" ht="13.5" hidden="1" thickTop="1" x14ac:dyDescent="0.2">
      <c r="A750" s="16"/>
      <c r="B750" s="16"/>
      <c r="C750" s="15"/>
      <c r="E750" s="19"/>
      <c r="F750" s="47"/>
      <c r="G750" s="48"/>
      <c r="H750" s="49"/>
    </row>
    <row r="751" spans="1:8" ht="13.5" hidden="1" thickTop="1" x14ac:dyDescent="0.2">
      <c r="A751" s="16"/>
      <c r="B751" s="16"/>
      <c r="C751" s="15"/>
      <c r="E751" s="19"/>
      <c r="F751" s="47"/>
      <c r="G751" s="48"/>
      <c r="H751" s="49"/>
    </row>
    <row r="752" spans="1:8" ht="13.5" hidden="1" thickTop="1" x14ac:dyDescent="0.2">
      <c r="A752" s="16"/>
      <c r="B752" s="16"/>
      <c r="C752" s="15"/>
      <c r="E752" s="19"/>
      <c r="F752" s="47"/>
      <c r="G752" s="48"/>
      <c r="H752" s="49"/>
    </row>
    <row r="753" spans="1:8" ht="13.5" hidden="1" thickTop="1" x14ac:dyDescent="0.2">
      <c r="A753" s="16"/>
      <c r="B753" s="16"/>
      <c r="C753" s="15"/>
      <c r="E753" s="19"/>
      <c r="F753" s="47"/>
      <c r="G753" s="48"/>
      <c r="H753" s="49"/>
    </row>
    <row r="754" spans="1:8" ht="13.5" hidden="1" thickTop="1" x14ac:dyDescent="0.2">
      <c r="A754" s="16"/>
      <c r="B754" s="16"/>
      <c r="C754" s="15"/>
      <c r="E754" s="19"/>
      <c r="F754" s="47"/>
      <c r="G754" s="48"/>
      <c r="H754" s="49"/>
    </row>
    <row r="755" spans="1:8" ht="13.5" hidden="1" thickTop="1" x14ac:dyDescent="0.2">
      <c r="A755" s="16"/>
      <c r="B755" s="16"/>
      <c r="C755" s="15"/>
      <c r="E755" s="19"/>
      <c r="F755" s="47"/>
      <c r="G755" s="48"/>
      <c r="H755" s="49"/>
    </row>
    <row r="756" spans="1:8" ht="13.5" hidden="1" thickTop="1" x14ac:dyDescent="0.2">
      <c r="A756" s="16"/>
      <c r="B756" s="16"/>
      <c r="C756" s="15"/>
      <c r="E756" s="19"/>
      <c r="F756" s="47"/>
      <c r="G756" s="48"/>
      <c r="H756" s="49"/>
    </row>
    <row r="757" spans="1:8" ht="13.5" hidden="1" thickTop="1" x14ac:dyDescent="0.2">
      <c r="A757" s="16"/>
      <c r="B757" s="16"/>
      <c r="C757" s="15"/>
      <c r="E757" s="19"/>
      <c r="F757" s="47"/>
      <c r="G757" s="48"/>
      <c r="H757" s="49"/>
    </row>
    <row r="758" spans="1:8" ht="13.5" hidden="1" thickTop="1" x14ac:dyDescent="0.2">
      <c r="A758" s="16"/>
      <c r="B758" s="16"/>
      <c r="C758" s="15"/>
      <c r="E758" s="19"/>
      <c r="F758" s="47"/>
      <c r="G758" s="48"/>
      <c r="H758" s="49"/>
    </row>
    <row r="759" spans="1:8" ht="13.5" hidden="1" thickTop="1" x14ac:dyDescent="0.2">
      <c r="A759" s="16"/>
      <c r="B759" s="16"/>
      <c r="C759" s="15"/>
      <c r="E759" s="19"/>
      <c r="F759" s="47"/>
      <c r="G759" s="48"/>
      <c r="H759" s="49"/>
    </row>
    <row r="760" spans="1:8" ht="13.5" hidden="1" thickTop="1" x14ac:dyDescent="0.2">
      <c r="A760" s="16"/>
      <c r="B760" s="16"/>
      <c r="C760" s="15"/>
      <c r="E760" s="19"/>
      <c r="F760" s="47"/>
      <c r="G760" s="48"/>
      <c r="H760" s="49"/>
    </row>
    <row r="761" spans="1:8" ht="13.5" hidden="1" thickTop="1" x14ac:dyDescent="0.2">
      <c r="A761" s="16"/>
      <c r="B761" s="16"/>
      <c r="C761" s="15"/>
      <c r="E761" s="19"/>
      <c r="F761" s="47"/>
      <c r="G761" s="48"/>
      <c r="H761" s="49"/>
    </row>
    <row r="762" spans="1:8" ht="13.5" hidden="1" thickTop="1" x14ac:dyDescent="0.2">
      <c r="A762" s="16"/>
      <c r="B762" s="16"/>
      <c r="C762" s="15"/>
      <c r="E762" s="19"/>
      <c r="F762" s="47"/>
      <c r="G762" s="48"/>
      <c r="H762" s="49"/>
    </row>
    <row r="763" spans="1:8" ht="13.5" hidden="1" thickTop="1" x14ac:dyDescent="0.2">
      <c r="A763" s="16"/>
      <c r="B763" s="16"/>
      <c r="C763" s="15"/>
      <c r="E763" s="19"/>
      <c r="F763" s="47"/>
      <c r="G763" s="48"/>
      <c r="H763" s="49"/>
    </row>
    <row r="764" spans="1:8" ht="13.5" hidden="1" thickTop="1" x14ac:dyDescent="0.2">
      <c r="A764" s="16"/>
      <c r="B764" s="16"/>
      <c r="C764" s="15"/>
      <c r="E764" s="19"/>
      <c r="F764" s="47"/>
      <c r="G764" s="48"/>
      <c r="H764" s="49"/>
    </row>
    <row r="765" spans="1:8" ht="13.5" hidden="1" thickTop="1" x14ac:dyDescent="0.2">
      <c r="A765" s="16"/>
      <c r="B765" s="16"/>
      <c r="C765" s="15"/>
      <c r="E765" s="19"/>
      <c r="F765" s="47"/>
      <c r="G765" s="48"/>
      <c r="H765" s="49"/>
    </row>
    <row r="766" spans="1:8" ht="13.5" hidden="1" thickTop="1" x14ac:dyDescent="0.2">
      <c r="A766" s="16"/>
      <c r="B766" s="16"/>
      <c r="C766" s="15"/>
      <c r="E766" s="19"/>
      <c r="F766" s="47"/>
      <c r="G766" s="48"/>
      <c r="H766" s="49"/>
    </row>
    <row r="767" spans="1:8" ht="13.5" hidden="1" thickTop="1" x14ac:dyDescent="0.2">
      <c r="A767" s="16"/>
      <c r="B767" s="16"/>
      <c r="C767" s="15"/>
      <c r="E767" s="19"/>
      <c r="F767" s="47"/>
      <c r="G767" s="48"/>
      <c r="H767" s="49"/>
    </row>
    <row r="768" spans="1:8" ht="13.5" hidden="1" thickTop="1" x14ac:dyDescent="0.2">
      <c r="A768" s="16"/>
      <c r="B768" s="16"/>
      <c r="C768" s="15"/>
      <c r="E768" s="19"/>
      <c r="F768" s="47"/>
      <c r="G768" s="48"/>
      <c r="H768" s="49"/>
    </row>
    <row r="769" spans="1:8" ht="13.5" hidden="1" thickTop="1" x14ac:dyDescent="0.2">
      <c r="A769" s="16"/>
      <c r="B769" s="16"/>
      <c r="C769" s="15"/>
      <c r="E769" s="19"/>
      <c r="F769" s="47"/>
      <c r="G769" s="48"/>
      <c r="H769" s="49"/>
    </row>
    <row r="770" spans="1:8" ht="13.5" hidden="1" thickTop="1" x14ac:dyDescent="0.2">
      <c r="A770" s="16"/>
      <c r="B770" s="16"/>
      <c r="C770" s="15"/>
      <c r="E770" s="19"/>
      <c r="F770" s="47"/>
      <c r="G770" s="48"/>
      <c r="H770" s="49"/>
    </row>
    <row r="771" spans="1:8" ht="13.5" hidden="1" thickTop="1" x14ac:dyDescent="0.2">
      <c r="A771" s="16"/>
      <c r="B771" s="16"/>
      <c r="C771" s="15"/>
      <c r="E771" s="19"/>
      <c r="F771" s="47"/>
      <c r="G771" s="48"/>
      <c r="H771" s="49"/>
    </row>
    <row r="772" spans="1:8" ht="13.5" hidden="1" thickTop="1" x14ac:dyDescent="0.2">
      <c r="A772" s="16"/>
      <c r="B772" s="16"/>
      <c r="C772" s="15"/>
      <c r="E772" s="19"/>
      <c r="F772" s="47"/>
      <c r="G772" s="48"/>
      <c r="H772" s="49"/>
    </row>
    <row r="773" spans="1:8" ht="13.5" hidden="1" thickTop="1" x14ac:dyDescent="0.2">
      <c r="A773" s="16"/>
      <c r="B773" s="16"/>
      <c r="C773" s="15"/>
      <c r="E773" s="19"/>
      <c r="F773" s="47"/>
      <c r="G773" s="48"/>
      <c r="H773" s="49"/>
    </row>
    <row r="774" spans="1:8" ht="13.5" hidden="1" thickTop="1" x14ac:dyDescent="0.2">
      <c r="A774" s="16"/>
      <c r="B774" s="16"/>
      <c r="C774" s="15"/>
      <c r="E774" s="19"/>
      <c r="F774" s="47"/>
      <c r="G774" s="48"/>
      <c r="H774" s="49"/>
    </row>
    <row r="775" spans="1:8" ht="13.5" hidden="1" thickTop="1" x14ac:dyDescent="0.2">
      <c r="A775" s="16"/>
      <c r="B775" s="16"/>
      <c r="C775" s="15"/>
      <c r="E775" s="19"/>
      <c r="F775" s="47"/>
      <c r="G775" s="48"/>
      <c r="H775" s="49"/>
    </row>
    <row r="776" spans="1:8" ht="13.5" hidden="1" thickTop="1" x14ac:dyDescent="0.2">
      <c r="A776" s="16"/>
      <c r="B776" s="16"/>
      <c r="C776" s="15"/>
      <c r="E776" s="19"/>
      <c r="F776" s="47"/>
      <c r="G776" s="48"/>
      <c r="H776" s="49"/>
    </row>
    <row r="777" spans="1:8" ht="13.5" hidden="1" thickTop="1" x14ac:dyDescent="0.2">
      <c r="A777" s="16"/>
      <c r="B777" s="16"/>
      <c r="C777" s="15"/>
      <c r="E777" s="19"/>
      <c r="F777" s="47"/>
      <c r="G777" s="48"/>
      <c r="H777" s="49"/>
    </row>
    <row r="778" spans="1:8" ht="13.5" hidden="1" thickTop="1" x14ac:dyDescent="0.2">
      <c r="A778" s="16"/>
      <c r="B778" s="16"/>
      <c r="C778" s="15"/>
      <c r="E778" s="19"/>
      <c r="F778" s="47"/>
      <c r="G778" s="48"/>
      <c r="H778" s="49"/>
    </row>
    <row r="779" spans="1:8" ht="13.5" hidden="1" thickTop="1" x14ac:dyDescent="0.2">
      <c r="A779" s="16"/>
      <c r="B779" s="16"/>
      <c r="C779" s="15"/>
      <c r="E779" s="19"/>
      <c r="F779" s="47"/>
      <c r="G779" s="48"/>
      <c r="H779" s="49"/>
    </row>
    <row r="780" spans="1:8" ht="13.5" hidden="1" thickTop="1" x14ac:dyDescent="0.2">
      <c r="A780" s="16"/>
      <c r="B780" s="16"/>
      <c r="C780" s="15"/>
      <c r="E780" s="19"/>
      <c r="F780" s="47"/>
      <c r="G780" s="48"/>
      <c r="H780" s="49"/>
    </row>
    <row r="781" spans="1:8" ht="13.5" hidden="1" thickTop="1" x14ac:dyDescent="0.2">
      <c r="A781" s="16"/>
      <c r="B781" s="16"/>
      <c r="C781" s="15"/>
      <c r="E781" s="19"/>
      <c r="F781" s="47"/>
      <c r="G781" s="48"/>
      <c r="H781" s="49"/>
    </row>
    <row r="782" spans="1:8" ht="13.5" hidden="1" thickTop="1" x14ac:dyDescent="0.2">
      <c r="A782" s="16"/>
      <c r="B782" s="16"/>
      <c r="C782" s="15"/>
      <c r="E782" s="19"/>
      <c r="F782" s="47"/>
      <c r="G782" s="48"/>
      <c r="H782" s="49"/>
    </row>
    <row r="783" spans="1:8" ht="13.5" hidden="1" thickTop="1" x14ac:dyDescent="0.2">
      <c r="A783" s="16"/>
      <c r="B783" s="16"/>
      <c r="C783" s="15"/>
      <c r="E783" s="19"/>
      <c r="F783" s="47"/>
      <c r="G783" s="48"/>
      <c r="H783" s="49"/>
    </row>
    <row r="784" spans="1:8" ht="13.5" hidden="1" thickTop="1" x14ac:dyDescent="0.2">
      <c r="A784" s="16"/>
      <c r="B784" s="16"/>
      <c r="C784" s="15"/>
      <c r="E784" s="19"/>
      <c r="F784" s="47"/>
      <c r="G784" s="48"/>
      <c r="H784" s="49"/>
    </row>
    <row r="785" spans="1:8" ht="13.5" hidden="1" thickTop="1" x14ac:dyDescent="0.2">
      <c r="A785" s="16"/>
      <c r="B785" s="16"/>
      <c r="C785" s="15"/>
      <c r="E785" s="19"/>
      <c r="F785" s="47"/>
      <c r="G785" s="48"/>
      <c r="H785" s="49"/>
    </row>
    <row r="786" spans="1:8" ht="13.5" hidden="1" thickTop="1" x14ac:dyDescent="0.2">
      <c r="A786" s="16"/>
      <c r="B786" s="16"/>
      <c r="C786" s="15"/>
      <c r="E786" s="19"/>
      <c r="F786" s="47"/>
      <c r="G786" s="48"/>
      <c r="H786" s="49"/>
    </row>
    <row r="787" spans="1:8" ht="13.5" hidden="1" thickTop="1" x14ac:dyDescent="0.2">
      <c r="A787" s="16"/>
      <c r="B787" s="16"/>
      <c r="C787" s="15"/>
      <c r="E787" s="19"/>
      <c r="F787" s="47"/>
      <c r="G787" s="48"/>
      <c r="H787" s="49"/>
    </row>
    <row r="788" spans="1:8" ht="13.5" hidden="1" thickTop="1" x14ac:dyDescent="0.2">
      <c r="A788" s="16"/>
      <c r="B788" s="16"/>
      <c r="C788" s="15"/>
      <c r="E788" s="19"/>
      <c r="F788" s="47"/>
      <c r="G788" s="48"/>
      <c r="H788" s="49"/>
    </row>
    <row r="789" spans="1:8" ht="13.5" hidden="1" thickTop="1" x14ac:dyDescent="0.2">
      <c r="A789" s="16"/>
      <c r="B789" s="16"/>
      <c r="C789" s="15"/>
      <c r="E789" s="19"/>
      <c r="F789" s="47"/>
      <c r="G789" s="48"/>
      <c r="H789" s="49"/>
    </row>
    <row r="790" spans="1:8" ht="13.5" hidden="1" thickTop="1" x14ac:dyDescent="0.2">
      <c r="A790" s="16"/>
      <c r="B790" s="16"/>
      <c r="C790" s="15"/>
      <c r="E790" s="19"/>
      <c r="F790" s="47"/>
      <c r="G790" s="48"/>
      <c r="H790" s="49"/>
    </row>
    <row r="791" spans="1:8" ht="13.5" hidden="1" thickTop="1" x14ac:dyDescent="0.2">
      <c r="A791" s="16"/>
      <c r="B791" s="16"/>
      <c r="C791" s="15"/>
      <c r="E791" s="19"/>
      <c r="F791" s="47"/>
      <c r="G791" s="48"/>
      <c r="H791" s="49"/>
    </row>
    <row r="792" spans="1:8" ht="13.5" hidden="1" thickTop="1" x14ac:dyDescent="0.2">
      <c r="A792" s="16"/>
      <c r="B792" s="16"/>
      <c r="C792" s="15"/>
      <c r="E792" s="19"/>
      <c r="F792" s="47"/>
      <c r="G792" s="48"/>
      <c r="H792" s="49"/>
    </row>
    <row r="793" spans="1:8" ht="13.5" hidden="1" thickTop="1" x14ac:dyDescent="0.2">
      <c r="A793" s="16"/>
      <c r="B793" s="16"/>
      <c r="C793" s="15"/>
      <c r="E793" s="19"/>
      <c r="F793" s="47"/>
      <c r="G793" s="48"/>
      <c r="H793" s="49"/>
    </row>
    <row r="794" spans="1:8" ht="13.5" hidden="1" thickTop="1" x14ac:dyDescent="0.2">
      <c r="A794" s="16"/>
      <c r="B794" s="16"/>
      <c r="C794" s="15"/>
      <c r="E794" s="19"/>
      <c r="F794" s="47"/>
      <c r="G794" s="48"/>
      <c r="H794" s="49"/>
    </row>
    <row r="795" spans="1:8" ht="13.5" hidden="1" thickTop="1" x14ac:dyDescent="0.2">
      <c r="A795" s="16"/>
      <c r="B795" s="16"/>
      <c r="C795" s="15"/>
      <c r="E795" s="19"/>
      <c r="F795" s="47"/>
      <c r="G795" s="48"/>
      <c r="H795" s="49"/>
    </row>
    <row r="796" spans="1:8" ht="13.5" hidden="1" thickTop="1" x14ac:dyDescent="0.2">
      <c r="A796" s="16"/>
      <c r="B796" s="16"/>
      <c r="C796" s="15"/>
      <c r="E796" s="19"/>
      <c r="F796" s="47"/>
      <c r="G796" s="48"/>
      <c r="H796" s="49"/>
    </row>
    <row r="797" spans="1:8" ht="13.5" hidden="1" thickTop="1" x14ac:dyDescent="0.2">
      <c r="A797" s="16"/>
      <c r="B797" s="16"/>
      <c r="C797" s="15"/>
      <c r="E797" s="19"/>
      <c r="F797" s="47"/>
      <c r="G797" s="48"/>
      <c r="H797" s="49"/>
    </row>
    <row r="798" spans="1:8" ht="13.5" hidden="1" thickTop="1" x14ac:dyDescent="0.2">
      <c r="A798" s="16"/>
      <c r="B798" s="16"/>
      <c r="C798" s="15"/>
      <c r="E798" s="19"/>
      <c r="F798" s="47"/>
      <c r="G798" s="48"/>
      <c r="H798" s="49"/>
    </row>
    <row r="799" spans="1:8" ht="13.5" hidden="1" thickTop="1" x14ac:dyDescent="0.2">
      <c r="A799" s="16"/>
      <c r="B799" s="16"/>
      <c r="C799" s="15"/>
      <c r="E799" s="19"/>
      <c r="F799" s="47"/>
      <c r="G799" s="48"/>
      <c r="H799" s="49"/>
    </row>
    <row r="800" spans="1:8" ht="13.5" hidden="1" thickTop="1" x14ac:dyDescent="0.2">
      <c r="A800" s="16"/>
      <c r="B800" s="16"/>
      <c r="C800" s="15"/>
      <c r="E800" s="19"/>
      <c r="F800" s="47"/>
      <c r="G800" s="48"/>
      <c r="H800" s="49"/>
    </row>
    <row r="801" spans="1:8" ht="13.5" hidden="1" thickTop="1" x14ac:dyDescent="0.2">
      <c r="A801" s="16"/>
      <c r="B801" s="16"/>
      <c r="C801" s="15"/>
      <c r="E801" s="19"/>
      <c r="F801" s="47"/>
      <c r="G801" s="48"/>
      <c r="H801" s="49"/>
    </row>
    <row r="802" spans="1:8" ht="13.5" hidden="1" thickTop="1" x14ac:dyDescent="0.2">
      <c r="A802" s="16"/>
      <c r="B802" s="16"/>
      <c r="C802" s="15"/>
      <c r="E802" s="19"/>
      <c r="F802" s="47"/>
      <c r="G802" s="48"/>
      <c r="H802" s="49"/>
    </row>
    <row r="803" spans="1:8" ht="13.5" hidden="1" thickTop="1" x14ac:dyDescent="0.2">
      <c r="A803" s="16"/>
      <c r="B803" s="16"/>
      <c r="C803" s="15"/>
      <c r="E803" s="19"/>
      <c r="F803" s="47"/>
      <c r="G803" s="48"/>
      <c r="H803" s="49"/>
    </row>
    <row r="804" spans="1:8" ht="13.5" hidden="1" thickTop="1" x14ac:dyDescent="0.2">
      <c r="A804" s="16"/>
      <c r="B804" s="16"/>
      <c r="C804" s="15"/>
      <c r="E804" s="19"/>
      <c r="F804" s="47"/>
      <c r="G804" s="48"/>
      <c r="H804" s="49"/>
    </row>
    <row r="805" spans="1:8" ht="13.5" hidden="1" thickTop="1" x14ac:dyDescent="0.2">
      <c r="A805" s="16"/>
      <c r="B805" s="16"/>
      <c r="C805" s="15"/>
      <c r="E805" s="19"/>
      <c r="F805" s="47"/>
      <c r="G805" s="48"/>
      <c r="H805" s="49"/>
    </row>
    <row r="806" spans="1:8" ht="13.5" hidden="1" thickTop="1" x14ac:dyDescent="0.2">
      <c r="A806" s="16"/>
      <c r="B806" s="16"/>
      <c r="C806" s="15"/>
      <c r="E806" s="19"/>
      <c r="F806" s="47"/>
      <c r="G806" s="48"/>
      <c r="H806" s="49"/>
    </row>
    <row r="807" spans="1:8" ht="13.5" hidden="1" thickTop="1" x14ac:dyDescent="0.2">
      <c r="A807" s="16"/>
      <c r="B807" s="16"/>
      <c r="C807" s="15"/>
      <c r="E807" s="19"/>
      <c r="F807" s="47"/>
      <c r="G807" s="48"/>
      <c r="H807" s="49"/>
    </row>
    <row r="808" spans="1:8" ht="13.5" hidden="1" thickTop="1" x14ac:dyDescent="0.2">
      <c r="A808" s="16"/>
      <c r="B808" s="16"/>
      <c r="C808" s="15"/>
      <c r="E808" s="19"/>
      <c r="F808" s="47"/>
      <c r="G808" s="48"/>
      <c r="H808" s="49"/>
    </row>
    <row r="809" spans="1:8" ht="13.5" hidden="1" thickTop="1" x14ac:dyDescent="0.2">
      <c r="A809" s="16"/>
      <c r="B809" s="16"/>
      <c r="C809" s="15"/>
      <c r="E809" s="19"/>
      <c r="F809" s="47"/>
      <c r="G809" s="48"/>
      <c r="H809" s="49"/>
    </row>
    <row r="810" spans="1:8" ht="13.5" hidden="1" thickTop="1" x14ac:dyDescent="0.2">
      <c r="A810" s="16"/>
      <c r="B810" s="16"/>
      <c r="C810" s="15"/>
      <c r="E810" s="19"/>
      <c r="F810" s="47"/>
      <c r="G810" s="48"/>
      <c r="H810" s="49"/>
    </row>
    <row r="811" spans="1:8" ht="13.5" hidden="1" thickTop="1" x14ac:dyDescent="0.2">
      <c r="A811" s="16"/>
      <c r="B811" s="16"/>
      <c r="C811" s="15"/>
      <c r="E811" s="19"/>
      <c r="F811" s="47"/>
      <c r="G811" s="48"/>
      <c r="H811" s="49"/>
    </row>
    <row r="812" spans="1:8" ht="13.5" hidden="1" thickTop="1" x14ac:dyDescent="0.2">
      <c r="A812" s="16"/>
      <c r="B812" s="16"/>
      <c r="C812" s="15"/>
      <c r="E812" s="19"/>
      <c r="F812" s="47"/>
      <c r="G812" s="48"/>
      <c r="H812" s="49"/>
    </row>
    <row r="813" spans="1:8" ht="13.5" hidden="1" thickTop="1" x14ac:dyDescent="0.2">
      <c r="A813" s="16"/>
      <c r="B813" s="16"/>
      <c r="C813" s="15"/>
      <c r="E813" s="19"/>
      <c r="F813" s="47"/>
      <c r="G813" s="48"/>
      <c r="H813" s="49"/>
    </row>
    <row r="814" spans="1:8" ht="13.5" hidden="1" thickTop="1" x14ac:dyDescent="0.2">
      <c r="A814" s="16"/>
      <c r="B814" s="16"/>
      <c r="C814" s="15"/>
      <c r="E814" s="19"/>
      <c r="F814" s="47"/>
      <c r="G814" s="48"/>
      <c r="H814" s="49"/>
    </row>
    <row r="815" spans="1:8" ht="13.5" hidden="1" thickTop="1" x14ac:dyDescent="0.2">
      <c r="A815" s="16"/>
      <c r="B815" s="16"/>
      <c r="C815" s="15"/>
      <c r="E815" s="19"/>
      <c r="F815" s="47"/>
      <c r="G815" s="48"/>
      <c r="H815" s="49"/>
    </row>
    <row r="816" spans="1:8" ht="13.5" hidden="1" thickTop="1" x14ac:dyDescent="0.2">
      <c r="A816" s="16"/>
      <c r="B816" s="16"/>
      <c r="C816" s="15"/>
      <c r="E816" s="19"/>
      <c r="F816" s="47"/>
      <c r="G816" s="48"/>
      <c r="H816" s="49"/>
    </row>
    <row r="817" spans="1:8" ht="13.5" hidden="1" thickTop="1" x14ac:dyDescent="0.2">
      <c r="A817" s="16"/>
      <c r="B817" s="16"/>
      <c r="C817" s="15"/>
      <c r="E817" s="19"/>
      <c r="F817" s="47"/>
      <c r="G817" s="48"/>
      <c r="H817" s="49"/>
    </row>
    <row r="818" spans="1:8" ht="13.5" hidden="1" thickTop="1" x14ac:dyDescent="0.2">
      <c r="A818" s="16"/>
      <c r="B818" s="16"/>
      <c r="C818" s="15"/>
      <c r="E818" s="19"/>
      <c r="F818" s="47"/>
      <c r="G818" s="48"/>
      <c r="H818" s="49"/>
    </row>
    <row r="819" spans="1:8" ht="13.5" hidden="1" thickTop="1" x14ac:dyDescent="0.2">
      <c r="A819" s="16"/>
      <c r="B819" s="16"/>
      <c r="C819" s="15"/>
      <c r="E819" s="19"/>
      <c r="F819" s="47"/>
      <c r="G819" s="48"/>
      <c r="H819" s="49"/>
    </row>
    <row r="820" spans="1:8" ht="13.5" hidden="1" thickTop="1" x14ac:dyDescent="0.2">
      <c r="A820" s="16"/>
      <c r="B820" s="16"/>
      <c r="C820" s="15"/>
      <c r="E820" s="19"/>
      <c r="F820" s="47"/>
      <c r="G820" s="48"/>
      <c r="H820" s="49"/>
    </row>
    <row r="821" spans="1:8" ht="13.5" hidden="1" thickTop="1" x14ac:dyDescent="0.2">
      <c r="A821" s="16"/>
      <c r="B821" s="16"/>
      <c r="C821" s="15"/>
      <c r="E821" s="19"/>
      <c r="F821" s="47"/>
      <c r="G821" s="48"/>
      <c r="H821" s="49"/>
    </row>
    <row r="822" spans="1:8" ht="13.5" hidden="1" thickTop="1" x14ac:dyDescent="0.2">
      <c r="A822" s="16"/>
      <c r="B822" s="16"/>
      <c r="C822" s="15"/>
      <c r="E822" s="19"/>
      <c r="F822" s="47"/>
      <c r="G822" s="48"/>
      <c r="H822" s="49"/>
    </row>
    <row r="823" spans="1:8" ht="13.5" hidden="1" thickTop="1" x14ac:dyDescent="0.2">
      <c r="A823" s="16"/>
      <c r="B823" s="16"/>
      <c r="C823" s="15"/>
      <c r="E823" s="19"/>
      <c r="F823" s="47"/>
      <c r="G823" s="48"/>
      <c r="H823" s="49"/>
    </row>
    <row r="824" spans="1:8" ht="13.5" hidden="1" thickTop="1" x14ac:dyDescent="0.2">
      <c r="A824" s="16"/>
      <c r="B824" s="16"/>
      <c r="C824" s="15"/>
      <c r="E824" s="19"/>
      <c r="F824" s="47"/>
      <c r="G824" s="48"/>
      <c r="H824" s="49"/>
    </row>
    <row r="825" spans="1:8" ht="13.5" hidden="1" thickTop="1" x14ac:dyDescent="0.2">
      <c r="A825" s="16"/>
      <c r="B825" s="16"/>
      <c r="C825" s="15"/>
      <c r="E825" s="19"/>
      <c r="F825" s="47"/>
      <c r="G825" s="48"/>
      <c r="H825" s="49"/>
    </row>
    <row r="826" spans="1:8" ht="13.5" hidden="1" thickTop="1" x14ac:dyDescent="0.2">
      <c r="A826" s="16"/>
      <c r="B826" s="16"/>
      <c r="C826" s="15"/>
      <c r="E826" s="19"/>
      <c r="F826" s="47"/>
      <c r="G826" s="48"/>
      <c r="H826" s="49"/>
    </row>
    <row r="827" spans="1:8" ht="13.5" hidden="1" thickTop="1" x14ac:dyDescent="0.2">
      <c r="A827" s="16"/>
      <c r="B827" s="16"/>
      <c r="C827" s="15"/>
      <c r="E827" s="19"/>
      <c r="F827" s="47"/>
      <c r="G827" s="48"/>
      <c r="H827" s="49"/>
    </row>
    <row r="828" spans="1:8" ht="13.5" hidden="1" thickTop="1" x14ac:dyDescent="0.2">
      <c r="A828" s="16"/>
      <c r="B828" s="16"/>
      <c r="C828" s="15"/>
      <c r="E828" s="19"/>
      <c r="F828" s="47"/>
      <c r="G828" s="48"/>
      <c r="H828" s="49"/>
    </row>
    <row r="829" spans="1:8" ht="13.5" hidden="1" thickTop="1" x14ac:dyDescent="0.2">
      <c r="A829" s="16"/>
      <c r="B829" s="16"/>
      <c r="C829" s="15"/>
      <c r="E829" s="19"/>
      <c r="F829" s="47"/>
      <c r="G829" s="48"/>
      <c r="H829" s="49"/>
    </row>
    <row r="830" spans="1:8" ht="13.5" hidden="1" thickTop="1" x14ac:dyDescent="0.2">
      <c r="A830" s="16"/>
      <c r="B830" s="16"/>
      <c r="C830" s="15"/>
      <c r="E830" s="19"/>
      <c r="F830" s="47"/>
      <c r="G830" s="48"/>
      <c r="H830" s="49"/>
    </row>
    <row r="831" spans="1:8" ht="13.5" hidden="1" thickTop="1" x14ac:dyDescent="0.2">
      <c r="A831" s="16"/>
      <c r="B831" s="16"/>
      <c r="C831" s="15"/>
      <c r="E831" s="19"/>
      <c r="F831" s="47"/>
      <c r="G831" s="48"/>
      <c r="H831" s="49"/>
    </row>
    <row r="832" spans="1:8" ht="13.5" hidden="1" thickTop="1" x14ac:dyDescent="0.2">
      <c r="A832" s="16"/>
      <c r="B832" s="16"/>
      <c r="C832" s="15"/>
      <c r="E832" s="19"/>
      <c r="F832" s="47"/>
      <c r="G832" s="48"/>
      <c r="H832" s="49"/>
    </row>
    <row r="833" spans="1:8" ht="13.5" hidden="1" thickTop="1" x14ac:dyDescent="0.2">
      <c r="A833" s="16"/>
      <c r="B833" s="16"/>
      <c r="C833" s="15"/>
      <c r="E833" s="19"/>
      <c r="F833" s="47"/>
      <c r="G833" s="48"/>
      <c r="H833" s="49"/>
    </row>
    <row r="834" spans="1:8" ht="13.5" hidden="1" thickTop="1" x14ac:dyDescent="0.2">
      <c r="A834" s="16"/>
      <c r="B834" s="16"/>
      <c r="C834" s="15"/>
      <c r="E834" s="19"/>
      <c r="F834" s="47"/>
      <c r="G834" s="48"/>
      <c r="H834" s="49"/>
    </row>
    <row r="835" spans="1:8" ht="13.5" hidden="1" thickTop="1" x14ac:dyDescent="0.2">
      <c r="A835" s="16"/>
      <c r="B835" s="16"/>
      <c r="C835" s="15"/>
      <c r="E835" s="19"/>
      <c r="F835" s="47"/>
      <c r="G835" s="48"/>
      <c r="H835" s="49"/>
    </row>
    <row r="836" spans="1:8" ht="13.5" hidden="1" thickTop="1" x14ac:dyDescent="0.2">
      <c r="A836" s="16"/>
      <c r="B836" s="16"/>
      <c r="C836" s="15"/>
      <c r="E836" s="19"/>
      <c r="F836" s="47"/>
      <c r="G836" s="48"/>
      <c r="H836" s="49"/>
    </row>
    <row r="837" spans="1:8" ht="13.5" hidden="1" thickTop="1" x14ac:dyDescent="0.2">
      <c r="A837" s="16"/>
      <c r="B837" s="16"/>
      <c r="C837" s="15"/>
      <c r="E837" s="19"/>
      <c r="F837" s="47"/>
      <c r="G837" s="48"/>
      <c r="H837" s="49"/>
    </row>
    <row r="838" spans="1:8" ht="13.5" hidden="1" thickTop="1" x14ac:dyDescent="0.2">
      <c r="A838" s="16"/>
      <c r="B838" s="16"/>
      <c r="C838" s="15"/>
      <c r="E838" s="19"/>
      <c r="F838" s="47"/>
      <c r="G838" s="48"/>
      <c r="H838" s="49"/>
    </row>
    <row r="839" spans="1:8" ht="13.5" hidden="1" thickTop="1" x14ac:dyDescent="0.2">
      <c r="A839" s="16"/>
      <c r="B839" s="16"/>
      <c r="C839" s="15"/>
      <c r="E839" s="19"/>
      <c r="F839" s="47"/>
      <c r="G839" s="48"/>
      <c r="H839" s="49"/>
    </row>
    <row r="840" spans="1:8" ht="13.5" hidden="1" thickTop="1" x14ac:dyDescent="0.2">
      <c r="A840" s="16"/>
      <c r="B840" s="16"/>
      <c r="C840" s="15"/>
      <c r="E840" s="19"/>
      <c r="F840" s="47"/>
      <c r="G840" s="48"/>
      <c r="H840" s="49"/>
    </row>
    <row r="841" spans="1:8" ht="13.5" hidden="1" thickTop="1" x14ac:dyDescent="0.2">
      <c r="A841" s="16"/>
      <c r="B841" s="16"/>
      <c r="C841" s="15"/>
      <c r="E841" s="19"/>
      <c r="F841" s="47"/>
      <c r="G841" s="48"/>
      <c r="H841" s="49"/>
    </row>
    <row r="842" spans="1:8" ht="13.5" hidden="1" thickTop="1" x14ac:dyDescent="0.2">
      <c r="A842" s="16"/>
      <c r="B842" s="16"/>
      <c r="C842" s="15"/>
      <c r="E842" s="19"/>
      <c r="F842" s="47"/>
      <c r="G842" s="48"/>
      <c r="H842" s="49"/>
    </row>
    <row r="843" spans="1:8" ht="13.5" hidden="1" thickTop="1" x14ac:dyDescent="0.2">
      <c r="A843" s="16"/>
      <c r="B843" s="16"/>
      <c r="C843" s="15"/>
      <c r="E843" s="19"/>
      <c r="F843" s="47"/>
      <c r="G843" s="48"/>
      <c r="H843" s="49"/>
    </row>
    <row r="844" spans="1:8" ht="13.5" hidden="1" thickTop="1" x14ac:dyDescent="0.2">
      <c r="A844" s="16"/>
      <c r="B844" s="16"/>
      <c r="C844" s="15"/>
      <c r="E844" s="19"/>
      <c r="F844" s="47"/>
      <c r="G844" s="48"/>
      <c r="H844" s="49"/>
    </row>
    <row r="845" spans="1:8" ht="13.5" hidden="1" thickTop="1" x14ac:dyDescent="0.2">
      <c r="A845" s="16"/>
      <c r="B845" s="16"/>
      <c r="C845" s="15"/>
      <c r="E845" s="19"/>
      <c r="F845" s="47"/>
      <c r="G845" s="48"/>
      <c r="H845" s="49"/>
    </row>
    <row r="846" spans="1:8" ht="13.5" hidden="1" thickTop="1" x14ac:dyDescent="0.2">
      <c r="A846" s="16"/>
      <c r="B846" s="16"/>
      <c r="C846" s="15"/>
      <c r="E846" s="19"/>
      <c r="F846" s="47"/>
      <c r="G846" s="48"/>
      <c r="H846" s="49"/>
    </row>
    <row r="847" spans="1:8" ht="13.5" hidden="1" thickTop="1" x14ac:dyDescent="0.2">
      <c r="A847" s="16"/>
      <c r="B847" s="16"/>
      <c r="C847" s="15"/>
      <c r="E847" s="19"/>
      <c r="F847" s="47"/>
      <c r="G847" s="48"/>
      <c r="H847" s="49"/>
    </row>
    <row r="848" spans="1:8" ht="13.5" hidden="1" thickTop="1" x14ac:dyDescent="0.2">
      <c r="A848" s="16"/>
      <c r="B848" s="16"/>
      <c r="C848" s="15"/>
      <c r="E848" s="19"/>
      <c r="F848" s="47"/>
      <c r="G848" s="48"/>
      <c r="H848" s="49"/>
    </row>
    <row r="849" spans="1:8" ht="13.5" hidden="1" thickTop="1" x14ac:dyDescent="0.2">
      <c r="A849" s="16"/>
      <c r="B849" s="16"/>
      <c r="C849" s="15"/>
      <c r="E849" s="19"/>
      <c r="F849" s="47"/>
      <c r="G849" s="48"/>
      <c r="H849" s="49"/>
    </row>
    <row r="850" spans="1:8" ht="13.5" hidden="1" thickTop="1" x14ac:dyDescent="0.2">
      <c r="A850" s="16"/>
      <c r="B850" s="16"/>
      <c r="C850" s="15"/>
      <c r="E850" s="19"/>
      <c r="F850" s="47"/>
      <c r="G850" s="48"/>
      <c r="H850" s="49"/>
    </row>
    <row r="851" spans="1:8" ht="13.5" hidden="1" thickTop="1" x14ac:dyDescent="0.2">
      <c r="A851" s="16"/>
      <c r="B851" s="16"/>
      <c r="C851" s="15"/>
      <c r="E851" s="19"/>
      <c r="F851" s="47"/>
      <c r="G851" s="48"/>
      <c r="H851" s="49"/>
    </row>
    <row r="852" spans="1:8" ht="13.5" hidden="1" thickTop="1" x14ac:dyDescent="0.2">
      <c r="A852" s="16"/>
      <c r="B852" s="16"/>
      <c r="C852" s="15"/>
      <c r="E852" s="19"/>
      <c r="F852" s="47"/>
      <c r="G852" s="48"/>
      <c r="H852" s="49"/>
    </row>
    <row r="853" spans="1:8" ht="14.25" hidden="1" thickTop="1" thickBot="1" x14ac:dyDescent="0.25">
      <c r="A853" s="16"/>
      <c r="B853" s="16"/>
      <c r="C853" s="15"/>
      <c r="E853" s="50"/>
      <c r="F853" s="51"/>
      <c r="G853" s="52"/>
      <c r="H853" s="53"/>
    </row>
    <row r="854" spans="1:8" ht="15.75" customHeight="1" thickTop="1" x14ac:dyDescent="0.2"/>
  </sheetData>
  <autoFilter ref="A6:F215" xr:uid="{00000000-0009-0000-0000-000004000000}"/>
  <mergeCells count="6">
    <mergeCell ref="A2:D5"/>
    <mergeCell ref="E2:F2"/>
    <mergeCell ref="E3:F3"/>
    <mergeCell ref="G3:G5"/>
    <mergeCell ref="E4:F4"/>
    <mergeCell ref="E5:F5"/>
  </mergeCells>
  <conditionalFormatting sqref="C6:C853">
    <cfRule type="cellIs" dxfId="41" priority="4" operator="lessThan">
      <formula>"92%"</formula>
    </cfRule>
  </conditionalFormatting>
  <conditionalFormatting sqref="C7:C215">
    <cfRule type="cellIs" dxfId="40" priority="1" operator="lessThan">
      <formula>"90%"</formula>
    </cfRule>
    <cfRule type="cellIs" dxfId="39" priority="2" operator="lessThan">
      <formula>"94%"</formula>
    </cfRule>
  </conditionalFormatting>
  <conditionalFormatting sqref="H1:H2 H6:H853">
    <cfRule type="cellIs" dxfId="38" priority="3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  <outlinePr summaryBelow="0" summaryRight="0"/>
    <pageSetUpPr fitToPage="1"/>
  </sheetPr>
  <dimension ref="A1:K853"/>
  <sheetViews>
    <sheetView workbookViewId="0">
      <pane ySplit="6" topLeftCell="A46" activePane="bottomLeft" state="frozen"/>
      <selection pane="bottomLeft" activeCell="H3" sqref="H3:I3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15.85546875" customWidth="1"/>
    <col min="6" max="6" width="16.7109375" customWidth="1"/>
    <col min="7" max="7" width="12.42578125" customWidth="1"/>
    <col min="8" max="10" width="16.28515625" customWidth="1"/>
    <col min="11" max="11" width="17.42578125" customWidth="1"/>
  </cols>
  <sheetData>
    <row r="1" spans="1:11" ht="26.25" x14ac:dyDescent="0.35">
      <c r="A1" s="1"/>
      <c r="B1" s="1"/>
      <c r="C1" s="1"/>
      <c r="D1" s="1"/>
      <c r="E1" s="1"/>
      <c r="F1" s="1"/>
      <c r="G1" s="1"/>
      <c r="H1" s="2"/>
      <c r="I1" s="2"/>
      <c r="J1" s="3"/>
      <c r="K1" s="55" t="e">
        <f>SUM(K10:K218)</f>
        <v>#REF!</v>
      </c>
    </row>
    <row r="2" spans="1:11" x14ac:dyDescent="0.25">
      <c r="A2" s="122"/>
      <c r="B2" s="119"/>
      <c r="C2" s="119"/>
      <c r="D2" s="119"/>
      <c r="E2" s="119"/>
      <c r="F2" s="119"/>
      <c r="G2" s="119"/>
      <c r="H2" s="123" t="s">
        <v>0</v>
      </c>
      <c r="I2" s="124"/>
      <c r="J2" s="5" t="s">
        <v>9</v>
      </c>
      <c r="K2" s="125" t="s">
        <v>91</v>
      </c>
    </row>
    <row r="3" spans="1:11" ht="23.25" x14ac:dyDescent="0.3">
      <c r="A3" s="119"/>
      <c r="B3" s="119"/>
      <c r="C3" s="119"/>
      <c r="D3" s="119"/>
      <c r="E3" s="119"/>
      <c r="F3" s="119"/>
      <c r="G3" s="119"/>
      <c r="H3" s="126">
        <f>SUM(I7:I128)</f>
        <v>218997.97150000004</v>
      </c>
      <c r="I3" s="124"/>
      <c r="J3" s="127">
        <v>0.95</v>
      </c>
      <c r="K3" s="124"/>
    </row>
    <row r="4" spans="1:11" ht="12.75" x14ac:dyDescent="0.2">
      <c r="A4" s="119"/>
      <c r="B4" s="119"/>
      <c r="C4" s="119"/>
      <c r="D4" s="119"/>
      <c r="E4" s="119"/>
      <c r="F4" s="119"/>
      <c r="G4" s="119"/>
      <c r="H4" s="129" t="s">
        <v>11</v>
      </c>
      <c r="I4" s="119"/>
      <c r="J4" s="128"/>
      <c r="K4" s="124"/>
    </row>
    <row r="5" spans="1:11" ht="15" x14ac:dyDescent="0.35">
      <c r="A5" s="119"/>
      <c r="B5" s="119"/>
      <c r="C5" s="119"/>
      <c r="D5" s="119"/>
      <c r="E5" s="119"/>
      <c r="F5" s="119"/>
      <c r="G5" s="119"/>
      <c r="H5" s="130">
        <v>55</v>
      </c>
      <c r="I5" s="119"/>
      <c r="J5" s="128"/>
      <c r="K5" s="124"/>
    </row>
    <row r="6" spans="1:11" ht="24" x14ac:dyDescent="0.2">
      <c r="A6" s="6" t="s">
        <v>12</v>
      </c>
      <c r="B6" s="7" t="s">
        <v>13</v>
      </c>
      <c r="C6" s="8" t="s">
        <v>14</v>
      </c>
      <c r="D6" s="7" t="s">
        <v>15</v>
      </c>
      <c r="E6" s="9" t="s">
        <v>16</v>
      </c>
      <c r="F6" s="7" t="s">
        <v>17</v>
      </c>
      <c r="G6" s="7" t="s">
        <v>18</v>
      </c>
      <c r="H6" s="10" t="s">
        <v>19</v>
      </c>
      <c r="I6" s="11" t="s">
        <v>20</v>
      </c>
      <c r="J6" s="12" t="s">
        <v>21</v>
      </c>
      <c r="K6" s="124"/>
    </row>
    <row r="7" spans="1:11" ht="12.75" x14ac:dyDescent="0.2">
      <c r="A7" s="13">
        <v>45516</v>
      </c>
      <c r="B7" s="14" t="s">
        <v>3</v>
      </c>
      <c r="C7" s="15">
        <v>1</v>
      </c>
      <c r="D7" s="16" t="s">
        <v>22</v>
      </c>
      <c r="E7" s="17"/>
      <c r="F7" s="17"/>
      <c r="G7" s="18">
        <v>585</v>
      </c>
      <c r="H7" s="19">
        <f t="shared" ref="H7:H11" si="0">G7-(C7*G7)</f>
        <v>0</v>
      </c>
      <c r="I7" s="20">
        <f t="shared" ref="I7:I215" si="1">H7*$H$5</f>
        <v>0</v>
      </c>
      <c r="J7" s="21">
        <v>0</v>
      </c>
      <c r="K7" s="22">
        <f t="shared" ref="K7:K124" si="2">J7-H7</f>
        <v>0</v>
      </c>
    </row>
    <row r="8" spans="1:11" ht="12.75" x14ac:dyDescent="0.2">
      <c r="A8" s="13">
        <v>45517</v>
      </c>
      <c r="B8" s="14" t="s">
        <v>4</v>
      </c>
      <c r="C8" s="15">
        <v>0.98129999999999995</v>
      </c>
      <c r="D8" s="16" t="s">
        <v>22</v>
      </c>
      <c r="E8" s="17"/>
      <c r="F8" s="17"/>
      <c r="G8" s="18">
        <v>591</v>
      </c>
      <c r="H8" s="19">
        <f t="shared" si="0"/>
        <v>11.051699999999983</v>
      </c>
      <c r="I8" s="20">
        <f t="shared" si="1"/>
        <v>607.84349999999904</v>
      </c>
      <c r="J8" s="21">
        <v>0</v>
      </c>
      <c r="K8" s="22">
        <f t="shared" si="2"/>
        <v>-11.051699999999983</v>
      </c>
    </row>
    <row r="9" spans="1:11" ht="12.75" x14ac:dyDescent="0.2">
      <c r="A9" s="13">
        <v>45518</v>
      </c>
      <c r="B9" s="14" t="s">
        <v>5</v>
      </c>
      <c r="C9" s="15">
        <v>0.98319999999999996</v>
      </c>
      <c r="D9" s="16" t="s">
        <v>22</v>
      </c>
      <c r="E9" s="17"/>
      <c r="F9" s="17"/>
      <c r="G9" s="18">
        <v>599</v>
      </c>
      <c r="H9" s="19">
        <f t="shared" si="0"/>
        <v>10.063200000000052</v>
      </c>
      <c r="I9" s="20">
        <f t="shared" si="1"/>
        <v>553.47600000000284</v>
      </c>
      <c r="J9" s="21">
        <v>0</v>
      </c>
      <c r="K9" s="22">
        <f t="shared" si="2"/>
        <v>-10.063200000000052</v>
      </c>
    </row>
    <row r="10" spans="1:11" ht="12.75" x14ac:dyDescent="0.2">
      <c r="A10" s="13">
        <v>45519</v>
      </c>
      <c r="B10" s="14" t="s">
        <v>6</v>
      </c>
      <c r="C10" s="15">
        <v>0.98499999999999999</v>
      </c>
      <c r="D10" s="16" t="s">
        <v>22</v>
      </c>
      <c r="E10" s="17"/>
      <c r="F10" s="17"/>
      <c r="G10" s="18">
        <v>604</v>
      </c>
      <c r="H10" s="19">
        <f t="shared" si="0"/>
        <v>9.0600000000000591</v>
      </c>
      <c r="I10" s="20">
        <f t="shared" si="1"/>
        <v>498.30000000000325</v>
      </c>
      <c r="J10" s="21">
        <v>0</v>
      </c>
      <c r="K10" s="22">
        <f t="shared" si="2"/>
        <v>-9.0600000000000591</v>
      </c>
    </row>
    <row r="11" spans="1:11" ht="12.75" x14ac:dyDescent="0.2">
      <c r="A11" s="13">
        <v>45520</v>
      </c>
      <c r="B11" s="14" t="s">
        <v>7</v>
      </c>
      <c r="C11" s="15">
        <v>0.97850000000000004</v>
      </c>
      <c r="D11" s="16" t="s">
        <v>22</v>
      </c>
      <c r="E11" s="17"/>
      <c r="F11" s="17"/>
      <c r="G11" s="18">
        <v>608</v>
      </c>
      <c r="H11" s="19">
        <f t="shared" si="0"/>
        <v>13.072000000000003</v>
      </c>
      <c r="I11" s="20">
        <f t="shared" si="1"/>
        <v>718.96000000000015</v>
      </c>
      <c r="J11" s="21">
        <v>0</v>
      </c>
      <c r="K11" s="22">
        <f t="shared" si="2"/>
        <v>-13.072000000000003</v>
      </c>
    </row>
    <row r="12" spans="1:11" ht="12.75" x14ac:dyDescent="0.2">
      <c r="A12" s="13">
        <v>45523</v>
      </c>
      <c r="B12" s="14" t="s">
        <v>3</v>
      </c>
      <c r="C12" s="15">
        <v>0.9446</v>
      </c>
      <c r="D12" s="16" t="s">
        <v>22</v>
      </c>
      <c r="E12" s="17"/>
      <c r="F12" s="17"/>
      <c r="G12" s="18">
        <v>614</v>
      </c>
      <c r="H12" s="19">
        <f>G7-(C7*G7)</f>
        <v>0</v>
      </c>
      <c r="I12" s="20">
        <f t="shared" si="1"/>
        <v>0</v>
      </c>
      <c r="J12" s="21">
        <v>0</v>
      </c>
      <c r="K12" s="22">
        <f t="shared" si="2"/>
        <v>0</v>
      </c>
    </row>
    <row r="13" spans="1:11" ht="12.75" x14ac:dyDescent="0.2">
      <c r="A13" s="13">
        <v>45524</v>
      </c>
      <c r="B13" s="14" t="s">
        <v>4</v>
      </c>
      <c r="C13" s="15">
        <v>0.96419999999999995</v>
      </c>
      <c r="D13" s="16" t="s">
        <v>22</v>
      </c>
      <c r="E13" s="17"/>
      <c r="F13" s="17"/>
      <c r="G13" s="18">
        <v>615</v>
      </c>
      <c r="H13" s="19">
        <f t="shared" ref="H13:H215" si="3">G13-(C13*G13)</f>
        <v>22.017000000000053</v>
      </c>
      <c r="I13" s="20">
        <f t="shared" si="1"/>
        <v>1210.9350000000029</v>
      </c>
      <c r="J13" s="21">
        <v>0</v>
      </c>
      <c r="K13" s="22">
        <f t="shared" si="2"/>
        <v>-22.017000000000053</v>
      </c>
    </row>
    <row r="14" spans="1:11" ht="12.75" x14ac:dyDescent="0.2">
      <c r="A14" s="13">
        <v>45525</v>
      </c>
      <c r="B14" s="14" t="s">
        <v>5</v>
      </c>
      <c r="C14" s="15">
        <v>0.97560000000000002</v>
      </c>
      <c r="D14" s="16" t="s">
        <v>22</v>
      </c>
      <c r="E14" s="17"/>
      <c r="F14" s="17"/>
      <c r="G14" s="18">
        <v>616</v>
      </c>
      <c r="H14" s="19">
        <f t="shared" si="3"/>
        <v>15.030399999999986</v>
      </c>
      <c r="I14" s="20">
        <f t="shared" si="1"/>
        <v>826.67199999999923</v>
      </c>
      <c r="J14" s="21">
        <v>0</v>
      </c>
      <c r="K14" s="22">
        <f t="shared" si="2"/>
        <v>-15.030399999999986</v>
      </c>
    </row>
    <row r="15" spans="1:11" ht="12.75" x14ac:dyDescent="0.2">
      <c r="A15" s="13">
        <v>45526</v>
      </c>
      <c r="B15" s="14" t="s">
        <v>6</v>
      </c>
      <c r="C15" s="15">
        <v>0.96599999999999997</v>
      </c>
      <c r="D15" s="16" t="s">
        <v>22</v>
      </c>
      <c r="E15" s="17"/>
      <c r="F15" s="17"/>
      <c r="G15" s="18">
        <v>618</v>
      </c>
      <c r="H15" s="19">
        <f t="shared" si="3"/>
        <v>21.012000000000057</v>
      </c>
      <c r="I15" s="20">
        <f t="shared" si="1"/>
        <v>1155.660000000003</v>
      </c>
      <c r="J15" s="21">
        <v>0</v>
      </c>
      <c r="K15" s="22">
        <f t="shared" si="2"/>
        <v>-21.012000000000057</v>
      </c>
    </row>
    <row r="16" spans="1:11" ht="12.75" x14ac:dyDescent="0.2">
      <c r="A16" s="13">
        <v>45527</v>
      </c>
      <c r="B16" s="14" t="s">
        <v>7</v>
      </c>
      <c r="C16" s="15">
        <v>0.96599999999999997</v>
      </c>
      <c r="D16" s="16" t="s">
        <v>22</v>
      </c>
      <c r="E16" s="17"/>
      <c r="F16" s="17"/>
      <c r="G16" s="18">
        <v>619</v>
      </c>
      <c r="H16" s="19">
        <f t="shared" si="3"/>
        <v>21.046000000000049</v>
      </c>
      <c r="I16" s="20">
        <f t="shared" si="1"/>
        <v>1157.5300000000027</v>
      </c>
      <c r="J16" s="21">
        <v>0</v>
      </c>
      <c r="K16" s="22">
        <f t="shared" si="2"/>
        <v>-21.046000000000049</v>
      </c>
    </row>
    <row r="17" spans="1:11" ht="12.75" x14ac:dyDescent="0.2">
      <c r="A17" s="13">
        <v>45530</v>
      </c>
      <c r="B17" s="14" t="s">
        <v>3</v>
      </c>
      <c r="C17" s="15">
        <v>0.95150000000000001</v>
      </c>
      <c r="D17" s="16" t="s">
        <v>22</v>
      </c>
      <c r="E17" s="17"/>
      <c r="F17" s="17"/>
      <c r="G17" s="18">
        <v>618</v>
      </c>
      <c r="H17" s="19">
        <f t="shared" si="3"/>
        <v>29.972999999999956</v>
      </c>
      <c r="I17" s="20">
        <f t="shared" si="1"/>
        <v>1648.5149999999976</v>
      </c>
      <c r="J17" s="21">
        <v>0</v>
      </c>
      <c r="K17" s="22">
        <f t="shared" si="2"/>
        <v>-29.972999999999956</v>
      </c>
    </row>
    <row r="18" spans="1:11" ht="12.75" x14ac:dyDescent="0.2">
      <c r="A18" s="13">
        <v>45531</v>
      </c>
      <c r="B18" s="14" t="s">
        <v>4</v>
      </c>
      <c r="C18" s="15">
        <v>0.97419999999999995</v>
      </c>
      <c r="D18" s="16" t="s">
        <v>22</v>
      </c>
      <c r="E18" s="17"/>
      <c r="F18" s="17"/>
      <c r="G18" s="18">
        <v>619</v>
      </c>
      <c r="H18" s="19">
        <f t="shared" si="3"/>
        <v>15.970199999999977</v>
      </c>
      <c r="I18" s="20">
        <f t="shared" si="1"/>
        <v>878.36099999999874</v>
      </c>
      <c r="J18" s="21">
        <v>0</v>
      </c>
      <c r="K18" s="22">
        <f t="shared" si="2"/>
        <v>-15.970199999999977</v>
      </c>
    </row>
    <row r="19" spans="1:11" ht="12.75" x14ac:dyDescent="0.2">
      <c r="A19" s="13">
        <v>45532</v>
      </c>
      <c r="B19" s="14" t="s">
        <v>5</v>
      </c>
      <c r="C19" s="15">
        <v>0.96260000000000001</v>
      </c>
      <c r="D19" s="16" t="s">
        <v>22</v>
      </c>
      <c r="E19" s="17"/>
      <c r="F19" s="23"/>
      <c r="G19" s="18">
        <v>620</v>
      </c>
      <c r="H19" s="19">
        <f t="shared" si="3"/>
        <v>23.187999999999988</v>
      </c>
      <c r="I19" s="20">
        <f t="shared" si="1"/>
        <v>1275.3399999999992</v>
      </c>
      <c r="J19" s="21">
        <v>0</v>
      </c>
      <c r="K19" s="22">
        <f t="shared" si="2"/>
        <v>-23.187999999999988</v>
      </c>
    </row>
    <row r="20" spans="1:11" ht="12.75" x14ac:dyDescent="0.2">
      <c r="A20" s="13">
        <v>45533</v>
      </c>
      <c r="B20" s="14" t="s">
        <v>6</v>
      </c>
      <c r="C20" s="15">
        <v>0.98550000000000004</v>
      </c>
      <c r="D20" s="16" t="s">
        <v>22</v>
      </c>
      <c r="E20" s="17"/>
      <c r="F20" s="17"/>
      <c r="G20" s="18">
        <v>620</v>
      </c>
      <c r="H20" s="19">
        <f t="shared" si="3"/>
        <v>8.9900000000000091</v>
      </c>
      <c r="I20" s="20">
        <f t="shared" si="1"/>
        <v>494.4500000000005</v>
      </c>
      <c r="J20" s="21">
        <v>0</v>
      </c>
      <c r="K20" s="22">
        <f t="shared" si="2"/>
        <v>-8.9900000000000091</v>
      </c>
    </row>
    <row r="21" spans="1:11" ht="12.75" x14ac:dyDescent="0.2">
      <c r="A21" s="13">
        <v>45534</v>
      </c>
      <c r="B21" s="14" t="s">
        <v>7</v>
      </c>
      <c r="C21" s="15">
        <v>0.94679999999999997</v>
      </c>
      <c r="D21" s="16" t="s">
        <v>22</v>
      </c>
      <c r="E21" s="17"/>
      <c r="F21" s="17"/>
      <c r="G21" s="18">
        <v>620</v>
      </c>
      <c r="H21" s="19">
        <f t="shared" si="3"/>
        <v>32.984000000000037</v>
      </c>
      <c r="I21" s="20">
        <f t="shared" si="1"/>
        <v>1814.1200000000022</v>
      </c>
      <c r="J21" s="21">
        <v>0</v>
      </c>
      <c r="K21" s="22">
        <f t="shared" si="2"/>
        <v>-32.984000000000037</v>
      </c>
    </row>
    <row r="22" spans="1:11" ht="12.75" x14ac:dyDescent="0.2">
      <c r="A22" s="24">
        <v>45537</v>
      </c>
      <c r="B22" s="25" t="s">
        <v>3</v>
      </c>
      <c r="C22" s="26"/>
      <c r="D22" s="27"/>
      <c r="E22" s="28"/>
      <c r="F22" s="28"/>
      <c r="G22" s="29"/>
      <c r="H22" s="19">
        <f t="shared" si="3"/>
        <v>0</v>
      </c>
      <c r="I22" s="20">
        <f t="shared" si="1"/>
        <v>0</v>
      </c>
      <c r="J22" s="21">
        <v>0</v>
      </c>
      <c r="K22" s="22">
        <f t="shared" si="2"/>
        <v>0</v>
      </c>
    </row>
    <row r="23" spans="1:11" ht="12.75" x14ac:dyDescent="0.2">
      <c r="A23" s="13">
        <v>45538</v>
      </c>
      <c r="B23" s="14" t="s">
        <v>4</v>
      </c>
      <c r="C23" s="15">
        <v>0.95830000000000004</v>
      </c>
      <c r="D23" s="16" t="s">
        <v>22</v>
      </c>
      <c r="E23" s="17"/>
      <c r="F23" s="17"/>
      <c r="G23" s="18">
        <v>624</v>
      </c>
      <c r="H23" s="19">
        <f t="shared" si="3"/>
        <v>26.020800000000008</v>
      </c>
      <c r="I23" s="20">
        <f t="shared" si="1"/>
        <v>1431.1440000000005</v>
      </c>
      <c r="J23" s="21">
        <v>0</v>
      </c>
      <c r="K23" s="22">
        <f t="shared" si="2"/>
        <v>-26.020800000000008</v>
      </c>
    </row>
    <row r="24" spans="1:11" ht="12.75" x14ac:dyDescent="0.2">
      <c r="A24" s="13">
        <v>45539</v>
      </c>
      <c r="B24" s="14" t="s">
        <v>5</v>
      </c>
      <c r="C24" s="15">
        <v>0.97109999999999996</v>
      </c>
      <c r="D24" s="16" t="s">
        <v>22</v>
      </c>
      <c r="E24" s="17"/>
      <c r="F24" s="17"/>
      <c r="G24" s="18">
        <v>622</v>
      </c>
      <c r="H24" s="19">
        <f t="shared" si="3"/>
        <v>17.975800000000049</v>
      </c>
      <c r="I24" s="20">
        <f t="shared" si="1"/>
        <v>988.66900000000271</v>
      </c>
      <c r="J24" s="21">
        <v>0</v>
      </c>
      <c r="K24" s="22">
        <f t="shared" si="2"/>
        <v>-17.975800000000049</v>
      </c>
    </row>
    <row r="25" spans="1:11" ht="12.75" x14ac:dyDescent="0.2">
      <c r="A25" s="13">
        <v>45540</v>
      </c>
      <c r="B25" s="14" t="s">
        <v>6</v>
      </c>
      <c r="C25" s="15">
        <v>0.97270000000000001</v>
      </c>
      <c r="D25" s="16" t="s">
        <v>22</v>
      </c>
      <c r="E25" s="17"/>
      <c r="F25" s="17"/>
      <c r="G25" s="18">
        <v>622</v>
      </c>
      <c r="H25" s="19">
        <f t="shared" si="3"/>
        <v>16.980599999999981</v>
      </c>
      <c r="I25" s="20">
        <f t="shared" si="1"/>
        <v>933.93299999999897</v>
      </c>
      <c r="J25" s="21">
        <v>0</v>
      </c>
      <c r="K25" s="22">
        <f t="shared" si="2"/>
        <v>-16.980599999999981</v>
      </c>
    </row>
    <row r="26" spans="1:11" ht="12.75" x14ac:dyDescent="0.2">
      <c r="A26" s="13">
        <v>45541</v>
      </c>
      <c r="B26" s="14" t="s">
        <v>7</v>
      </c>
      <c r="C26" s="15">
        <v>0.95150000000000001</v>
      </c>
      <c r="D26" s="16" t="s">
        <v>22</v>
      </c>
      <c r="E26" s="17"/>
      <c r="F26" s="17"/>
      <c r="G26" s="18">
        <v>622</v>
      </c>
      <c r="H26" s="19">
        <f t="shared" si="3"/>
        <v>30.16700000000003</v>
      </c>
      <c r="I26" s="20">
        <f t="shared" si="1"/>
        <v>1659.1850000000018</v>
      </c>
      <c r="J26" s="21">
        <v>0</v>
      </c>
      <c r="K26" s="22">
        <f t="shared" si="2"/>
        <v>-30.16700000000003</v>
      </c>
    </row>
    <row r="27" spans="1:11" ht="12.75" x14ac:dyDescent="0.2">
      <c r="A27" s="13">
        <v>45544</v>
      </c>
      <c r="B27" s="14" t="s">
        <v>3</v>
      </c>
      <c r="C27" s="15">
        <v>0.95830000000000004</v>
      </c>
      <c r="D27" s="16" t="s">
        <v>22</v>
      </c>
      <c r="E27" s="17"/>
      <c r="F27" s="17"/>
      <c r="G27" s="18">
        <v>623</v>
      </c>
      <c r="H27" s="19">
        <f t="shared" si="3"/>
        <v>25.979100000000017</v>
      </c>
      <c r="I27" s="20">
        <f t="shared" si="1"/>
        <v>1428.8505000000009</v>
      </c>
      <c r="J27" s="21">
        <v>0</v>
      </c>
      <c r="K27" s="22">
        <f t="shared" si="2"/>
        <v>-25.979100000000017</v>
      </c>
    </row>
    <row r="28" spans="1:11" ht="12.75" x14ac:dyDescent="0.2">
      <c r="A28" s="13">
        <v>45545</v>
      </c>
      <c r="B28" s="14" t="s">
        <v>4</v>
      </c>
      <c r="C28" s="15">
        <v>0.95850000000000002</v>
      </c>
      <c r="D28" s="16" t="s">
        <v>22</v>
      </c>
      <c r="E28" s="17"/>
      <c r="F28" s="17"/>
      <c r="G28" s="18">
        <v>627</v>
      </c>
      <c r="H28" s="19">
        <f t="shared" si="3"/>
        <v>26.02049999999997</v>
      </c>
      <c r="I28" s="20">
        <f t="shared" si="1"/>
        <v>1431.1274999999982</v>
      </c>
      <c r="J28" s="21">
        <v>0</v>
      </c>
      <c r="K28" s="22">
        <f t="shared" si="2"/>
        <v>-26.02049999999997</v>
      </c>
    </row>
    <row r="29" spans="1:11" ht="12.75" x14ac:dyDescent="0.2">
      <c r="A29" s="13">
        <v>45546</v>
      </c>
      <c r="B29" s="14" t="s">
        <v>5</v>
      </c>
      <c r="C29" s="15">
        <v>0.95220000000000005</v>
      </c>
      <c r="D29" s="16" t="s">
        <v>22</v>
      </c>
      <c r="E29" s="17"/>
      <c r="F29" s="17"/>
      <c r="G29" s="18">
        <v>627</v>
      </c>
      <c r="H29" s="19">
        <f t="shared" si="3"/>
        <v>29.97059999999999</v>
      </c>
      <c r="I29" s="20">
        <f t="shared" si="1"/>
        <v>1648.3829999999994</v>
      </c>
      <c r="J29" s="21">
        <v>0</v>
      </c>
      <c r="K29" s="22">
        <f t="shared" si="2"/>
        <v>-29.97059999999999</v>
      </c>
    </row>
    <row r="30" spans="1:11" ht="12.75" x14ac:dyDescent="0.2">
      <c r="A30" s="13">
        <v>45547</v>
      </c>
      <c r="B30" s="14" t="s">
        <v>6</v>
      </c>
      <c r="C30" s="15">
        <v>0.9617</v>
      </c>
      <c r="D30" s="16" t="s">
        <v>22</v>
      </c>
      <c r="E30" s="17"/>
      <c r="F30" s="17"/>
      <c r="G30" s="18">
        <v>627</v>
      </c>
      <c r="H30" s="19">
        <f t="shared" si="3"/>
        <v>24.014099999999985</v>
      </c>
      <c r="I30" s="20">
        <f t="shared" si="1"/>
        <v>1320.7754999999993</v>
      </c>
      <c r="J30" s="21">
        <v>0</v>
      </c>
      <c r="K30" s="22">
        <f t="shared" si="2"/>
        <v>-24.014099999999985</v>
      </c>
    </row>
    <row r="31" spans="1:11" ht="12.75" x14ac:dyDescent="0.2">
      <c r="A31" s="13">
        <v>45548</v>
      </c>
      <c r="B31" s="14" t="s">
        <v>7</v>
      </c>
      <c r="C31" s="15">
        <v>0.96009999999999995</v>
      </c>
      <c r="D31" s="16" t="s">
        <v>22</v>
      </c>
      <c r="E31" s="17"/>
      <c r="F31" s="17"/>
      <c r="G31" s="18">
        <v>626</v>
      </c>
      <c r="H31" s="19">
        <f t="shared" si="3"/>
        <v>24.977399999999989</v>
      </c>
      <c r="I31" s="20">
        <f t="shared" si="1"/>
        <v>1373.7569999999994</v>
      </c>
      <c r="J31" s="21">
        <v>0</v>
      </c>
      <c r="K31" s="22">
        <f t="shared" si="2"/>
        <v>-24.977399999999989</v>
      </c>
    </row>
    <row r="32" spans="1:11" ht="12.75" x14ac:dyDescent="0.2">
      <c r="A32" s="30">
        <v>45551</v>
      </c>
      <c r="B32" s="31" t="s">
        <v>3</v>
      </c>
      <c r="C32" s="32"/>
      <c r="D32" s="33"/>
      <c r="E32" s="34"/>
      <c r="F32" s="34"/>
      <c r="G32" s="35"/>
      <c r="H32" s="19">
        <f t="shared" si="3"/>
        <v>0</v>
      </c>
      <c r="I32" s="20">
        <f t="shared" si="1"/>
        <v>0</v>
      </c>
      <c r="J32" s="21">
        <v>0</v>
      </c>
      <c r="K32" s="22">
        <f t="shared" si="2"/>
        <v>0</v>
      </c>
    </row>
    <row r="33" spans="1:11" ht="12.75" x14ac:dyDescent="0.2">
      <c r="A33" s="13">
        <v>45552</v>
      </c>
      <c r="B33" s="14" t="s">
        <v>4</v>
      </c>
      <c r="C33" s="15">
        <v>0.95709999999999995</v>
      </c>
      <c r="D33" s="16" t="s">
        <v>22</v>
      </c>
      <c r="E33" s="17"/>
      <c r="F33" s="17"/>
      <c r="G33" s="18">
        <v>628</v>
      </c>
      <c r="H33" s="19">
        <f t="shared" si="3"/>
        <v>26.941199999999981</v>
      </c>
      <c r="I33" s="20">
        <f t="shared" si="1"/>
        <v>1481.7659999999989</v>
      </c>
      <c r="J33" s="21">
        <v>0</v>
      </c>
      <c r="K33" s="22">
        <f t="shared" si="2"/>
        <v>-26.941199999999981</v>
      </c>
    </row>
    <row r="34" spans="1:11" ht="12.75" x14ac:dyDescent="0.2">
      <c r="A34" s="13">
        <v>45553</v>
      </c>
      <c r="B34" s="14" t="s">
        <v>5</v>
      </c>
      <c r="C34" s="15">
        <v>0.96819999999999995</v>
      </c>
      <c r="D34" s="16" t="s">
        <v>22</v>
      </c>
      <c r="E34" s="17"/>
      <c r="F34" s="17"/>
      <c r="G34" s="18">
        <v>628</v>
      </c>
      <c r="H34" s="19">
        <f t="shared" si="3"/>
        <v>19.970400000000041</v>
      </c>
      <c r="I34" s="20">
        <f t="shared" si="1"/>
        <v>1098.3720000000021</v>
      </c>
      <c r="J34" s="21">
        <v>0</v>
      </c>
      <c r="K34" s="22">
        <f t="shared" si="2"/>
        <v>-19.970400000000041</v>
      </c>
    </row>
    <row r="35" spans="1:11" ht="12.75" x14ac:dyDescent="0.2">
      <c r="A35" s="13">
        <v>45554</v>
      </c>
      <c r="B35" s="14" t="s">
        <v>6</v>
      </c>
      <c r="C35" s="15">
        <v>0.95550000000000002</v>
      </c>
      <c r="D35" s="16" t="s">
        <v>22</v>
      </c>
      <c r="E35" s="17"/>
      <c r="F35" s="17"/>
      <c r="G35" s="18">
        <v>628</v>
      </c>
      <c r="H35" s="19">
        <f t="shared" si="3"/>
        <v>27.946000000000026</v>
      </c>
      <c r="I35" s="20">
        <f t="shared" si="1"/>
        <v>1537.0300000000016</v>
      </c>
      <c r="J35" s="21">
        <v>0</v>
      </c>
      <c r="K35" s="22">
        <f t="shared" si="2"/>
        <v>-27.946000000000026</v>
      </c>
    </row>
    <row r="36" spans="1:11" ht="12.75" x14ac:dyDescent="0.2">
      <c r="A36" s="13">
        <v>45555</v>
      </c>
      <c r="B36" s="14" t="s">
        <v>7</v>
      </c>
      <c r="C36" s="15">
        <v>0.94750000000000001</v>
      </c>
      <c r="D36" s="16" t="s">
        <v>22</v>
      </c>
      <c r="E36" s="17"/>
      <c r="F36" s="17"/>
      <c r="G36" s="18">
        <v>628</v>
      </c>
      <c r="H36" s="19">
        <f t="shared" si="3"/>
        <v>32.970000000000027</v>
      </c>
      <c r="I36" s="20">
        <f t="shared" si="1"/>
        <v>1813.3500000000015</v>
      </c>
      <c r="J36" s="21">
        <v>0</v>
      </c>
      <c r="K36" s="22">
        <f t="shared" si="2"/>
        <v>-32.970000000000027</v>
      </c>
    </row>
    <row r="37" spans="1:11" ht="12.75" x14ac:dyDescent="0.2">
      <c r="A37" s="13">
        <v>45558</v>
      </c>
      <c r="B37" s="14" t="s">
        <v>3</v>
      </c>
      <c r="C37" s="15">
        <v>0.94750000000000001</v>
      </c>
      <c r="D37" s="16" t="s">
        <v>22</v>
      </c>
      <c r="E37" s="17"/>
      <c r="F37" s="17"/>
      <c r="G37" s="18">
        <v>629</v>
      </c>
      <c r="H37" s="19">
        <f t="shared" si="3"/>
        <v>33.022500000000036</v>
      </c>
      <c r="I37" s="20">
        <f t="shared" si="1"/>
        <v>1816.237500000002</v>
      </c>
      <c r="J37" s="21">
        <v>0</v>
      </c>
      <c r="K37" s="22">
        <f t="shared" si="2"/>
        <v>-33.022500000000036</v>
      </c>
    </row>
    <row r="38" spans="1:11" ht="12.75" x14ac:dyDescent="0.2">
      <c r="A38" s="13">
        <v>45559</v>
      </c>
      <c r="B38" s="14" t="s">
        <v>4</v>
      </c>
      <c r="C38" s="15">
        <v>0.96020000000000005</v>
      </c>
      <c r="D38" s="16" t="s">
        <v>22</v>
      </c>
      <c r="E38" s="17"/>
      <c r="F38" s="17"/>
      <c r="G38" s="18">
        <v>628</v>
      </c>
      <c r="H38" s="19">
        <f t="shared" si="3"/>
        <v>24.994399999999928</v>
      </c>
      <c r="I38" s="20">
        <f t="shared" si="1"/>
        <v>1374.6919999999959</v>
      </c>
      <c r="J38" s="21">
        <v>0</v>
      </c>
      <c r="K38" s="22">
        <f t="shared" si="2"/>
        <v>-24.994399999999928</v>
      </c>
    </row>
    <row r="39" spans="1:11" ht="12.75" x14ac:dyDescent="0.2">
      <c r="A39" s="13">
        <v>45560</v>
      </c>
      <c r="B39" s="14" t="s">
        <v>5</v>
      </c>
      <c r="C39" s="15">
        <v>0.97450000000000003</v>
      </c>
      <c r="D39" s="16" t="s">
        <v>22</v>
      </c>
      <c r="E39" s="17"/>
      <c r="F39" s="17"/>
      <c r="G39" s="18">
        <v>628</v>
      </c>
      <c r="H39" s="19">
        <f t="shared" si="3"/>
        <v>16.01400000000001</v>
      </c>
      <c r="I39" s="20">
        <f t="shared" si="1"/>
        <v>880.77000000000055</v>
      </c>
      <c r="J39" s="21">
        <v>0</v>
      </c>
      <c r="K39" s="22">
        <f t="shared" si="2"/>
        <v>-16.01400000000001</v>
      </c>
    </row>
    <row r="40" spans="1:11" ht="12.75" x14ac:dyDescent="0.2">
      <c r="A40" s="13">
        <v>45561</v>
      </c>
      <c r="B40" s="14" t="s">
        <v>6</v>
      </c>
      <c r="C40" s="15">
        <v>0.96660000000000001</v>
      </c>
      <c r="D40" s="16" t="s">
        <v>22</v>
      </c>
      <c r="E40" s="17"/>
      <c r="F40" s="17"/>
      <c r="G40" s="18">
        <v>628</v>
      </c>
      <c r="H40" s="19">
        <f t="shared" si="3"/>
        <v>20.975199999999973</v>
      </c>
      <c r="I40" s="20">
        <f t="shared" si="1"/>
        <v>1153.6359999999986</v>
      </c>
      <c r="J40" s="21">
        <v>0</v>
      </c>
      <c r="K40" s="22">
        <f t="shared" si="2"/>
        <v>-20.975199999999973</v>
      </c>
    </row>
    <row r="41" spans="1:11" ht="12.75" x14ac:dyDescent="0.2">
      <c r="A41" s="13">
        <v>45562</v>
      </c>
      <c r="B41" s="14" t="s">
        <v>7</v>
      </c>
      <c r="C41" s="15">
        <v>0.94430000000000003</v>
      </c>
      <c r="D41" s="16" t="s">
        <v>87</v>
      </c>
      <c r="E41" s="17"/>
      <c r="F41" s="17"/>
      <c r="G41" s="18">
        <v>628</v>
      </c>
      <c r="H41" s="19">
        <f t="shared" si="3"/>
        <v>34.979600000000005</v>
      </c>
      <c r="I41" s="20">
        <f t="shared" si="1"/>
        <v>1923.8780000000002</v>
      </c>
      <c r="J41" s="21">
        <v>0</v>
      </c>
      <c r="K41" s="22">
        <f t="shared" si="2"/>
        <v>-34.979600000000005</v>
      </c>
    </row>
    <row r="42" spans="1:11" ht="12.75" x14ac:dyDescent="0.2">
      <c r="A42" s="13">
        <v>45565</v>
      </c>
      <c r="B42" s="14" t="s">
        <v>3</v>
      </c>
      <c r="C42" s="15">
        <v>0.94110000000000005</v>
      </c>
      <c r="D42" s="16" t="s">
        <v>22</v>
      </c>
      <c r="E42" s="17"/>
      <c r="F42" s="17"/>
      <c r="G42" s="18">
        <v>628</v>
      </c>
      <c r="H42" s="19">
        <f t="shared" si="3"/>
        <v>36.989199999999983</v>
      </c>
      <c r="I42" s="20">
        <f t="shared" si="1"/>
        <v>2034.405999999999</v>
      </c>
      <c r="J42" s="21">
        <v>0</v>
      </c>
      <c r="K42" s="22">
        <f t="shared" si="2"/>
        <v>-36.989199999999983</v>
      </c>
    </row>
    <row r="43" spans="1:11" ht="12.75" x14ac:dyDescent="0.2">
      <c r="A43" s="13">
        <v>45566</v>
      </c>
      <c r="B43" s="14" t="s">
        <v>4</v>
      </c>
      <c r="C43" s="15">
        <v>0.95220000000000005</v>
      </c>
      <c r="D43" s="16" t="s">
        <v>22</v>
      </c>
      <c r="E43" s="17"/>
      <c r="F43" s="17"/>
      <c r="G43" s="18">
        <v>627</v>
      </c>
      <c r="H43" s="19">
        <f t="shared" si="3"/>
        <v>29.97059999999999</v>
      </c>
      <c r="I43" s="20">
        <f t="shared" si="1"/>
        <v>1648.3829999999994</v>
      </c>
      <c r="J43" s="21">
        <v>0</v>
      </c>
      <c r="K43" s="22">
        <f t="shared" si="2"/>
        <v>-29.97059999999999</v>
      </c>
    </row>
    <row r="44" spans="1:11" ht="12.75" x14ac:dyDescent="0.2">
      <c r="A44" s="13">
        <v>45567</v>
      </c>
      <c r="B44" s="14" t="s">
        <v>5</v>
      </c>
      <c r="C44" s="15">
        <v>0.97130000000000005</v>
      </c>
      <c r="D44" s="16" t="s">
        <v>87</v>
      </c>
      <c r="E44" s="17"/>
      <c r="F44" s="17"/>
      <c r="G44" s="18">
        <v>628</v>
      </c>
      <c r="H44" s="19">
        <f t="shared" si="3"/>
        <v>18.023599999999988</v>
      </c>
      <c r="I44" s="20">
        <f t="shared" si="1"/>
        <v>991.29799999999932</v>
      </c>
      <c r="J44" s="21">
        <v>0</v>
      </c>
      <c r="K44" s="22">
        <f t="shared" si="2"/>
        <v>-18.023599999999988</v>
      </c>
    </row>
    <row r="45" spans="1:11" ht="12.75" x14ac:dyDescent="0.2">
      <c r="A45" s="13">
        <v>45568</v>
      </c>
      <c r="B45" s="14" t="s">
        <v>6</v>
      </c>
      <c r="C45" s="15">
        <v>0.96970000000000001</v>
      </c>
      <c r="D45" s="16" t="s">
        <v>22</v>
      </c>
      <c r="E45" s="17"/>
      <c r="F45" s="17"/>
      <c r="G45" s="18">
        <v>628</v>
      </c>
      <c r="H45" s="19">
        <f t="shared" si="3"/>
        <v>19.028400000000033</v>
      </c>
      <c r="I45" s="20">
        <f t="shared" si="1"/>
        <v>1046.5620000000017</v>
      </c>
      <c r="J45" s="21">
        <v>0</v>
      </c>
      <c r="K45" s="22">
        <f t="shared" si="2"/>
        <v>-19.028400000000033</v>
      </c>
    </row>
    <row r="46" spans="1:11" ht="12.75" x14ac:dyDescent="0.2">
      <c r="A46" s="13">
        <v>45569</v>
      </c>
      <c r="B46" s="14" t="s">
        <v>7</v>
      </c>
      <c r="C46" s="15">
        <v>0.91879999999999995</v>
      </c>
      <c r="D46" s="16" t="s">
        <v>22</v>
      </c>
      <c r="E46" s="17"/>
      <c r="F46" s="17"/>
      <c r="G46" s="18">
        <v>628</v>
      </c>
      <c r="H46" s="19">
        <f t="shared" si="3"/>
        <v>50.993600000000015</v>
      </c>
      <c r="I46" s="20">
        <f t="shared" si="1"/>
        <v>2804.648000000001</v>
      </c>
      <c r="J46" s="21">
        <v>0</v>
      </c>
      <c r="K46" s="22">
        <f t="shared" si="2"/>
        <v>-50.993600000000015</v>
      </c>
    </row>
    <row r="47" spans="1:11" ht="12.75" x14ac:dyDescent="0.2">
      <c r="A47" s="24">
        <v>45572</v>
      </c>
      <c r="B47" s="25" t="s">
        <v>3</v>
      </c>
      <c r="C47" s="26"/>
      <c r="D47" s="27"/>
      <c r="E47" s="28"/>
      <c r="F47" s="28"/>
      <c r="G47" s="29"/>
      <c r="H47" s="19">
        <f t="shared" si="3"/>
        <v>0</v>
      </c>
      <c r="I47" s="20">
        <f t="shared" si="1"/>
        <v>0</v>
      </c>
      <c r="J47" s="21">
        <v>0</v>
      </c>
      <c r="K47" s="22">
        <f t="shared" si="2"/>
        <v>0</v>
      </c>
    </row>
    <row r="48" spans="1:11" ht="12.75" x14ac:dyDescent="0.2">
      <c r="A48" s="24">
        <v>45573</v>
      </c>
      <c r="B48" s="25" t="s">
        <v>4</v>
      </c>
      <c r="C48" s="26"/>
      <c r="D48" s="27"/>
      <c r="E48" s="28"/>
      <c r="F48" s="28"/>
      <c r="G48" s="29"/>
      <c r="H48" s="19">
        <f t="shared" si="3"/>
        <v>0</v>
      </c>
      <c r="I48" s="20">
        <f t="shared" si="1"/>
        <v>0</v>
      </c>
      <c r="J48" s="21">
        <v>0</v>
      </c>
      <c r="K48" s="22">
        <f t="shared" si="2"/>
        <v>0</v>
      </c>
    </row>
    <row r="49" spans="1:11" ht="12.75" x14ac:dyDescent="0.2">
      <c r="A49" s="24">
        <v>45574</v>
      </c>
      <c r="B49" s="25" t="s">
        <v>5</v>
      </c>
      <c r="C49" s="26"/>
      <c r="D49" s="27"/>
      <c r="E49" s="28"/>
      <c r="F49" s="28"/>
      <c r="G49" s="29"/>
      <c r="H49" s="19">
        <f t="shared" si="3"/>
        <v>0</v>
      </c>
      <c r="I49" s="20">
        <f t="shared" si="1"/>
        <v>0</v>
      </c>
      <c r="J49" s="21">
        <v>0</v>
      </c>
      <c r="K49" s="22">
        <f t="shared" si="2"/>
        <v>0</v>
      </c>
    </row>
    <row r="50" spans="1:11" ht="12.75" x14ac:dyDescent="0.2">
      <c r="A50" s="24">
        <v>45575</v>
      </c>
      <c r="B50" s="25" t="s">
        <v>6</v>
      </c>
      <c r="C50" s="26"/>
      <c r="D50" s="27"/>
      <c r="E50" s="28"/>
      <c r="F50" s="28"/>
      <c r="G50" s="29"/>
      <c r="H50" s="19">
        <f t="shared" si="3"/>
        <v>0</v>
      </c>
      <c r="I50" s="20">
        <f t="shared" si="1"/>
        <v>0</v>
      </c>
      <c r="J50" s="21">
        <v>0</v>
      </c>
      <c r="K50" s="22">
        <f t="shared" si="2"/>
        <v>0</v>
      </c>
    </row>
    <row r="51" spans="1:11" ht="12.75" x14ac:dyDescent="0.2">
      <c r="A51" s="24">
        <v>45576</v>
      </c>
      <c r="B51" s="25" t="s">
        <v>7</v>
      </c>
      <c r="C51" s="26"/>
      <c r="D51" s="27"/>
      <c r="E51" s="28"/>
      <c r="F51" s="28"/>
      <c r="G51" s="29"/>
      <c r="H51" s="19">
        <f t="shared" si="3"/>
        <v>0</v>
      </c>
      <c r="I51" s="20">
        <f t="shared" si="1"/>
        <v>0</v>
      </c>
      <c r="J51" s="21">
        <v>0</v>
      </c>
      <c r="K51" s="22">
        <f t="shared" si="2"/>
        <v>0</v>
      </c>
    </row>
    <row r="52" spans="1:11" ht="12.75" x14ac:dyDescent="0.2">
      <c r="A52" s="13">
        <v>45579</v>
      </c>
      <c r="B52" s="14" t="s">
        <v>3</v>
      </c>
      <c r="C52" s="15">
        <v>0.92190000000000005</v>
      </c>
      <c r="D52" s="16" t="s">
        <v>22</v>
      </c>
      <c r="E52" s="17"/>
      <c r="F52" s="17"/>
      <c r="G52" s="18">
        <v>625</v>
      </c>
      <c r="H52" s="19">
        <f t="shared" si="3"/>
        <v>48.8125</v>
      </c>
      <c r="I52" s="20">
        <f t="shared" si="1"/>
        <v>2684.6875</v>
      </c>
      <c r="J52" s="21">
        <v>0</v>
      </c>
      <c r="K52" s="22">
        <f t="shared" si="2"/>
        <v>-48.8125</v>
      </c>
    </row>
    <row r="53" spans="1:11" ht="12.75" x14ac:dyDescent="0.2">
      <c r="A53" s="13">
        <v>45580</v>
      </c>
      <c r="B53" s="14" t="s">
        <v>4</v>
      </c>
      <c r="C53" s="15">
        <v>0.9506</v>
      </c>
      <c r="D53" s="16" t="s">
        <v>22</v>
      </c>
      <c r="E53" s="17"/>
      <c r="F53" s="17"/>
      <c r="G53" s="18">
        <v>626</v>
      </c>
      <c r="H53" s="19">
        <f t="shared" si="3"/>
        <v>30.924399999999991</v>
      </c>
      <c r="I53" s="20">
        <f t="shared" si="1"/>
        <v>1700.8419999999996</v>
      </c>
      <c r="J53" s="21">
        <v>0</v>
      </c>
      <c r="K53" s="22">
        <f t="shared" si="2"/>
        <v>-30.924399999999991</v>
      </c>
    </row>
    <row r="54" spans="1:11" ht="12.75" x14ac:dyDescent="0.2">
      <c r="A54" s="13">
        <v>45581</v>
      </c>
      <c r="B54" s="14" t="s">
        <v>5</v>
      </c>
      <c r="C54" s="36">
        <v>0.96009999999999995</v>
      </c>
      <c r="D54" s="16" t="s">
        <v>22</v>
      </c>
      <c r="E54" s="17"/>
      <c r="F54" s="37"/>
      <c r="G54" s="18">
        <v>626</v>
      </c>
      <c r="H54" s="19">
        <f t="shared" si="3"/>
        <v>24.977399999999989</v>
      </c>
      <c r="I54" s="20">
        <f t="shared" si="1"/>
        <v>1373.7569999999994</v>
      </c>
      <c r="J54" s="21">
        <v>0</v>
      </c>
      <c r="K54" s="22">
        <f t="shared" si="2"/>
        <v>-24.977399999999989</v>
      </c>
    </row>
    <row r="55" spans="1:11" ht="12.75" x14ac:dyDescent="0.2">
      <c r="A55" s="13">
        <v>45582</v>
      </c>
      <c r="B55" s="14" t="s">
        <v>6</v>
      </c>
      <c r="C55" s="15">
        <v>0.9456</v>
      </c>
      <c r="D55" s="16" t="s">
        <v>22</v>
      </c>
      <c r="E55" s="17"/>
      <c r="F55" s="17"/>
      <c r="G55" s="18">
        <v>625</v>
      </c>
      <c r="H55" s="19">
        <f t="shared" si="3"/>
        <v>34</v>
      </c>
      <c r="I55" s="20">
        <f t="shared" si="1"/>
        <v>1870</v>
      </c>
      <c r="J55" s="21">
        <v>0</v>
      </c>
      <c r="K55" s="22">
        <f t="shared" si="2"/>
        <v>-34</v>
      </c>
    </row>
    <row r="56" spans="1:11" ht="12.75" x14ac:dyDescent="0.2">
      <c r="A56" s="13">
        <v>45583</v>
      </c>
      <c r="B56" s="14" t="s">
        <v>7</v>
      </c>
      <c r="C56" s="15">
        <v>0.93959999999999999</v>
      </c>
      <c r="D56" s="16" t="s">
        <v>22</v>
      </c>
      <c r="E56" s="17"/>
      <c r="F56" s="17"/>
      <c r="G56" s="18">
        <v>629</v>
      </c>
      <c r="H56" s="19">
        <f t="shared" si="3"/>
        <v>37.991600000000062</v>
      </c>
      <c r="I56" s="20">
        <f t="shared" si="1"/>
        <v>2089.5380000000032</v>
      </c>
      <c r="J56" s="21">
        <v>0</v>
      </c>
      <c r="K56" s="22">
        <f t="shared" si="2"/>
        <v>-37.991600000000062</v>
      </c>
    </row>
    <row r="57" spans="1:11" ht="12.75" x14ac:dyDescent="0.2">
      <c r="A57" s="13">
        <v>45586</v>
      </c>
      <c r="B57" s="14" t="s">
        <v>3</v>
      </c>
      <c r="C57" s="15">
        <v>0.9395</v>
      </c>
      <c r="D57" s="16" t="s">
        <v>87</v>
      </c>
      <c r="E57" s="17"/>
      <c r="F57" s="17"/>
      <c r="G57" s="18">
        <v>628</v>
      </c>
      <c r="H57" s="19">
        <f t="shared" si="3"/>
        <v>37.994000000000028</v>
      </c>
      <c r="I57" s="20">
        <f t="shared" si="1"/>
        <v>2089.6700000000014</v>
      </c>
      <c r="J57" s="21">
        <v>0</v>
      </c>
      <c r="K57" s="22">
        <f t="shared" si="2"/>
        <v>-37.994000000000028</v>
      </c>
    </row>
    <row r="58" spans="1:11" ht="12.75" x14ac:dyDescent="0.2">
      <c r="A58" s="13">
        <v>45587</v>
      </c>
      <c r="B58" s="14" t="s">
        <v>4</v>
      </c>
      <c r="C58" s="15">
        <v>0.96499999999999997</v>
      </c>
      <c r="D58" s="16" t="s">
        <v>22</v>
      </c>
      <c r="E58" s="17"/>
      <c r="F58" s="17"/>
      <c r="G58" s="18">
        <v>628</v>
      </c>
      <c r="H58" s="19">
        <f t="shared" si="3"/>
        <v>21.980000000000018</v>
      </c>
      <c r="I58" s="20">
        <f t="shared" si="1"/>
        <v>1208.900000000001</v>
      </c>
      <c r="J58" s="21">
        <v>0</v>
      </c>
      <c r="K58" s="22">
        <f t="shared" si="2"/>
        <v>-21.980000000000018</v>
      </c>
    </row>
    <row r="59" spans="1:11" ht="12.75" x14ac:dyDescent="0.2">
      <c r="A59" s="13">
        <v>45588</v>
      </c>
      <c r="B59" s="14" t="s">
        <v>5</v>
      </c>
      <c r="C59" s="15">
        <v>0.95540000000000003</v>
      </c>
      <c r="D59" s="16" t="s">
        <v>22</v>
      </c>
      <c r="E59" s="17"/>
      <c r="F59" s="17"/>
      <c r="G59" s="18">
        <v>628</v>
      </c>
      <c r="H59" s="19">
        <f t="shared" si="3"/>
        <v>28.008799999999951</v>
      </c>
      <c r="I59" s="20">
        <f t="shared" si="1"/>
        <v>1540.4839999999972</v>
      </c>
      <c r="J59" s="21">
        <v>0</v>
      </c>
      <c r="K59" s="22">
        <f t="shared" si="2"/>
        <v>-28.008799999999951</v>
      </c>
    </row>
    <row r="60" spans="1:11" ht="12.75" x14ac:dyDescent="0.2">
      <c r="A60" s="13">
        <v>45589</v>
      </c>
      <c r="B60" s="14" t="s">
        <v>6</v>
      </c>
      <c r="C60" s="15">
        <v>0.96460000000000001</v>
      </c>
      <c r="D60" s="16" t="s">
        <v>22</v>
      </c>
      <c r="E60" s="17"/>
      <c r="F60" s="17"/>
      <c r="G60" s="18">
        <v>622</v>
      </c>
      <c r="H60" s="19">
        <f t="shared" si="3"/>
        <v>22.018799999999942</v>
      </c>
      <c r="I60" s="20">
        <f t="shared" si="1"/>
        <v>1211.0339999999969</v>
      </c>
      <c r="J60" s="21">
        <v>0</v>
      </c>
      <c r="K60" s="22">
        <f t="shared" si="2"/>
        <v>-22.018799999999942</v>
      </c>
    </row>
    <row r="61" spans="1:11" ht="12.75" x14ac:dyDescent="0.2">
      <c r="A61" s="13">
        <v>45590</v>
      </c>
      <c r="B61" s="14" t="s">
        <v>7</v>
      </c>
      <c r="C61" s="15">
        <v>0.93889999999999996</v>
      </c>
      <c r="D61" s="16" t="s">
        <v>22</v>
      </c>
      <c r="E61" s="17"/>
      <c r="F61" s="17"/>
      <c r="G61" s="18">
        <v>622</v>
      </c>
      <c r="H61" s="19">
        <f t="shared" si="3"/>
        <v>38.004200000000083</v>
      </c>
      <c r="I61" s="20">
        <f t="shared" si="1"/>
        <v>2090.2310000000043</v>
      </c>
      <c r="J61" s="21">
        <v>0</v>
      </c>
      <c r="K61" s="22">
        <f t="shared" si="2"/>
        <v>-38.004200000000083</v>
      </c>
    </row>
    <row r="62" spans="1:11" ht="12.75" x14ac:dyDescent="0.2">
      <c r="A62" s="13">
        <v>45593</v>
      </c>
      <c r="B62" s="14" t="s">
        <v>3</v>
      </c>
      <c r="C62" s="15">
        <v>0.93730000000000002</v>
      </c>
      <c r="D62" s="16" t="s">
        <v>22</v>
      </c>
      <c r="E62" s="17"/>
      <c r="F62" s="17"/>
      <c r="G62" s="18">
        <v>621</v>
      </c>
      <c r="H62" s="19">
        <f t="shared" si="3"/>
        <v>38.936699999999973</v>
      </c>
      <c r="I62" s="20">
        <f t="shared" si="1"/>
        <v>2141.5184999999983</v>
      </c>
      <c r="J62" s="21">
        <v>0</v>
      </c>
      <c r="K62" s="22">
        <f t="shared" si="2"/>
        <v>-38.936699999999973</v>
      </c>
    </row>
    <row r="63" spans="1:11" ht="12.75" x14ac:dyDescent="0.2">
      <c r="A63" s="13">
        <v>45594</v>
      </c>
      <c r="B63" s="14" t="s">
        <v>4</v>
      </c>
      <c r="C63" s="15">
        <v>0.9758</v>
      </c>
      <c r="D63" s="16" t="s">
        <v>22</v>
      </c>
      <c r="E63" s="17"/>
      <c r="F63" s="17"/>
      <c r="G63" s="18">
        <v>621</v>
      </c>
      <c r="H63" s="19">
        <f t="shared" si="3"/>
        <v>15.02819999999997</v>
      </c>
      <c r="I63" s="20">
        <f t="shared" si="1"/>
        <v>826.55099999999834</v>
      </c>
      <c r="J63" s="21">
        <v>0</v>
      </c>
      <c r="K63" s="22">
        <f t="shared" si="2"/>
        <v>-15.02819999999997</v>
      </c>
    </row>
    <row r="64" spans="1:11" ht="12.75" x14ac:dyDescent="0.2">
      <c r="A64" s="13">
        <v>45595</v>
      </c>
      <c r="B64" s="14" t="s">
        <v>5</v>
      </c>
      <c r="C64" s="15">
        <v>0.96299999999999997</v>
      </c>
      <c r="D64" s="16" t="s">
        <v>22</v>
      </c>
      <c r="E64" s="17"/>
      <c r="F64" s="17"/>
      <c r="G64" s="18">
        <v>622</v>
      </c>
      <c r="H64" s="19">
        <f t="shared" si="3"/>
        <v>23.01400000000001</v>
      </c>
      <c r="I64" s="20">
        <f t="shared" si="1"/>
        <v>1265.7700000000004</v>
      </c>
      <c r="J64" s="21">
        <v>0</v>
      </c>
      <c r="K64" s="22">
        <f t="shared" si="2"/>
        <v>-23.01400000000001</v>
      </c>
    </row>
    <row r="65" spans="1:11" ht="12.75" x14ac:dyDescent="0.2">
      <c r="A65" s="13">
        <v>45596</v>
      </c>
      <c r="B65" s="14" t="s">
        <v>6</v>
      </c>
      <c r="C65" s="15">
        <v>0.96140000000000003</v>
      </c>
      <c r="D65" s="16" t="s">
        <v>22</v>
      </c>
      <c r="E65" s="17"/>
      <c r="F65" s="17"/>
      <c r="G65" s="18">
        <v>622</v>
      </c>
      <c r="H65" s="19">
        <f t="shared" si="3"/>
        <v>24.009199999999964</v>
      </c>
      <c r="I65" s="20">
        <f t="shared" si="1"/>
        <v>1320.505999999998</v>
      </c>
      <c r="J65" s="21">
        <v>0</v>
      </c>
      <c r="K65" s="22">
        <f t="shared" si="2"/>
        <v>-24.009199999999964</v>
      </c>
    </row>
    <row r="66" spans="1:11" ht="12.75" x14ac:dyDescent="0.2">
      <c r="A66" s="13">
        <v>45597</v>
      </c>
      <c r="B66" s="14" t="s">
        <v>7</v>
      </c>
      <c r="C66" s="15">
        <v>0.91479999999999995</v>
      </c>
      <c r="D66" s="16" t="s">
        <v>22</v>
      </c>
      <c r="E66" s="17"/>
      <c r="F66" s="17"/>
      <c r="G66" s="18">
        <v>622</v>
      </c>
      <c r="H66" s="19">
        <f t="shared" si="3"/>
        <v>52.994400000000041</v>
      </c>
      <c r="I66" s="20">
        <f t="shared" si="1"/>
        <v>2914.6920000000023</v>
      </c>
      <c r="J66" s="21">
        <v>0</v>
      </c>
      <c r="K66" s="22">
        <f t="shared" si="2"/>
        <v>-52.994400000000041</v>
      </c>
    </row>
    <row r="67" spans="1:11" ht="12.75" x14ac:dyDescent="0.2">
      <c r="A67" s="38">
        <v>45600</v>
      </c>
      <c r="B67" s="39" t="s">
        <v>3</v>
      </c>
      <c r="C67" s="40"/>
      <c r="D67" s="41"/>
      <c r="E67" s="42"/>
      <c r="F67" s="42"/>
      <c r="G67" s="43"/>
      <c r="H67" s="19">
        <f t="shared" si="3"/>
        <v>0</v>
      </c>
      <c r="I67" s="20">
        <f t="shared" si="1"/>
        <v>0</v>
      </c>
      <c r="J67" s="21">
        <v>0</v>
      </c>
      <c r="K67" s="22">
        <f t="shared" si="2"/>
        <v>0</v>
      </c>
    </row>
    <row r="68" spans="1:11" ht="12.75" x14ac:dyDescent="0.2">
      <c r="A68" s="30">
        <v>45601</v>
      </c>
      <c r="B68" s="31" t="s">
        <v>4</v>
      </c>
      <c r="C68" s="32"/>
      <c r="D68" s="33"/>
      <c r="E68" s="34"/>
      <c r="F68" s="34"/>
      <c r="G68" s="35"/>
      <c r="H68" s="19">
        <f t="shared" si="3"/>
        <v>0</v>
      </c>
      <c r="I68" s="20">
        <f t="shared" si="1"/>
        <v>0</v>
      </c>
      <c r="J68" s="21">
        <v>0</v>
      </c>
      <c r="K68" s="22">
        <f t="shared" si="2"/>
        <v>0</v>
      </c>
    </row>
    <row r="69" spans="1:11" ht="12.75" x14ac:dyDescent="0.2">
      <c r="A69" s="13">
        <v>45602</v>
      </c>
      <c r="B69" s="14" t="s">
        <v>5</v>
      </c>
      <c r="C69" s="15">
        <v>0.94369999999999998</v>
      </c>
      <c r="D69" s="16" t="s">
        <v>22</v>
      </c>
      <c r="E69" s="17"/>
      <c r="F69" s="17"/>
      <c r="G69" s="18">
        <v>622</v>
      </c>
      <c r="H69" s="19">
        <f t="shared" si="3"/>
        <v>35.018599999999992</v>
      </c>
      <c r="I69" s="20">
        <f t="shared" si="1"/>
        <v>1926.0229999999997</v>
      </c>
      <c r="J69" s="21">
        <v>0</v>
      </c>
      <c r="K69" s="22">
        <f t="shared" si="2"/>
        <v>-35.018599999999992</v>
      </c>
    </row>
    <row r="70" spans="1:11" ht="12.75" x14ac:dyDescent="0.2">
      <c r="A70" s="13">
        <v>45603</v>
      </c>
      <c r="B70" s="14" t="s">
        <v>6</v>
      </c>
      <c r="C70" s="15">
        <v>0.97270000000000001</v>
      </c>
      <c r="D70" s="23" t="s">
        <v>22</v>
      </c>
      <c r="E70" s="17"/>
      <c r="F70" s="17"/>
      <c r="G70" s="18">
        <v>622</v>
      </c>
      <c r="H70" s="19">
        <f t="shared" si="3"/>
        <v>16.980599999999981</v>
      </c>
      <c r="I70" s="20">
        <f t="shared" si="1"/>
        <v>933.93299999999897</v>
      </c>
      <c r="J70" s="21">
        <v>0</v>
      </c>
      <c r="K70" s="22">
        <f t="shared" si="2"/>
        <v>-16.980599999999981</v>
      </c>
    </row>
    <row r="71" spans="1:11" ht="12.75" x14ac:dyDescent="0.2">
      <c r="A71" s="13">
        <v>45604</v>
      </c>
      <c r="B71" s="14" t="s">
        <v>7</v>
      </c>
      <c r="C71" s="15">
        <v>0.95509999999999995</v>
      </c>
      <c r="D71" s="23" t="s">
        <v>22</v>
      </c>
      <c r="E71" s="17"/>
      <c r="F71" s="17"/>
      <c r="G71" s="18">
        <v>623</v>
      </c>
      <c r="H71" s="19">
        <f t="shared" si="3"/>
        <v>27.972700000000032</v>
      </c>
      <c r="I71" s="20">
        <f t="shared" si="1"/>
        <v>1538.4985000000017</v>
      </c>
      <c r="J71" s="21">
        <v>0</v>
      </c>
      <c r="K71" s="22">
        <f t="shared" si="2"/>
        <v>-27.972700000000032</v>
      </c>
    </row>
    <row r="72" spans="1:11" ht="12.75" x14ac:dyDescent="0.2">
      <c r="A72" s="13">
        <v>45607</v>
      </c>
      <c r="B72" s="14" t="s">
        <v>3</v>
      </c>
      <c r="C72" s="15">
        <v>0.93899999999999995</v>
      </c>
      <c r="D72" s="23" t="s">
        <v>22</v>
      </c>
      <c r="E72" s="17"/>
      <c r="F72" s="17"/>
      <c r="G72" s="18">
        <v>622</v>
      </c>
      <c r="H72" s="19">
        <f t="shared" si="3"/>
        <v>37.942000000000007</v>
      </c>
      <c r="I72" s="20">
        <f t="shared" si="1"/>
        <v>2086.8100000000004</v>
      </c>
      <c r="J72" s="21">
        <v>0</v>
      </c>
      <c r="K72" s="22">
        <f t="shared" si="2"/>
        <v>-37.942000000000007</v>
      </c>
    </row>
    <row r="73" spans="1:11" ht="12.75" x14ac:dyDescent="0.2">
      <c r="A73" s="13">
        <v>45608</v>
      </c>
      <c r="B73" s="14" t="s">
        <v>4</v>
      </c>
      <c r="C73" s="15">
        <v>0.97270000000000001</v>
      </c>
      <c r="D73" s="16" t="s">
        <v>22</v>
      </c>
      <c r="E73" s="17"/>
      <c r="F73" s="17"/>
      <c r="G73" s="18">
        <v>622</v>
      </c>
      <c r="H73" s="19">
        <f t="shared" si="3"/>
        <v>16.980599999999981</v>
      </c>
      <c r="I73" s="20">
        <f t="shared" si="1"/>
        <v>933.93299999999897</v>
      </c>
      <c r="J73" s="21">
        <v>0</v>
      </c>
      <c r="K73" s="22">
        <f t="shared" si="2"/>
        <v>-16.980599999999981</v>
      </c>
    </row>
    <row r="74" spans="1:11" ht="12.75" x14ac:dyDescent="0.2">
      <c r="A74" s="13">
        <v>45609</v>
      </c>
      <c r="B74" s="14" t="s">
        <v>5</v>
      </c>
      <c r="C74" s="15">
        <v>0.97260000000000002</v>
      </c>
      <c r="D74" s="16" t="s">
        <v>22</v>
      </c>
      <c r="E74" s="17"/>
      <c r="F74" s="17"/>
      <c r="G74" s="18">
        <v>620</v>
      </c>
      <c r="H74" s="19">
        <f t="shared" si="3"/>
        <v>16.987999999999943</v>
      </c>
      <c r="I74" s="20">
        <f t="shared" si="1"/>
        <v>934.33999999999685</v>
      </c>
      <c r="J74" s="21">
        <v>0</v>
      </c>
      <c r="K74" s="22">
        <f t="shared" si="2"/>
        <v>-16.987999999999943</v>
      </c>
    </row>
    <row r="75" spans="1:11" ht="12.75" x14ac:dyDescent="0.2">
      <c r="A75" s="13">
        <v>45610</v>
      </c>
      <c r="B75" s="14" t="s">
        <v>6</v>
      </c>
      <c r="C75" s="15">
        <v>0.96299999999999997</v>
      </c>
      <c r="D75" s="16" t="s">
        <v>22</v>
      </c>
      <c r="E75" s="17"/>
      <c r="F75" s="17"/>
      <c r="G75" s="18">
        <v>621</v>
      </c>
      <c r="H75" s="19">
        <f t="shared" si="3"/>
        <v>22.976999999999975</v>
      </c>
      <c r="I75" s="20">
        <f t="shared" si="1"/>
        <v>1263.7349999999988</v>
      </c>
      <c r="J75" s="21">
        <v>0</v>
      </c>
      <c r="K75" s="22">
        <f t="shared" si="2"/>
        <v>-22.976999999999975</v>
      </c>
    </row>
    <row r="76" spans="1:11" ht="12.75" x14ac:dyDescent="0.2">
      <c r="A76" s="13">
        <v>45611</v>
      </c>
      <c r="B76" s="14" t="s">
        <v>7</v>
      </c>
      <c r="C76" s="15">
        <v>0.92430000000000001</v>
      </c>
      <c r="D76" s="16" t="s">
        <v>22</v>
      </c>
      <c r="E76" s="17"/>
      <c r="F76" s="17"/>
      <c r="G76" s="18">
        <v>621</v>
      </c>
      <c r="H76" s="19">
        <f t="shared" si="3"/>
        <v>47.009699999999953</v>
      </c>
      <c r="I76" s="20">
        <f t="shared" si="1"/>
        <v>2585.5334999999973</v>
      </c>
      <c r="J76" s="21">
        <v>0</v>
      </c>
      <c r="K76" s="22">
        <f t="shared" si="2"/>
        <v>-47.009699999999953</v>
      </c>
    </row>
    <row r="77" spans="1:11" ht="12.75" x14ac:dyDescent="0.2">
      <c r="A77" s="13">
        <v>45614</v>
      </c>
      <c r="B77" s="14" t="s">
        <v>3</v>
      </c>
      <c r="C77" s="15">
        <v>0.93400000000000005</v>
      </c>
      <c r="D77" s="16" t="s">
        <v>22</v>
      </c>
      <c r="E77" s="17"/>
      <c r="F77" s="17"/>
      <c r="G77" s="18">
        <v>621</v>
      </c>
      <c r="H77" s="19">
        <f t="shared" si="3"/>
        <v>40.98599999999999</v>
      </c>
      <c r="I77" s="20">
        <f t="shared" si="1"/>
        <v>2254.2299999999996</v>
      </c>
      <c r="J77" s="21">
        <v>0</v>
      </c>
      <c r="K77" s="22">
        <f t="shared" si="2"/>
        <v>-40.98599999999999</v>
      </c>
    </row>
    <row r="78" spans="1:11" ht="12.75" x14ac:dyDescent="0.2">
      <c r="A78" s="13">
        <v>45615</v>
      </c>
      <c r="B78" s="14" t="s">
        <v>4</v>
      </c>
      <c r="C78" s="15">
        <v>0.93879999999999997</v>
      </c>
      <c r="D78" s="16" t="s">
        <v>22</v>
      </c>
      <c r="E78" s="17"/>
      <c r="F78" s="17"/>
      <c r="G78" s="18">
        <v>621</v>
      </c>
      <c r="H78" s="19">
        <f t="shared" si="3"/>
        <v>38.005200000000059</v>
      </c>
      <c r="I78" s="20">
        <f t="shared" si="1"/>
        <v>2090.2860000000032</v>
      </c>
      <c r="J78" s="21">
        <v>0</v>
      </c>
      <c r="K78" s="22">
        <f t="shared" si="2"/>
        <v>-38.005200000000059</v>
      </c>
    </row>
    <row r="79" spans="1:11" ht="12.75" x14ac:dyDescent="0.2">
      <c r="A79" s="13">
        <v>45616</v>
      </c>
      <c r="B79" s="14" t="s">
        <v>5</v>
      </c>
      <c r="C79" s="15">
        <v>0.95830000000000004</v>
      </c>
      <c r="D79" s="16" t="s">
        <v>22</v>
      </c>
      <c r="E79" s="17"/>
      <c r="F79" s="17"/>
      <c r="G79" s="18">
        <v>623</v>
      </c>
      <c r="H79" s="19">
        <f t="shared" si="3"/>
        <v>25.979100000000017</v>
      </c>
      <c r="I79" s="20">
        <f t="shared" si="1"/>
        <v>1428.8505000000009</v>
      </c>
      <c r="J79" s="21">
        <v>0</v>
      </c>
      <c r="K79" s="22">
        <f t="shared" si="2"/>
        <v>-25.979100000000017</v>
      </c>
    </row>
    <row r="80" spans="1:11" ht="12.75" x14ac:dyDescent="0.2">
      <c r="A80" s="13">
        <v>45617</v>
      </c>
      <c r="B80" s="14" t="s">
        <v>6</v>
      </c>
      <c r="C80" s="15">
        <v>0.95679999999999998</v>
      </c>
      <c r="D80" s="16" t="s">
        <v>22</v>
      </c>
      <c r="E80" s="17"/>
      <c r="F80" s="17"/>
      <c r="G80" s="18">
        <v>625</v>
      </c>
      <c r="H80" s="19">
        <f t="shared" si="3"/>
        <v>27</v>
      </c>
      <c r="I80" s="20">
        <f t="shared" si="1"/>
        <v>1485</v>
      </c>
      <c r="J80" s="21">
        <v>0</v>
      </c>
      <c r="K80" s="22">
        <f t="shared" si="2"/>
        <v>-27</v>
      </c>
    </row>
    <row r="81" spans="1:11" ht="12.75" x14ac:dyDescent="0.2">
      <c r="A81" s="13">
        <v>45618</v>
      </c>
      <c r="B81" s="14" t="s">
        <v>7</v>
      </c>
      <c r="C81" s="15">
        <v>0.90880000000000005</v>
      </c>
      <c r="D81" s="16" t="s">
        <v>22</v>
      </c>
      <c r="E81" s="17"/>
      <c r="F81" s="17"/>
      <c r="G81" s="18">
        <v>625</v>
      </c>
      <c r="H81" s="19">
        <f t="shared" si="3"/>
        <v>57</v>
      </c>
      <c r="I81" s="20">
        <f t="shared" si="1"/>
        <v>3135</v>
      </c>
      <c r="J81" s="21">
        <v>0</v>
      </c>
      <c r="K81" s="22">
        <f t="shared" si="2"/>
        <v>-57</v>
      </c>
    </row>
    <row r="82" spans="1:11" ht="12.75" x14ac:dyDescent="0.2">
      <c r="A82" s="30">
        <v>45621</v>
      </c>
      <c r="B82" s="31" t="s">
        <v>3</v>
      </c>
      <c r="C82" s="32"/>
      <c r="D82" s="33"/>
      <c r="E82" s="34"/>
      <c r="F82" s="34"/>
      <c r="G82" s="35"/>
      <c r="H82" s="19">
        <f t="shared" si="3"/>
        <v>0</v>
      </c>
      <c r="I82" s="20">
        <f t="shared" si="1"/>
        <v>0</v>
      </c>
      <c r="J82" s="21">
        <v>0</v>
      </c>
      <c r="K82" s="22">
        <f t="shared" si="2"/>
        <v>0</v>
      </c>
    </row>
    <row r="83" spans="1:11" ht="12.75" x14ac:dyDescent="0.2">
      <c r="A83" s="30">
        <v>45622</v>
      </c>
      <c r="B83" s="31" t="s">
        <v>4</v>
      </c>
      <c r="C83" s="32"/>
      <c r="D83" s="33"/>
      <c r="E83" s="34"/>
      <c r="F83" s="34"/>
      <c r="G83" s="35"/>
      <c r="H83" s="19">
        <f t="shared" si="3"/>
        <v>0</v>
      </c>
      <c r="I83" s="20">
        <f t="shared" si="1"/>
        <v>0</v>
      </c>
      <c r="J83" s="21">
        <v>0</v>
      </c>
      <c r="K83" s="22">
        <f t="shared" si="2"/>
        <v>0</v>
      </c>
    </row>
    <row r="84" spans="1:11" ht="12.75" x14ac:dyDescent="0.2">
      <c r="A84" s="30">
        <v>45623</v>
      </c>
      <c r="B84" s="31" t="s">
        <v>5</v>
      </c>
      <c r="C84" s="32"/>
      <c r="D84" s="33"/>
      <c r="E84" s="34"/>
      <c r="F84" s="34"/>
      <c r="G84" s="35"/>
      <c r="H84" s="19">
        <f t="shared" si="3"/>
        <v>0</v>
      </c>
      <c r="I84" s="20">
        <f t="shared" si="1"/>
        <v>0</v>
      </c>
      <c r="J84" s="21">
        <v>0</v>
      </c>
      <c r="K84" s="22">
        <f t="shared" si="2"/>
        <v>0</v>
      </c>
    </row>
    <row r="85" spans="1:11" ht="12.75" x14ac:dyDescent="0.2">
      <c r="A85" s="30">
        <v>45624</v>
      </c>
      <c r="B85" s="31" t="s">
        <v>6</v>
      </c>
      <c r="C85" s="32"/>
      <c r="D85" s="33"/>
      <c r="E85" s="34"/>
      <c r="F85" s="34"/>
      <c r="G85" s="35"/>
      <c r="H85" s="19">
        <f t="shared" si="3"/>
        <v>0</v>
      </c>
      <c r="I85" s="20">
        <f t="shared" si="1"/>
        <v>0</v>
      </c>
      <c r="J85" s="21">
        <v>0</v>
      </c>
      <c r="K85" s="22">
        <f t="shared" si="2"/>
        <v>0</v>
      </c>
    </row>
    <row r="86" spans="1:11" ht="12.75" x14ac:dyDescent="0.2">
      <c r="A86" s="30">
        <v>45625</v>
      </c>
      <c r="B86" s="31" t="s">
        <v>7</v>
      </c>
      <c r="C86" s="32"/>
      <c r="D86" s="33"/>
      <c r="E86" s="34"/>
      <c r="F86" s="34"/>
      <c r="G86" s="35"/>
      <c r="H86" s="19">
        <f t="shared" si="3"/>
        <v>0</v>
      </c>
      <c r="I86" s="20">
        <f t="shared" si="1"/>
        <v>0</v>
      </c>
      <c r="J86" s="21">
        <v>0</v>
      </c>
      <c r="K86" s="22">
        <f t="shared" si="2"/>
        <v>0</v>
      </c>
    </row>
    <row r="87" spans="1:11" ht="12.75" x14ac:dyDescent="0.2">
      <c r="A87" s="13">
        <v>45628</v>
      </c>
      <c r="B87" s="14" t="s">
        <v>3</v>
      </c>
      <c r="C87" s="15">
        <v>0.94410000000000005</v>
      </c>
      <c r="D87" s="16" t="s">
        <v>22</v>
      </c>
      <c r="E87" s="17"/>
      <c r="F87" s="17"/>
      <c r="G87" s="18">
        <v>626</v>
      </c>
      <c r="H87" s="19">
        <f t="shared" si="3"/>
        <v>34.993399999999951</v>
      </c>
      <c r="I87" s="20">
        <f t="shared" si="1"/>
        <v>1924.6369999999974</v>
      </c>
      <c r="J87" s="21">
        <v>0</v>
      </c>
      <c r="K87" s="22">
        <f t="shared" si="2"/>
        <v>-34.993399999999951</v>
      </c>
    </row>
    <row r="88" spans="1:11" ht="12.75" x14ac:dyDescent="0.2">
      <c r="A88" s="13">
        <v>45629</v>
      </c>
      <c r="B88" s="14" t="s">
        <v>4</v>
      </c>
      <c r="C88" s="15">
        <v>0.96330000000000005</v>
      </c>
      <c r="D88" s="16" t="s">
        <v>22</v>
      </c>
      <c r="E88" s="17"/>
      <c r="F88" s="17"/>
      <c r="G88" s="18">
        <v>627</v>
      </c>
      <c r="H88" s="19">
        <f t="shared" si="3"/>
        <v>23.010899999999992</v>
      </c>
      <c r="I88" s="20">
        <f t="shared" si="1"/>
        <v>1265.5994999999996</v>
      </c>
      <c r="J88" s="21">
        <v>0</v>
      </c>
      <c r="K88" s="22">
        <f t="shared" si="2"/>
        <v>-23.010899999999992</v>
      </c>
    </row>
    <row r="89" spans="1:11" ht="12.75" x14ac:dyDescent="0.2">
      <c r="A89" s="13">
        <v>45630</v>
      </c>
      <c r="B89" s="14" t="s">
        <v>5</v>
      </c>
      <c r="C89" s="15">
        <v>0.96489999999999998</v>
      </c>
      <c r="D89" s="16" t="s">
        <v>22</v>
      </c>
      <c r="E89" s="17"/>
      <c r="F89" s="17"/>
      <c r="G89" s="18">
        <v>624</v>
      </c>
      <c r="H89" s="19">
        <f t="shared" si="3"/>
        <v>21.902400000000057</v>
      </c>
      <c r="I89" s="20">
        <f t="shared" si="1"/>
        <v>1204.6320000000032</v>
      </c>
      <c r="J89" s="21">
        <v>0</v>
      </c>
      <c r="K89" s="22">
        <f t="shared" si="2"/>
        <v>-21.902400000000057</v>
      </c>
    </row>
    <row r="90" spans="1:11" ht="12.75" x14ac:dyDescent="0.2">
      <c r="A90" s="13">
        <v>45631</v>
      </c>
      <c r="B90" s="14" t="s">
        <v>6</v>
      </c>
      <c r="C90" s="15">
        <v>0.96960000000000002</v>
      </c>
      <c r="D90" s="16" t="s">
        <v>22</v>
      </c>
      <c r="E90" s="17"/>
      <c r="F90" s="17"/>
      <c r="G90" s="18">
        <v>626</v>
      </c>
      <c r="H90" s="19">
        <f t="shared" si="3"/>
        <v>19.030399999999986</v>
      </c>
      <c r="I90" s="20">
        <f t="shared" si="1"/>
        <v>1046.6719999999991</v>
      </c>
      <c r="J90" s="21">
        <v>0</v>
      </c>
      <c r="K90" s="22">
        <f t="shared" si="2"/>
        <v>-19.030399999999986</v>
      </c>
    </row>
    <row r="91" spans="1:11" ht="12.75" x14ac:dyDescent="0.2">
      <c r="A91" s="13">
        <v>45632</v>
      </c>
      <c r="B91" s="14" t="s">
        <v>7</v>
      </c>
      <c r="C91" s="15">
        <v>0.93610000000000004</v>
      </c>
      <c r="D91" s="16" t="s">
        <v>22</v>
      </c>
      <c r="E91" s="17"/>
      <c r="F91" s="17"/>
      <c r="G91" s="18">
        <v>626</v>
      </c>
      <c r="H91" s="19">
        <f t="shared" si="3"/>
        <v>40.00139999999999</v>
      </c>
      <c r="I91" s="20">
        <f t="shared" si="1"/>
        <v>2200.0769999999993</v>
      </c>
      <c r="J91" s="21">
        <v>0</v>
      </c>
      <c r="K91" s="22">
        <f t="shared" si="2"/>
        <v>-40.00139999999999</v>
      </c>
    </row>
    <row r="92" spans="1:11" ht="12.75" x14ac:dyDescent="0.2">
      <c r="A92" s="13">
        <v>45635</v>
      </c>
      <c r="B92" s="14" t="s">
        <v>3</v>
      </c>
      <c r="C92" s="15">
        <v>0.92810000000000004</v>
      </c>
      <c r="D92" s="16" t="s">
        <v>22</v>
      </c>
      <c r="E92" s="17"/>
      <c r="F92" s="17"/>
      <c r="G92" s="18">
        <v>626</v>
      </c>
      <c r="H92" s="19">
        <f t="shared" si="3"/>
        <v>45.009400000000028</v>
      </c>
      <c r="I92" s="20">
        <f t="shared" si="1"/>
        <v>2475.5170000000016</v>
      </c>
      <c r="J92" s="21">
        <v>0</v>
      </c>
      <c r="K92" s="22">
        <f t="shared" si="2"/>
        <v>-45.009400000000028</v>
      </c>
    </row>
    <row r="93" spans="1:11" ht="12.75" x14ac:dyDescent="0.2">
      <c r="A93" s="13">
        <v>45636</v>
      </c>
      <c r="B93" s="14" t="s">
        <v>4</v>
      </c>
      <c r="C93" s="15">
        <v>0.95530000000000004</v>
      </c>
      <c r="D93" s="16" t="s">
        <v>22</v>
      </c>
      <c r="E93" s="17"/>
      <c r="F93" s="17"/>
      <c r="G93" s="18">
        <v>627</v>
      </c>
      <c r="H93" s="19">
        <f t="shared" si="3"/>
        <v>28.026899999999955</v>
      </c>
      <c r="I93" s="20">
        <f t="shared" si="1"/>
        <v>1541.4794999999976</v>
      </c>
      <c r="J93" s="21">
        <v>0</v>
      </c>
      <c r="K93" s="22">
        <f t="shared" si="2"/>
        <v>-28.026899999999955</v>
      </c>
    </row>
    <row r="94" spans="1:11" ht="12.75" x14ac:dyDescent="0.2">
      <c r="A94" s="13">
        <v>45637</v>
      </c>
      <c r="B94" s="14" t="s">
        <v>5</v>
      </c>
      <c r="C94" s="15">
        <v>0.93620000000000003</v>
      </c>
      <c r="D94" s="16" t="s">
        <v>22</v>
      </c>
      <c r="E94" s="17"/>
      <c r="F94" s="17"/>
      <c r="G94" s="18">
        <v>627</v>
      </c>
      <c r="H94" s="19">
        <f t="shared" si="3"/>
        <v>40.002600000000029</v>
      </c>
      <c r="I94" s="20">
        <f t="shared" si="1"/>
        <v>2200.1430000000018</v>
      </c>
      <c r="J94" s="21">
        <v>0</v>
      </c>
      <c r="K94" s="22">
        <f t="shared" si="2"/>
        <v>-40.002600000000029</v>
      </c>
    </row>
    <row r="95" spans="1:11" ht="12.75" x14ac:dyDescent="0.2">
      <c r="A95" s="13">
        <v>45638</v>
      </c>
      <c r="B95" s="14" t="s">
        <v>6</v>
      </c>
      <c r="C95" s="15">
        <v>0.97289999999999999</v>
      </c>
      <c r="D95" s="16" t="s">
        <v>22</v>
      </c>
      <c r="E95" s="17"/>
      <c r="F95" s="17"/>
      <c r="G95" s="18">
        <v>627</v>
      </c>
      <c r="H95" s="19">
        <f t="shared" si="3"/>
        <v>16.991700000000037</v>
      </c>
      <c r="I95" s="20">
        <f t="shared" si="1"/>
        <v>934.54350000000204</v>
      </c>
      <c r="J95" s="21">
        <v>0</v>
      </c>
      <c r="K95" s="22">
        <f t="shared" si="2"/>
        <v>-16.991700000000037</v>
      </c>
    </row>
    <row r="96" spans="1:11" ht="12.75" x14ac:dyDescent="0.2">
      <c r="A96" s="13">
        <v>45639</v>
      </c>
      <c r="B96" s="14" t="s">
        <v>7</v>
      </c>
      <c r="C96" s="15">
        <v>0.94420000000000004</v>
      </c>
      <c r="D96" s="16" t="s">
        <v>22</v>
      </c>
      <c r="E96" s="17"/>
      <c r="F96" s="17"/>
      <c r="G96" s="18">
        <v>627</v>
      </c>
      <c r="H96" s="19">
        <f t="shared" si="3"/>
        <v>34.986599999999953</v>
      </c>
      <c r="I96" s="20">
        <f t="shared" si="1"/>
        <v>1924.2629999999974</v>
      </c>
      <c r="J96" s="21">
        <v>0</v>
      </c>
      <c r="K96" s="22">
        <f t="shared" si="2"/>
        <v>-34.986599999999953</v>
      </c>
    </row>
    <row r="97" spans="1:11" ht="12.75" x14ac:dyDescent="0.2">
      <c r="A97" s="13">
        <v>45642</v>
      </c>
      <c r="B97" s="14" t="s">
        <v>3</v>
      </c>
      <c r="C97" s="15">
        <v>0.92820000000000003</v>
      </c>
      <c r="D97" s="16" t="s">
        <v>22</v>
      </c>
      <c r="E97" s="17"/>
      <c r="F97" s="17"/>
      <c r="G97" s="18">
        <v>627</v>
      </c>
      <c r="H97" s="19">
        <f t="shared" si="3"/>
        <v>45.018599999999992</v>
      </c>
      <c r="I97" s="20">
        <f t="shared" si="1"/>
        <v>2476.0229999999997</v>
      </c>
      <c r="J97" s="21">
        <v>0</v>
      </c>
      <c r="K97" s="22">
        <f t="shared" si="2"/>
        <v>-45.018599999999992</v>
      </c>
    </row>
    <row r="98" spans="1:11" ht="12.75" x14ac:dyDescent="0.2">
      <c r="A98" s="13">
        <v>45643</v>
      </c>
      <c r="B98" s="14" t="s">
        <v>4</v>
      </c>
      <c r="C98" s="15">
        <v>0.98560000000000003</v>
      </c>
      <c r="D98" s="16" t="s">
        <v>22</v>
      </c>
      <c r="E98" s="17"/>
      <c r="F98" s="17"/>
      <c r="G98" s="18">
        <v>626</v>
      </c>
      <c r="H98" s="19">
        <f t="shared" si="3"/>
        <v>9.0144000000000233</v>
      </c>
      <c r="I98" s="20">
        <f t="shared" si="1"/>
        <v>495.79200000000128</v>
      </c>
      <c r="J98" s="21">
        <v>0</v>
      </c>
      <c r="K98" s="22">
        <f t="shared" si="2"/>
        <v>-9.0144000000000233</v>
      </c>
    </row>
    <row r="99" spans="1:11" ht="12.75" x14ac:dyDescent="0.2">
      <c r="A99" s="13">
        <v>45644</v>
      </c>
      <c r="B99" s="14" t="s">
        <v>5</v>
      </c>
      <c r="C99" s="15">
        <v>0.96330000000000005</v>
      </c>
      <c r="D99" s="16" t="s">
        <v>22</v>
      </c>
      <c r="E99" s="17"/>
      <c r="F99" s="17"/>
      <c r="G99" s="18">
        <v>626</v>
      </c>
      <c r="H99" s="19">
        <f t="shared" si="3"/>
        <v>22.974199999999996</v>
      </c>
      <c r="I99" s="20">
        <f t="shared" si="1"/>
        <v>1263.5809999999997</v>
      </c>
      <c r="J99" s="21">
        <v>0</v>
      </c>
      <c r="K99" s="22">
        <f t="shared" si="2"/>
        <v>-22.974199999999996</v>
      </c>
    </row>
    <row r="100" spans="1:11" ht="12.75" x14ac:dyDescent="0.2">
      <c r="A100" s="13">
        <v>45645</v>
      </c>
      <c r="B100" s="14" t="s">
        <v>6</v>
      </c>
      <c r="C100" s="15">
        <v>0.93140000000000001</v>
      </c>
      <c r="D100" s="16" t="s">
        <v>22</v>
      </c>
      <c r="E100" s="17"/>
      <c r="F100" s="17"/>
      <c r="G100" s="18">
        <v>627</v>
      </c>
      <c r="H100" s="19">
        <f t="shared" si="3"/>
        <v>43.012200000000007</v>
      </c>
      <c r="I100" s="20">
        <f t="shared" si="1"/>
        <v>2365.6710000000003</v>
      </c>
      <c r="J100" s="21">
        <v>0</v>
      </c>
      <c r="K100" s="22">
        <f t="shared" si="2"/>
        <v>-43.012200000000007</v>
      </c>
    </row>
    <row r="101" spans="1:11" ht="12.75" x14ac:dyDescent="0.2">
      <c r="A101" s="13">
        <v>45646</v>
      </c>
      <c r="B101" s="14" t="s">
        <v>7</v>
      </c>
      <c r="C101" s="15">
        <v>0.9536</v>
      </c>
      <c r="D101" s="16" t="s">
        <v>22</v>
      </c>
      <c r="E101" s="17"/>
      <c r="F101" s="17"/>
      <c r="G101" s="18">
        <v>625</v>
      </c>
      <c r="H101" s="19">
        <f t="shared" si="3"/>
        <v>29</v>
      </c>
      <c r="I101" s="20">
        <f t="shared" si="1"/>
        <v>1595</v>
      </c>
      <c r="J101" s="21">
        <v>0</v>
      </c>
      <c r="K101" s="22">
        <f t="shared" si="2"/>
        <v>-29</v>
      </c>
    </row>
    <row r="102" spans="1:11" ht="12.75" x14ac:dyDescent="0.2">
      <c r="A102" s="24">
        <v>45649</v>
      </c>
      <c r="B102" s="25" t="s">
        <v>3</v>
      </c>
      <c r="C102" s="26"/>
      <c r="D102" s="27"/>
      <c r="E102" s="28"/>
      <c r="F102" s="28"/>
      <c r="G102" s="29"/>
      <c r="H102" s="19">
        <f t="shared" si="3"/>
        <v>0</v>
      </c>
      <c r="I102" s="20">
        <f t="shared" si="1"/>
        <v>0</v>
      </c>
      <c r="J102" s="21">
        <v>0</v>
      </c>
      <c r="K102" s="22">
        <f t="shared" si="2"/>
        <v>0</v>
      </c>
    </row>
    <row r="103" spans="1:11" ht="12.75" x14ac:dyDescent="0.2">
      <c r="A103" s="24">
        <v>45650</v>
      </c>
      <c r="B103" s="25" t="s">
        <v>4</v>
      </c>
      <c r="C103" s="26"/>
      <c r="D103" s="27"/>
      <c r="E103" s="28"/>
      <c r="F103" s="28"/>
      <c r="G103" s="29"/>
      <c r="H103" s="19">
        <f t="shared" si="3"/>
        <v>0</v>
      </c>
      <c r="I103" s="20">
        <f t="shared" si="1"/>
        <v>0</v>
      </c>
      <c r="J103" s="21">
        <v>0</v>
      </c>
      <c r="K103" s="22">
        <f t="shared" si="2"/>
        <v>0</v>
      </c>
    </row>
    <row r="104" spans="1:11" ht="12.75" x14ac:dyDescent="0.2">
      <c r="A104" s="24">
        <v>45651</v>
      </c>
      <c r="B104" s="25" t="s">
        <v>5</v>
      </c>
      <c r="C104" s="26"/>
      <c r="D104" s="27"/>
      <c r="E104" s="28"/>
      <c r="F104" s="28"/>
      <c r="G104" s="29"/>
      <c r="H104" s="19">
        <f t="shared" si="3"/>
        <v>0</v>
      </c>
      <c r="I104" s="20">
        <f t="shared" si="1"/>
        <v>0</v>
      </c>
      <c r="J104" s="21">
        <v>0</v>
      </c>
      <c r="K104" s="22">
        <f t="shared" si="2"/>
        <v>0</v>
      </c>
    </row>
    <row r="105" spans="1:11" ht="12.75" x14ac:dyDescent="0.2">
      <c r="A105" s="24">
        <v>45652</v>
      </c>
      <c r="B105" s="25" t="s">
        <v>6</v>
      </c>
      <c r="C105" s="26"/>
      <c r="D105" s="27"/>
      <c r="E105" s="28"/>
      <c r="F105" s="28"/>
      <c r="G105" s="29"/>
      <c r="H105" s="19">
        <f t="shared" si="3"/>
        <v>0</v>
      </c>
      <c r="I105" s="20">
        <f t="shared" si="1"/>
        <v>0</v>
      </c>
      <c r="J105" s="21">
        <v>0</v>
      </c>
      <c r="K105" s="22">
        <f t="shared" si="2"/>
        <v>0</v>
      </c>
    </row>
    <row r="106" spans="1:11" ht="12.75" x14ac:dyDescent="0.2">
      <c r="A106" s="24">
        <v>45653</v>
      </c>
      <c r="B106" s="25" t="s">
        <v>7</v>
      </c>
      <c r="C106" s="26"/>
      <c r="D106" s="27"/>
      <c r="E106" s="28"/>
      <c r="F106" s="28"/>
      <c r="G106" s="29"/>
      <c r="H106" s="19">
        <f t="shared" si="3"/>
        <v>0</v>
      </c>
      <c r="I106" s="20">
        <f t="shared" si="1"/>
        <v>0</v>
      </c>
      <c r="J106" s="21">
        <v>0</v>
      </c>
      <c r="K106" s="22">
        <f t="shared" si="2"/>
        <v>0</v>
      </c>
    </row>
    <row r="107" spans="1:11" ht="12.75" x14ac:dyDescent="0.2">
      <c r="A107" s="24">
        <v>45656</v>
      </c>
      <c r="B107" s="25" t="s">
        <v>3</v>
      </c>
      <c r="C107" s="26"/>
      <c r="D107" s="27"/>
      <c r="E107" s="28"/>
      <c r="F107" s="28"/>
      <c r="G107" s="29"/>
      <c r="H107" s="19">
        <f t="shared" si="3"/>
        <v>0</v>
      </c>
      <c r="I107" s="20">
        <f t="shared" si="1"/>
        <v>0</v>
      </c>
      <c r="J107" s="21">
        <v>0</v>
      </c>
      <c r="K107" s="22">
        <f t="shared" si="2"/>
        <v>0</v>
      </c>
    </row>
    <row r="108" spans="1:11" ht="12.75" x14ac:dyDescent="0.2">
      <c r="A108" s="24">
        <v>45657</v>
      </c>
      <c r="B108" s="25" t="s">
        <v>4</v>
      </c>
      <c r="C108" s="26"/>
      <c r="D108" s="27"/>
      <c r="E108" s="28"/>
      <c r="F108" s="28"/>
      <c r="G108" s="29"/>
      <c r="H108" s="19">
        <f t="shared" si="3"/>
        <v>0</v>
      </c>
      <c r="I108" s="20">
        <f t="shared" si="1"/>
        <v>0</v>
      </c>
      <c r="J108" s="21">
        <v>0</v>
      </c>
      <c r="K108" s="22">
        <f t="shared" si="2"/>
        <v>0</v>
      </c>
    </row>
    <row r="109" spans="1:11" ht="12.75" x14ac:dyDescent="0.2">
      <c r="A109" s="24">
        <v>45658</v>
      </c>
      <c r="B109" s="25" t="s">
        <v>5</v>
      </c>
      <c r="C109" s="26"/>
      <c r="D109" s="27"/>
      <c r="E109" s="28"/>
      <c r="F109" s="28"/>
      <c r="G109" s="29"/>
      <c r="H109" s="19">
        <f t="shared" si="3"/>
        <v>0</v>
      </c>
      <c r="I109" s="20">
        <f t="shared" si="1"/>
        <v>0</v>
      </c>
      <c r="J109" s="21">
        <v>0</v>
      </c>
      <c r="K109" s="22">
        <f t="shared" si="2"/>
        <v>0</v>
      </c>
    </row>
    <row r="110" spans="1:11" ht="12.75" x14ac:dyDescent="0.2">
      <c r="A110" s="24">
        <v>45659</v>
      </c>
      <c r="B110" s="25" t="s">
        <v>6</v>
      </c>
      <c r="C110" s="26"/>
      <c r="D110" s="27"/>
      <c r="E110" s="28"/>
      <c r="F110" s="28"/>
      <c r="G110" s="29"/>
      <c r="H110" s="19">
        <f t="shared" si="3"/>
        <v>0</v>
      </c>
      <c r="I110" s="20">
        <f t="shared" si="1"/>
        <v>0</v>
      </c>
      <c r="J110" s="21">
        <v>0</v>
      </c>
      <c r="K110" s="22">
        <f t="shared" si="2"/>
        <v>0</v>
      </c>
    </row>
    <row r="111" spans="1:11" ht="12.75" x14ac:dyDescent="0.2">
      <c r="A111" s="24">
        <v>45660</v>
      </c>
      <c r="B111" s="25" t="s">
        <v>7</v>
      </c>
      <c r="C111" s="26"/>
      <c r="D111" s="27"/>
      <c r="E111" s="28"/>
      <c r="F111" s="28"/>
      <c r="G111" s="29"/>
      <c r="H111" s="19">
        <f t="shared" si="3"/>
        <v>0</v>
      </c>
      <c r="I111" s="20">
        <f t="shared" si="1"/>
        <v>0</v>
      </c>
      <c r="J111" s="21">
        <v>0</v>
      </c>
      <c r="K111" s="22">
        <f t="shared" si="2"/>
        <v>0</v>
      </c>
    </row>
    <row r="112" spans="1:11" ht="12.75" x14ac:dyDescent="0.2">
      <c r="A112" s="30">
        <v>45663</v>
      </c>
      <c r="B112" s="31" t="s">
        <v>3</v>
      </c>
      <c r="C112" s="32"/>
      <c r="D112" s="33"/>
      <c r="E112" s="34"/>
      <c r="F112" s="34"/>
      <c r="G112" s="35"/>
      <c r="H112" s="19">
        <f t="shared" si="3"/>
        <v>0</v>
      </c>
      <c r="I112" s="20">
        <f t="shared" si="1"/>
        <v>0</v>
      </c>
      <c r="J112" s="21">
        <v>0</v>
      </c>
      <c r="K112" s="22">
        <f t="shared" si="2"/>
        <v>0</v>
      </c>
    </row>
    <row r="113" spans="1:11" ht="12.75" x14ac:dyDescent="0.2">
      <c r="A113" s="30">
        <v>45664</v>
      </c>
      <c r="B113" s="31" t="s">
        <v>4</v>
      </c>
      <c r="C113" s="32"/>
      <c r="D113" s="33"/>
      <c r="E113" s="34"/>
      <c r="F113" s="34"/>
      <c r="G113" s="35"/>
      <c r="H113" s="19">
        <f t="shared" si="3"/>
        <v>0</v>
      </c>
      <c r="I113" s="20">
        <f t="shared" si="1"/>
        <v>0</v>
      </c>
      <c r="J113" s="21">
        <v>0</v>
      </c>
      <c r="K113" s="22">
        <f t="shared" si="2"/>
        <v>0</v>
      </c>
    </row>
    <row r="114" spans="1:11" ht="12.75" x14ac:dyDescent="0.2">
      <c r="A114" s="13">
        <v>45665</v>
      </c>
      <c r="B114" s="14" t="s">
        <v>5</v>
      </c>
      <c r="C114" s="15">
        <v>0.91510000000000002</v>
      </c>
      <c r="D114" s="16" t="s">
        <v>22</v>
      </c>
      <c r="E114" s="17"/>
      <c r="F114" s="17"/>
      <c r="G114" s="18">
        <v>624</v>
      </c>
      <c r="H114" s="19">
        <f t="shared" si="3"/>
        <v>52.977599999999939</v>
      </c>
      <c r="I114" s="20">
        <f t="shared" si="1"/>
        <v>2913.7679999999964</v>
      </c>
      <c r="J114" s="21">
        <v>0</v>
      </c>
      <c r="K114" s="22">
        <f t="shared" si="2"/>
        <v>-52.977599999999939</v>
      </c>
    </row>
    <row r="115" spans="1:11" ht="12.75" x14ac:dyDescent="0.2">
      <c r="A115" s="13">
        <v>45666</v>
      </c>
      <c r="B115" s="14" t="s">
        <v>6</v>
      </c>
      <c r="C115" s="15">
        <v>0.92310000000000003</v>
      </c>
      <c r="D115" s="16" t="s">
        <v>22</v>
      </c>
      <c r="E115" s="17"/>
      <c r="F115" s="17"/>
      <c r="G115" s="18">
        <v>624</v>
      </c>
      <c r="H115" s="19">
        <f t="shared" si="3"/>
        <v>47.985599999999977</v>
      </c>
      <c r="I115" s="20">
        <f t="shared" si="1"/>
        <v>2639.2079999999987</v>
      </c>
      <c r="J115" s="21">
        <v>0</v>
      </c>
      <c r="K115" s="22">
        <f t="shared" si="2"/>
        <v>-47.985599999999977</v>
      </c>
    </row>
    <row r="116" spans="1:11" ht="12.75" x14ac:dyDescent="0.2">
      <c r="A116" s="13">
        <v>45667</v>
      </c>
      <c r="B116" s="14" t="s">
        <v>7</v>
      </c>
      <c r="C116" s="15">
        <v>0.90059999999999996</v>
      </c>
      <c r="D116" s="16" t="s">
        <v>22</v>
      </c>
      <c r="E116" s="17" t="s">
        <v>43</v>
      </c>
      <c r="F116" s="17"/>
      <c r="G116" s="18">
        <v>624</v>
      </c>
      <c r="H116" s="19">
        <f t="shared" si="3"/>
        <v>62.025600000000054</v>
      </c>
      <c r="I116" s="20">
        <f t="shared" si="1"/>
        <v>3411.4080000000031</v>
      </c>
      <c r="J116" s="21">
        <v>0</v>
      </c>
      <c r="K116" s="22">
        <f t="shared" si="2"/>
        <v>-62.025600000000054</v>
      </c>
    </row>
    <row r="117" spans="1:11" ht="12.75" x14ac:dyDescent="0.2">
      <c r="A117" s="13">
        <v>45670</v>
      </c>
      <c r="B117" s="14" t="s">
        <v>3</v>
      </c>
      <c r="C117" s="15">
        <v>0.94099999999999995</v>
      </c>
      <c r="D117" s="16" t="s">
        <v>22</v>
      </c>
      <c r="E117" s="17"/>
      <c r="F117" s="17"/>
      <c r="G117" s="18">
        <v>626</v>
      </c>
      <c r="H117" s="19">
        <f t="shared" si="3"/>
        <v>36.934000000000083</v>
      </c>
      <c r="I117" s="20">
        <f t="shared" si="1"/>
        <v>2031.3700000000044</v>
      </c>
      <c r="J117" s="21">
        <v>0</v>
      </c>
      <c r="K117" s="22">
        <f t="shared" si="2"/>
        <v>-36.934000000000083</v>
      </c>
    </row>
    <row r="118" spans="1:11" ht="12.75" x14ac:dyDescent="0.2">
      <c r="A118" s="13">
        <v>45671</v>
      </c>
      <c r="B118" s="14" t="s">
        <v>4</v>
      </c>
      <c r="C118" s="15">
        <v>0.96650000000000003</v>
      </c>
      <c r="D118" s="16" t="s">
        <v>22</v>
      </c>
      <c r="E118" s="17"/>
      <c r="F118" s="17"/>
      <c r="G118" s="18">
        <v>626</v>
      </c>
      <c r="H118" s="19">
        <f t="shared" si="3"/>
        <v>20.971000000000004</v>
      </c>
      <c r="I118" s="20">
        <f t="shared" si="1"/>
        <v>1153.4050000000002</v>
      </c>
      <c r="J118" s="21">
        <v>0</v>
      </c>
      <c r="K118" s="22">
        <f t="shared" si="2"/>
        <v>-20.971000000000004</v>
      </c>
    </row>
    <row r="119" spans="1:11" ht="12.75" x14ac:dyDescent="0.2">
      <c r="A119" s="13">
        <v>45672</v>
      </c>
      <c r="B119" s="14" t="s">
        <v>5</v>
      </c>
      <c r="C119" s="15">
        <v>0.96009999999999995</v>
      </c>
      <c r="D119" s="16" t="s">
        <v>22</v>
      </c>
      <c r="E119" s="17"/>
      <c r="F119" s="17"/>
      <c r="G119" s="18">
        <v>626</v>
      </c>
      <c r="H119" s="19">
        <f t="shared" si="3"/>
        <v>24.977399999999989</v>
      </c>
      <c r="I119" s="20">
        <f t="shared" si="1"/>
        <v>1373.7569999999994</v>
      </c>
      <c r="J119" s="21">
        <v>0</v>
      </c>
      <c r="K119" s="22">
        <f t="shared" si="2"/>
        <v>-24.977399999999989</v>
      </c>
    </row>
    <row r="120" spans="1:11" ht="12.75" x14ac:dyDescent="0.2">
      <c r="A120" s="13">
        <v>45673</v>
      </c>
      <c r="B120" s="14" t="s">
        <v>6</v>
      </c>
      <c r="C120" s="15">
        <v>0.95509999999999995</v>
      </c>
      <c r="D120" s="16" t="s">
        <v>22</v>
      </c>
      <c r="E120" s="17"/>
      <c r="F120" s="17"/>
      <c r="G120" s="18">
        <v>622</v>
      </c>
      <c r="H120" s="19">
        <f t="shared" si="3"/>
        <v>27.927800000000047</v>
      </c>
      <c r="I120" s="20">
        <f t="shared" si="1"/>
        <v>1536.0290000000027</v>
      </c>
      <c r="J120" s="21">
        <v>0</v>
      </c>
      <c r="K120" s="22">
        <f t="shared" si="2"/>
        <v>-27.927800000000047</v>
      </c>
    </row>
    <row r="121" spans="1:11" ht="12.75" x14ac:dyDescent="0.2">
      <c r="A121" s="13">
        <v>45674</v>
      </c>
      <c r="B121" s="14" t="s">
        <v>7</v>
      </c>
      <c r="C121" s="15">
        <v>0.92630000000000001</v>
      </c>
      <c r="D121" s="16" t="s">
        <v>22</v>
      </c>
      <c r="E121" s="17"/>
      <c r="F121" s="17"/>
      <c r="G121" s="18">
        <v>622</v>
      </c>
      <c r="H121" s="19">
        <f t="shared" si="3"/>
        <v>45.841400000000021</v>
      </c>
      <c r="I121" s="20">
        <f t="shared" si="1"/>
        <v>2521.277000000001</v>
      </c>
      <c r="J121" s="21">
        <v>0</v>
      </c>
      <c r="K121" s="22">
        <f t="shared" si="2"/>
        <v>-45.841400000000021</v>
      </c>
    </row>
    <row r="122" spans="1:11" ht="12.75" x14ac:dyDescent="0.2">
      <c r="A122" s="24">
        <v>45677</v>
      </c>
      <c r="B122" s="25" t="s">
        <v>3</v>
      </c>
      <c r="C122" s="26"/>
      <c r="D122" s="27"/>
      <c r="E122" s="28"/>
      <c r="F122" s="28"/>
      <c r="G122" s="29"/>
      <c r="H122" s="19">
        <f t="shared" si="3"/>
        <v>0</v>
      </c>
      <c r="I122" s="20">
        <f t="shared" si="1"/>
        <v>0</v>
      </c>
      <c r="J122" s="21">
        <v>0</v>
      </c>
      <c r="K122" s="22">
        <f t="shared" si="2"/>
        <v>0</v>
      </c>
    </row>
    <row r="123" spans="1:11" ht="12.75" x14ac:dyDescent="0.2">
      <c r="A123" s="13">
        <v>45678</v>
      </c>
      <c r="B123" s="14" t="s">
        <v>4</v>
      </c>
      <c r="C123" s="15"/>
      <c r="D123" s="16"/>
      <c r="E123" s="17"/>
      <c r="F123" s="17"/>
      <c r="G123" s="18">
        <v>622</v>
      </c>
      <c r="H123" s="19">
        <f t="shared" si="3"/>
        <v>622</v>
      </c>
      <c r="I123" s="20">
        <f t="shared" si="1"/>
        <v>34210</v>
      </c>
      <c r="J123" s="21">
        <v>0</v>
      </c>
      <c r="K123" s="22">
        <f t="shared" si="2"/>
        <v>-622</v>
      </c>
    </row>
    <row r="124" spans="1:11" ht="12.75" x14ac:dyDescent="0.2">
      <c r="A124" s="13">
        <v>45679</v>
      </c>
      <c r="B124" s="14" t="s">
        <v>5</v>
      </c>
      <c r="C124" s="15"/>
      <c r="D124" s="16"/>
      <c r="E124" s="17"/>
      <c r="F124" s="17"/>
      <c r="G124" s="18">
        <v>622</v>
      </c>
      <c r="H124" s="19">
        <f t="shared" si="3"/>
        <v>622</v>
      </c>
      <c r="I124" s="20">
        <f t="shared" si="1"/>
        <v>34210</v>
      </c>
      <c r="J124" s="21">
        <v>0</v>
      </c>
      <c r="K124" s="22">
        <f t="shared" si="2"/>
        <v>-622</v>
      </c>
    </row>
    <row r="125" spans="1:11" ht="12.75" x14ac:dyDescent="0.2">
      <c r="A125" s="13">
        <v>45680</v>
      </c>
      <c r="B125" s="14" t="s">
        <v>6</v>
      </c>
      <c r="C125" s="15">
        <v>0.82210000000000005</v>
      </c>
      <c r="D125" s="16" t="s">
        <v>29</v>
      </c>
      <c r="E125" s="17" t="s">
        <v>43</v>
      </c>
      <c r="F125" s="17"/>
      <c r="G125" s="18">
        <v>622</v>
      </c>
      <c r="H125" s="19">
        <f t="shared" si="3"/>
        <v>110.65379999999999</v>
      </c>
      <c r="I125" s="20">
        <f t="shared" si="1"/>
        <v>6085.9589999999998</v>
      </c>
      <c r="J125" s="21">
        <v>0</v>
      </c>
      <c r="K125" s="22" t="s">
        <v>92</v>
      </c>
    </row>
    <row r="126" spans="1:11" ht="12.75" x14ac:dyDescent="0.2">
      <c r="A126" s="13">
        <v>45681</v>
      </c>
      <c r="B126" s="14" t="s">
        <v>7</v>
      </c>
      <c r="C126" s="15">
        <v>0.91990000000000005</v>
      </c>
      <c r="D126" s="16" t="s">
        <v>22</v>
      </c>
      <c r="E126" s="17"/>
      <c r="F126" s="17"/>
      <c r="G126" s="18">
        <v>622</v>
      </c>
      <c r="H126" s="19">
        <f t="shared" si="3"/>
        <v>49.822199999999953</v>
      </c>
      <c r="I126" s="20">
        <f t="shared" si="1"/>
        <v>2740.2209999999973</v>
      </c>
      <c r="J126" s="21">
        <v>0</v>
      </c>
      <c r="K126" s="22">
        <f t="shared" ref="K126:K215" si="4">J126-H126</f>
        <v>-49.822199999999953</v>
      </c>
    </row>
    <row r="127" spans="1:11" ht="12.75" x14ac:dyDescent="0.2">
      <c r="A127" s="13">
        <v>45684</v>
      </c>
      <c r="B127" s="14" t="s">
        <v>3</v>
      </c>
      <c r="C127" s="15">
        <v>0.92930000000000001</v>
      </c>
      <c r="D127" s="16" t="s">
        <v>22</v>
      </c>
      <c r="E127" s="17"/>
      <c r="F127" s="17"/>
      <c r="G127" s="18">
        <v>620</v>
      </c>
      <c r="H127" s="19">
        <f t="shared" si="3"/>
        <v>43.833999999999946</v>
      </c>
      <c r="I127" s="20">
        <f t="shared" si="1"/>
        <v>2410.8699999999972</v>
      </c>
      <c r="J127" s="21">
        <v>0</v>
      </c>
      <c r="K127" s="22">
        <f t="shared" si="4"/>
        <v>-43.833999999999946</v>
      </c>
    </row>
    <row r="128" spans="1:11" ht="12.75" x14ac:dyDescent="0.2">
      <c r="A128" s="13">
        <v>45685</v>
      </c>
      <c r="B128" s="14" t="s">
        <v>4</v>
      </c>
      <c r="C128" s="15">
        <v>0.96299999999999997</v>
      </c>
      <c r="D128" s="16" t="s">
        <v>22</v>
      </c>
      <c r="E128" s="17"/>
      <c r="F128" s="17"/>
      <c r="G128" s="18">
        <v>620</v>
      </c>
      <c r="H128" s="19">
        <f t="shared" si="3"/>
        <v>22.940000000000055</v>
      </c>
      <c r="I128" s="20">
        <f t="shared" si="1"/>
        <v>1261.700000000003</v>
      </c>
      <c r="J128" s="21">
        <v>0</v>
      </c>
      <c r="K128" s="22">
        <f t="shared" si="4"/>
        <v>-22.940000000000055</v>
      </c>
    </row>
    <row r="129" spans="1:11" ht="12.75" x14ac:dyDescent="0.2">
      <c r="A129" s="13">
        <v>45686</v>
      </c>
      <c r="B129" s="14" t="s">
        <v>5</v>
      </c>
      <c r="C129" s="15">
        <v>0.95179999999999998</v>
      </c>
      <c r="D129" s="16" t="s">
        <v>22</v>
      </c>
      <c r="E129" s="17"/>
      <c r="F129" s="17"/>
      <c r="G129" s="18">
        <v>620</v>
      </c>
      <c r="H129" s="19">
        <f t="shared" si="3"/>
        <v>29.884000000000015</v>
      </c>
      <c r="I129" s="20">
        <f t="shared" si="1"/>
        <v>1643.6200000000008</v>
      </c>
      <c r="J129" s="21">
        <v>0</v>
      </c>
      <c r="K129" s="22">
        <f t="shared" si="4"/>
        <v>-29.884000000000015</v>
      </c>
    </row>
    <row r="130" spans="1:11" ht="12.75" x14ac:dyDescent="0.2">
      <c r="A130" s="13">
        <v>45687</v>
      </c>
      <c r="B130" s="14" t="s">
        <v>6</v>
      </c>
      <c r="C130" s="15">
        <v>0.95499999999999996</v>
      </c>
      <c r="D130" s="16" t="s">
        <v>22</v>
      </c>
      <c r="E130" s="17"/>
      <c r="F130" s="17"/>
      <c r="G130" s="18">
        <v>620</v>
      </c>
      <c r="H130" s="19">
        <f t="shared" si="3"/>
        <v>27.899999999999977</v>
      </c>
      <c r="I130" s="20">
        <f t="shared" si="1"/>
        <v>1534.4999999999986</v>
      </c>
      <c r="J130" s="21">
        <v>0</v>
      </c>
      <c r="K130" s="22">
        <f t="shared" si="4"/>
        <v>-27.899999999999977</v>
      </c>
    </row>
    <row r="131" spans="1:11" ht="12.75" x14ac:dyDescent="0.2">
      <c r="A131" s="13">
        <v>45688</v>
      </c>
      <c r="B131" s="14" t="s">
        <v>7</v>
      </c>
      <c r="C131" s="15">
        <v>0.92769999999999997</v>
      </c>
      <c r="D131" s="16" t="s">
        <v>22</v>
      </c>
      <c r="E131" s="17"/>
      <c r="F131" s="17"/>
      <c r="G131" s="18">
        <v>619</v>
      </c>
      <c r="H131" s="19">
        <f t="shared" si="3"/>
        <v>44.753699999999981</v>
      </c>
      <c r="I131" s="20">
        <f t="shared" si="1"/>
        <v>2461.4534999999987</v>
      </c>
      <c r="J131" s="21">
        <v>0</v>
      </c>
      <c r="K131" s="22">
        <f t="shared" si="4"/>
        <v>-44.753699999999981</v>
      </c>
    </row>
    <row r="132" spans="1:11" ht="12.75" x14ac:dyDescent="0.2">
      <c r="A132" s="13">
        <v>45691</v>
      </c>
      <c r="B132" s="14" t="s">
        <v>3</v>
      </c>
      <c r="C132" s="15">
        <v>0.81610000000000005</v>
      </c>
      <c r="D132" s="16" t="s">
        <v>29</v>
      </c>
      <c r="E132" s="17" t="s">
        <v>30</v>
      </c>
      <c r="F132" s="17"/>
      <c r="G132" s="18">
        <v>618</v>
      </c>
      <c r="H132" s="19">
        <f t="shared" si="3"/>
        <v>113.65019999999998</v>
      </c>
      <c r="I132" s="20">
        <f t="shared" si="1"/>
        <v>6250.7609999999995</v>
      </c>
      <c r="J132" s="21">
        <v>0</v>
      </c>
      <c r="K132" s="22">
        <f t="shared" si="4"/>
        <v>-113.65019999999998</v>
      </c>
    </row>
    <row r="133" spans="1:11" ht="12.75" x14ac:dyDescent="0.2">
      <c r="A133" s="13">
        <v>45692</v>
      </c>
      <c r="B133" s="14" t="s">
        <v>4</v>
      </c>
      <c r="C133" s="15">
        <v>0.93720000000000003</v>
      </c>
      <c r="D133" s="16" t="s">
        <v>22</v>
      </c>
      <c r="E133" s="17"/>
      <c r="F133" s="17"/>
      <c r="G133" s="18">
        <v>619</v>
      </c>
      <c r="H133" s="19">
        <f t="shared" si="3"/>
        <v>38.873199999999997</v>
      </c>
      <c r="I133" s="20">
        <f t="shared" si="1"/>
        <v>2138.0259999999998</v>
      </c>
      <c r="J133" s="21">
        <v>0</v>
      </c>
      <c r="K133" s="22">
        <f t="shared" si="4"/>
        <v>-38.873199999999997</v>
      </c>
    </row>
    <row r="134" spans="1:11" ht="12.75" x14ac:dyDescent="0.2">
      <c r="A134" s="13">
        <v>45693</v>
      </c>
      <c r="B134" s="14" t="s">
        <v>5</v>
      </c>
      <c r="C134" s="15">
        <v>0.95640000000000003</v>
      </c>
      <c r="D134" s="16" t="s">
        <v>22</v>
      </c>
      <c r="E134" s="17"/>
      <c r="F134" s="17"/>
      <c r="G134" s="18">
        <v>619</v>
      </c>
      <c r="H134" s="19">
        <f t="shared" si="3"/>
        <v>26.988399999999956</v>
      </c>
      <c r="I134" s="20">
        <f t="shared" si="1"/>
        <v>1484.3619999999976</v>
      </c>
      <c r="J134" s="21">
        <v>0</v>
      </c>
      <c r="K134" s="22">
        <f t="shared" si="4"/>
        <v>-26.988399999999956</v>
      </c>
    </row>
    <row r="135" spans="1:11" ht="12.75" x14ac:dyDescent="0.2">
      <c r="A135" s="13">
        <v>45694</v>
      </c>
      <c r="B135" s="14" t="s">
        <v>6</v>
      </c>
      <c r="C135" s="15">
        <v>0.96289999999999998</v>
      </c>
      <c r="D135" s="16" t="s">
        <v>22</v>
      </c>
      <c r="E135" s="17"/>
      <c r="F135" s="17"/>
      <c r="G135" s="18">
        <v>620</v>
      </c>
      <c r="H135" s="19">
        <f t="shared" si="3"/>
        <v>23.002000000000066</v>
      </c>
      <c r="I135" s="20">
        <f t="shared" si="1"/>
        <v>1265.1100000000038</v>
      </c>
      <c r="J135" s="21">
        <v>0</v>
      </c>
      <c r="K135" s="22">
        <f t="shared" si="4"/>
        <v>-23.002000000000066</v>
      </c>
    </row>
    <row r="136" spans="1:11" ht="12.75" x14ac:dyDescent="0.2">
      <c r="A136" s="13">
        <v>45695</v>
      </c>
      <c r="B136" s="14" t="s">
        <v>7</v>
      </c>
      <c r="C136" s="15">
        <v>0.93059999999999998</v>
      </c>
      <c r="D136" s="16" t="s">
        <v>22</v>
      </c>
      <c r="E136" s="17"/>
      <c r="F136" s="17"/>
      <c r="G136" s="18">
        <v>620</v>
      </c>
      <c r="H136" s="19">
        <f t="shared" si="3"/>
        <v>43.02800000000002</v>
      </c>
      <c r="I136" s="20">
        <f t="shared" si="1"/>
        <v>2366.5400000000009</v>
      </c>
      <c r="J136" s="21">
        <v>0</v>
      </c>
      <c r="K136" s="22">
        <f t="shared" si="4"/>
        <v>-43.02800000000002</v>
      </c>
    </row>
    <row r="137" spans="1:11" ht="12.75" x14ac:dyDescent="0.2">
      <c r="A137" s="30">
        <v>45698</v>
      </c>
      <c r="B137" s="31" t="s">
        <v>3</v>
      </c>
      <c r="C137" s="32"/>
      <c r="D137" s="33"/>
      <c r="E137" s="34"/>
      <c r="F137" s="34"/>
      <c r="G137" s="35"/>
      <c r="H137" s="19">
        <f t="shared" si="3"/>
        <v>0</v>
      </c>
      <c r="I137" s="20">
        <f t="shared" si="1"/>
        <v>0</v>
      </c>
      <c r="J137" s="21">
        <v>0</v>
      </c>
      <c r="K137" s="22">
        <f t="shared" si="4"/>
        <v>0</v>
      </c>
    </row>
    <row r="138" spans="1:11" ht="12.75" x14ac:dyDescent="0.2">
      <c r="A138" s="30">
        <v>45699</v>
      </c>
      <c r="B138" s="31" t="s">
        <v>4</v>
      </c>
      <c r="C138" s="32"/>
      <c r="D138" s="33"/>
      <c r="E138" s="34"/>
      <c r="F138" s="34"/>
      <c r="G138" s="35"/>
      <c r="H138" s="19">
        <f t="shared" si="3"/>
        <v>0</v>
      </c>
      <c r="I138" s="20">
        <f t="shared" si="1"/>
        <v>0</v>
      </c>
      <c r="J138" s="21">
        <v>0</v>
      </c>
      <c r="K138" s="22">
        <f t="shared" si="4"/>
        <v>0</v>
      </c>
    </row>
    <row r="139" spans="1:11" ht="12.75" x14ac:dyDescent="0.2">
      <c r="A139" s="13">
        <v>45700</v>
      </c>
      <c r="B139" s="14" t="s">
        <v>5</v>
      </c>
      <c r="C139" s="15">
        <v>0.94030000000000002</v>
      </c>
      <c r="D139" s="16" t="s">
        <v>22</v>
      </c>
      <c r="E139" s="17"/>
      <c r="F139" s="17"/>
      <c r="G139" s="18">
        <v>620</v>
      </c>
      <c r="H139" s="19">
        <f t="shared" si="3"/>
        <v>37.01400000000001</v>
      </c>
      <c r="I139" s="20">
        <f t="shared" si="1"/>
        <v>2035.7700000000004</v>
      </c>
      <c r="J139" s="21">
        <v>0</v>
      </c>
      <c r="K139" s="22">
        <f t="shared" si="4"/>
        <v>-37.01400000000001</v>
      </c>
    </row>
    <row r="140" spans="1:11" ht="12.75" x14ac:dyDescent="0.2">
      <c r="A140" s="13">
        <v>45701</v>
      </c>
      <c r="B140" s="14" t="s">
        <v>6</v>
      </c>
      <c r="C140" s="15">
        <v>0.94350000000000001</v>
      </c>
      <c r="D140" s="16" t="s">
        <v>22</v>
      </c>
      <c r="E140" s="17"/>
      <c r="F140" s="17"/>
      <c r="G140" s="18">
        <v>620</v>
      </c>
      <c r="H140" s="19">
        <f t="shared" si="3"/>
        <v>35.029999999999973</v>
      </c>
      <c r="I140" s="20">
        <f t="shared" si="1"/>
        <v>1926.6499999999985</v>
      </c>
      <c r="J140" s="21">
        <v>0</v>
      </c>
      <c r="K140" s="22">
        <f t="shared" si="4"/>
        <v>-35.029999999999973</v>
      </c>
    </row>
    <row r="141" spans="1:11" ht="12.75" x14ac:dyDescent="0.2">
      <c r="A141" s="13">
        <v>45702</v>
      </c>
      <c r="B141" s="14" t="s">
        <v>7</v>
      </c>
      <c r="C141" s="15">
        <v>0.94669999999999999</v>
      </c>
      <c r="D141" s="16" t="s">
        <v>22</v>
      </c>
      <c r="E141" s="17"/>
      <c r="F141" s="17"/>
      <c r="G141" s="18">
        <v>619</v>
      </c>
      <c r="H141" s="19">
        <f t="shared" si="3"/>
        <v>32.992700000000013</v>
      </c>
      <c r="I141" s="20">
        <f t="shared" si="1"/>
        <v>1814.5985000000007</v>
      </c>
      <c r="J141" s="21">
        <v>0</v>
      </c>
      <c r="K141" s="22">
        <f t="shared" si="4"/>
        <v>-32.992700000000013</v>
      </c>
    </row>
    <row r="142" spans="1:11" ht="12.75" x14ac:dyDescent="0.2">
      <c r="A142" s="38">
        <v>45705</v>
      </c>
      <c r="B142" s="39" t="s">
        <v>3</v>
      </c>
      <c r="C142" s="40"/>
      <c r="D142" s="41"/>
      <c r="E142" s="42"/>
      <c r="F142" s="42"/>
      <c r="G142" s="43"/>
      <c r="H142" s="19">
        <f t="shared" si="3"/>
        <v>0</v>
      </c>
      <c r="I142" s="20">
        <f t="shared" si="1"/>
        <v>0</v>
      </c>
      <c r="J142" s="21">
        <v>0</v>
      </c>
      <c r="K142" s="22">
        <f t="shared" si="4"/>
        <v>0</v>
      </c>
    </row>
    <row r="143" spans="1:11" ht="12.75" x14ac:dyDescent="0.2">
      <c r="A143" s="13">
        <v>45706</v>
      </c>
      <c r="B143" s="14" t="s">
        <v>4</v>
      </c>
      <c r="C143" s="15">
        <v>0.94179999999999997</v>
      </c>
      <c r="D143" s="16" t="s">
        <v>22</v>
      </c>
      <c r="E143" s="17"/>
      <c r="F143" s="17"/>
      <c r="G143" s="18">
        <v>619</v>
      </c>
      <c r="H143" s="19">
        <f t="shared" si="3"/>
        <v>36.025800000000004</v>
      </c>
      <c r="I143" s="20">
        <f t="shared" si="1"/>
        <v>1981.4190000000003</v>
      </c>
      <c r="J143" s="21">
        <v>0</v>
      </c>
      <c r="K143" s="22">
        <f t="shared" si="4"/>
        <v>-36.025800000000004</v>
      </c>
    </row>
    <row r="144" spans="1:11" ht="12.75" x14ac:dyDescent="0.2">
      <c r="A144" s="13">
        <v>45707</v>
      </c>
      <c r="B144" s="14" t="s">
        <v>5</v>
      </c>
      <c r="C144" s="15">
        <v>0.94020000000000004</v>
      </c>
      <c r="D144" s="16" t="s">
        <v>22</v>
      </c>
      <c r="E144" s="17"/>
      <c r="F144" s="17"/>
      <c r="G144" s="18">
        <v>619</v>
      </c>
      <c r="H144" s="19">
        <f t="shared" si="3"/>
        <v>37.016200000000026</v>
      </c>
      <c r="I144" s="20">
        <f t="shared" si="1"/>
        <v>2035.8910000000014</v>
      </c>
      <c r="J144" s="21">
        <v>0</v>
      </c>
      <c r="K144" s="22">
        <f t="shared" si="4"/>
        <v>-37.016200000000026</v>
      </c>
    </row>
    <row r="145" spans="1:11" ht="12.75" x14ac:dyDescent="0.2">
      <c r="A145" s="13">
        <v>45708</v>
      </c>
      <c r="B145" s="14" t="s">
        <v>6</v>
      </c>
      <c r="C145" s="15">
        <v>0.94350000000000001</v>
      </c>
      <c r="D145" s="16" t="s">
        <v>22</v>
      </c>
      <c r="E145" s="17"/>
      <c r="F145" s="17"/>
      <c r="G145" s="18">
        <v>619</v>
      </c>
      <c r="H145" s="19">
        <f t="shared" si="3"/>
        <v>34.973499999999945</v>
      </c>
      <c r="I145" s="20">
        <f t="shared" si="1"/>
        <v>1923.5424999999968</v>
      </c>
      <c r="J145" s="21">
        <v>0</v>
      </c>
      <c r="K145" s="22">
        <f t="shared" si="4"/>
        <v>-34.973499999999945</v>
      </c>
    </row>
    <row r="146" spans="1:11" ht="12.75" x14ac:dyDescent="0.2">
      <c r="A146" s="13">
        <v>45709</v>
      </c>
      <c r="B146" s="14" t="s">
        <v>7</v>
      </c>
      <c r="C146" s="15">
        <v>0.92049999999999998</v>
      </c>
      <c r="D146" s="16" t="s">
        <v>22</v>
      </c>
      <c r="E146" s="17" t="s">
        <v>43</v>
      </c>
      <c r="F146" s="17"/>
      <c r="G146" s="18">
        <v>616</v>
      </c>
      <c r="H146" s="19">
        <f t="shared" si="3"/>
        <v>48.97199999999998</v>
      </c>
      <c r="I146" s="20">
        <f t="shared" si="1"/>
        <v>2693.4599999999991</v>
      </c>
      <c r="J146" s="21">
        <v>0</v>
      </c>
      <c r="K146" s="22">
        <f t="shared" si="4"/>
        <v>-48.97199999999998</v>
      </c>
    </row>
    <row r="147" spans="1:11" ht="12.75" x14ac:dyDescent="0.2">
      <c r="A147" s="13">
        <v>45712</v>
      </c>
      <c r="B147" s="14" t="s">
        <v>3</v>
      </c>
      <c r="C147" s="15">
        <v>0.94330000000000003</v>
      </c>
      <c r="D147" s="16" t="s">
        <v>22</v>
      </c>
      <c r="E147" s="17"/>
      <c r="F147" s="17"/>
      <c r="G147" s="18">
        <v>617</v>
      </c>
      <c r="H147" s="19">
        <f t="shared" si="3"/>
        <v>34.983899999999949</v>
      </c>
      <c r="I147" s="20">
        <f t="shared" si="1"/>
        <v>1924.1144999999972</v>
      </c>
      <c r="J147" s="21">
        <v>0</v>
      </c>
      <c r="K147" s="22">
        <f t="shared" si="4"/>
        <v>-34.983899999999949</v>
      </c>
    </row>
    <row r="148" spans="1:11" ht="12.75" x14ac:dyDescent="0.2">
      <c r="A148" s="13">
        <v>45713</v>
      </c>
      <c r="B148" s="14" t="s">
        <v>4</v>
      </c>
      <c r="C148" s="15">
        <v>0.94130000000000003</v>
      </c>
      <c r="D148" s="16" t="s">
        <v>22</v>
      </c>
      <c r="E148" s="17"/>
      <c r="F148" s="17"/>
      <c r="G148" s="18">
        <v>613</v>
      </c>
      <c r="H148" s="19">
        <f t="shared" si="3"/>
        <v>35.983100000000036</v>
      </c>
      <c r="I148" s="20">
        <f t="shared" si="1"/>
        <v>1979.0705000000021</v>
      </c>
      <c r="J148" s="21">
        <v>0</v>
      </c>
      <c r="K148" s="22">
        <f t="shared" si="4"/>
        <v>-35.983100000000036</v>
      </c>
    </row>
    <row r="149" spans="1:11" ht="12.75" x14ac:dyDescent="0.2">
      <c r="A149" s="13">
        <v>45714</v>
      </c>
      <c r="B149" s="14" t="s">
        <v>5</v>
      </c>
      <c r="C149" s="15">
        <v>0.96740000000000004</v>
      </c>
      <c r="D149" s="16" t="s">
        <v>22</v>
      </c>
      <c r="E149" s="17"/>
      <c r="F149" s="17"/>
      <c r="G149" s="18">
        <v>613</v>
      </c>
      <c r="H149" s="19">
        <f t="shared" si="3"/>
        <v>19.983799999999974</v>
      </c>
      <c r="I149" s="20">
        <f t="shared" si="1"/>
        <v>1099.1089999999986</v>
      </c>
      <c r="J149" s="21">
        <v>0</v>
      </c>
      <c r="K149" s="22">
        <f t="shared" si="4"/>
        <v>-19.983799999999974</v>
      </c>
    </row>
    <row r="150" spans="1:11" ht="12.75" x14ac:dyDescent="0.2">
      <c r="A150" s="13">
        <v>45715</v>
      </c>
      <c r="B150" s="14" t="s">
        <v>6</v>
      </c>
      <c r="C150" s="15">
        <v>0.95430000000000004</v>
      </c>
      <c r="D150" s="16" t="s">
        <v>22</v>
      </c>
      <c r="E150" s="17"/>
      <c r="F150" s="17"/>
      <c r="G150" s="18">
        <v>613</v>
      </c>
      <c r="H150" s="19">
        <f t="shared" si="3"/>
        <v>28.014099999999985</v>
      </c>
      <c r="I150" s="20">
        <f t="shared" si="1"/>
        <v>1540.7754999999993</v>
      </c>
      <c r="J150" s="21">
        <v>0</v>
      </c>
      <c r="K150" s="22">
        <f t="shared" si="4"/>
        <v>-28.014099999999985</v>
      </c>
    </row>
    <row r="151" spans="1:11" ht="12.75" x14ac:dyDescent="0.2">
      <c r="A151" s="13">
        <v>45716</v>
      </c>
      <c r="B151" s="14" t="s">
        <v>7</v>
      </c>
      <c r="C151" s="15">
        <v>0.9103</v>
      </c>
      <c r="D151" s="16" t="s">
        <v>22</v>
      </c>
      <c r="E151" s="17"/>
      <c r="F151" s="17"/>
      <c r="G151" s="18">
        <v>613</v>
      </c>
      <c r="H151" s="19">
        <f t="shared" si="3"/>
        <v>54.986099999999965</v>
      </c>
      <c r="I151" s="20">
        <f t="shared" si="1"/>
        <v>3024.235499999998</v>
      </c>
      <c r="J151" s="21">
        <v>0</v>
      </c>
      <c r="K151" s="22">
        <f t="shared" si="4"/>
        <v>-54.986099999999965</v>
      </c>
    </row>
    <row r="152" spans="1:11" ht="12.75" x14ac:dyDescent="0.2">
      <c r="A152" s="13">
        <v>45719</v>
      </c>
      <c r="B152" s="14" t="s">
        <v>3</v>
      </c>
      <c r="C152" s="15">
        <v>0.93030000000000002</v>
      </c>
      <c r="D152" s="16" t="s">
        <v>22</v>
      </c>
      <c r="E152" s="17"/>
      <c r="F152" s="17"/>
      <c r="G152" s="18">
        <v>617</v>
      </c>
      <c r="H152" s="19">
        <f t="shared" si="3"/>
        <v>43.004900000000021</v>
      </c>
      <c r="I152" s="20">
        <f t="shared" si="1"/>
        <v>2365.2695000000012</v>
      </c>
      <c r="J152" s="21">
        <v>0</v>
      </c>
      <c r="K152" s="22">
        <f t="shared" si="4"/>
        <v>-43.004900000000021</v>
      </c>
    </row>
    <row r="153" spans="1:11" ht="12.75" x14ac:dyDescent="0.2">
      <c r="A153" s="13">
        <v>45720</v>
      </c>
      <c r="B153" s="14" t="s">
        <v>4</v>
      </c>
      <c r="C153" s="15">
        <v>0.91569999999999996</v>
      </c>
      <c r="D153" s="16" t="s">
        <v>22</v>
      </c>
      <c r="E153" s="17"/>
      <c r="F153" s="17"/>
      <c r="G153" s="18">
        <v>617</v>
      </c>
      <c r="H153" s="19">
        <f t="shared" si="3"/>
        <v>52.013100000000009</v>
      </c>
      <c r="I153" s="20">
        <f t="shared" si="1"/>
        <v>2860.7205000000004</v>
      </c>
      <c r="J153" s="21">
        <v>0</v>
      </c>
      <c r="K153" s="22">
        <f t="shared" si="4"/>
        <v>-52.013100000000009</v>
      </c>
    </row>
    <row r="154" spans="1:11" ht="12.75" x14ac:dyDescent="0.2">
      <c r="A154" s="13">
        <v>45721</v>
      </c>
      <c r="B154" s="14" t="s">
        <v>5</v>
      </c>
      <c r="C154" s="15">
        <v>0.95320000000000005</v>
      </c>
      <c r="D154" s="16" t="s">
        <v>22</v>
      </c>
      <c r="E154" s="17"/>
      <c r="F154" s="17"/>
      <c r="G154" s="18">
        <v>619</v>
      </c>
      <c r="H154" s="19">
        <f t="shared" si="3"/>
        <v>28.969200000000001</v>
      </c>
      <c r="I154" s="20">
        <f t="shared" si="1"/>
        <v>1593.306</v>
      </c>
      <c r="J154" s="21">
        <v>0</v>
      </c>
      <c r="K154" s="22">
        <f t="shared" si="4"/>
        <v>-28.969200000000001</v>
      </c>
    </row>
    <row r="155" spans="1:11" ht="12.75" x14ac:dyDescent="0.2">
      <c r="A155" s="13">
        <v>45722</v>
      </c>
      <c r="B155" s="14" t="s">
        <v>6</v>
      </c>
      <c r="C155" s="15">
        <v>0.98060000000000003</v>
      </c>
      <c r="D155" s="16" t="s">
        <v>22</v>
      </c>
      <c r="E155" s="17"/>
      <c r="F155" s="17"/>
      <c r="G155" s="18">
        <v>619</v>
      </c>
      <c r="H155" s="19">
        <f t="shared" si="3"/>
        <v>12.008600000000001</v>
      </c>
      <c r="I155" s="20">
        <f t="shared" si="1"/>
        <v>660.47300000000007</v>
      </c>
      <c r="J155" s="21">
        <v>0</v>
      </c>
      <c r="K155" s="22">
        <f t="shared" si="4"/>
        <v>-12.008600000000001</v>
      </c>
    </row>
    <row r="156" spans="1:11" ht="12.75" x14ac:dyDescent="0.2">
      <c r="A156" s="13">
        <v>45723</v>
      </c>
      <c r="B156" s="14" t="s">
        <v>7</v>
      </c>
      <c r="C156" s="15">
        <v>0.96279999999999999</v>
      </c>
      <c r="D156" s="16" t="s">
        <v>22</v>
      </c>
      <c r="E156" s="17"/>
      <c r="F156" s="17"/>
      <c r="G156" s="18">
        <v>619</v>
      </c>
      <c r="H156" s="19">
        <f t="shared" si="3"/>
        <v>23.02679999999998</v>
      </c>
      <c r="I156" s="20">
        <f t="shared" si="1"/>
        <v>1266.4739999999988</v>
      </c>
      <c r="J156" s="21">
        <v>0</v>
      </c>
      <c r="K156" s="22">
        <f t="shared" si="4"/>
        <v>-23.02679999999998</v>
      </c>
    </row>
    <row r="157" spans="1:11" ht="12.75" x14ac:dyDescent="0.2">
      <c r="A157" s="44">
        <v>45726</v>
      </c>
      <c r="B157" s="45" t="s">
        <v>3</v>
      </c>
      <c r="C157" s="15">
        <v>0.93389999999999995</v>
      </c>
      <c r="D157" s="16" t="s">
        <v>22</v>
      </c>
      <c r="E157" s="17"/>
      <c r="F157" s="17"/>
      <c r="G157" s="18">
        <v>620</v>
      </c>
      <c r="H157" s="19">
        <f t="shared" si="3"/>
        <v>40.982000000000085</v>
      </c>
      <c r="I157" s="20">
        <f t="shared" si="1"/>
        <v>2254.0100000000048</v>
      </c>
      <c r="J157" s="21">
        <v>0</v>
      </c>
      <c r="K157" s="22">
        <f t="shared" si="4"/>
        <v>-40.982000000000085</v>
      </c>
    </row>
    <row r="158" spans="1:11" ht="12.75" x14ac:dyDescent="0.2">
      <c r="A158" s="44">
        <v>45727</v>
      </c>
      <c r="B158" s="45" t="s">
        <v>4</v>
      </c>
      <c r="C158" s="15">
        <v>0.98870000000000002</v>
      </c>
      <c r="D158" s="16" t="s">
        <v>22</v>
      </c>
      <c r="E158" s="17"/>
      <c r="F158" s="17"/>
      <c r="G158" s="18">
        <v>622</v>
      </c>
      <c r="H158" s="19">
        <f t="shared" si="3"/>
        <v>7.0285999999999831</v>
      </c>
      <c r="I158" s="20">
        <f t="shared" si="1"/>
        <v>386.57299999999907</v>
      </c>
      <c r="J158" s="21">
        <v>0</v>
      </c>
      <c r="K158" s="22">
        <f t="shared" si="4"/>
        <v>-7.0285999999999831</v>
      </c>
    </row>
    <row r="159" spans="1:11" ht="12.75" x14ac:dyDescent="0.2">
      <c r="A159" s="44">
        <v>45728</v>
      </c>
      <c r="B159" s="45" t="s">
        <v>5</v>
      </c>
      <c r="C159" s="15"/>
      <c r="D159" s="16"/>
      <c r="E159" s="17"/>
      <c r="F159" s="17"/>
      <c r="H159" s="19">
        <f t="shared" si="3"/>
        <v>0</v>
      </c>
      <c r="I159" s="20">
        <f t="shared" si="1"/>
        <v>0</v>
      </c>
      <c r="J159" s="21">
        <v>0</v>
      </c>
      <c r="K159" s="22">
        <f t="shared" si="4"/>
        <v>0</v>
      </c>
    </row>
    <row r="160" spans="1:11" ht="12.75" x14ac:dyDescent="0.2">
      <c r="A160" s="44">
        <v>45729</v>
      </c>
      <c r="B160" s="45" t="s">
        <v>6</v>
      </c>
      <c r="C160" s="15"/>
      <c r="D160" s="16"/>
      <c r="E160" s="17"/>
      <c r="F160" s="17"/>
      <c r="H160" s="19">
        <f t="shared" si="3"/>
        <v>0</v>
      </c>
      <c r="I160" s="20">
        <f t="shared" si="1"/>
        <v>0</v>
      </c>
      <c r="J160" s="21">
        <v>0</v>
      </c>
      <c r="K160" s="22">
        <f t="shared" si="4"/>
        <v>0</v>
      </c>
    </row>
    <row r="161" spans="1:11" ht="12.75" x14ac:dyDescent="0.2">
      <c r="A161" s="44">
        <v>45730</v>
      </c>
      <c r="B161" s="45" t="s">
        <v>7</v>
      </c>
      <c r="C161" s="15"/>
      <c r="D161" s="16"/>
      <c r="E161" s="17"/>
      <c r="F161" s="17"/>
      <c r="H161" s="19">
        <f t="shared" si="3"/>
        <v>0</v>
      </c>
      <c r="I161" s="20">
        <f t="shared" si="1"/>
        <v>0</v>
      </c>
      <c r="J161" s="21">
        <v>0</v>
      </c>
      <c r="K161" s="22">
        <f t="shared" si="4"/>
        <v>0</v>
      </c>
    </row>
    <row r="162" spans="1:11" ht="12.75" x14ac:dyDescent="0.2">
      <c r="A162" s="24">
        <v>45733</v>
      </c>
      <c r="B162" s="25" t="s">
        <v>3</v>
      </c>
      <c r="C162" s="26"/>
      <c r="D162" s="27"/>
      <c r="E162" s="28"/>
      <c r="F162" s="28"/>
      <c r="G162" s="29"/>
      <c r="H162" s="19">
        <f t="shared" si="3"/>
        <v>0</v>
      </c>
      <c r="I162" s="20">
        <f t="shared" si="1"/>
        <v>0</v>
      </c>
      <c r="J162" s="21">
        <v>0</v>
      </c>
      <c r="K162" s="22">
        <f t="shared" si="4"/>
        <v>0</v>
      </c>
    </row>
    <row r="163" spans="1:11" ht="12.75" x14ac:dyDescent="0.2">
      <c r="A163" s="24">
        <v>45734</v>
      </c>
      <c r="B163" s="25" t="s">
        <v>4</v>
      </c>
      <c r="C163" s="26"/>
      <c r="D163" s="27"/>
      <c r="E163" s="28"/>
      <c r="F163" s="28"/>
      <c r="G163" s="29"/>
      <c r="H163" s="19">
        <f t="shared" si="3"/>
        <v>0</v>
      </c>
      <c r="I163" s="20">
        <f t="shared" si="1"/>
        <v>0</v>
      </c>
      <c r="J163" s="21">
        <v>0</v>
      </c>
      <c r="K163" s="22">
        <f t="shared" si="4"/>
        <v>0</v>
      </c>
    </row>
    <row r="164" spans="1:11" ht="12.75" x14ac:dyDescent="0.2">
      <c r="A164" s="24">
        <v>45735</v>
      </c>
      <c r="B164" s="25" t="s">
        <v>5</v>
      </c>
      <c r="C164" s="26"/>
      <c r="D164" s="27"/>
      <c r="E164" s="28"/>
      <c r="F164" s="28"/>
      <c r="G164" s="29"/>
      <c r="H164" s="19">
        <f t="shared" si="3"/>
        <v>0</v>
      </c>
      <c r="I164" s="20">
        <f t="shared" si="1"/>
        <v>0</v>
      </c>
      <c r="J164" s="21">
        <v>0</v>
      </c>
      <c r="K164" s="22">
        <f t="shared" si="4"/>
        <v>0</v>
      </c>
    </row>
    <row r="165" spans="1:11" ht="12.75" x14ac:dyDescent="0.2">
      <c r="A165" s="24">
        <v>45736</v>
      </c>
      <c r="B165" s="25" t="s">
        <v>6</v>
      </c>
      <c r="C165" s="26"/>
      <c r="D165" s="27"/>
      <c r="E165" s="28"/>
      <c r="F165" s="28"/>
      <c r="G165" s="29"/>
      <c r="H165" s="19">
        <f t="shared" si="3"/>
        <v>0</v>
      </c>
      <c r="I165" s="20">
        <f t="shared" si="1"/>
        <v>0</v>
      </c>
      <c r="J165" s="21">
        <v>0</v>
      </c>
      <c r="K165" s="22">
        <f t="shared" si="4"/>
        <v>0</v>
      </c>
    </row>
    <row r="166" spans="1:11" ht="12.75" x14ac:dyDescent="0.2">
      <c r="A166" s="24">
        <v>45737</v>
      </c>
      <c r="B166" s="25" t="s">
        <v>7</v>
      </c>
      <c r="C166" s="26"/>
      <c r="D166" s="27"/>
      <c r="E166" s="28"/>
      <c r="F166" s="28"/>
      <c r="G166" s="29"/>
      <c r="H166" s="19">
        <f t="shared" si="3"/>
        <v>0</v>
      </c>
      <c r="I166" s="20">
        <f t="shared" si="1"/>
        <v>0</v>
      </c>
      <c r="J166" s="21">
        <v>0</v>
      </c>
      <c r="K166" s="22">
        <f t="shared" si="4"/>
        <v>0</v>
      </c>
    </row>
    <row r="167" spans="1:11" ht="12.75" x14ac:dyDescent="0.2">
      <c r="A167" s="13">
        <v>45740</v>
      </c>
      <c r="B167" s="14" t="s">
        <v>3</v>
      </c>
      <c r="C167" s="15"/>
      <c r="D167" s="16"/>
      <c r="E167" s="17"/>
      <c r="F167" s="17"/>
      <c r="H167" s="19">
        <f t="shared" si="3"/>
        <v>0</v>
      </c>
      <c r="I167" s="20">
        <f t="shared" si="1"/>
        <v>0</v>
      </c>
      <c r="J167" s="21">
        <v>0</v>
      </c>
      <c r="K167" s="22">
        <f t="shared" si="4"/>
        <v>0</v>
      </c>
    </row>
    <row r="168" spans="1:11" ht="12.75" x14ac:dyDescent="0.2">
      <c r="A168" s="13">
        <v>45741</v>
      </c>
      <c r="B168" s="14" t="s">
        <v>4</v>
      </c>
      <c r="C168" s="15"/>
      <c r="D168" s="16"/>
      <c r="E168" s="17"/>
      <c r="F168" s="17"/>
      <c r="H168" s="19">
        <f t="shared" si="3"/>
        <v>0</v>
      </c>
      <c r="I168" s="20">
        <f t="shared" si="1"/>
        <v>0</v>
      </c>
      <c r="J168" s="21">
        <v>0</v>
      </c>
      <c r="K168" s="22">
        <f t="shared" si="4"/>
        <v>0</v>
      </c>
    </row>
    <row r="169" spans="1:11" ht="12.75" x14ac:dyDescent="0.2">
      <c r="A169" s="13">
        <v>45742</v>
      </c>
      <c r="B169" s="14" t="s">
        <v>5</v>
      </c>
      <c r="C169" s="15"/>
      <c r="D169" s="16"/>
      <c r="E169" s="17"/>
      <c r="F169" s="17"/>
      <c r="H169" s="19">
        <f t="shared" si="3"/>
        <v>0</v>
      </c>
      <c r="I169" s="20">
        <f t="shared" si="1"/>
        <v>0</v>
      </c>
      <c r="J169" s="21">
        <v>0</v>
      </c>
      <c r="K169" s="22">
        <f t="shared" si="4"/>
        <v>0</v>
      </c>
    </row>
    <row r="170" spans="1:11" ht="12.75" x14ac:dyDescent="0.2">
      <c r="A170" s="13">
        <v>45743</v>
      </c>
      <c r="B170" s="14" t="s">
        <v>6</v>
      </c>
      <c r="C170" s="15"/>
      <c r="D170" s="16"/>
      <c r="E170" s="17"/>
      <c r="F170" s="17"/>
      <c r="H170" s="19">
        <f t="shared" si="3"/>
        <v>0</v>
      </c>
      <c r="I170" s="20">
        <f t="shared" si="1"/>
        <v>0</v>
      </c>
      <c r="J170" s="21">
        <v>0</v>
      </c>
      <c r="K170" s="22">
        <f t="shared" si="4"/>
        <v>0</v>
      </c>
    </row>
    <row r="171" spans="1:11" ht="12.75" x14ac:dyDescent="0.2">
      <c r="A171" s="13">
        <v>45744</v>
      </c>
      <c r="B171" s="14" t="s">
        <v>7</v>
      </c>
      <c r="C171" s="15"/>
      <c r="D171" s="16"/>
      <c r="E171" s="17"/>
      <c r="F171" s="17"/>
      <c r="H171" s="19">
        <f t="shared" si="3"/>
        <v>0</v>
      </c>
      <c r="I171" s="20">
        <f t="shared" si="1"/>
        <v>0</v>
      </c>
      <c r="J171" s="21">
        <v>0</v>
      </c>
      <c r="K171" s="22">
        <f t="shared" si="4"/>
        <v>0</v>
      </c>
    </row>
    <row r="172" spans="1:11" ht="12.75" x14ac:dyDescent="0.2">
      <c r="A172" s="13">
        <v>45747</v>
      </c>
      <c r="B172" s="14" t="s">
        <v>3</v>
      </c>
      <c r="C172" s="15"/>
      <c r="D172" s="16"/>
      <c r="E172" s="17"/>
      <c r="F172" s="17"/>
      <c r="H172" s="19">
        <f t="shared" si="3"/>
        <v>0</v>
      </c>
      <c r="I172" s="20">
        <f t="shared" si="1"/>
        <v>0</v>
      </c>
      <c r="J172" s="21">
        <v>0</v>
      </c>
      <c r="K172" s="22">
        <f t="shared" si="4"/>
        <v>0</v>
      </c>
    </row>
    <row r="173" spans="1:11" ht="12.75" x14ac:dyDescent="0.2">
      <c r="A173" s="13">
        <v>45748</v>
      </c>
      <c r="B173" s="14" t="s">
        <v>4</v>
      </c>
      <c r="C173" s="15"/>
      <c r="D173" s="16"/>
      <c r="E173" s="17"/>
      <c r="F173" s="17"/>
      <c r="H173" s="19">
        <f t="shared" si="3"/>
        <v>0</v>
      </c>
      <c r="I173" s="20">
        <f t="shared" si="1"/>
        <v>0</v>
      </c>
      <c r="J173" s="21">
        <v>0</v>
      </c>
      <c r="K173" s="22">
        <f t="shared" si="4"/>
        <v>0</v>
      </c>
    </row>
    <row r="174" spans="1:11" ht="12.75" x14ac:dyDescent="0.2">
      <c r="A174" s="13">
        <v>45749</v>
      </c>
      <c r="B174" s="14" t="s">
        <v>5</v>
      </c>
      <c r="C174" s="15"/>
      <c r="D174" s="16"/>
      <c r="E174" s="17"/>
      <c r="F174" s="17"/>
      <c r="H174" s="19">
        <f t="shared" si="3"/>
        <v>0</v>
      </c>
      <c r="I174" s="20">
        <f t="shared" si="1"/>
        <v>0</v>
      </c>
      <c r="J174" s="21">
        <v>0</v>
      </c>
      <c r="K174" s="22">
        <f t="shared" si="4"/>
        <v>0</v>
      </c>
    </row>
    <row r="175" spans="1:11" ht="12.75" x14ac:dyDescent="0.2">
      <c r="A175" s="13">
        <v>45750</v>
      </c>
      <c r="B175" s="14" t="s">
        <v>6</v>
      </c>
      <c r="C175" s="15"/>
      <c r="D175" s="16"/>
      <c r="E175" s="17"/>
      <c r="F175" s="17"/>
      <c r="H175" s="19">
        <f t="shared" si="3"/>
        <v>0</v>
      </c>
      <c r="I175" s="20">
        <f t="shared" si="1"/>
        <v>0</v>
      </c>
      <c r="J175" s="21">
        <v>0</v>
      </c>
      <c r="K175" s="22">
        <f t="shared" si="4"/>
        <v>0</v>
      </c>
    </row>
    <row r="176" spans="1:11" ht="12.75" x14ac:dyDescent="0.2">
      <c r="A176" s="13">
        <v>45751</v>
      </c>
      <c r="B176" s="14" t="s">
        <v>7</v>
      </c>
      <c r="C176" s="15"/>
      <c r="D176" s="16"/>
      <c r="E176" s="17"/>
      <c r="F176" s="17"/>
      <c r="H176" s="19">
        <f t="shared" si="3"/>
        <v>0</v>
      </c>
      <c r="I176" s="20">
        <f t="shared" si="1"/>
        <v>0</v>
      </c>
      <c r="J176" s="21">
        <v>0</v>
      </c>
      <c r="K176" s="22">
        <f t="shared" si="4"/>
        <v>0</v>
      </c>
    </row>
    <row r="177" spans="1:11" ht="12.75" x14ac:dyDescent="0.2">
      <c r="A177" s="13">
        <v>45754</v>
      </c>
      <c r="B177" s="14" t="s">
        <v>3</v>
      </c>
      <c r="C177" s="15"/>
      <c r="D177" s="16"/>
      <c r="E177" s="17"/>
      <c r="F177" s="17"/>
      <c r="H177" s="19">
        <f t="shared" si="3"/>
        <v>0</v>
      </c>
      <c r="I177" s="20">
        <f t="shared" si="1"/>
        <v>0</v>
      </c>
      <c r="J177" s="21">
        <v>0</v>
      </c>
      <c r="K177" s="22">
        <f t="shared" si="4"/>
        <v>0</v>
      </c>
    </row>
    <row r="178" spans="1:11" ht="12.75" x14ac:dyDescent="0.2">
      <c r="A178" s="13">
        <v>45755</v>
      </c>
      <c r="B178" s="14" t="s">
        <v>4</v>
      </c>
      <c r="C178" s="15"/>
      <c r="D178" s="16"/>
      <c r="E178" s="17"/>
      <c r="F178" s="17"/>
      <c r="H178" s="19">
        <f t="shared" si="3"/>
        <v>0</v>
      </c>
      <c r="I178" s="20">
        <f t="shared" si="1"/>
        <v>0</v>
      </c>
      <c r="J178" s="21">
        <v>0</v>
      </c>
      <c r="K178" s="22">
        <f t="shared" si="4"/>
        <v>0</v>
      </c>
    </row>
    <row r="179" spans="1:11" ht="12.75" x14ac:dyDescent="0.2">
      <c r="A179" s="13">
        <v>45756</v>
      </c>
      <c r="B179" s="14" t="s">
        <v>5</v>
      </c>
      <c r="C179" s="15"/>
      <c r="D179" s="16"/>
      <c r="E179" s="17"/>
      <c r="F179" s="17"/>
      <c r="H179" s="19">
        <f t="shared" si="3"/>
        <v>0</v>
      </c>
      <c r="I179" s="20">
        <f t="shared" si="1"/>
        <v>0</v>
      </c>
      <c r="J179" s="21">
        <v>0</v>
      </c>
      <c r="K179" s="22">
        <f t="shared" si="4"/>
        <v>0</v>
      </c>
    </row>
    <row r="180" spans="1:11" ht="12.75" x14ac:dyDescent="0.2">
      <c r="A180" s="13">
        <v>45757</v>
      </c>
      <c r="B180" s="14" t="s">
        <v>6</v>
      </c>
      <c r="C180" s="15"/>
      <c r="D180" s="16"/>
      <c r="E180" s="17"/>
      <c r="F180" s="17"/>
      <c r="H180" s="19">
        <f t="shared" si="3"/>
        <v>0</v>
      </c>
      <c r="I180" s="20">
        <f t="shared" si="1"/>
        <v>0</v>
      </c>
      <c r="J180" s="21">
        <v>0</v>
      </c>
      <c r="K180" s="22">
        <f t="shared" si="4"/>
        <v>0</v>
      </c>
    </row>
    <row r="181" spans="1:11" ht="12.75" x14ac:dyDescent="0.2">
      <c r="A181" s="13">
        <v>45758</v>
      </c>
      <c r="B181" s="14" t="s">
        <v>7</v>
      </c>
      <c r="C181" s="15"/>
      <c r="D181" s="16"/>
      <c r="E181" s="17"/>
      <c r="F181" s="17"/>
      <c r="H181" s="19">
        <f t="shared" si="3"/>
        <v>0</v>
      </c>
      <c r="I181" s="20">
        <f t="shared" si="1"/>
        <v>0</v>
      </c>
      <c r="J181" s="21">
        <v>0</v>
      </c>
      <c r="K181" s="22">
        <f t="shared" si="4"/>
        <v>0</v>
      </c>
    </row>
    <row r="182" spans="1:11" ht="12.75" x14ac:dyDescent="0.2">
      <c r="A182" s="13">
        <v>45761</v>
      </c>
      <c r="B182" s="14" t="s">
        <v>3</v>
      </c>
      <c r="C182" s="15"/>
      <c r="D182" s="16"/>
      <c r="E182" s="17"/>
      <c r="F182" s="17"/>
      <c r="H182" s="19">
        <f t="shared" si="3"/>
        <v>0</v>
      </c>
      <c r="I182" s="20">
        <f t="shared" si="1"/>
        <v>0</v>
      </c>
      <c r="J182" s="21">
        <v>0</v>
      </c>
      <c r="K182" s="22">
        <f t="shared" si="4"/>
        <v>0</v>
      </c>
    </row>
    <row r="183" spans="1:11" ht="12.75" x14ac:dyDescent="0.2">
      <c r="A183" s="13">
        <v>45762</v>
      </c>
      <c r="B183" s="14" t="s">
        <v>4</v>
      </c>
      <c r="C183" s="15"/>
      <c r="D183" s="16"/>
      <c r="E183" s="17"/>
      <c r="F183" s="17"/>
      <c r="H183" s="19">
        <f t="shared" si="3"/>
        <v>0</v>
      </c>
      <c r="I183" s="20">
        <f t="shared" si="1"/>
        <v>0</v>
      </c>
      <c r="J183" s="21">
        <v>0</v>
      </c>
      <c r="K183" s="22">
        <f t="shared" si="4"/>
        <v>0</v>
      </c>
    </row>
    <row r="184" spans="1:11" ht="12.75" x14ac:dyDescent="0.2">
      <c r="A184" s="13">
        <v>45763</v>
      </c>
      <c r="B184" s="14" t="s">
        <v>5</v>
      </c>
      <c r="C184" s="15"/>
      <c r="D184" s="16"/>
      <c r="E184" s="17"/>
      <c r="F184" s="17"/>
      <c r="H184" s="19">
        <f t="shared" si="3"/>
        <v>0</v>
      </c>
      <c r="I184" s="20">
        <f t="shared" si="1"/>
        <v>0</v>
      </c>
      <c r="J184" s="21">
        <v>0</v>
      </c>
      <c r="K184" s="22">
        <f t="shared" si="4"/>
        <v>0</v>
      </c>
    </row>
    <row r="185" spans="1:11" ht="12.75" x14ac:dyDescent="0.2">
      <c r="A185" s="13">
        <v>45764</v>
      </c>
      <c r="B185" s="14" t="s">
        <v>6</v>
      </c>
      <c r="C185" s="15"/>
      <c r="D185" s="16"/>
      <c r="E185" s="17"/>
      <c r="F185" s="17"/>
      <c r="H185" s="19">
        <f t="shared" si="3"/>
        <v>0</v>
      </c>
      <c r="I185" s="20">
        <f t="shared" si="1"/>
        <v>0</v>
      </c>
      <c r="J185" s="21">
        <v>0</v>
      </c>
      <c r="K185" s="22">
        <f t="shared" si="4"/>
        <v>0</v>
      </c>
    </row>
    <row r="186" spans="1:11" ht="12.75" x14ac:dyDescent="0.2">
      <c r="A186" s="24">
        <v>45765</v>
      </c>
      <c r="B186" s="25" t="s">
        <v>7</v>
      </c>
      <c r="C186" s="26"/>
      <c r="D186" s="27"/>
      <c r="E186" s="28"/>
      <c r="F186" s="28"/>
      <c r="G186" s="29"/>
      <c r="H186" s="19">
        <f t="shared" si="3"/>
        <v>0</v>
      </c>
      <c r="I186" s="20">
        <f t="shared" si="1"/>
        <v>0</v>
      </c>
      <c r="J186" s="21">
        <v>0</v>
      </c>
      <c r="K186" s="22">
        <f t="shared" si="4"/>
        <v>0</v>
      </c>
    </row>
    <row r="187" spans="1:11" ht="12.75" x14ac:dyDescent="0.2">
      <c r="A187" s="24">
        <v>45768</v>
      </c>
      <c r="B187" s="25" t="s">
        <v>3</v>
      </c>
      <c r="C187" s="26"/>
      <c r="D187" s="27"/>
      <c r="E187" s="28"/>
      <c r="F187" s="28"/>
      <c r="G187" s="29"/>
      <c r="H187" s="19">
        <f t="shared" si="3"/>
        <v>0</v>
      </c>
      <c r="I187" s="20">
        <f t="shared" si="1"/>
        <v>0</v>
      </c>
      <c r="J187" s="21">
        <v>0</v>
      </c>
      <c r="K187" s="22">
        <f t="shared" si="4"/>
        <v>0</v>
      </c>
    </row>
    <row r="188" spans="1:11" ht="12.75" x14ac:dyDescent="0.2">
      <c r="A188" s="13">
        <v>45769</v>
      </c>
      <c r="B188" s="14" t="s">
        <v>4</v>
      </c>
      <c r="C188" s="15"/>
      <c r="D188" s="16"/>
      <c r="E188" s="17"/>
      <c r="F188" s="17"/>
      <c r="H188" s="19">
        <f t="shared" si="3"/>
        <v>0</v>
      </c>
      <c r="I188" s="20">
        <f t="shared" si="1"/>
        <v>0</v>
      </c>
      <c r="J188" s="21">
        <v>0</v>
      </c>
      <c r="K188" s="22">
        <f t="shared" si="4"/>
        <v>0</v>
      </c>
    </row>
    <row r="189" spans="1:11" ht="12.75" x14ac:dyDescent="0.2">
      <c r="A189" s="13">
        <v>45770</v>
      </c>
      <c r="B189" s="14" t="s">
        <v>5</v>
      </c>
      <c r="C189" s="15"/>
      <c r="D189" s="16"/>
      <c r="E189" s="17"/>
      <c r="F189" s="17"/>
      <c r="H189" s="19">
        <f t="shared" si="3"/>
        <v>0</v>
      </c>
      <c r="I189" s="20">
        <f t="shared" si="1"/>
        <v>0</v>
      </c>
      <c r="J189" s="21">
        <v>0</v>
      </c>
      <c r="K189" s="22">
        <f t="shared" si="4"/>
        <v>0</v>
      </c>
    </row>
    <row r="190" spans="1:11" ht="12.75" x14ac:dyDescent="0.2">
      <c r="A190" s="13">
        <v>45771</v>
      </c>
      <c r="B190" s="14" t="s">
        <v>6</v>
      </c>
      <c r="C190" s="15"/>
      <c r="D190" s="16"/>
      <c r="E190" s="17"/>
      <c r="F190" s="17"/>
      <c r="H190" s="19">
        <f t="shared" si="3"/>
        <v>0</v>
      </c>
      <c r="I190" s="20">
        <f t="shared" si="1"/>
        <v>0</v>
      </c>
      <c r="J190" s="21">
        <v>0</v>
      </c>
      <c r="K190" s="22">
        <f t="shared" si="4"/>
        <v>0</v>
      </c>
    </row>
    <row r="191" spans="1:11" ht="12.75" x14ac:dyDescent="0.2">
      <c r="A191" s="13">
        <v>45772</v>
      </c>
      <c r="B191" s="14" t="s">
        <v>7</v>
      </c>
      <c r="C191" s="15"/>
      <c r="D191" s="16"/>
      <c r="E191" s="17"/>
      <c r="F191" s="17"/>
      <c r="H191" s="19">
        <f t="shared" si="3"/>
        <v>0</v>
      </c>
      <c r="I191" s="20">
        <f t="shared" si="1"/>
        <v>0</v>
      </c>
      <c r="J191" s="21">
        <v>0</v>
      </c>
      <c r="K191" s="22">
        <f t="shared" si="4"/>
        <v>0</v>
      </c>
    </row>
    <row r="192" spans="1:11" ht="12.75" x14ac:dyDescent="0.2">
      <c r="A192" s="13">
        <v>45775</v>
      </c>
      <c r="B192" s="14" t="s">
        <v>3</v>
      </c>
      <c r="C192" s="15"/>
      <c r="D192" s="16"/>
      <c r="E192" s="17"/>
      <c r="F192" s="17"/>
      <c r="H192" s="19">
        <f t="shared" si="3"/>
        <v>0</v>
      </c>
      <c r="I192" s="20">
        <f t="shared" si="1"/>
        <v>0</v>
      </c>
      <c r="J192" s="21">
        <v>0</v>
      </c>
      <c r="K192" s="22">
        <f t="shared" si="4"/>
        <v>0</v>
      </c>
    </row>
    <row r="193" spans="1:11" ht="12.75" x14ac:dyDescent="0.2">
      <c r="A193" s="13">
        <v>45776</v>
      </c>
      <c r="B193" s="14" t="s">
        <v>4</v>
      </c>
      <c r="C193" s="15"/>
      <c r="D193" s="16"/>
      <c r="E193" s="17"/>
      <c r="F193" s="17"/>
      <c r="H193" s="19">
        <f t="shared" si="3"/>
        <v>0</v>
      </c>
      <c r="I193" s="20">
        <f t="shared" si="1"/>
        <v>0</v>
      </c>
      <c r="J193" s="21">
        <v>0</v>
      </c>
      <c r="K193" s="22">
        <f t="shared" si="4"/>
        <v>0</v>
      </c>
    </row>
    <row r="194" spans="1:11" ht="12.75" x14ac:dyDescent="0.2">
      <c r="A194" s="13">
        <v>45777</v>
      </c>
      <c r="B194" s="14" t="s">
        <v>5</v>
      </c>
      <c r="C194" s="15"/>
      <c r="D194" s="16"/>
      <c r="E194" s="17"/>
      <c r="F194" s="17"/>
      <c r="H194" s="19">
        <f t="shared" si="3"/>
        <v>0</v>
      </c>
      <c r="I194" s="20">
        <f t="shared" si="1"/>
        <v>0</v>
      </c>
      <c r="J194" s="21">
        <v>0</v>
      </c>
      <c r="K194" s="22">
        <f t="shared" si="4"/>
        <v>0</v>
      </c>
    </row>
    <row r="195" spans="1:11" ht="12.75" x14ac:dyDescent="0.2">
      <c r="A195" s="13">
        <v>45778</v>
      </c>
      <c r="B195" s="14" t="s">
        <v>6</v>
      </c>
      <c r="C195" s="15"/>
      <c r="D195" s="16"/>
      <c r="E195" s="17"/>
      <c r="F195" s="17"/>
      <c r="H195" s="19">
        <f t="shared" si="3"/>
        <v>0</v>
      </c>
      <c r="I195" s="20">
        <f t="shared" si="1"/>
        <v>0</v>
      </c>
      <c r="J195" s="21">
        <v>0</v>
      </c>
      <c r="K195" s="22">
        <f t="shared" si="4"/>
        <v>0</v>
      </c>
    </row>
    <row r="196" spans="1:11" ht="12.75" x14ac:dyDescent="0.2">
      <c r="A196" s="13">
        <v>45779</v>
      </c>
      <c r="B196" s="14" t="s">
        <v>7</v>
      </c>
      <c r="C196" s="15"/>
      <c r="D196" s="16"/>
      <c r="E196" s="17"/>
      <c r="F196" s="17"/>
      <c r="H196" s="19">
        <f t="shared" si="3"/>
        <v>0</v>
      </c>
      <c r="I196" s="20">
        <f t="shared" si="1"/>
        <v>0</v>
      </c>
      <c r="J196" s="21">
        <v>0</v>
      </c>
      <c r="K196" s="22">
        <f t="shared" si="4"/>
        <v>0</v>
      </c>
    </row>
    <row r="197" spans="1:11" ht="12.75" x14ac:dyDescent="0.2">
      <c r="A197" s="13">
        <v>45782</v>
      </c>
      <c r="B197" s="14" t="s">
        <v>3</v>
      </c>
      <c r="C197" s="15"/>
      <c r="D197" s="16"/>
      <c r="E197" s="17"/>
      <c r="F197" s="17"/>
      <c r="H197" s="19">
        <f t="shared" si="3"/>
        <v>0</v>
      </c>
      <c r="I197" s="20">
        <f t="shared" si="1"/>
        <v>0</v>
      </c>
      <c r="J197" s="21">
        <v>0</v>
      </c>
      <c r="K197" s="22">
        <f t="shared" si="4"/>
        <v>0</v>
      </c>
    </row>
    <row r="198" spans="1:11" ht="12.75" x14ac:dyDescent="0.2">
      <c r="A198" s="13">
        <v>45783</v>
      </c>
      <c r="B198" s="14" t="s">
        <v>4</v>
      </c>
      <c r="C198" s="15"/>
      <c r="D198" s="16"/>
      <c r="E198" s="17"/>
      <c r="F198" s="17"/>
      <c r="H198" s="19">
        <f t="shared" si="3"/>
        <v>0</v>
      </c>
      <c r="I198" s="20">
        <f t="shared" si="1"/>
        <v>0</v>
      </c>
      <c r="J198" s="21">
        <v>0</v>
      </c>
      <c r="K198" s="22">
        <f t="shared" si="4"/>
        <v>0</v>
      </c>
    </row>
    <row r="199" spans="1:11" ht="12.75" x14ac:dyDescent="0.2">
      <c r="A199" s="13">
        <v>45784</v>
      </c>
      <c r="B199" s="14" t="s">
        <v>5</v>
      </c>
      <c r="C199" s="15"/>
      <c r="D199" s="16"/>
      <c r="E199" s="17"/>
      <c r="F199" s="17"/>
      <c r="H199" s="19">
        <f t="shared" si="3"/>
        <v>0</v>
      </c>
      <c r="I199" s="20">
        <f t="shared" si="1"/>
        <v>0</v>
      </c>
      <c r="J199" s="21">
        <v>0</v>
      </c>
      <c r="K199" s="22">
        <f t="shared" si="4"/>
        <v>0</v>
      </c>
    </row>
    <row r="200" spans="1:11" ht="12.75" x14ac:dyDescent="0.2">
      <c r="A200" s="13">
        <v>45785</v>
      </c>
      <c r="B200" s="14" t="s">
        <v>6</v>
      </c>
      <c r="C200" s="15"/>
      <c r="D200" s="16"/>
      <c r="E200" s="17"/>
      <c r="F200" s="17"/>
      <c r="H200" s="19">
        <f t="shared" si="3"/>
        <v>0</v>
      </c>
      <c r="I200" s="20">
        <f t="shared" si="1"/>
        <v>0</v>
      </c>
      <c r="J200" s="21">
        <v>0</v>
      </c>
      <c r="K200" s="22">
        <f t="shared" si="4"/>
        <v>0</v>
      </c>
    </row>
    <row r="201" spans="1:11" ht="12.75" x14ac:dyDescent="0.2">
      <c r="A201" s="13">
        <v>45786</v>
      </c>
      <c r="B201" s="14" t="s">
        <v>7</v>
      </c>
      <c r="C201" s="15"/>
      <c r="D201" s="16"/>
      <c r="E201" s="17"/>
      <c r="F201" s="17"/>
      <c r="H201" s="19">
        <f t="shared" si="3"/>
        <v>0</v>
      </c>
      <c r="I201" s="20">
        <f t="shared" si="1"/>
        <v>0</v>
      </c>
      <c r="J201" s="21">
        <v>0</v>
      </c>
      <c r="K201" s="22">
        <f t="shared" si="4"/>
        <v>0</v>
      </c>
    </row>
    <row r="202" spans="1:11" ht="12.75" x14ac:dyDescent="0.2">
      <c r="A202" s="13">
        <v>45789</v>
      </c>
      <c r="B202" s="14" t="s">
        <v>3</v>
      </c>
      <c r="C202" s="15"/>
      <c r="D202" s="16"/>
      <c r="E202" s="17"/>
      <c r="F202" s="17"/>
      <c r="H202" s="19">
        <f t="shared" si="3"/>
        <v>0</v>
      </c>
      <c r="I202" s="20">
        <f t="shared" si="1"/>
        <v>0</v>
      </c>
      <c r="J202" s="21">
        <v>0</v>
      </c>
      <c r="K202" s="22">
        <f t="shared" si="4"/>
        <v>0</v>
      </c>
    </row>
    <row r="203" spans="1:11" ht="12.75" x14ac:dyDescent="0.2">
      <c r="A203" s="13">
        <v>45790</v>
      </c>
      <c r="B203" s="14" t="s">
        <v>4</v>
      </c>
      <c r="C203" s="15"/>
      <c r="D203" s="16"/>
      <c r="E203" s="17"/>
      <c r="F203" s="17"/>
      <c r="H203" s="19">
        <f t="shared" si="3"/>
        <v>0</v>
      </c>
      <c r="I203" s="20">
        <f t="shared" si="1"/>
        <v>0</v>
      </c>
      <c r="J203" s="21">
        <v>0</v>
      </c>
      <c r="K203" s="22">
        <f t="shared" si="4"/>
        <v>0</v>
      </c>
    </row>
    <row r="204" spans="1:11" ht="12.75" x14ac:dyDescent="0.2">
      <c r="A204" s="13">
        <v>45791</v>
      </c>
      <c r="B204" s="14" t="s">
        <v>5</v>
      </c>
      <c r="C204" s="15"/>
      <c r="D204" s="16"/>
      <c r="E204" s="17"/>
      <c r="F204" s="17"/>
      <c r="H204" s="19">
        <f t="shared" si="3"/>
        <v>0</v>
      </c>
      <c r="I204" s="20">
        <f t="shared" si="1"/>
        <v>0</v>
      </c>
      <c r="J204" s="21">
        <v>0</v>
      </c>
      <c r="K204" s="22">
        <f t="shared" si="4"/>
        <v>0</v>
      </c>
    </row>
    <row r="205" spans="1:11" ht="12.75" x14ac:dyDescent="0.2">
      <c r="A205" s="13">
        <v>45792</v>
      </c>
      <c r="B205" s="14" t="s">
        <v>6</v>
      </c>
      <c r="C205" s="15"/>
      <c r="D205" s="16"/>
      <c r="E205" s="17"/>
      <c r="F205" s="17"/>
      <c r="H205" s="19">
        <f t="shared" si="3"/>
        <v>0</v>
      </c>
      <c r="I205" s="20">
        <f t="shared" si="1"/>
        <v>0</v>
      </c>
      <c r="J205" s="21">
        <v>0</v>
      </c>
      <c r="K205" s="22">
        <f t="shared" si="4"/>
        <v>0</v>
      </c>
    </row>
    <row r="206" spans="1:11" ht="12.75" x14ac:dyDescent="0.2">
      <c r="A206" s="13">
        <v>45793</v>
      </c>
      <c r="B206" s="14" t="s">
        <v>7</v>
      </c>
      <c r="C206" s="15"/>
      <c r="D206" s="16"/>
      <c r="E206" s="17"/>
      <c r="F206" s="17"/>
      <c r="H206" s="19">
        <f t="shared" si="3"/>
        <v>0</v>
      </c>
      <c r="I206" s="20">
        <f t="shared" si="1"/>
        <v>0</v>
      </c>
      <c r="J206" s="21">
        <v>0</v>
      </c>
      <c r="K206" s="22">
        <f t="shared" si="4"/>
        <v>0</v>
      </c>
    </row>
    <row r="207" spans="1:11" ht="12.75" x14ac:dyDescent="0.2">
      <c r="A207" s="13">
        <v>45796</v>
      </c>
      <c r="B207" s="14" t="s">
        <v>3</v>
      </c>
      <c r="C207" s="15"/>
      <c r="D207" s="16"/>
      <c r="E207" s="17"/>
      <c r="F207" s="17"/>
      <c r="H207" s="19">
        <f t="shared" si="3"/>
        <v>0</v>
      </c>
      <c r="I207" s="20">
        <f t="shared" si="1"/>
        <v>0</v>
      </c>
      <c r="J207" s="21">
        <v>0</v>
      </c>
      <c r="K207" s="22">
        <f t="shared" si="4"/>
        <v>0</v>
      </c>
    </row>
    <row r="208" spans="1:11" ht="12.75" x14ac:dyDescent="0.2">
      <c r="A208" s="13">
        <v>45797</v>
      </c>
      <c r="B208" s="14" t="s">
        <v>4</v>
      </c>
      <c r="C208" s="15"/>
      <c r="D208" s="16"/>
      <c r="E208" s="17"/>
      <c r="F208" s="17"/>
      <c r="H208" s="19">
        <f t="shared" si="3"/>
        <v>0</v>
      </c>
      <c r="I208" s="20">
        <f t="shared" si="1"/>
        <v>0</v>
      </c>
      <c r="J208" s="21">
        <v>0</v>
      </c>
      <c r="K208" s="22">
        <f t="shared" si="4"/>
        <v>0</v>
      </c>
    </row>
    <row r="209" spans="1:11" ht="12.75" x14ac:dyDescent="0.2">
      <c r="A209" s="13">
        <v>45798</v>
      </c>
      <c r="B209" s="14" t="s">
        <v>5</v>
      </c>
      <c r="C209" s="15"/>
      <c r="D209" s="16"/>
      <c r="E209" s="17"/>
      <c r="F209" s="17"/>
      <c r="H209" s="19">
        <f t="shared" si="3"/>
        <v>0</v>
      </c>
      <c r="I209" s="20">
        <f t="shared" si="1"/>
        <v>0</v>
      </c>
      <c r="J209" s="21">
        <v>0</v>
      </c>
      <c r="K209" s="22">
        <f t="shared" si="4"/>
        <v>0</v>
      </c>
    </row>
    <row r="210" spans="1:11" ht="12.75" x14ac:dyDescent="0.2">
      <c r="A210" s="13">
        <v>45799</v>
      </c>
      <c r="B210" s="14" t="s">
        <v>6</v>
      </c>
      <c r="C210" s="15"/>
      <c r="D210" s="16"/>
      <c r="E210" s="17"/>
      <c r="F210" s="17"/>
      <c r="H210" s="19">
        <f t="shared" si="3"/>
        <v>0</v>
      </c>
      <c r="I210" s="20">
        <f t="shared" si="1"/>
        <v>0</v>
      </c>
      <c r="J210" s="21">
        <v>0</v>
      </c>
      <c r="K210" s="22">
        <f t="shared" si="4"/>
        <v>0</v>
      </c>
    </row>
    <row r="211" spans="1:11" ht="12.75" x14ac:dyDescent="0.2">
      <c r="A211" s="13">
        <v>45800</v>
      </c>
      <c r="B211" s="14" t="s">
        <v>7</v>
      </c>
      <c r="C211" s="15"/>
      <c r="D211" s="16"/>
      <c r="E211" s="17"/>
      <c r="F211" s="17"/>
      <c r="H211" s="19">
        <f t="shared" si="3"/>
        <v>0</v>
      </c>
      <c r="I211" s="20">
        <f t="shared" si="1"/>
        <v>0</v>
      </c>
      <c r="J211" s="21">
        <v>0</v>
      </c>
      <c r="K211" s="22">
        <f t="shared" si="4"/>
        <v>0</v>
      </c>
    </row>
    <row r="212" spans="1:11" ht="12.75" x14ac:dyDescent="0.2">
      <c r="A212" s="24">
        <v>45803</v>
      </c>
      <c r="B212" s="25" t="s">
        <v>3</v>
      </c>
      <c r="C212" s="26"/>
      <c r="D212" s="27"/>
      <c r="E212" s="28"/>
      <c r="F212" s="28"/>
      <c r="G212" s="29"/>
      <c r="H212" s="19">
        <f t="shared" si="3"/>
        <v>0</v>
      </c>
      <c r="I212" s="20">
        <f t="shared" si="1"/>
        <v>0</v>
      </c>
      <c r="J212" s="21">
        <v>0</v>
      </c>
      <c r="K212" s="22">
        <f t="shared" si="4"/>
        <v>0</v>
      </c>
    </row>
    <row r="213" spans="1:11" ht="12.75" x14ac:dyDescent="0.2">
      <c r="A213" s="13">
        <v>45804</v>
      </c>
      <c r="B213" s="14" t="s">
        <v>4</v>
      </c>
      <c r="C213" s="15"/>
      <c r="D213" s="16"/>
      <c r="E213" s="17"/>
      <c r="F213" s="17"/>
      <c r="H213" s="19">
        <f t="shared" si="3"/>
        <v>0</v>
      </c>
      <c r="I213" s="20">
        <f t="shared" si="1"/>
        <v>0</v>
      </c>
      <c r="J213" s="21">
        <v>0</v>
      </c>
      <c r="K213" s="22">
        <f t="shared" si="4"/>
        <v>0</v>
      </c>
    </row>
    <row r="214" spans="1:11" ht="12.75" x14ac:dyDescent="0.2">
      <c r="A214" s="13">
        <v>45805</v>
      </c>
      <c r="B214" s="14" t="s">
        <v>5</v>
      </c>
      <c r="C214" s="15"/>
      <c r="D214" s="16"/>
      <c r="E214" s="17"/>
      <c r="F214" s="17"/>
      <c r="H214" s="19">
        <f t="shared" si="3"/>
        <v>0</v>
      </c>
      <c r="I214" s="20">
        <f t="shared" si="1"/>
        <v>0</v>
      </c>
      <c r="J214" s="21">
        <v>0</v>
      </c>
      <c r="K214" s="22">
        <f t="shared" si="4"/>
        <v>0</v>
      </c>
    </row>
    <row r="215" spans="1:11" ht="12.75" x14ac:dyDescent="0.2">
      <c r="A215" s="13">
        <v>45806</v>
      </c>
      <c r="B215" s="46" t="s">
        <v>6</v>
      </c>
      <c r="C215" s="15"/>
      <c r="D215" s="16"/>
      <c r="E215" s="17"/>
      <c r="F215" s="17"/>
      <c r="H215" s="19">
        <f t="shared" si="3"/>
        <v>0</v>
      </c>
      <c r="I215" s="20">
        <f t="shared" si="1"/>
        <v>0</v>
      </c>
      <c r="J215" s="21">
        <v>0</v>
      </c>
      <c r="K215" s="22">
        <f t="shared" si="4"/>
        <v>0</v>
      </c>
    </row>
    <row r="216" spans="1:11" ht="12.75" hidden="1" x14ac:dyDescent="0.2">
      <c r="A216" s="16"/>
      <c r="B216" s="16"/>
      <c r="C216" s="15"/>
      <c r="D216" s="16"/>
      <c r="E216" s="17"/>
      <c r="F216" s="17"/>
      <c r="H216" s="19"/>
      <c r="I216" s="47"/>
      <c r="J216" s="48"/>
      <c r="K216" s="22" t="e">
        <f t="shared" ref="K216:K218" si="5">#REF!-#REF!</f>
        <v>#REF!</v>
      </c>
    </row>
    <row r="217" spans="1:11" ht="12.75" hidden="1" x14ac:dyDescent="0.2">
      <c r="A217" s="16"/>
      <c r="B217" s="16"/>
      <c r="C217" s="15"/>
      <c r="D217" s="16"/>
      <c r="E217" s="17"/>
      <c r="F217" s="17"/>
      <c r="H217" s="19"/>
      <c r="I217" s="47"/>
      <c r="J217" s="48"/>
      <c r="K217" s="22" t="e">
        <f t="shared" si="5"/>
        <v>#REF!</v>
      </c>
    </row>
    <row r="218" spans="1:11" ht="12.75" hidden="1" x14ac:dyDescent="0.2">
      <c r="A218" s="16"/>
      <c r="B218" s="16"/>
      <c r="C218" s="15"/>
      <c r="D218" s="16"/>
      <c r="E218" s="17"/>
      <c r="F218" s="17"/>
      <c r="H218" s="19"/>
      <c r="I218" s="47"/>
      <c r="J218" s="48"/>
      <c r="K218" s="22" t="e">
        <f t="shared" si="5"/>
        <v>#REF!</v>
      </c>
    </row>
    <row r="219" spans="1:11" ht="12.75" hidden="1" x14ac:dyDescent="0.2">
      <c r="A219" s="16"/>
      <c r="B219" s="16"/>
      <c r="C219" s="15"/>
      <c r="D219" s="16"/>
      <c r="E219" s="17"/>
      <c r="F219" s="17"/>
      <c r="H219" s="19"/>
      <c r="I219" s="47"/>
      <c r="J219" s="48"/>
      <c r="K219" s="49"/>
    </row>
    <row r="220" spans="1:11" ht="12.75" hidden="1" x14ac:dyDescent="0.2">
      <c r="A220" s="16"/>
      <c r="B220" s="16"/>
      <c r="C220" s="15"/>
      <c r="D220" s="16"/>
      <c r="E220" s="17"/>
      <c r="F220" s="17"/>
      <c r="H220" s="19"/>
      <c r="I220" s="47"/>
      <c r="J220" s="48"/>
      <c r="K220" s="49"/>
    </row>
    <row r="221" spans="1:11" ht="12.75" hidden="1" x14ac:dyDescent="0.2">
      <c r="A221" s="16"/>
      <c r="B221" s="16"/>
      <c r="C221" s="15"/>
      <c r="D221" s="16"/>
      <c r="E221" s="17"/>
      <c r="F221" s="17"/>
      <c r="H221" s="19"/>
      <c r="I221" s="47"/>
      <c r="J221" s="48"/>
      <c r="K221" s="49"/>
    </row>
    <row r="222" spans="1:11" ht="12.75" hidden="1" x14ac:dyDescent="0.2">
      <c r="A222" s="16"/>
      <c r="B222" s="16"/>
      <c r="C222" s="15"/>
      <c r="D222" s="16"/>
      <c r="E222" s="17"/>
      <c r="F222" s="17"/>
      <c r="H222" s="19"/>
      <c r="I222" s="47"/>
      <c r="J222" s="48"/>
      <c r="K222" s="49"/>
    </row>
    <row r="223" spans="1:11" ht="12.75" hidden="1" x14ac:dyDescent="0.2">
      <c r="A223" s="16"/>
      <c r="B223" s="16"/>
      <c r="C223" s="15"/>
      <c r="D223" s="16"/>
      <c r="E223" s="17"/>
      <c r="F223" s="17"/>
      <c r="H223" s="19"/>
      <c r="I223" s="47"/>
      <c r="J223" s="48"/>
      <c r="K223" s="49"/>
    </row>
    <row r="224" spans="1:11" ht="12.75" hidden="1" x14ac:dyDescent="0.2">
      <c r="A224" s="16"/>
      <c r="B224" s="16"/>
      <c r="C224" s="15"/>
      <c r="D224" s="16"/>
      <c r="E224" s="17"/>
      <c r="F224" s="17"/>
      <c r="H224" s="19"/>
      <c r="I224" s="47"/>
      <c r="J224" s="48"/>
      <c r="K224" s="49"/>
    </row>
    <row r="225" spans="1:11" ht="12.75" hidden="1" x14ac:dyDescent="0.2">
      <c r="A225" s="16"/>
      <c r="B225" s="16"/>
      <c r="C225" s="15"/>
      <c r="D225" s="16"/>
      <c r="E225" s="17"/>
      <c r="F225" s="17"/>
      <c r="H225" s="19"/>
      <c r="I225" s="47"/>
      <c r="J225" s="48"/>
      <c r="K225" s="49"/>
    </row>
    <row r="226" spans="1:11" ht="12.75" hidden="1" x14ac:dyDescent="0.2">
      <c r="A226" s="16"/>
      <c r="B226" s="16"/>
      <c r="C226" s="15"/>
      <c r="D226" s="16"/>
      <c r="E226" s="17"/>
      <c r="F226" s="17"/>
      <c r="H226" s="19"/>
      <c r="I226" s="47"/>
      <c r="J226" s="48"/>
      <c r="K226" s="49"/>
    </row>
    <row r="227" spans="1:11" ht="12.75" hidden="1" x14ac:dyDescent="0.2">
      <c r="A227" s="16"/>
      <c r="B227" s="16"/>
      <c r="C227" s="15"/>
      <c r="D227" s="16"/>
      <c r="E227" s="17"/>
      <c r="F227" s="17"/>
      <c r="H227" s="19"/>
      <c r="I227" s="47"/>
      <c r="J227" s="48"/>
      <c r="K227" s="49"/>
    </row>
    <row r="228" spans="1:11" ht="12.75" hidden="1" x14ac:dyDescent="0.2">
      <c r="A228" s="16"/>
      <c r="B228" s="16"/>
      <c r="C228" s="15"/>
      <c r="D228" s="16"/>
      <c r="E228" s="17"/>
      <c r="F228" s="17"/>
      <c r="H228" s="19"/>
      <c r="I228" s="47"/>
      <c r="J228" s="48"/>
      <c r="K228" s="49"/>
    </row>
    <row r="229" spans="1:11" ht="12.75" hidden="1" x14ac:dyDescent="0.2">
      <c r="A229" s="16"/>
      <c r="B229" s="16"/>
      <c r="C229" s="15"/>
      <c r="D229" s="16"/>
      <c r="E229" s="17"/>
      <c r="F229" s="17"/>
      <c r="H229" s="19"/>
      <c r="I229" s="47"/>
      <c r="J229" s="48"/>
      <c r="K229" s="49"/>
    </row>
    <row r="230" spans="1:11" ht="12.75" hidden="1" x14ac:dyDescent="0.2">
      <c r="A230" s="16"/>
      <c r="B230" s="16"/>
      <c r="C230" s="15"/>
      <c r="D230" s="16"/>
      <c r="E230" s="17"/>
      <c r="F230" s="17"/>
      <c r="H230" s="19"/>
      <c r="I230" s="47"/>
      <c r="J230" s="48"/>
      <c r="K230" s="49"/>
    </row>
    <row r="231" spans="1:11" ht="12.75" hidden="1" x14ac:dyDescent="0.2">
      <c r="A231" s="16"/>
      <c r="B231" s="16"/>
      <c r="C231" s="15"/>
      <c r="D231" s="16"/>
      <c r="E231" s="17"/>
      <c r="F231" s="17"/>
      <c r="H231" s="19"/>
      <c r="I231" s="47"/>
      <c r="J231" s="48"/>
      <c r="K231" s="49"/>
    </row>
    <row r="232" spans="1:11" ht="12.75" hidden="1" x14ac:dyDescent="0.2">
      <c r="A232" s="16"/>
      <c r="B232" s="16"/>
      <c r="C232" s="15"/>
      <c r="D232" s="16"/>
      <c r="E232" s="17"/>
      <c r="F232" s="17"/>
      <c r="H232" s="19"/>
      <c r="I232" s="47"/>
      <c r="J232" s="48"/>
      <c r="K232" s="49"/>
    </row>
    <row r="233" spans="1:11" ht="12.75" hidden="1" x14ac:dyDescent="0.2">
      <c r="A233" s="16"/>
      <c r="B233" s="16"/>
      <c r="C233" s="15"/>
      <c r="D233" s="16"/>
      <c r="E233" s="17"/>
      <c r="F233" s="17"/>
      <c r="H233" s="19"/>
      <c r="I233" s="47"/>
      <c r="J233" s="48"/>
      <c r="K233" s="49"/>
    </row>
    <row r="234" spans="1:11" ht="12.75" hidden="1" x14ac:dyDescent="0.2">
      <c r="A234" s="16"/>
      <c r="B234" s="16"/>
      <c r="C234" s="15"/>
      <c r="D234" s="16"/>
      <c r="E234" s="17"/>
      <c r="F234" s="17"/>
      <c r="H234" s="19"/>
      <c r="I234" s="47"/>
      <c r="J234" s="48"/>
      <c r="K234" s="49"/>
    </row>
    <row r="235" spans="1:11" ht="12.75" hidden="1" x14ac:dyDescent="0.2">
      <c r="A235" s="16"/>
      <c r="B235" s="16"/>
      <c r="C235" s="15"/>
      <c r="D235" s="16"/>
      <c r="E235" s="17"/>
      <c r="F235" s="17"/>
      <c r="H235" s="19"/>
      <c r="I235" s="47"/>
      <c r="J235" s="48"/>
      <c r="K235" s="49"/>
    </row>
    <row r="236" spans="1:11" ht="12.75" hidden="1" x14ac:dyDescent="0.2">
      <c r="A236" s="16"/>
      <c r="B236" s="16"/>
      <c r="C236" s="15"/>
      <c r="D236" s="16"/>
      <c r="E236" s="17"/>
      <c r="F236" s="17"/>
      <c r="H236" s="19"/>
      <c r="I236" s="47"/>
      <c r="J236" s="48"/>
      <c r="K236" s="49"/>
    </row>
    <row r="237" spans="1:11" ht="12.75" hidden="1" x14ac:dyDescent="0.2">
      <c r="A237" s="16"/>
      <c r="B237" s="16"/>
      <c r="C237" s="15"/>
      <c r="D237" s="16"/>
      <c r="E237" s="17"/>
      <c r="F237" s="17"/>
      <c r="H237" s="19"/>
      <c r="I237" s="47"/>
      <c r="J237" s="48"/>
      <c r="K237" s="49"/>
    </row>
    <row r="238" spans="1:11" ht="12.75" hidden="1" x14ac:dyDescent="0.2">
      <c r="A238" s="16"/>
      <c r="B238" s="16"/>
      <c r="C238" s="15"/>
      <c r="D238" s="16"/>
      <c r="E238" s="17"/>
      <c r="F238" s="17"/>
      <c r="H238" s="19"/>
      <c r="I238" s="47"/>
      <c r="J238" s="48"/>
      <c r="K238" s="49"/>
    </row>
    <row r="239" spans="1:11" ht="12.75" hidden="1" x14ac:dyDescent="0.2">
      <c r="A239" s="16"/>
      <c r="B239" s="16"/>
      <c r="C239" s="15"/>
      <c r="D239" s="16"/>
      <c r="E239" s="17"/>
      <c r="F239" s="17"/>
      <c r="H239" s="19"/>
      <c r="I239" s="47"/>
      <c r="J239" s="48"/>
      <c r="K239" s="49"/>
    </row>
    <row r="240" spans="1:11" ht="12.75" hidden="1" x14ac:dyDescent="0.2">
      <c r="A240" s="16"/>
      <c r="B240" s="16"/>
      <c r="C240" s="15"/>
      <c r="D240" s="16"/>
      <c r="E240" s="17"/>
      <c r="F240" s="17"/>
      <c r="H240" s="19"/>
      <c r="I240" s="47"/>
      <c r="J240" s="48"/>
      <c r="K240" s="49"/>
    </row>
    <row r="241" spans="1:11" ht="12.75" hidden="1" x14ac:dyDescent="0.2">
      <c r="A241" s="16"/>
      <c r="B241" s="16"/>
      <c r="C241" s="15"/>
      <c r="D241" s="16"/>
      <c r="E241" s="17"/>
      <c r="F241" s="17"/>
      <c r="H241" s="19"/>
      <c r="I241" s="47"/>
      <c r="J241" s="48"/>
      <c r="K241" s="49"/>
    </row>
    <row r="242" spans="1:11" ht="12.75" hidden="1" x14ac:dyDescent="0.2">
      <c r="A242" s="16"/>
      <c r="B242" s="16"/>
      <c r="C242" s="15"/>
      <c r="D242" s="16"/>
      <c r="E242" s="17"/>
      <c r="F242" s="17"/>
      <c r="H242" s="19"/>
      <c r="I242" s="47"/>
      <c r="J242" s="48"/>
      <c r="K242" s="49"/>
    </row>
    <row r="243" spans="1:11" ht="12.75" hidden="1" x14ac:dyDescent="0.2">
      <c r="A243" s="16"/>
      <c r="B243" s="16"/>
      <c r="C243" s="15"/>
      <c r="D243" s="16"/>
      <c r="E243" s="17"/>
      <c r="F243" s="17"/>
      <c r="H243" s="19"/>
      <c r="I243" s="47"/>
      <c r="J243" s="48"/>
      <c r="K243" s="49"/>
    </row>
    <row r="244" spans="1:11" ht="12.75" hidden="1" x14ac:dyDescent="0.2">
      <c r="A244" s="16"/>
      <c r="B244" s="16"/>
      <c r="C244" s="15"/>
      <c r="D244" s="16"/>
      <c r="E244" s="17"/>
      <c r="F244" s="17"/>
      <c r="H244" s="19"/>
      <c r="I244" s="47"/>
      <c r="J244" s="48"/>
      <c r="K244" s="49"/>
    </row>
    <row r="245" spans="1:11" ht="12.75" hidden="1" x14ac:dyDescent="0.2">
      <c r="A245" s="16"/>
      <c r="B245" s="16"/>
      <c r="C245" s="15"/>
      <c r="D245" s="16"/>
      <c r="E245" s="17"/>
      <c r="F245" s="17"/>
      <c r="H245" s="19"/>
      <c r="I245" s="47"/>
      <c r="J245" s="48"/>
      <c r="K245" s="49"/>
    </row>
    <row r="246" spans="1:11" ht="12.75" hidden="1" x14ac:dyDescent="0.2">
      <c r="A246" s="16"/>
      <c r="B246" s="16"/>
      <c r="C246" s="15"/>
      <c r="D246" s="16"/>
      <c r="E246" s="17"/>
      <c r="F246" s="17"/>
      <c r="H246" s="19"/>
      <c r="I246" s="47"/>
      <c r="J246" s="48"/>
      <c r="K246" s="49"/>
    </row>
    <row r="247" spans="1:11" ht="12.75" hidden="1" x14ac:dyDescent="0.2">
      <c r="A247" s="16"/>
      <c r="B247" s="16"/>
      <c r="C247" s="15"/>
      <c r="D247" s="16"/>
      <c r="E247" s="17"/>
      <c r="F247" s="17"/>
      <c r="H247" s="19"/>
      <c r="I247" s="47"/>
      <c r="J247" s="48"/>
      <c r="K247" s="49"/>
    </row>
    <row r="248" spans="1:11" ht="12.75" hidden="1" x14ac:dyDescent="0.2">
      <c r="A248" s="16"/>
      <c r="B248" s="16"/>
      <c r="C248" s="15"/>
      <c r="D248" s="16"/>
      <c r="E248" s="17"/>
      <c r="F248" s="17"/>
      <c r="H248" s="19"/>
      <c r="I248" s="47"/>
      <c r="J248" s="48"/>
      <c r="K248" s="49"/>
    </row>
    <row r="249" spans="1:11" ht="12.75" hidden="1" x14ac:dyDescent="0.2">
      <c r="A249" s="16"/>
      <c r="B249" s="16"/>
      <c r="C249" s="15"/>
      <c r="D249" s="16"/>
      <c r="E249" s="17"/>
      <c r="F249" s="17"/>
      <c r="H249" s="19"/>
      <c r="I249" s="47"/>
      <c r="J249" s="48"/>
      <c r="K249" s="49"/>
    </row>
    <row r="250" spans="1:11" ht="12.75" hidden="1" x14ac:dyDescent="0.2">
      <c r="A250" s="16"/>
      <c r="B250" s="16"/>
      <c r="C250" s="15"/>
      <c r="D250" s="16"/>
      <c r="E250" s="17"/>
      <c r="F250" s="17"/>
      <c r="H250" s="19"/>
      <c r="I250" s="47"/>
      <c r="J250" s="48"/>
      <c r="K250" s="49"/>
    </row>
    <row r="251" spans="1:11" ht="12.75" hidden="1" x14ac:dyDescent="0.2">
      <c r="A251" s="16"/>
      <c r="B251" s="16"/>
      <c r="C251" s="15"/>
      <c r="D251" s="16"/>
      <c r="E251" s="17"/>
      <c r="F251" s="17"/>
      <c r="H251" s="19"/>
      <c r="I251" s="47"/>
      <c r="J251" s="48"/>
      <c r="K251" s="49"/>
    </row>
    <row r="252" spans="1:11" ht="12.75" hidden="1" x14ac:dyDescent="0.2">
      <c r="A252" s="16"/>
      <c r="B252" s="16"/>
      <c r="C252" s="15"/>
      <c r="D252" s="16"/>
      <c r="E252" s="17"/>
      <c r="F252" s="17"/>
      <c r="H252" s="19"/>
      <c r="I252" s="47"/>
      <c r="J252" s="48"/>
      <c r="K252" s="49"/>
    </row>
    <row r="253" spans="1:11" ht="12.75" hidden="1" x14ac:dyDescent="0.2">
      <c r="A253" s="16"/>
      <c r="B253" s="16"/>
      <c r="C253" s="15"/>
      <c r="D253" s="16"/>
      <c r="E253" s="17"/>
      <c r="F253" s="17"/>
      <c r="H253" s="19"/>
      <c r="I253" s="47"/>
      <c r="J253" s="48"/>
      <c r="K253" s="49"/>
    </row>
    <row r="254" spans="1:11" ht="12.75" hidden="1" x14ac:dyDescent="0.2">
      <c r="A254" s="16"/>
      <c r="B254" s="16"/>
      <c r="C254" s="15"/>
      <c r="D254" s="16"/>
      <c r="E254" s="17"/>
      <c r="F254" s="17"/>
      <c r="H254" s="19"/>
      <c r="I254" s="47"/>
      <c r="J254" s="48"/>
      <c r="K254" s="49"/>
    </row>
    <row r="255" spans="1:11" ht="12.75" hidden="1" x14ac:dyDescent="0.2">
      <c r="A255" s="16"/>
      <c r="B255" s="16"/>
      <c r="C255" s="15"/>
      <c r="D255" s="16"/>
      <c r="E255" s="17"/>
      <c r="F255" s="17"/>
      <c r="H255" s="19"/>
      <c r="I255" s="47"/>
      <c r="J255" s="48"/>
      <c r="K255" s="49"/>
    </row>
    <row r="256" spans="1:11" ht="12.75" hidden="1" x14ac:dyDescent="0.2">
      <c r="A256" s="16"/>
      <c r="B256" s="16"/>
      <c r="C256" s="15"/>
      <c r="D256" s="16"/>
      <c r="E256" s="17"/>
      <c r="F256" s="17"/>
      <c r="H256" s="19"/>
      <c r="I256" s="47"/>
      <c r="J256" s="48"/>
      <c r="K256" s="49"/>
    </row>
    <row r="257" spans="1:11" ht="12.75" hidden="1" x14ac:dyDescent="0.2">
      <c r="A257" s="16"/>
      <c r="B257" s="16"/>
      <c r="C257" s="15"/>
      <c r="D257" s="16"/>
      <c r="E257" s="17"/>
      <c r="F257" s="17"/>
      <c r="H257" s="19"/>
      <c r="I257" s="47"/>
      <c r="J257" s="48"/>
      <c r="K257" s="49"/>
    </row>
    <row r="258" spans="1:11" ht="12.75" hidden="1" x14ac:dyDescent="0.2">
      <c r="A258" s="16"/>
      <c r="B258" s="16"/>
      <c r="C258" s="15"/>
      <c r="D258" s="16"/>
      <c r="E258" s="17"/>
      <c r="F258" s="17"/>
      <c r="H258" s="19"/>
      <c r="I258" s="47"/>
      <c r="J258" s="48"/>
      <c r="K258" s="49"/>
    </row>
    <row r="259" spans="1:11" ht="12.75" hidden="1" x14ac:dyDescent="0.2">
      <c r="A259" s="16"/>
      <c r="B259" s="16"/>
      <c r="C259" s="15"/>
      <c r="D259" s="16"/>
      <c r="E259" s="17"/>
      <c r="F259" s="17"/>
      <c r="H259" s="19"/>
      <c r="I259" s="47"/>
      <c r="J259" s="48"/>
      <c r="K259" s="49"/>
    </row>
    <row r="260" spans="1:11" ht="12.75" hidden="1" x14ac:dyDescent="0.2">
      <c r="A260" s="16"/>
      <c r="B260" s="16"/>
      <c r="C260" s="15"/>
      <c r="D260" s="16"/>
      <c r="E260" s="17"/>
      <c r="F260" s="17"/>
      <c r="H260" s="19"/>
      <c r="I260" s="47"/>
      <c r="J260" s="48"/>
      <c r="K260" s="49"/>
    </row>
    <row r="261" spans="1:11" ht="12.75" hidden="1" x14ac:dyDescent="0.2">
      <c r="A261" s="16"/>
      <c r="B261" s="16"/>
      <c r="C261" s="15"/>
      <c r="D261" s="16"/>
      <c r="E261" s="17"/>
      <c r="F261" s="17"/>
      <c r="H261" s="19"/>
      <c r="I261" s="47"/>
      <c r="J261" s="48"/>
      <c r="K261" s="49"/>
    </row>
    <row r="262" spans="1:11" ht="12.75" hidden="1" x14ac:dyDescent="0.2">
      <c r="A262" s="16"/>
      <c r="B262" s="16"/>
      <c r="C262" s="15"/>
      <c r="D262" s="16"/>
      <c r="E262" s="17"/>
      <c r="F262" s="17"/>
      <c r="H262" s="19"/>
      <c r="I262" s="47"/>
      <c r="J262" s="48"/>
      <c r="K262" s="49"/>
    </row>
    <row r="263" spans="1:11" ht="12.75" hidden="1" x14ac:dyDescent="0.2">
      <c r="A263" s="16"/>
      <c r="B263" s="16"/>
      <c r="C263" s="15"/>
      <c r="D263" s="16"/>
      <c r="E263" s="17"/>
      <c r="F263" s="17"/>
      <c r="H263" s="19"/>
      <c r="I263" s="47"/>
      <c r="J263" s="48"/>
      <c r="K263" s="49"/>
    </row>
    <row r="264" spans="1:11" ht="12.75" hidden="1" x14ac:dyDescent="0.2">
      <c r="A264" s="16"/>
      <c r="B264" s="16"/>
      <c r="C264" s="15"/>
      <c r="D264" s="16"/>
      <c r="E264" s="17"/>
      <c r="F264" s="17"/>
      <c r="H264" s="19"/>
      <c r="I264" s="47"/>
      <c r="J264" s="48"/>
      <c r="K264" s="49"/>
    </row>
    <row r="265" spans="1:11" ht="12.75" hidden="1" x14ac:dyDescent="0.2">
      <c r="A265" s="16"/>
      <c r="B265" s="16"/>
      <c r="C265" s="15"/>
      <c r="D265" s="16"/>
      <c r="E265" s="17"/>
      <c r="F265" s="17"/>
      <c r="H265" s="19"/>
      <c r="I265" s="47"/>
      <c r="J265" s="48"/>
      <c r="K265" s="49"/>
    </row>
    <row r="266" spans="1:11" ht="12.75" hidden="1" x14ac:dyDescent="0.2">
      <c r="A266" s="16"/>
      <c r="B266" s="16"/>
      <c r="C266" s="15"/>
      <c r="D266" s="16"/>
      <c r="E266" s="17"/>
      <c r="F266" s="17"/>
      <c r="H266" s="19"/>
      <c r="I266" s="47"/>
      <c r="J266" s="48"/>
      <c r="K266" s="49"/>
    </row>
    <row r="267" spans="1:11" ht="12.75" hidden="1" x14ac:dyDescent="0.2">
      <c r="A267" s="16"/>
      <c r="B267" s="16"/>
      <c r="C267" s="15"/>
      <c r="D267" s="16"/>
      <c r="E267" s="17"/>
      <c r="F267" s="17"/>
      <c r="H267" s="19"/>
      <c r="I267" s="47"/>
      <c r="J267" s="48"/>
      <c r="K267" s="49"/>
    </row>
    <row r="268" spans="1:11" ht="12.75" hidden="1" x14ac:dyDescent="0.2">
      <c r="A268" s="16"/>
      <c r="B268" s="16"/>
      <c r="C268" s="15"/>
      <c r="D268" s="16"/>
      <c r="E268" s="17"/>
      <c r="F268" s="17"/>
      <c r="H268" s="19"/>
      <c r="I268" s="47"/>
      <c r="J268" s="48"/>
      <c r="K268" s="49"/>
    </row>
    <row r="269" spans="1:11" ht="12.75" hidden="1" x14ac:dyDescent="0.2">
      <c r="A269" s="16"/>
      <c r="B269" s="16"/>
      <c r="C269" s="15"/>
      <c r="D269" s="16"/>
      <c r="E269" s="17"/>
      <c r="F269" s="17"/>
      <c r="H269" s="19"/>
      <c r="I269" s="47"/>
      <c r="J269" s="48"/>
      <c r="K269" s="49"/>
    </row>
    <row r="270" spans="1:11" ht="12.75" hidden="1" x14ac:dyDescent="0.2">
      <c r="A270" s="16"/>
      <c r="B270" s="16"/>
      <c r="C270" s="15"/>
      <c r="D270" s="16"/>
      <c r="E270" s="17"/>
      <c r="F270" s="17"/>
      <c r="H270" s="19"/>
      <c r="I270" s="47"/>
      <c r="J270" s="48"/>
      <c r="K270" s="49"/>
    </row>
    <row r="271" spans="1:11" ht="12.75" hidden="1" x14ac:dyDescent="0.2">
      <c r="A271" s="16"/>
      <c r="B271" s="16"/>
      <c r="C271" s="15"/>
      <c r="D271" s="16"/>
      <c r="E271" s="17"/>
      <c r="F271" s="17"/>
      <c r="H271" s="19"/>
      <c r="I271" s="47"/>
      <c r="J271" s="48"/>
      <c r="K271" s="49"/>
    </row>
    <row r="272" spans="1:11" ht="12.75" hidden="1" x14ac:dyDescent="0.2">
      <c r="A272" s="16"/>
      <c r="B272" s="16"/>
      <c r="C272" s="15"/>
      <c r="D272" s="16"/>
      <c r="E272" s="17"/>
      <c r="F272" s="17"/>
      <c r="H272" s="19"/>
      <c r="I272" s="47"/>
      <c r="J272" s="48"/>
      <c r="K272" s="49"/>
    </row>
    <row r="273" spans="1:11" ht="12.75" hidden="1" x14ac:dyDescent="0.2">
      <c r="A273" s="16"/>
      <c r="B273" s="16"/>
      <c r="C273" s="15"/>
      <c r="D273" s="16"/>
      <c r="E273" s="17"/>
      <c r="F273" s="17"/>
      <c r="H273" s="19"/>
      <c r="I273" s="47"/>
      <c r="J273" s="48"/>
      <c r="K273" s="49"/>
    </row>
    <row r="274" spans="1:11" ht="12.75" hidden="1" x14ac:dyDescent="0.2">
      <c r="A274" s="16"/>
      <c r="B274" s="16"/>
      <c r="C274" s="15"/>
      <c r="D274" s="16"/>
      <c r="E274" s="17"/>
      <c r="F274" s="17"/>
      <c r="H274" s="19"/>
      <c r="I274" s="47"/>
      <c r="J274" s="48"/>
      <c r="K274" s="49"/>
    </row>
    <row r="275" spans="1:11" ht="12.75" hidden="1" x14ac:dyDescent="0.2">
      <c r="A275" s="16"/>
      <c r="B275" s="16"/>
      <c r="C275" s="15"/>
      <c r="D275" s="16"/>
      <c r="E275" s="17"/>
      <c r="F275" s="17"/>
      <c r="H275" s="19"/>
      <c r="I275" s="47"/>
      <c r="J275" s="48"/>
      <c r="K275" s="49"/>
    </row>
    <row r="276" spans="1:11" ht="12.75" hidden="1" x14ac:dyDescent="0.2">
      <c r="A276" s="16"/>
      <c r="B276" s="16"/>
      <c r="C276" s="15"/>
      <c r="D276" s="16"/>
      <c r="E276" s="17"/>
      <c r="F276" s="17"/>
      <c r="H276" s="19"/>
      <c r="I276" s="47"/>
      <c r="J276" s="48"/>
      <c r="K276" s="49"/>
    </row>
    <row r="277" spans="1:11" ht="12.75" hidden="1" x14ac:dyDescent="0.2">
      <c r="A277" s="16"/>
      <c r="B277" s="16"/>
      <c r="C277" s="15"/>
      <c r="D277" s="16"/>
      <c r="E277" s="17"/>
      <c r="F277" s="17"/>
      <c r="H277" s="19"/>
      <c r="I277" s="47"/>
      <c r="J277" s="48"/>
      <c r="K277" s="49"/>
    </row>
    <row r="278" spans="1:11" ht="12.75" hidden="1" x14ac:dyDescent="0.2">
      <c r="A278" s="16"/>
      <c r="B278" s="16"/>
      <c r="C278" s="15"/>
      <c r="D278" s="16"/>
      <c r="E278" s="17"/>
      <c r="F278" s="17"/>
      <c r="H278" s="19"/>
      <c r="I278" s="47"/>
      <c r="J278" s="48"/>
      <c r="K278" s="49"/>
    </row>
    <row r="279" spans="1:11" ht="12.75" hidden="1" x14ac:dyDescent="0.2">
      <c r="A279" s="16"/>
      <c r="B279" s="16"/>
      <c r="C279" s="15"/>
      <c r="D279" s="16"/>
      <c r="E279" s="17"/>
      <c r="F279" s="17"/>
      <c r="H279" s="19"/>
      <c r="I279" s="47"/>
      <c r="J279" s="48"/>
      <c r="K279" s="49"/>
    </row>
    <row r="280" spans="1:11" ht="12.75" hidden="1" x14ac:dyDescent="0.2">
      <c r="A280" s="16"/>
      <c r="B280" s="16"/>
      <c r="C280" s="15"/>
      <c r="D280" s="16"/>
      <c r="E280" s="17"/>
      <c r="F280" s="17"/>
      <c r="H280" s="19"/>
      <c r="I280" s="47"/>
      <c r="J280" s="48"/>
      <c r="K280" s="49"/>
    </row>
    <row r="281" spans="1:11" ht="12.75" hidden="1" x14ac:dyDescent="0.2">
      <c r="A281" s="16"/>
      <c r="B281" s="16"/>
      <c r="C281" s="15"/>
      <c r="D281" s="16"/>
      <c r="E281" s="17"/>
      <c r="F281" s="17"/>
      <c r="H281" s="19"/>
      <c r="I281" s="47"/>
      <c r="J281" s="48"/>
      <c r="K281" s="49"/>
    </row>
    <row r="282" spans="1:11" ht="12.75" hidden="1" x14ac:dyDescent="0.2">
      <c r="A282" s="16"/>
      <c r="B282" s="16"/>
      <c r="C282" s="15"/>
      <c r="D282" s="16"/>
      <c r="E282" s="17"/>
      <c r="F282" s="17"/>
      <c r="H282" s="19"/>
      <c r="I282" s="47"/>
      <c r="J282" s="48"/>
      <c r="K282" s="49"/>
    </row>
    <row r="283" spans="1:11" ht="12.75" hidden="1" x14ac:dyDescent="0.2">
      <c r="A283" s="16"/>
      <c r="B283" s="16"/>
      <c r="C283" s="15"/>
      <c r="D283" s="16"/>
      <c r="E283" s="17"/>
      <c r="F283" s="17"/>
      <c r="H283" s="19"/>
      <c r="I283" s="47"/>
      <c r="J283" s="48"/>
      <c r="K283" s="49"/>
    </row>
    <row r="284" spans="1:11" ht="12.75" hidden="1" x14ac:dyDescent="0.2">
      <c r="A284" s="16"/>
      <c r="B284" s="16"/>
      <c r="C284" s="15"/>
      <c r="D284" s="16"/>
      <c r="E284" s="17"/>
      <c r="F284" s="17"/>
      <c r="H284" s="19"/>
      <c r="I284" s="47"/>
      <c r="J284" s="48"/>
      <c r="K284" s="49"/>
    </row>
    <row r="285" spans="1:11" ht="12.75" hidden="1" x14ac:dyDescent="0.2">
      <c r="A285" s="16"/>
      <c r="B285" s="16"/>
      <c r="C285" s="15"/>
      <c r="D285" s="16"/>
      <c r="E285" s="17"/>
      <c r="F285" s="17"/>
      <c r="H285" s="19"/>
      <c r="I285" s="47"/>
      <c r="J285" s="48"/>
      <c r="K285" s="49"/>
    </row>
    <row r="286" spans="1:11" ht="12.75" hidden="1" x14ac:dyDescent="0.2">
      <c r="A286" s="16"/>
      <c r="B286" s="16"/>
      <c r="C286" s="15"/>
      <c r="D286" s="16"/>
      <c r="E286" s="17"/>
      <c r="F286" s="17"/>
      <c r="H286" s="19"/>
      <c r="I286" s="47"/>
      <c r="J286" s="48"/>
      <c r="K286" s="49"/>
    </row>
    <row r="287" spans="1:11" ht="12.75" hidden="1" x14ac:dyDescent="0.2">
      <c r="A287" s="16"/>
      <c r="B287" s="16"/>
      <c r="C287" s="15"/>
      <c r="D287" s="16"/>
      <c r="E287" s="17"/>
      <c r="F287" s="17"/>
      <c r="H287" s="19"/>
      <c r="I287" s="47"/>
      <c r="J287" s="48"/>
      <c r="K287" s="49"/>
    </row>
    <row r="288" spans="1:11" ht="12.75" hidden="1" x14ac:dyDescent="0.2">
      <c r="A288" s="16"/>
      <c r="B288" s="16"/>
      <c r="C288" s="15"/>
      <c r="D288" s="16"/>
      <c r="E288" s="17"/>
      <c r="F288" s="17"/>
      <c r="H288" s="19"/>
      <c r="I288" s="47"/>
      <c r="J288" s="48"/>
      <c r="K288" s="49"/>
    </row>
    <row r="289" spans="1:11" ht="12.75" hidden="1" x14ac:dyDescent="0.2">
      <c r="A289" s="16"/>
      <c r="B289" s="16"/>
      <c r="C289" s="15"/>
      <c r="D289" s="16"/>
      <c r="E289" s="17"/>
      <c r="F289" s="17"/>
      <c r="H289" s="19"/>
      <c r="I289" s="47"/>
      <c r="J289" s="48"/>
      <c r="K289" s="49"/>
    </row>
    <row r="290" spans="1:11" ht="12.75" hidden="1" x14ac:dyDescent="0.2">
      <c r="A290" s="16"/>
      <c r="B290" s="16"/>
      <c r="C290" s="15"/>
      <c r="D290" s="16"/>
      <c r="E290" s="17"/>
      <c r="F290" s="17"/>
      <c r="H290" s="19"/>
      <c r="I290" s="47"/>
      <c r="J290" s="48"/>
      <c r="K290" s="49"/>
    </row>
    <row r="291" spans="1:11" ht="12.75" hidden="1" x14ac:dyDescent="0.2">
      <c r="A291" s="16"/>
      <c r="B291" s="16"/>
      <c r="C291" s="15"/>
      <c r="D291" s="16"/>
      <c r="E291" s="17"/>
      <c r="F291" s="17"/>
      <c r="H291" s="19"/>
      <c r="I291" s="47"/>
      <c r="J291" s="48"/>
      <c r="K291" s="49"/>
    </row>
    <row r="292" spans="1:11" ht="12.75" hidden="1" x14ac:dyDescent="0.2">
      <c r="A292" s="16"/>
      <c r="B292" s="16"/>
      <c r="C292" s="15"/>
      <c r="D292" s="16"/>
      <c r="E292" s="17"/>
      <c r="F292" s="17"/>
      <c r="H292" s="19"/>
      <c r="I292" s="47"/>
      <c r="J292" s="48"/>
      <c r="K292" s="49"/>
    </row>
    <row r="293" spans="1:11" ht="12.75" hidden="1" x14ac:dyDescent="0.2">
      <c r="A293" s="16"/>
      <c r="B293" s="16"/>
      <c r="C293" s="15"/>
      <c r="D293" s="16"/>
      <c r="E293" s="17"/>
      <c r="F293" s="17"/>
      <c r="H293" s="19"/>
      <c r="I293" s="47"/>
      <c r="J293" s="48"/>
      <c r="K293" s="49"/>
    </row>
    <row r="294" spans="1:11" ht="12.75" hidden="1" x14ac:dyDescent="0.2">
      <c r="A294" s="16"/>
      <c r="B294" s="16"/>
      <c r="C294" s="15"/>
      <c r="D294" s="16"/>
      <c r="E294" s="17"/>
      <c r="F294" s="17"/>
      <c r="H294" s="19"/>
      <c r="I294" s="47"/>
      <c r="J294" s="48"/>
      <c r="K294" s="49"/>
    </row>
    <row r="295" spans="1:11" ht="12.75" hidden="1" x14ac:dyDescent="0.2">
      <c r="A295" s="16"/>
      <c r="B295" s="16"/>
      <c r="C295" s="15"/>
      <c r="D295" s="16"/>
      <c r="E295" s="17"/>
      <c r="F295" s="17"/>
      <c r="H295" s="19"/>
      <c r="I295" s="47"/>
      <c r="J295" s="48"/>
      <c r="K295" s="49"/>
    </row>
    <row r="296" spans="1:11" ht="12.75" hidden="1" x14ac:dyDescent="0.2">
      <c r="A296" s="16"/>
      <c r="B296" s="16"/>
      <c r="C296" s="15"/>
      <c r="D296" s="16"/>
      <c r="E296" s="17"/>
      <c r="F296" s="17"/>
      <c r="H296" s="19"/>
      <c r="I296" s="47"/>
      <c r="J296" s="48"/>
      <c r="K296" s="49"/>
    </row>
    <row r="297" spans="1:11" ht="12.75" hidden="1" x14ac:dyDescent="0.2">
      <c r="A297" s="16"/>
      <c r="B297" s="16"/>
      <c r="C297" s="15"/>
      <c r="D297" s="16"/>
      <c r="E297" s="17"/>
      <c r="F297" s="17"/>
      <c r="H297" s="19"/>
      <c r="I297" s="47"/>
      <c r="J297" s="48"/>
      <c r="K297" s="49"/>
    </row>
    <row r="298" spans="1:11" ht="12.75" hidden="1" x14ac:dyDescent="0.2">
      <c r="A298" s="16"/>
      <c r="B298" s="16"/>
      <c r="C298" s="15"/>
      <c r="D298" s="16"/>
      <c r="E298" s="17"/>
      <c r="F298" s="17"/>
      <c r="H298" s="19"/>
      <c r="I298" s="47"/>
      <c r="J298" s="48"/>
      <c r="K298" s="49"/>
    </row>
    <row r="299" spans="1:11" ht="12.75" hidden="1" x14ac:dyDescent="0.2">
      <c r="A299" s="16"/>
      <c r="B299" s="16"/>
      <c r="C299" s="15"/>
      <c r="D299" s="16"/>
      <c r="E299" s="17"/>
      <c r="F299" s="17"/>
      <c r="H299" s="19"/>
      <c r="I299" s="47"/>
      <c r="J299" s="48"/>
      <c r="K299" s="49"/>
    </row>
    <row r="300" spans="1:11" ht="12.75" hidden="1" x14ac:dyDescent="0.2">
      <c r="A300" s="16"/>
      <c r="B300" s="16"/>
      <c r="C300" s="15"/>
      <c r="D300" s="16"/>
      <c r="E300" s="17"/>
      <c r="F300" s="17"/>
      <c r="H300" s="19"/>
      <c r="I300" s="47"/>
      <c r="J300" s="48"/>
      <c r="K300" s="49"/>
    </row>
    <row r="301" spans="1:11" ht="12.75" hidden="1" x14ac:dyDescent="0.2">
      <c r="A301" s="16"/>
      <c r="B301" s="16"/>
      <c r="C301" s="15"/>
      <c r="D301" s="16"/>
      <c r="E301" s="17"/>
      <c r="F301" s="17"/>
      <c r="H301" s="19"/>
      <c r="I301" s="47"/>
      <c r="J301" s="48"/>
      <c r="K301" s="49"/>
    </row>
    <row r="302" spans="1:11" ht="12.75" hidden="1" x14ac:dyDescent="0.2">
      <c r="A302" s="16"/>
      <c r="B302" s="16"/>
      <c r="C302" s="15"/>
      <c r="D302" s="16"/>
      <c r="E302" s="17"/>
      <c r="F302" s="17"/>
      <c r="H302" s="19"/>
      <c r="I302" s="47"/>
      <c r="J302" s="48"/>
      <c r="K302" s="49"/>
    </row>
    <row r="303" spans="1:11" ht="12.75" hidden="1" x14ac:dyDescent="0.2">
      <c r="A303" s="16"/>
      <c r="B303" s="16"/>
      <c r="C303" s="15"/>
      <c r="D303" s="16"/>
      <c r="E303" s="17"/>
      <c r="F303" s="17"/>
      <c r="H303" s="19"/>
      <c r="I303" s="47"/>
      <c r="J303" s="48"/>
      <c r="K303" s="49"/>
    </row>
    <row r="304" spans="1:11" ht="12.75" hidden="1" x14ac:dyDescent="0.2">
      <c r="A304" s="16"/>
      <c r="B304" s="16"/>
      <c r="C304" s="15"/>
      <c r="D304" s="16"/>
      <c r="E304" s="17"/>
      <c r="F304" s="17"/>
      <c r="H304" s="19"/>
      <c r="I304" s="47"/>
      <c r="J304" s="48"/>
      <c r="K304" s="49"/>
    </row>
    <row r="305" spans="1:11" ht="12.75" hidden="1" x14ac:dyDescent="0.2">
      <c r="A305" s="16"/>
      <c r="B305" s="16"/>
      <c r="C305" s="15"/>
      <c r="D305" s="16"/>
      <c r="E305" s="17"/>
      <c r="F305" s="17"/>
      <c r="H305" s="19"/>
      <c r="I305" s="47"/>
      <c r="J305" s="48"/>
      <c r="K305" s="49"/>
    </row>
    <row r="306" spans="1:11" ht="12.75" hidden="1" x14ac:dyDescent="0.2">
      <c r="A306" s="16"/>
      <c r="B306" s="16"/>
      <c r="C306" s="15"/>
      <c r="D306" s="16"/>
      <c r="E306" s="17"/>
      <c r="F306" s="17"/>
      <c r="H306" s="19"/>
      <c r="I306" s="47"/>
      <c r="J306" s="48"/>
      <c r="K306" s="49"/>
    </row>
    <row r="307" spans="1:11" ht="12.75" hidden="1" x14ac:dyDescent="0.2">
      <c r="A307" s="16"/>
      <c r="B307" s="16"/>
      <c r="C307" s="15"/>
      <c r="D307" s="16"/>
      <c r="E307" s="17"/>
      <c r="F307" s="17"/>
      <c r="H307" s="19"/>
      <c r="I307" s="47"/>
      <c r="J307" s="48"/>
      <c r="K307" s="49"/>
    </row>
    <row r="308" spans="1:11" ht="12.75" hidden="1" x14ac:dyDescent="0.2">
      <c r="A308" s="16"/>
      <c r="B308" s="16"/>
      <c r="C308" s="15"/>
      <c r="D308" s="16"/>
      <c r="E308" s="17"/>
      <c r="F308" s="17"/>
      <c r="H308" s="19"/>
      <c r="I308" s="47"/>
      <c r="J308" s="48"/>
      <c r="K308" s="49"/>
    </row>
    <row r="309" spans="1:11" ht="12.75" hidden="1" x14ac:dyDescent="0.2">
      <c r="A309" s="16"/>
      <c r="B309" s="16"/>
      <c r="C309" s="15"/>
      <c r="D309" s="16"/>
      <c r="E309" s="17"/>
      <c r="F309" s="17"/>
      <c r="H309" s="19"/>
      <c r="I309" s="47"/>
      <c r="J309" s="48"/>
      <c r="K309" s="49"/>
    </row>
    <row r="310" spans="1:11" ht="12.75" hidden="1" x14ac:dyDescent="0.2">
      <c r="A310" s="16"/>
      <c r="B310" s="16"/>
      <c r="C310" s="15"/>
      <c r="D310" s="16"/>
      <c r="E310" s="17"/>
      <c r="F310" s="17"/>
      <c r="H310" s="19"/>
      <c r="I310" s="47"/>
      <c r="J310" s="48"/>
      <c r="K310" s="49"/>
    </row>
    <row r="311" spans="1:11" ht="12.75" hidden="1" x14ac:dyDescent="0.2">
      <c r="A311" s="16"/>
      <c r="B311" s="16"/>
      <c r="C311" s="15"/>
      <c r="D311" s="16"/>
      <c r="E311" s="17"/>
      <c r="F311" s="17"/>
      <c r="H311" s="19"/>
      <c r="I311" s="47"/>
      <c r="J311" s="48"/>
      <c r="K311" s="49"/>
    </row>
    <row r="312" spans="1:11" ht="12.75" hidden="1" x14ac:dyDescent="0.2">
      <c r="A312" s="16"/>
      <c r="B312" s="16"/>
      <c r="C312" s="15"/>
      <c r="D312" s="16"/>
      <c r="E312" s="17"/>
      <c r="F312" s="17"/>
      <c r="H312" s="19"/>
      <c r="I312" s="47"/>
      <c r="J312" s="48"/>
      <c r="K312" s="49"/>
    </row>
    <row r="313" spans="1:11" ht="12.75" hidden="1" x14ac:dyDescent="0.2">
      <c r="A313" s="16"/>
      <c r="B313" s="16"/>
      <c r="C313" s="15"/>
      <c r="D313" s="16"/>
      <c r="E313" s="17"/>
      <c r="F313" s="17"/>
      <c r="H313" s="19"/>
      <c r="I313" s="47"/>
      <c r="J313" s="48"/>
      <c r="K313" s="49"/>
    </row>
    <row r="314" spans="1:11" ht="12.75" hidden="1" x14ac:dyDescent="0.2">
      <c r="A314" s="16"/>
      <c r="B314" s="16"/>
      <c r="C314" s="15"/>
      <c r="D314" s="16"/>
      <c r="E314" s="17"/>
      <c r="F314" s="17"/>
      <c r="H314" s="19"/>
      <c r="I314" s="47"/>
      <c r="J314" s="48"/>
      <c r="K314" s="49"/>
    </row>
    <row r="315" spans="1:11" ht="12.75" hidden="1" x14ac:dyDescent="0.2">
      <c r="A315" s="16"/>
      <c r="B315" s="16"/>
      <c r="C315" s="15"/>
      <c r="D315" s="16"/>
      <c r="E315" s="17"/>
      <c r="F315" s="17"/>
      <c r="H315" s="19"/>
      <c r="I315" s="47"/>
      <c r="J315" s="48"/>
      <c r="K315" s="49"/>
    </row>
    <row r="316" spans="1:11" ht="12.75" hidden="1" x14ac:dyDescent="0.2">
      <c r="A316" s="16"/>
      <c r="B316" s="16"/>
      <c r="C316" s="15"/>
      <c r="D316" s="16"/>
      <c r="E316" s="17"/>
      <c r="F316" s="17"/>
      <c r="H316" s="19"/>
      <c r="I316" s="47"/>
      <c r="J316" s="48"/>
      <c r="K316" s="49"/>
    </row>
    <row r="317" spans="1:11" ht="12.75" hidden="1" x14ac:dyDescent="0.2">
      <c r="A317" s="16"/>
      <c r="B317" s="16"/>
      <c r="C317" s="15"/>
      <c r="D317" s="16"/>
      <c r="E317" s="17"/>
      <c r="F317" s="17"/>
      <c r="H317" s="19"/>
      <c r="I317" s="47"/>
      <c r="J317" s="48"/>
      <c r="K317" s="49"/>
    </row>
    <row r="318" spans="1:11" ht="12.75" hidden="1" x14ac:dyDescent="0.2">
      <c r="A318" s="16"/>
      <c r="B318" s="16"/>
      <c r="C318" s="15"/>
      <c r="D318" s="16"/>
      <c r="E318" s="17"/>
      <c r="F318" s="17"/>
      <c r="H318" s="19"/>
      <c r="I318" s="47"/>
      <c r="J318" s="48"/>
      <c r="K318" s="49"/>
    </row>
    <row r="319" spans="1:11" ht="12.75" hidden="1" x14ac:dyDescent="0.2">
      <c r="A319" s="16"/>
      <c r="B319" s="16"/>
      <c r="C319" s="15"/>
      <c r="D319" s="16"/>
      <c r="E319" s="17"/>
      <c r="F319" s="17"/>
      <c r="H319" s="19"/>
      <c r="I319" s="47"/>
      <c r="J319" s="48"/>
      <c r="K319" s="49"/>
    </row>
    <row r="320" spans="1:11" ht="12.75" hidden="1" x14ac:dyDescent="0.2">
      <c r="A320" s="16"/>
      <c r="B320" s="16"/>
      <c r="C320" s="15"/>
      <c r="D320" s="16"/>
      <c r="E320" s="17"/>
      <c r="F320" s="17"/>
      <c r="H320" s="19"/>
      <c r="I320" s="47"/>
      <c r="J320" s="48"/>
      <c r="K320" s="49"/>
    </row>
    <row r="321" spans="1:11" ht="12.75" hidden="1" x14ac:dyDescent="0.2">
      <c r="A321" s="16"/>
      <c r="B321" s="16"/>
      <c r="C321" s="15"/>
      <c r="D321" s="16"/>
      <c r="E321" s="17"/>
      <c r="F321" s="17"/>
      <c r="H321" s="19"/>
      <c r="I321" s="47"/>
      <c r="J321" s="48"/>
      <c r="K321" s="49"/>
    </row>
    <row r="322" spans="1:11" ht="12.75" hidden="1" x14ac:dyDescent="0.2">
      <c r="A322" s="16"/>
      <c r="B322" s="16"/>
      <c r="C322" s="15"/>
      <c r="D322" s="16"/>
      <c r="E322" s="17"/>
      <c r="F322" s="17"/>
      <c r="H322" s="19"/>
      <c r="I322" s="47"/>
      <c r="J322" s="48"/>
      <c r="K322" s="49"/>
    </row>
    <row r="323" spans="1:11" ht="12.75" hidden="1" x14ac:dyDescent="0.2">
      <c r="A323" s="16"/>
      <c r="B323" s="16"/>
      <c r="C323" s="15"/>
      <c r="D323" s="16"/>
      <c r="E323" s="17"/>
      <c r="F323" s="17"/>
      <c r="H323" s="19"/>
      <c r="I323" s="47"/>
      <c r="J323" s="48"/>
      <c r="K323" s="49"/>
    </row>
    <row r="324" spans="1:11" ht="12.75" hidden="1" x14ac:dyDescent="0.2">
      <c r="A324" s="16"/>
      <c r="B324" s="16"/>
      <c r="C324" s="15"/>
      <c r="D324" s="16"/>
      <c r="E324" s="17"/>
      <c r="F324" s="17"/>
      <c r="H324" s="19"/>
      <c r="I324" s="47"/>
      <c r="J324" s="48"/>
      <c r="K324" s="49"/>
    </row>
    <row r="325" spans="1:11" ht="12.75" hidden="1" x14ac:dyDescent="0.2">
      <c r="A325" s="16"/>
      <c r="B325" s="16"/>
      <c r="C325" s="15"/>
      <c r="D325" s="16"/>
      <c r="E325" s="17"/>
      <c r="F325" s="17"/>
      <c r="H325" s="19"/>
      <c r="I325" s="47"/>
      <c r="J325" s="48"/>
      <c r="K325" s="49"/>
    </row>
    <row r="326" spans="1:11" ht="12.75" hidden="1" x14ac:dyDescent="0.2">
      <c r="A326" s="16"/>
      <c r="B326" s="16"/>
      <c r="C326" s="15"/>
      <c r="D326" s="16"/>
      <c r="E326" s="17"/>
      <c r="F326" s="17"/>
      <c r="H326" s="19"/>
      <c r="I326" s="47"/>
      <c r="J326" s="48"/>
      <c r="K326" s="49"/>
    </row>
    <row r="327" spans="1:11" ht="12.75" hidden="1" x14ac:dyDescent="0.2">
      <c r="A327" s="16"/>
      <c r="B327" s="16"/>
      <c r="C327" s="15"/>
      <c r="D327" s="16"/>
      <c r="E327" s="17"/>
      <c r="F327" s="17"/>
      <c r="H327" s="19"/>
      <c r="I327" s="47"/>
      <c r="J327" s="48"/>
      <c r="K327" s="49"/>
    </row>
    <row r="328" spans="1:11" ht="12.75" hidden="1" x14ac:dyDescent="0.2">
      <c r="A328" s="16"/>
      <c r="B328" s="16"/>
      <c r="C328" s="15"/>
      <c r="D328" s="16"/>
      <c r="E328" s="17"/>
      <c r="F328" s="17"/>
      <c r="H328" s="19"/>
      <c r="I328" s="47"/>
      <c r="J328" s="48"/>
      <c r="K328" s="49"/>
    </row>
    <row r="329" spans="1:11" ht="12.75" hidden="1" x14ac:dyDescent="0.2">
      <c r="A329" s="16"/>
      <c r="B329" s="16"/>
      <c r="C329" s="15"/>
      <c r="D329" s="16"/>
      <c r="E329" s="17"/>
      <c r="F329" s="17"/>
      <c r="H329" s="19"/>
      <c r="I329" s="47"/>
      <c r="J329" s="48"/>
      <c r="K329" s="49"/>
    </row>
    <row r="330" spans="1:11" ht="12.75" hidden="1" x14ac:dyDescent="0.2">
      <c r="A330" s="16"/>
      <c r="B330" s="16"/>
      <c r="C330" s="15"/>
      <c r="D330" s="16"/>
      <c r="E330" s="17"/>
      <c r="F330" s="17"/>
      <c r="H330" s="19"/>
      <c r="I330" s="47"/>
      <c r="J330" s="48"/>
      <c r="K330" s="49"/>
    </row>
    <row r="331" spans="1:11" ht="12.75" hidden="1" x14ac:dyDescent="0.2">
      <c r="A331" s="16"/>
      <c r="B331" s="16"/>
      <c r="C331" s="15"/>
      <c r="D331" s="16"/>
      <c r="E331" s="17"/>
      <c r="F331" s="17"/>
      <c r="H331" s="19"/>
      <c r="I331" s="47"/>
      <c r="J331" s="48"/>
      <c r="K331" s="49"/>
    </row>
    <row r="332" spans="1:11" ht="12.75" hidden="1" x14ac:dyDescent="0.2">
      <c r="A332" s="16"/>
      <c r="B332" s="16"/>
      <c r="C332" s="15"/>
      <c r="D332" s="16"/>
      <c r="E332" s="17"/>
      <c r="F332" s="17"/>
      <c r="H332" s="19"/>
      <c r="I332" s="47"/>
      <c r="J332" s="48"/>
      <c r="K332" s="49"/>
    </row>
    <row r="333" spans="1:11" ht="12.75" hidden="1" x14ac:dyDescent="0.2">
      <c r="A333" s="16"/>
      <c r="B333" s="16"/>
      <c r="C333" s="15"/>
      <c r="D333" s="16"/>
      <c r="E333" s="17"/>
      <c r="F333" s="17"/>
      <c r="H333" s="19"/>
      <c r="I333" s="47"/>
      <c r="J333" s="48"/>
      <c r="K333" s="49"/>
    </row>
    <row r="334" spans="1:11" ht="12.75" hidden="1" x14ac:dyDescent="0.2">
      <c r="A334" s="16"/>
      <c r="B334" s="16"/>
      <c r="C334" s="15"/>
      <c r="D334" s="16"/>
      <c r="E334" s="17"/>
      <c r="F334" s="17"/>
      <c r="H334" s="19"/>
      <c r="I334" s="47"/>
      <c r="J334" s="48"/>
      <c r="K334" s="49"/>
    </row>
    <row r="335" spans="1:11" ht="12.75" hidden="1" x14ac:dyDescent="0.2">
      <c r="A335" s="16"/>
      <c r="B335" s="16"/>
      <c r="C335" s="15"/>
      <c r="D335" s="16"/>
      <c r="E335" s="17"/>
      <c r="F335" s="17"/>
      <c r="H335" s="19"/>
      <c r="I335" s="47"/>
      <c r="J335" s="48"/>
      <c r="K335" s="49"/>
    </row>
    <row r="336" spans="1:11" ht="12.75" hidden="1" x14ac:dyDescent="0.2">
      <c r="A336" s="16"/>
      <c r="B336" s="16"/>
      <c r="C336" s="15"/>
      <c r="D336" s="16"/>
      <c r="E336" s="17"/>
      <c r="F336" s="17"/>
      <c r="H336" s="19"/>
      <c r="I336" s="47"/>
      <c r="J336" s="48"/>
      <c r="K336" s="49"/>
    </row>
    <row r="337" spans="1:11" ht="12.75" hidden="1" x14ac:dyDescent="0.2">
      <c r="A337" s="16"/>
      <c r="B337" s="16"/>
      <c r="C337" s="15"/>
      <c r="D337" s="16"/>
      <c r="E337" s="17"/>
      <c r="F337" s="17"/>
      <c r="H337" s="19"/>
      <c r="I337" s="47"/>
      <c r="J337" s="48"/>
      <c r="K337" s="49"/>
    </row>
    <row r="338" spans="1:11" ht="12.75" hidden="1" x14ac:dyDescent="0.2">
      <c r="A338" s="16"/>
      <c r="B338" s="16"/>
      <c r="C338" s="15"/>
      <c r="D338" s="16"/>
      <c r="E338" s="17"/>
      <c r="F338" s="17"/>
      <c r="H338" s="19"/>
      <c r="I338" s="47"/>
      <c r="J338" s="48"/>
      <c r="K338" s="49"/>
    </row>
    <row r="339" spans="1:11" ht="12.75" hidden="1" x14ac:dyDescent="0.2">
      <c r="A339" s="16"/>
      <c r="B339" s="16"/>
      <c r="C339" s="15"/>
      <c r="D339" s="16"/>
      <c r="E339" s="17"/>
      <c r="F339" s="17"/>
      <c r="H339" s="19"/>
      <c r="I339" s="47"/>
      <c r="J339" s="48"/>
      <c r="K339" s="49"/>
    </row>
    <row r="340" spans="1:11" ht="12.75" hidden="1" x14ac:dyDescent="0.2">
      <c r="A340" s="16"/>
      <c r="B340" s="16"/>
      <c r="C340" s="15"/>
      <c r="D340" s="16"/>
      <c r="E340" s="17"/>
      <c r="F340" s="17"/>
      <c r="H340" s="19"/>
      <c r="I340" s="47"/>
      <c r="J340" s="48"/>
      <c r="K340" s="49"/>
    </row>
    <row r="341" spans="1:11" ht="12.75" hidden="1" x14ac:dyDescent="0.2">
      <c r="A341" s="16"/>
      <c r="B341" s="16"/>
      <c r="C341" s="15"/>
      <c r="D341" s="16"/>
      <c r="E341" s="17"/>
      <c r="F341" s="17"/>
      <c r="H341" s="19"/>
      <c r="I341" s="47"/>
      <c r="J341" s="48"/>
      <c r="K341" s="49"/>
    </row>
    <row r="342" spans="1:11" ht="12.75" hidden="1" x14ac:dyDescent="0.2">
      <c r="A342" s="16"/>
      <c r="B342" s="16"/>
      <c r="C342" s="15"/>
      <c r="D342" s="16"/>
      <c r="E342" s="17"/>
      <c r="F342" s="17"/>
      <c r="H342" s="19"/>
      <c r="I342" s="47"/>
      <c r="J342" s="48"/>
      <c r="K342" s="49"/>
    </row>
    <row r="343" spans="1:11" ht="12.75" hidden="1" x14ac:dyDescent="0.2">
      <c r="A343" s="16"/>
      <c r="B343" s="16"/>
      <c r="C343" s="15"/>
      <c r="D343" s="16"/>
      <c r="E343" s="17"/>
      <c r="F343" s="17"/>
      <c r="H343" s="19"/>
      <c r="I343" s="47"/>
      <c r="J343" s="48"/>
      <c r="K343" s="49"/>
    </row>
    <row r="344" spans="1:11" ht="12.75" hidden="1" x14ac:dyDescent="0.2">
      <c r="A344" s="16"/>
      <c r="B344" s="16"/>
      <c r="C344" s="15"/>
      <c r="D344" s="16"/>
      <c r="E344" s="17"/>
      <c r="F344" s="17"/>
      <c r="H344" s="19"/>
      <c r="I344" s="47"/>
      <c r="J344" s="48"/>
      <c r="K344" s="49"/>
    </row>
    <row r="345" spans="1:11" ht="12.75" hidden="1" x14ac:dyDescent="0.2">
      <c r="A345" s="16"/>
      <c r="B345" s="16"/>
      <c r="C345" s="15"/>
      <c r="D345" s="16"/>
      <c r="E345" s="17"/>
      <c r="F345" s="17"/>
      <c r="H345" s="19"/>
      <c r="I345" s="47"/>
      <c r="J345" s="48"/>
      <c r="K345" s="49"/>
    </row>
    <row r="346" spans="1:11" ht="12.75" hidden="1" x14ac:dyDescent="0.2">
      <c r="A346" s="16"/>
      <c r="B346" s="16"/>
      <c r="C346" s="15"/>
      <c r="D346" s="16"/>
      <c r="E346" s="17"/>
      <c r="F346" s="17"/>
      <c r="H346" s="19"/>
      <c r="I346" s="47"/>
      <c r="J346" s="48"/>
      <c r="K346" s="49"/>
    </row>
    <row r="347" spans="1:11" ht="12.75" hidden="1" x14ac:dyDescent="0.2">
      <c r="A347" s="16"/>
      <c r="B347" s="16"/>
      <c r="C347" s="15"/>
      <c r="D347" s="16"/>
      <c r="E347" s="17"/>
      <c r="F347" s="17"/>
      <c r="H347" s="19"/>
      <c r="I347" s="47"/>
      <c r="J347" s="48"/>
      <c r="K347" s="49"/>
    </row>
    <row r="348" spans="1:11" ht="12.75" hidden="1" x14ac:dyDescent="0.2">
      <c r="A348" s="16"/>
      <c r="B348" s="16"/>
      <c r="C348" s="15"/>
      <c r="D348" s="16"/>
      <c r="E348" s="17"/>
      <c r="F348" s="17"/>
      <c r="H348" s="19"/>
      <c r="I348" s="47"/>
      <c r="J348" s="48"/>
      <c r="K348" s="49"/>
    </row>
    <row r="349" spans="1:11" ht="12.75" hidden="1" x14ac:dyDescent="0.2">
      <c r="A349" s="16"/>
      <c r="B349" s="16"/>
      <c r="C349" s="15"/>
      <c r="D349" s="16"/>
      <c r="E349" s="17"/>
      <c r="F349" s="17"/>
      <c r="H349" s="19"/>
      <c r="I349" s="47"/>
      <c r="J349" s="48"/>
      <c r="K349" s="49"/>
    </row>
    <row r="350" spans="1:11" ht="12.75" hidden="1" x14ac:dyDescent="0.2">
      <c r="A350" s="16"/>
      <c r="B350" s="16"/>
      <c r="C350" s="15"/>
      <c r="D350" s="16"/>
      <c r="E350" s="17"/>
      <c r="F350" s="17"/>
      <c r="H350" s="19"/>
      <c r="I350" s="47"/>
      <c r="J350" s="48"/>
      <c r="K350" s="49"/>
    </row>
    <row r="351" spans="1:11" ht="12.75" hidden="1" x14ac:dyDescent="0.2">
      <c r="A351" s="16"/>
      <c r="B351" s="16"/>
      <c r="C351" s="15"/>
      <c r="D351" s="16"/>
      <c r="E351" s="17"/>
      <c r="F351" s="17"/>
      <c r="H351" s="19"/>
      <c r="I351" s="47"/>
      <c r="J351" s="48"/>
      <c r="K351" s="49"/>
    </row>
    <row r="352" spans="1:11" ht="12.75" hidden="1" x14ac:dyDescent="0.2">
      <c r="A352" s="16"/>
      <c r="B352" s="16"/>
      <c r="C352" s="15"/>
      <c r="D352" s="16"/>
      <c r="E352" s="17"/>
      <c r="F352" s="17"/>
      <c r="H352" s="19"/>
      <c r="I352" s="47"/>
      <c r="J352" s="48"/>
      <c r="K352" s="49"/>
    </row>
    <row r="353" spans="1:11" ht="12.75" hidden="1" x14ac:dyDescent="0.2">
      <c r="A353" s="16"/>
      <c r="B353" s="16"/>
      <c r="C353" s="15"/>
      <c r="D353" s="16"/>
      <c r="E353" s="17"/>
      <c r="F353" s="17"/>
      <c r="H353" s="19"/>
      <c r="I353" s="47"/>
      <c r="J353" s="48"/>
      <c r="K353" s="49"/>
    </row>
    <row r="354" spans="1:11" ht="12.75" hidden="1" x14ac:dyDescent="0.2">
      <c r="A354" s="16"/>
      <c r="B354" s="16"/>
      <c r="C354" s="15"/>
      <c r="D354" s="16"/>
      <c r="E354" s="17"/>
      <c r="F354" s="17"/>
      <c r="H354" s="19"/>
      <c r="I354" s="47"/>
      <c r="J354" s="48"/>
      <c r="K354" s="49"/>
    </row>
    <row r="355" spans="1:11" ht="12.75" hidden="1" x14ac:dyDescent="0.2">
      <c r="A355" s="16"/>
      <c r="B355" s="16"/>
      <c r="C355" s="15"/>
      <c r="D355" s="16"/>
      <c r="E355" s="17"/>
      <c r="F355" s="17"/>
      <c r="H355" s="19"/>
      <c r="I355" s="47"/>
      <c r="J355" s="48"/>
      <c r="K355" s="49"/>
    </row>
    <row r="356" spans="1:11" ht="12.75" hidden="1" x14ac:dyDescent="0.2">
      <c r="A356" s="16"/>
      <c r="B356" s="16"/>
      <c r="C356" s="15"/>
      <c r="D356" s="16"/>
      <c r="E356" s="17"/>
      <c r="F356" s="17"/>
      <c r="H356" s="19"/>
      <c r="I356" s="47"/>
      <c r="J356" s="48"/>
      <c r="K356" s="49"/>
    </row>
    <row r="357" spans="1:11" ht="12.75" hidden="1" x14ac:dyDescent="0.2">
      <c r="A357" s="16"/>
      <c r="B357" s="16"/>
      <c r="C357" s="15"/>
      <c r="D357" s="16"/>
      <c r="E357" s="17"/>
      <c r="F357" s="17"/>
      <c r="H357" s="19"/>
      <c r="I357" s="47"/>
      <c r="J357" s="48"/>
      <c r="K357" s="49"/>
    </row>
    <row r="358" spans="1:11" ht="12.75" hidden="1" x14ac:dyDescent="0.2">
      <c r="A358" s="16"/>
      <c r="B358" s="16"/>
      <c r="C358" s="15"/>
      <c r="D358" s="16"/>
      <c r="E358" s="17"/>
      <c r="F358" s="17"/>
      <c r="H358" s="19"/>
      <c r="I358" s="47"/>
      <c r="J358" s="48"/>
      <c r="K358" s="49"/>
    </row>
    <row r="359" spans="1:11" ht="12.75" hidden="1" x14ac:dyDescent="0.2">
      <c r="A359" s="16"/>
      <c r="B359" s="16"/>
      <c r="C359" s="15"/>
      <c r="D359" s="16"/>
      <c r="E359" s="17"/>
      <c r="F359" s="17"/>
      <c r="H359" s="19"/>
      <c r="I359" s="47"/>
      <c r="J359" s="48"/>
      <c r="K359" s="49"/>
    </row>
    <row r="360" spans="1:11" ht="12.75" hidden="1" x14ac:dyDescent="0.2">
      <c r="A360" s="16"/>
      <c r="B360" s="16"/>
      <c r="C360" s="15"/>
      <c r="D360" s="16"/>
      <c r="E360" s="17"/>
      <c r="F360" s="17"/>
      <c r="H360" s="19"/>
      <c r="I360" s="47"/>
      <c r="J360" s="48"/>
      <c r="K360" s="49"/>
    </row>
    <row r="361" spans="1:11" ht="12.75" hidden="1" x14ac:dyDescent="0.2">
      <c r="A361" s="16"/>
      <c r="B361" s="16"/>
      <c r="C361" s="15"/>
      <c r="D361" s="16"/>
      <c r="E361" s="17"/>
      <c r="F361" s="17"/>
      <c r="H361" s="19"/>
      <c r="I361" s="47"/>
      <c r="J361" s="48"/>
      <c r="K361" s="49"/>
    </row>
    <row r="362" spans="1:11" ht="12.75" hidden="1" x14ac:dyDescent="0.2">
      <c r="A362" s="16"/>
      <c r="B362" s="16"/>
      <c r="C362" s="15"/>
      <c r="D362" s="16"/>
      <c r="E362" s="17"/>
      <c r="F362" s="17"/>
      <c r="H362" s="19"/>
      <c r="I362" s="47"/>
      <c r="J362" s="48"/>
      <c r="K362" s="49"/>
    </row>
    <row r="363" spans="1:11" ht="12.75" hidden="1" x14ac:dyDescent="0.2">
      <c r="A363" s="16"/>
      <c r="B363" s="16"/>
      <c r="C363" s="15"/>
      <c r="D363" s="16"/>
      <c r="E363" s="17"/>
      <c r="F363" s="17"/>
      <c r="H363" s="19"/>
      <c r="I363" s="47"/>
      <c r="J363" s="48"/>
      <c r="K363" s="49"/>
    </row>
    <row r="364" spans="1:11" ht="12.75" hidden="1" x14ac:dyDescent="0.2">
      <c r="A364" s="16"/>
      <c r="B364" s="16"/>
      <c r="C364" s="15"/>
      <c r="D364" s="16"/>
      <c r="E364" s="17"/>
      <c r="F364" s="17"/>
      <c r="H364" s="19"/>
      <c r="I364" s="47"/>
      <c r="J364" s="48"/>
      <c r="K364" s="49"/>
    </row>
    <row r="365" spans="1:11" ht="12.75" hidden="1" x14ac:dyDescent="0.2">
      <c r="A365" s="16"/>
      <c r="B365" s="16"/>
      <c r="C365" s="15"/>
      <c r="D365" s="16"/>
      <c r="E365" s="17"/>
      <c r="F365" s="17"/>
      <c r="H365" s="19"/>
      <c r="I365" s="47"/>
      <c r="J365" s="48"/>
      <c r="K365" s="49"/>
    </row>
    <row r="366" spans="1:11" ht="12.75" hidden="1" x14ac:dyDescent="0.2">
      <c r="A366" s="16"/>
      <c r="B366" s="16"/>
      <c r="C366" s="15"/>
      <c r="D366" s="16"/>
      <c r="E366" s="17"/>
      <c r="F366" s="17"/>
      <c r="H366" s="19"/>
      <c r="I366" s="47"/>
      <c r="J366" s="48"/>
      <c r="K366" s="49"/>
    </row>
    <row r="367" spans="1:11" ht="12.75" hidden="1" x14ac:dyDescent="0.2">
      <c r="A367" s="16"/>
      <c r="B367" s="16"/>
      <c r="C367" s="15"/>
      <c r="D367" s="16"/>
      <c r="E367" s="17"/>
      <c r="F367" s="17"/>
      <c r="H367" s="19"/>
      <c r="I367" s="47"/>
      <c r="J367" s="48"/>
      <c r="K367" s="49"/>
    </row>
    <row r="368" spans="1:11" ht="12.75" hidden="1" x14ac:dyDescent="0.2">
      <c r="A368" s="16"/>
      <c r="B368" s="16"/>
      <c r="C368" s="15"/>
      <c r="D368" s="16"/>
      <c r="E368" s="17"/>
      <c r="F368" s="17"/>
      <c r="H368" s="19"/>
      <c r="I368" s="47"/>
      <c r="J368" s="48"/>
      <c r="K368" s="49"/>
    </row>
    <row r="369" spans="1:11" ht="12.75" hidden="1" x14ac:dyDescent="0.2">
      <c r="A369" s="16"/>
      <c r="B369" s="16"/>
      <c r="C369" s="15"/>
      <c r="D369" s="16"/>
      <c r="E369" s="17"/>
      <c r="F369" s="17"/>
      <c r="H369" s="19"/>
      <c r="I369" s="47"/>
      <c r="J369" s="48"/>
      <c r="K369" s="49"/>
    </row>
    <row r="370" spans="1:11" ht="12.75" hidden="1" x14ac:dyDescent="0.2">
      <c r="A370" s="16"/>
      <c r="B370" s="16"/>
      <c r="C370" s="15"/>
      <c r="D370" s="16"/>
      <c r="E370" s="17"/>
      <c r="F370" s="17"/>
      <c r="H370" s="19"/>
      <c r="I370" s="47"/>
      <c r="J370" s="48"/>
      <c r="K370" s="49"/>
    </row>
    <row r="371" spans="1:11" ht="12.75" hidden="1" x14ac:dyDescent="0.2">
      <c r="A371" s="16"/>
      <c r="B371" s="16"/>
      <c r="C371" s="15"/>
      <c r="D371" s="16"/>
      <c r="E371" s="17"/>
      <c r="F371" s="17"/>
      <c r="H371" s="19"/>
      <c r="I371" s="47"/>
      <c r="J371" s="48"/>
      <c r="K371" s="49"/>
    </row>
    <row r="372" spans="1:11" ht="12.75" hidden="1" x14ac:dyDescent="0.2">
      <c r="A372" s="16"/>
      <c r="B372" s="16"/>
      <c r="C372" s="15"/>
      <c r="D372" s="16"/>
      <c r="E372" s="17"/>
      <c r="F372" s="17"/>
      <c r="H372" s="19"/>
      <c r="I372" s="47"/>
      <c r="J372" s="48"/>
      <c r="K372" s="49"/>
    </row>
    <row r="373" spans="1:11" ht="12.75" hidden="1" x14ac:dyDescent="0.2">
      <c r="A373" s="16"/>
      <c r="B373" s="16"/>
      <c r="C373" s="15"/>
      <c r="D373" s="16"/>
      <c r="E373" s="17"/>
      <c r="F373" s="17"/>
      <c r="H373" s="19"/>
      <c r="I373" s="47"/>
      <c r="J373" s="48"/>
      <c r="K373" s="49"/>
    </row>
    <row r="374" spans="1:11" ht="12.75" hidden="1" x14ac:dyDescent="0.2">
      <c r="A374" s="16"/>
      <c r="B374" s="16"/>
      <c r="C374" s="15"/>
      <c r="D374" s="16"/>
      <c r="E374" s="17"/>
      <c r="F374" s="17"/>
      <c r="H374" s="19"/>
      <c r="I374" s="47"/>
      <c r="J374" s="48"/>
      <c r="K374" s="49"/>
    </row>
    <row r="375" spans="1:11" ht="12.75" hidden="1" x14ac:dyDescent="0.2">
      <c r="A375" s="16"/>
      <c r="B375" s="16"/>
      <c r="C375" s="15"/>
      <c r="D375" s="16"/>
      <c r="E375" s="17"/>
      <c r="F375" s="17"/>
      <c r="H375" s="19"/>
      <c r="I375" s="47"/>
      <c r="J375" s="48"/>
      <c r="K375" s="49"/>
    </row>
    <row r="376" spans="1:11" ht="12.75" hidden="1" x14ac:dyDescent="0.2">
      <c r="A376" s="16"/>
      <c r="B376" s="16"/>
      <c r="C376" s="15"/>
      <c r="D376" s="16"/>
      <c r="E376" s="17"/>
      <c r="F376" s="17"/>
      <c r="H376" s="19"/>
      <c r="I376" s="47"/>
      <c r="J376" s="48"/>
      <c r="K376" s="49"/>
    </row>
    <row r="377" spans="1:11" ht="12.75" hidden="1" x14ac:dyDescent="0.2">
      <c r="A377" s="16"/>
      <c r="B377" s="16"/>
      <c r="C377" s="15"/>
      <c r="D377" s="16"/>
      <c r="E377" s="17"/>
      <c r="F377" s="17"/>
      <c r="H377" s="19"/>
      <c r="I377" s="47"/>
      <c r="J377" s="48"/>
      <c r="K377" s="49"/>
    </row>
    <row r="378" spans="1:11" ht="12.75" hidden="1" x14ac:dyDescent="0.2">
      <c r="A378" s="16"/>
      <c r="B378" s="16"/>
      <c r="C378" s="15"/>
      <c r="D378" s="16"/>
      <c r="E378" s="17"/>
      <c r="F378" s="17"/>
      <c r="H378" s="19"/>
      <c r="I378" s="47"/>
      <c r="J378" s="48"/>
      <c r="K378" s="49"/>
    </row>
    <row r="379" spans="1:11" ht="12.75" hidden="1" x14ac:dyDescent="0.2">
      <c r="A379" s="16"/>
      <c r="B379" s="16"/>
      <c r="C379" s="15"/>
      <c r="D379" s="16"/>
      <c r="E379" s="17"/>
      <c r="F379" s="17"/>
      <c r="H379" s="19"/>
      <c r="I379" s="47"/>
      <c r="J379" s="48"/>
      <c r="K379" s="49"/>
    </row>
    <row r="380" spans="1:11" ht="12.75" hidden="1" x14ac:dyDescent="0.2">
      <c r="A380" s="16"/>
      <c r="B380" s="16"/>
      <c r="C380" s="15"/>
      <c r="D380" s="16"/>
      <c r="E380" s="17"/>
      <c r="F380" s="17"/>
      <c r="H380" s="19"/>
      <c r="I380" s="47"/>
      <c r="J380" s="48"/>
      <c r="K380" s="49"/>
    </row>
    <row r="381" spans="1:11" ht="12.75" hidden="1" x14ac:dyDescent="0.2">
      <c r="A381" s="16"/>
      <c r="B381" s="16"/>
      <c r="C381" s="15"/>
      <c r="D381" s="16"/>
      <c r="E381" s="17"/>
      <c r="F381" s="17"/>
      <c r="H381" s="19"/>
      <c r="I381" s="47"/>
      <c r="J381" s="48"/>
      <c r="K381" s="49"/>
    </row>
    <row r="382" spans="1:11" ht="12.75" hidden="1" x14ac:dyDescent="0.2">
      <c r="A382" s="16"/>
      <c r="B382" s="16"/>
      <c r="C382" s="15"/>
      <c r="D382" s="16"/>
      <c r="E382" s="17"/>
      <c r="F382" s="17"/>
      <c r="H382" s="19"/>
      <c r="I382" s="47"/>
      <c r="J382" s="48"/>
      <c r="K382" s="49"/>
    </row>
    <row r="383" spans="1:11" ht="12.75" hidden="1" x14ac:dyDescent="0.2">
      <c r="A383" s="16"/>
      <c r="B383" s="16"/>
      <c r="C383" s="15"/>
      <c r="D383" s="16"/>
      <c r="E383" s="17"/>
      <c r="F383" s="17"/>
      <c r="H383" s="19"/>
      <c r="I383" s="47"/>
      <c r="J383" s="48"/>
      <c r="K383" s="49"/>
    </row>
    <row r="384" spans="1:11" ht="12.75" hidden="1" x14ac:dyDescent="0.2">
      <c r="A384" s="16"/>
      <c r="B384" s="16"/>
      <c r="C384" s="15"/>
      <c r="D384" s="16"/>
      <c r="E384" s="17"/>
      <c r="F384" s="17"/>
      <c r="H384" s="19"/>
      <c r="I384" s="47"/>
      <c r="J384" s="48"/>
      <c r="K384" s="49"/>
    </row>
    <row r="385" spans="1:11" ht="12.75" hidden="1" x14ac:dyDescent="0.2">
      <c r="A385" s="16"/>
      <c r="B385" s="16"/>
      <c r="C385" s="15"/>
      <c r="D385" s="16"/>
      <c r="E385" s="17"/>
      <c r="F385" s="17"/>
      <c r="H385" s="19"/>
      <c r="I385" s="47"/>
      <c r="J385" s="48"/>
      <c r="K385" s="49"/>
    </row>
    <row r="386" spans="1:11" ht="12.75" hidden="1" x14ac:dyDescent="0.2">
      <c r="A386" s="16"/>
      <c r="B386" s="16"/>
      <c r="C386" s="15"/>
      <c r="D386" s="16"/>
      <c r="E386" s="17"/>
      <c r="F386" s="17"/>
      <c r="H386" s="19"/>
      <c r="I386" s="47"/>
      <c r="J386" s="48"/>
      <c r="K386" s="49"/>
    </row>
    <row r="387" spans="1:11" ht="12.75" hidden="1" x14ac:dyDescent="0.2">
      <c r="A387" s="16"/>
      <c r="B387" s="16"/>
      <c r="C387" s="15"/>
      <c r="D387" s="16"/>
      <c r="E387" s="17"/>
      <c r="F387" s="17"/>
      <c r="H387" s="19"/>
      <c r="I387" s="47"/>
      <c r="J387" s="48"/>
      <c r="K387" s="49"/>
    </row>
    <row r="388" spans="1:11" ht="12.75" hidden="1" x14ac:dyDescent="0.2">
      <c r="A388" s="16"/>
      <c r="B388" s="16"/>
      <c r="C388" s="15"/>
      <c r="D388" s="16"/>
      <c r="E388" s="17"/>
      <c r="F388" s="17"/>
      <c r="H388" s="19"/>
      <c r="I388" s="47"/>
      <c r="J388" s="48"/>
      <c r="K388" s="49"/>
    </row>
    <row r="389" spans="1:11" ht="12.75" hidden="1" x14ac:dyDescent="0.2">
      <c r="A389" s="16"/>
      <c r="B389" s="16"/>
      <c r="C389" s="15"/>
      <c r="D389" s="16"/>
      <c r="E389" s="17"/>
      <c r="F389" s="17"/>
      <c r="H389" s="19"/>
      <c r="I389" s="47"/>
      <c r="J389" s="48"/>
      <c r="K389" s="49"/>
    </row>
    <row r="390" spans="1:11" ht="12.75" hidden="1" x14ac:dyDescent="0.2">
      <c r="A390" s="16"/>
      <c r="B390" s="16"/>
      <c r="C390" s="15"/>
      <c r="D390" s="16"/>
      <c r="E390" s="17"/>
      <c r="F390" s="17"/>
      <c r="H390" s="19"/>
      <c r="I390" s="47"/>
      <c r="J390" s="48"/>
      <c r="K390" s="49"/>
    </row>
    <row r="391" spans="1:11" ht="12.75" hidden="1" x14ac:dyDescent="0.2">
      <c r="A391" s="16"/>
      <c r="B391" s="16"/>
      <c r="C391" s="15"/>
      <c r="D391" s="16"/>
      <c r="E391" s="17"/>
      <c r="F391" s="17"/>
      <c r="H391" s="19"/>
      <c r="I391" s="47"/>
      <c r="J391" s="48"/>
      <c r="K391" s="49"/>
    </row>
    <row r="392" spans="1:11" ht="12.75" hidden="1" x14ac:dyDescent="0.2">
      <c r="A392" s="16"/>
      <c r="B392" s="16"/>
      <c r="C392" s="15"/>
      <c r="D392" s="16"/>
      <c r="E392" s="17"/>
      <c r="F392" s="17"/>
      <c r="H392" s="19"/>
      <c r="I392" s="47"/>
      <c r="J392" s="48"/>
      <c r="K392" s="49"/>
    </row>
    <row r="393" spans="1:11" ht="12.75" hidden="1" x14ac:dyDescent="0.2">
      <c r="A393" s="16"/>
      <c r="B393" s="16"/>
      <c r="C393" s="15"/>
      <c r="D393" s="16"/>
      <c r="E393" s="17"/>
      <c r="F393" s="17"/>
      <c r="H393" s="19"/>
      <c r="I393" s="47"/>
      <c r="J393" s="48"/>
      <c r="K393" s="49"/>
    </row>
    <row r="394" spans="1:11" ht="12.75" hidden="1" x14ac:dyDescent="0.2">
      <c r="A394" s="16"/>
      <c r="B394" s="16"/>
      <c r="C394" s="15"/>
      <c r="D394" s="16"/>
      <c r="E394" s="17"/>
      <c r="F394" s="17"/>
      <c r="H394" s="19"/>
      <c r="I394" s="47"/>
      <c r="J394" s="48"/>
      <c r="K394" s="49"/>
    </row>
    <row r="395" spans="1:11" ht="12.75" hidden="1" x14ac:dyDescent="0.2">
      <c r="A395" s="16"/>
      <c r="B395" s="16"/>
      <c r="C395" s="15"/>
      <c r="D395" s="16"/>
      <c r="E395" s="17"/>
      <c r="F395" s="17"/>
      <c r="H395" s="19"/>
      <c r="I395" s="47"/>
      <c r="J395" s="48"/>
      <c r="K395" s="49"/>
    </row>
    <row r="396" spans="1:11" ht="12.75" hidden="1" x14ac:dyDescent="0.2">
      <c r="A396" s="16"/>
      <c r="B396" s="16"/>
      <c r="C396" s="15"/>
      <c r="D396" s="16"/>
      <c r="E396" s="17"/>
      <c r="F396" s="17"/>
      <c r="H396" s="19"/>
      <c r="I396" s="47"/>
      <c r="J396" s="48"/>
      <c r="K396" s="49"/>
    </row>
    <row r="397" spans="1:11" ht="12.75" hidden="1" x14ac:dyDescent="0.2">
      <c r="A397" s="16"/>
      <c r="B397" s="16"/>
      <c r="C397" s="15"/>
      <c r="D397" s="16"/>
      <c r="E397" s="17"/>
      <c r="F397" s="17"/>
      <c r="H397" s="19"/>
      <c r="I397" s="47"/>
      <c r="J397" s="48"/>
      <c r="K397" s="49"/>
    </row>
    <row r="398" spans="1:11" ht="12.75" hidden="1" x14ac:dyDescent="0.2">
      <c r="A398" s="16"/>
      <c r="B398" s="16"/>
      <c r="C398" s="15"/>
      <c r="D398" s="16"/>
      <c r="E398" s="17"/>
      <c r="F398" s="17"/>
      <c r="H398" s="19"/>
      <c r="I398" s="47"/>
      <c r="J398" s="48"/>
      <c r="K398" s="49"/>
    </row>
    <row r="399" spans="1:11" ht="12.75" hidden="1" x14ac:dyDescent="0.2">
      <c r="A399" s="16"/>
      <c r="B399" s="16"/>
      <c r="C399" s="15"/>
      <c r="D399" s="16"/>
      <c r="E399" s="17"/>
      <c r="F399" s="17"/>
      <c r="H399" s="19"/>
      <c r="I399" s="47"/>
      <c r="J399" s="48"/>
      <c r="K399" s="49"/>
    </row>
    <row r="400" spans="1:11" ht="12.75" hidden="1" x14ac:dyDescent="0.2">
      <c r="A400" s="16"/>
      <c r="B400" s="16"/>
      <c r="C400" s="15"/>
      <c r="D400" s="16"/>
      <c r="E400" s="17"/>
      <c r="F400" s="17"/>
      <c r="H400" s="19"/>
      <c r="I400" s="47"/>
      <c r="J400" s="48"/>
      <c r="K400" s="49"/>
    </row>
    <row r="401" spans="1:11" ht="12.75" hidden="1" x14ac:dyDescent="0.2">
      <c r="A401" s="16"/>
      <c r="B401" s="16"/>
      <c r="C401" s="15"/>
      <c r="D401" s="16"/>
      <c r="E401" s="17"/>
      <c r="F401" s="17"/>
      <c r="H401" s="19"/>
      <c r="I401" s="47"/>
      <c r="J401" s="48"/>
      <c r="K401" s="49"/>
    </row>
    <row r="402" spans="1:11" ht="12.75" hidden="1" x14ac:dyDescent="0.2">
      <c r="A402" s="16"/>
      <c r="B402" s="16"/>
      <c r="C402" s="15"/>
      <c r="D402" s="16"/>
      <c r="E402" s="17"/>
      <c r="F402" s="17"/>
      <c r="H402" s="19"/>
      <c r="I402" s="47"/>
      <c r="J402" s="48"/>
      <c r="K402" s="49"/>
    </row>
    <row r="403" spans="1:11" ht="12.75" hidden="1" x14ac:dyDescent="0.2">
      <c r="A403" s="16"/>
      <c r="B403" s="16"/>
      <c r="C403" s="15"/>
      <c r="D403" s="16"/>
      <c r="E403" s="17"/>
      <c r="F403" s="17"/>
      <c r="H403" s="19"/>
      <c r="I403" s="47"/>
      <c r="J403" s="48"/>
      <c r="K403" s="49"/>
    </row>
    <row r="404" spans="1:11" ht="12.75" hidden="1" x14ac:dyDescent="0.2">
      <c r="A404" s="16"/>
      <c r="B404" s="16"/>
      <c r="C404" s="15"/>
      <c r="D404" s="16"/>
      <c r="E404" s="17"/>
      <c r="F404" s="17"/>
      <c r="H404" s="19"/>
      <c r="I404" s="47"/>
      <c r="J404" s="48"/>
      <c r="K404" s="49"/>
    </row>
    <row r="405" spans="1:11" ht="12.75" hidden="1" x14ac:dyDescent="0.2">
      <c r="A405" s="16"/>
      <c r="B405" s="16"/>
      <c r="C405" s="15"/>
      <c r="D405" s="16"/>
      <c r="E405" s="17"/>
      <c r="F405" s="17"/>
      <c r="H405" s="19"/>
      <c r="I405" s="47"/>
      <c r="J405" s="48"/>
      <c r="K405" s="49"/>
    </row>
    <row r="406" spans="1:11" ht="12.75" hidden="1" x14ac:dyDescent="0.2">
      <c r="A406" s="16"/>
      <c r="B406" s="16"/>
      <c r="C406" s="15"/>
      <c r="D406" s="16"/>
      <c r="E406" s="17"/>
      <c r="F406" s="17"/>
      <c r="H406" s="19"/>
      <c r="I406" s="47"/>
      <c r="J406" s="48"/>
      <c r="K406" s="49"/>
    </row>
    <row r="407" spans="1:11" ht="12.75" hidden="1" x14ac:dyDescent="0.2">
      <c r="A407" s="16"/>
      <c r="B407" s="16"/>
      <c r="C407" s="15"/>
      <c r="D407" s="16"/>
      <c r="E407" s="17"/>
      <c r="F407" s="17"/>
      <c r="H407" s="19"/>
      <c r="I407" s="47"/>
      <c r="J407" s="48"/>
      <c r="K407" s="49"/>
    </row>
    <row r="408" spans="1:11" ht="12.75" hidden="1" x14ac:dyDescent="0.2">
      <c r="A408" s="16"/>
      <c r="B408" s="16"/>
      <c r="C408" s="15"/>
      <c r="D408" s="16"/>
      <c r="E408" s="17"/>
      <c r="F408" s="17"/>
      <c r="H408" s="19"/>
      <c r="I408" s="47"/>
      <c r="J408" s="48"/>
      <c r="K408" s="49"/>
    </row>
    <row r="409" spans="1:11" ht="12.75" hidden="1" x14ac:dyDescent="0.2">
      <c r="A409" s="16"/>
      <c r="B409" s="16"/>
      <c r="C409" s="15"/>
      <c r="D409" s="16"/>
      <c r="E409" s="17"/>
      <c r="F409" s="17"/>
      <c r="H409" s="19"/>
      <c r="I409" s="47"/>
      <c r="J409" s="48"/>
      <c r="K409" s="49"/>
    </row>
    <row r="410" spans="1:11" ht="12.75" hidden="1" x14ac:dyDescent="0.2">
      <c r="A410" s="16"/>
      <c r="B410" s="16"/>
      <c r="C410" s="15"/>
      <c r="D410" s="16"/>
      <c r="E410" s="17"/>
      <c r="F410" s="17"/>
      <c r="H410" s="19"/>
      <c r="I410" s="47"/>
      <c r="J410" s="48"/>
      <c r="K410" s="49"/>
    </row>
    <row r="411" spans="1:11" ht="12.75" hidden="1" x14ac:dyDescent="0.2">
      <c r="A411" s="16"/>
      <c r="B411" s="16"/>
      <c r="C411" s="15"/>
      <c r="D411" s="16"/>
      <c r="E411" s="17"/>
      <c r="F411" s="17"/>
      <c r="H411" s="19"/>
      <c r="I411" s="47"/>
      <c r="J411" s="48"/>
      <c r="K411" s="49"/>
    </row>
    <row r="412" spans="1:11" ht="12.75" hidden="1" x14ac:dyDescent="0.2">
      <c r="A412" s="16"/>
      <c r="B412" s="16"/>
      <c r="C412" s="15"/>
      <c r="D412" s="16"/>
      <c r="E412" s="17"/>
      <c r="F412" s="17"/>
      <c r="H412" s="19"/>
      <c r="I412" s="47"/>
      <c r="J412" s="48"/>
      <c r="K412" s="49"/>
    </row>
    <row r="413" spans="1:11" ht="12.75" hidden="1" x14ac:dyDescent="0.2">
      <c r="A413" s="16"/>
      <c r="B413" s="16"/>
      <c r="C413" s="15"/>
      <c r="D413" s="16"/>
      <c r="E413" s="17"/>
      <c r="F413" s="17"/>
      <c r="H413" s="19"/>
      <c r="I413" s="47"/>
      <c r="J413" s="48"/>
      <c r="K413" s="49"/>
    </row>
    <row r="414" spans="1:11" ht="12.75" hidden="1" x14ac:dyDescent="0.2">
      <c r="A414" s="16"/>
      <c r="B414" s="16"/>
      <c r="C414" s="15"/>
      <c r="D414" s="16"/>
      <c r="E414" s="17"/>
      <c r="F414" s="17"/>
      <c r="H414" s="19"/>
      <c r="I414" s="47"/>
      <c r="J414" s="48"/>
      <c r="K414" s="49"/>
    </row>
    <row r="415" spans="1:11" ht="12.75" hidden="1" x14ac:dyDescent="0.2">
      <c r="A415" s="16"/>
      <c r="B415" s="16"/>
      <c r="C415" s="15"/>
      <c r="D415" s="16"/>
      <c r="E415" s="17"/>
      <c r="F415" s="17"/>
      <c r="H415" s="19"/>
      <c r="I415" s="47"/>
      <c r="J415" s="48"/>
      <c r="K415" s="49"/>
    </row>
    <row r="416" spans="1:11" ht="12.75" hidden="1" x14ac:dyDescent="0.2">
      <c r="A416" s="16"/>
      <c r="B416" s="16"/>
      <c r="C416" s="15"/>
      <c r="D416" s="16"/>
      <c r="E416" s="17"/>
      <c r="F416" s="17"/>
      <c r="H416" s="19"/>
      <c r="I416" s="47"/>
      <c r="J416" s="48"/>
      <c r="K416" s="49"/>
    </row>
    <row r="417" spans="1:11" ht="12.75" hidden="1" x14ac:dyDescent="0.2">
      <c r="A417" s="16"/>
      <c r="B417" s="16"/>
      <c r="C417" s="15"/>
      <c r="D417" s="16"/>
      <c r="E417" s="17"/>
      <c r="F417" s="17"/>
      <c r="H417" s="19"/>
      <c r="I417" s="47"/>
      <c r="J417" s="48"/>
      <c r="K417" s="49"/>
    </row>
    <row r="418" spans="1:11" ht="12.75" hidden="1" x14ac:dyDescent="0.2">
      <c r="A418" s="16"/>
      <c r="B418" s="16"/>
      <c r="C418" s="15"/>
      <c r="D418" s="16"/>
      <c r="E418" s="17"/>
      <c r="F418" s="17"/>
      <c r="H418" s="19"/>
      <c r="I418" s="47"/>
      <c r="J418" s="48"/>
      <c r="K418" s="49"/>
    </row>
    <row r="419" spans="1:11" ht="12.75" hidden="1" x14ac:dyDescent="0.2">
      <c r="A419" s="16"/>
      <c r="B419" s="16"/>
      <c r="C419" s="15"/>
      <c r="D419" s="16"/>
      <c r="E419" s="17"/>
      <c r="F419" s="17"/>
      <c r="H419" s="19"/>
      <c r="I419" s="47"/>
      <c r="J419" s="48"/>
      <c r="K419" s="49"/>
    </row>
    <row r="420" spans="1:11" ht="12.75" hidden="1" x14ac:dyDescent="0.2">
      <c r="A420" s="16"/>
      <c r="B420" s="16"/>
      <c r="C420" s="15"/>
      <c r="D420" s="16"/>
      <c r="E420" s="17"/>
      <c r="F420" s="17"/>
      <c r="H420" s="19"/>
      <c r="I420" s="47"/>
      <c r="J420" s="48"/>
      <c r="K420" s="49"/>
    </row>
    <row r="421" spans="1:11" ht="12.75" hidden="1" x14ac:dyDescent="0.2">
      <c r="A421" s="16"/>
      <c r="B421" s="16"/>
      <c r="C421" s="15"/>
      <c r="D421" s="16"/>
      <c r="E421" s="17"/>
      <c r="F421" s="17"/>
      <c r="H421" s="19"/>
      <c r="I421" s="47"/>
      <c r="J421" s="48"/>
      <c r="K421" s="49"/>
    </row>
    <row r="422" spans="1:11" ht="12.75" hidden="1" x14ac:dyDescent="0.2">
      <c r="A422" s="16"/>
      <c r="B422" s="16"/>
      <c r="C422" s="15"/>
      <c r="D422" s="16"/>
      <c r="E422" s="17"/>
      <c r="F422" s="17"/>
      <c r="H422" s="19"/>
      <c r="I422" s="47"/>
      <c r="J422" s="48"/>
      <c r="K422" s="49"/>
    </row>
    <row r="423" spans="1:11" ht="12.75" hidden="1" x14ac:dyDescent="0.2">
      <c r="A423" s="16"/>
      <c r="B423" s="16"/>
      <c r="C423" s="15"/>
      <c r="D423" s="16"/>
      <c r="E423" s="17"/>
      <c r="F423" s="17"/>
      <c r="H423" s="19"/>
      <c r="I423" s="47"/>
      <c r="J423" s="48"/>
      <c r="K423" s="49"/>
    </row>
    <row r="424" spans="1:11" ht="12.75" hidden="1" x14ac:dyDescent="0.2">
      <c r="A424" s="16"/>
      <c r="B424" s="16"/>
      <c r="C424" s="15"/>
      <c r="D424" s="16"/>
      <c r="E424" s="17"/>
      <c r="F424" s="17"/>
      <c r="H424" s="19"/>
      <c r="I424" s="47"/>
      <c r="J424" s="48"/>
      <c r="K424" s="49"/>
    </row>
    <row r="425" spans="1:11" ht="12.75" hidden="1" x14ac:dyDescent="0.2">
      <c r="A425" s="16"/>
      <c r="B425" s="16"/>
      <c r="C425" s="15"/>
      <c r="D425" s="16"/>
      <c r="E425" s="17"/>
      <c r="F425" s="17"/>
      <c r="H425" s="19"/>
      <c r="I425" s="47"/>
      <c r="J425" s="48"/>
      <c r="K425" s="49"/>
    </row>
    <row r="426" spans="1:11" ht="12.75" hidden="1" x14ac:dyDescent="0.2">
      <c r="A426" s="16"/>
      <c r="B426" s="16"/>
      <c r="C426" s="15"/>
      <c r="D426" s="16"/>
      <c r="E426" s="17"/>
      <c r="F426" s="17"/>
      <c r="H426" s="19"/>
      <c r="I426" s="47"/>
      <c r="J426" s="48"/>
      <c r="K426" s="49"/>
    </row>
    <row r="427" spans="1:11" ht="12.75" hidden="1" x14ac:dyDescent="0.2">
      <c r="A427" s="16"/>
      <c r="B427" s="16"/>
      <c r="C427" s="15"/>
      <c r="D427" s="16"/>
      <c r="E427" s="17"/>
      <c r="F427" s="17"/>
      <c r="H427" s="19"/>
      <c r="I427" s="47"/>
      <c r="J427" s="48"/>
      <c r="K427" s="49"/>
    </row>
    <row r="428" spans="1:11" ht="12.75" hidden="1" x14ac:dyDescent="0.2">
      <c r="A428" s="16"/>
      <c r="B428" s="16"/>
      <c r="C428" s="15"/>
      <c r="D428" s="16"/>
      <c r="E428" s="17"/>
      <c r="F428" s="17"/>
      <c r="H428" s="19"/>
      <c r="I428" s="47"/>
      <c r="J428" s="48"/>
      <c r="K428" s="49"/>
    </row>
    <row r="429" spans="1:11" ht="12.75" hidden="1" x14ac:dyDescent="0.2">
      <c r="A429" s="16"/>
      <c r="B429" s="16"/>
      <c r="C429" s="15"/>
      <c r="D429" s="16"/>
      <c r="E429" s="17"/>
      <c r="F429" s="17"/>
      <c r="H429" s="19"/>
      <c r="I429" s="47"/>
      <c r="J429" s="48"/>
      <c r="K429" s="49"/>
    </row>
    <row r="430" spans="1:11" ht="12.75" hidden="1" x14ac:dyDescent="0.2">
      <c r="A430" s="16"/>
      <c r="B430" s="16"/>
      <c r="C430" s="15"/>
      <c r="D430" s="16"/>
      <c r="E430" s="17"/>
      <c r="F430" s="17"/>
      <c r="H430" s="19"/>
      <c r="I430" s="47"/>
      <c r="J430" s="48"/>
      <c r="K430" s="49"/>
    </row>
    <row r="431" spans="1:11" ht="12.75" hidden="1" x14ac:dyDescent="0.2">
      <c r="A431" s="16"/>
      <c r="B431" s="16"/>
      <c r="C431" s="15"/>
      <c r="D431" s="16"/>
      <c r="E431" s="17"/>
      <c r="F431" s="17"/>
      <c r="H431" s="19"/>
      <c r="I431" s="47"/>
      <c r="J431" s="48"/>
      <c r="K431" s="49"/>
    </row>
    <row r="432" spans="1:11" ht="12.75" hidden="1" x14ac:dyDescent="0.2">
      <c r="A432" s="16"/>
      <c r="B432" s="16"/>
      <c r="C432" s="15"/>
      <c r="D432" s="16"/>
      <c r="E432" s="17"/>
      <c r="F432" s="17"/>
      <c r="H432" s="19"/>
      <c r="I432" s="47"/>
      <c r="J432" s="48"/>
      <c r="K432" s="49"/>
    </row>
    <row r="433" spans="1:11" ht="12.75" hidden="1" x14ac:dyDescent="0.2">
      <c r="A433" s="16"/>
      <c r="B433" s="16"/>
      <c r="C433" s="15"/>
      <c r="D433" s="16"/>
      <c r="E433" s="17"/>
      <c r="F433" s="17"/>
      <c r="H433" s="19"/>
      <c r="I433" s="47"/>
      <c r="J433" s="48"/>
      <c r="K433" s="49"/>
    </row>
    <row r="434" spans="1:11" ht="12.75" hidden="1" x14ac:dyDescent="0.2">
      <c r="A434" s="16"/>
      <c r="B434" s="16"/>
      <c r="C434" s="15"/>
      <c r="D434" s="16"/>
      <c r="E434" s="17"/>
      <c r="F434" s="17"/>
      <c r="H434" s="19"/>
      <c r="I434" s="47"/>
      <c r="J434" s="48"/>
      <c r="K434" s="49"/>
    </row>
    <row r="435" spans="1:11" ht="12.75" hidden="1" x14ac:dyDescent="0.2">
      <c r="A435" s="16"/>
      <c r="B435" s="16"/>
      <c r="C435" s="15"/>
      <c r="D435" s="16"/>
      <c r="E435" s="17"/>
      <c r="F435" s="17"/>
      <c r="H435" s="19"/>
      <c r="I435" s="47"/>
      <c r="J435" s="48"/>
      <c r="K435" s="49"/>
    </row>
    <row r="436" spans="1:11" ht="12.75" hidden="1" x14ac:dyDescent="0.2">
      <c r="A436" s="16"/>
      <c r="B436" s="16"/>
      <c r="C436" s="15"/>
      <c r="D436" s="16"/>
      <c r="E436" s="17"/>
      <c r="F436" s="17"/>
      <c r="H436" s="19"/>
      <c r="I436" s="47"/>
      <c r="J436" s="48"/>
      <c r="K436" s="49"/>
    </row>
    <row r="437" spans="1:11" ht="12.75" hidden="1" x14ac:dyDescent="0.2">
      <c r="A437" s="16"/>
      <c r="B437" s="16"/>
      <c r="C437" s="15"/>
      <c r="D437" s="16"/>
      <c r="E437" s="17"/>
      <c r="F437" s="17"/>
      <c r="H437" s="19"/>
      <c r="I437" s="47"/>
      <c r="J437" s="48"/>
      <c r="K437" s="49"/>
    </row>
    <row r="438" spans="1:11" ht="12.75" hidden="1" x14ac:dyDescent="0.2">
      <c r="A438" s="16"/>
      <c r="B438" s="16"/>
      <c r="C438" s="15"/>
      <c r="D438" s="16"/>
      <c r="E438" s="17"/>
      <c r="F438" s="17"/>
      <c r="H438" s="19"/>
      <c r="I438" s="47"/>
      <c r="J438" s="48"/>
      <c r="K438" s="49"/>
    </row>
    <row r="439" spans="1:11" ht="12.75" hidden="1" x14ac:dyDescent="0.2">
      <c r="A439" s="16"/>
      <c r="B439" s="16"/>
      <c r="C439" s="15"/>
      <c r="D439" s="16"/>
      <c r="E439" s="17"/>
      <c r="F439" s="17"/>
      <c r="H439" s="19"/>
      <c r="I439" s="47"/>
      <c r="J439" s="48"/>
      <c r="K439" s="49"/>
    </row>
    <row r="440" spans="1:11" ht="12.75" hidden="1" x14ac:dyDescent="0.2">
      <c r="A440" s="16"/>
      <c r="B440" s="16"/>
      <c r="C440" s="15"/>
      <c r="D440" s="16"/>
      <c r="E440" s="17"/>
      <c r="F440" s="17"/>
      <c r="H440" s="19"/>
      <c r="I440" s="47"/>
      <c r="J440" s="48"/>
      <c r="K440" s="49"/>
    </row>
    <row r="441" spans="1:11" ht="12.75" hidden="1" x14ac:dyDescent="0.2">
      <c r="A441" s="16"/>
      <c r="B441" s="16"/>
      <c r="C441" s="15"/>
      <c r="D441" s="16"/>
      <c r="E441" s="17"/>
      <c r="F441" s="17"/>
      <c r="H441" s="19"/>
      <c r="I441" s="47"/>
      <c r="J441" s="48"/>
      <c r="K441" s="49"/>
    </row>
    <row r="442" spans="1:11" ht="12.75" hidden="1" x14ac:dyDescent="0.2">
      <c r="A442" s="16"/>
      <c r="B442" s="16"/>
      <c r="C442" s="15"/>
      <c r="D442" s="16"/>
      <c r="E442" s="17"/>
      <c r="F442" s="17"/>
      <c r="H442" s="19"/>
      <c r="I442" s="47"/>
      <c r="J442" s="48"/>
      <c r="K442" s="49"/>
    </row>
    <row r="443" spans="1:11" ht="12.75" hidden="1" x14ac:dyDescent="0.2">
      <c r="A443" s="16"/>
      <c r="B443" s="16"/>
      <c r="C443" s="15"/>
      <c r="D443" s="16"/>
      <c r="E443" s="17"/>
      <c r="F443" s="17"/>
      <c r="H443" s="19"/>
      <c r="I443" s="47"/>
      <c r="J443" s="48"/>
      <c r="K443" s="49"/>
    </row>
    <row r="444" spans="1:11" ht="12.75" hidden="1" x14ac:dyDescent="0.2">
      <c r="A444" s="16"/>
      <c r="B444" s="16"/>
      <c r="C444" s="15"/>
      <c r="D444" s="16"/>
      <c r="E444" s="17"/>
      <c r="F444" s="17"/>
      <c r="H444" s="19"/>
      <c r="I444" s="47"/>
      <c r="J444" s="48"/>
      <c r="K444" s="49"/>
    </row>
    <row r="445" spans="1:11" ht="12.75" hidden="1" x14ac:dyDescent="0.2">
      <c r="A445" s="16"/>
      <c r="B445" s="16"/>
      <c r="C445" s="15"/>
      <c r="D445" s="16"/>
      <c r="E445" s="17"/>
      <c r="F445" s="17"/>
      <c r="H445" s="19"/>
      <c r="I445" s="47"/>
      <c r="J445" s="48"/>
      <c r="K445" s="49"/>
    </row>
    <row r="446" spans="1:11" ht="12.75" hidden="1" x14ac:dyDescent="0.2">
      <c r="A446" s="16"/>
      <c r="B446" s="16"/>
      <c r="C446" s="15"/>
      <c r="D446" s="16"/>
      <c r="E446" s="17"/>
      <c r="F446" s="17"/>
      <c r="H446" s="19"/>
      <c r="I446" s="47"/>
      <c r="J446" s="48"/>
      <c r="K446" s="49"/>
    </row>
    <row r="447" spans="1:11" ht="12.75" hidden="1" x14ac:dyDescent="0.2">
      <c r="A447" s="16"/>
      <c r="B447" s="16"/>
      <c r="C447" s="15"/>
      <c r="D447" s="16"/>
      <c r="E447" s="17"/>
      <c r="F447" s="17"/>
      <c r="H447" s="19"/>
      <c r="I447" s="47"/>
      <c r="J447" s="48"/>
      <c r="K447" s="49"/>
    </row>
    <row r="448" spans="1:11" ht="12.75" hidden="1" x14ac:dyDescent="0.2">
      <c r="A448" s="16"/>
      <c r="B448" s="16"/>
      <c r="C448" s="15"/>
      <c r="D448" s="16"/>
      <c r="E448" s="17"/>
      <c r="F448" s="17"/>
      <c r="H448" s="19"/>
      <c r="I448" s="47"/>
      <c r="J448" s="48"/>
      <c r="K448" s="49"/>
    </row>
    <row r="449" spans="1:11" ht="12.75" hidden="1" x14ac:dyDescent="0.2">
      <c r="A449" s="16"/>
      <c r="B449" s="16"/>
      <c r="C449" s="15"/>
      <c r="D449" s="16"/>
      <c r="E449" s="17"/>
      <c r="F449" s="17"/>
      <c r="H449" s="19"/>
      <c r="I449" s="47"/>
      <c r="J449" s="48"/>
      <c r="K449" s="49"/>
    </row>
    <row r="450" spans="1:11" ht="12.75" hidden="1" x14ac:dyDescent="0.2">
      <c r="A450" s="16"/>
      <c r="B450" s="16"/>
      <c r="C450" s="15"/>
      <c r="D450" s="16"/>
      <c r="E450" s="17"/>
      <c r="F450" s="17"/>
      <c r="H450" s="19"/>
      <c r="I450" s="47"/>
      <c r="J450" s="48"/>
      <c r="K450" s="49"/>
    </row>
    <row r="451" spans="1:11" ht="12.75" hidden="1" x14ac:dyDescent="0.2">
      <c r="A451" s="16"/>
      <c r="B451" s="16"/>
      <c r="C451" s="15"/>
      <c r="D451" s="16"/>
      <c r="E451" s="17"/>
      <c r="F451" s="17"/>
      <c r="H451" s="19"/>
      <c r="I451" s="47"/>
      <c r="J451" s="48"/>
      <c r="K451" s="49"/>
    </row>
    <row r="452" spans="1:11" ht="12.75" hidden="1" x14ac:dyDescent="0.2">
      <c r="A452" s="16"/>
      <c r="B452" s="16"/>
      <c r="C452" s="15"/>
      <c r="D452" s="16"/>
      <c r="E452" s="17"/>
      <c r="F452" s="17"/>
      <c r="H452" s="19"/>
      <c r="I452" s="47"/>
      <c r="J452" s="48"/>
      <c r="K452" s="49"/>
    </row>
    <row r="453" spans="1:11" ht="12.75" hidden="1" x14ac:dyDescent="0.2">
      <c r="A453" s="16"/>
      <c r="B453" s="16"/>
      <c r="C453" s="15"/>
      <c r="D453" s="16"/>
      <c r="E453" s="17"/>
      <c r="F453" s="17"/>
      <c r="H453" s="19"/>
      <c r="I453" s="47"/>
      <c r="J453" s="48"/>
      <c r="K453" s="49"/>
    </row>
    <row r="454" spans="1:11" ht="12.75" hidden="1" x14ac:dyDescent="0.2">
      <c r="A454" s="16"/>
      <c r="B454" s="16"/>
      <c r="C454" s="15"/>
      <c r="D454" s="16"/>
      <c r="E454" s="17"/>
      <c r="F454" s="17"/>
      <c r="H454" s="19"/>
      <c r="I454" s="47"/>
      <c r="J454" s="48"/>
      <c r="K454" s="49"/>
    </row>
    <row r="455" spans="1:11" ht="12.75" hidden="1" x14ac:dyDescent="0.2">
      <c r="A455" s="16"/>
      <c r="B455" s="16"/>
      <c r="C455" s="15"/>
      <c r="D455" s="16"/>
      <c r="E455" s="17"/>
      <c r="F455" s="17"/>
      <c r="H455" s="19"/>
      <c r="I455" s="47"/>
      <c r="J455" s="48"/>
      <c r="K455" s="49"/>
    </row>
    <row r="456" spans="1:11" ht="12.75" hidden="1" x14ac:dyDescent="0.2">
      <c r="A456" s="16"/>
      <c r="B456" s="16"/>
      <c r="C456" s="15"/>
      <c r="D456" s="16"/>
      <c r="E456" s="17"/>
      <c r="F456" s="17"/>
      <c r="H456" s="19"/>
      <c r="I456" s="47"/>
      <c r="J456" s="48"/>
      <c r="K456" s="49"/>
    </row>
    <row r="457" spans="1:11" ht="12.75" hidden="1" x14ac:dyDescent="0.2">
      <c r="A457" s="16"/>
      <c r="B457" s="16"/>
      <c r="C457" s="15"/>
      <c r="D457" s="16"/>
      <c r="E457" s="17"/>
      <c r="F457" s="17"/>
      <c r="H457" s="19"/>
      <c r="I457" s="47"/>
      <c r="J457" s="48"/>
      <c r="K457" s="49"/>
    </row>
    <row r="458" spans="1:11" ht="12.75" hidden="1" x14ac:dyDescent="0.2">
      <c r="A458" s="16"/>
      <c r="B458" s="16"/>
      <c r="C458" s="15"/>
      <c r="D458" s="16"/>
      <c r="E458" s="17"/>
      <c r="F458" s="17"/>
      <c r="H458" s="19"/>
      <c r="I458" s="47"/>
      <c r="J458" s="48"/>
      <c r="K458" s="49"/>
    </row>
    <row r="459" spans="1:11" ht="12.75" hidden="1" x14ac:dyDescent="0.2">
      <c r="A459" s="16"/>
      <c r="B459" s="16"/>
      <c r="C459" s="15"/>
      <c r="D459" s="16"/>
      <c r="E459" s="17"/>
      <c r="F459" s="17"/>
      <c r="H459" s="19"/>
      <c r="I459" s="47"/>
      <c r="J459" s="48"/>
      <c r="K459" s="49"/>
    </row>
    <row r="460" spans="1:11" ht="12.75" hidden="1" x14ac:dyDescent="0.2">
      <c r="A460" s="16"/>
      <c r="B460" s="16"/>
      <c r="C460" s="15"/>
      <c r="D460" s="16"/>
      <c r="E460" s="17"/>
      <c r="F460" s="17"/>
      <c r="H460" s="19"/>
      <c r="I460" s="47"/>
      <c r="J460" s="48"/>
      <c r="K460" s="49"/>
    </row>
    <row r="461" spans="1:11" ht="12.75" hidden="1" x14ac:dyDescent="0.2">
      <c r="A461" s="16"/>
      <c r="B461" s="16"/>
      <c r="C461" s="15"/>
      <c r="D461" s="16"/>
      <c r="E461" s="17"/>
      <c r="F461" s="17"/>
      <c r="H461" s="19"/>
      <c r="I461" s="47"/>
      <c r="J461" s="48"/>
      <c r="K461" s="49"/>
    </row>
    <row r="462" spans="1:11" ht="12.75" hidden="1" x14ac:dyDescent="0.2">
      <c r="A462" s="16"/>
      <c r="B462" s="16"/>
      <c r="C462" s="15"/>
      <c r="D462" s="16"/>
      <c r="E462" s="17"/>
      <c r="F462" s="17"/>
      <c r="H462" s="19"/>
      <c r="I462" s="47"/>
      <c r="J462" s="48"/>
      <c r="K462" s="49"/>
    </row>
    <row r="463" spans="1:11" ht="12.75" hidden="1" x14ac:dyDescent="0.2">
      <c r="A463" s="16"/>
      <c r="B463" s="16"/>
      <c r="C463" s="15"/>
      <c r="D463" s="16"/>
      <c r="E463" s="17"/>
      <c r="F463" s="17"/>
      <c r="H463" s="19"/>
      <c r="I463" s="47"/>
      <c r="J463" s="48"/>
      <c r="K463" s="49"/>
    </row>
    <row r="464" spans="1:11" ht="12.75" hidden="1" x14ac:dyDescent="0.2">
      <c r="A464" s="16"/>
      <c r="B464" s="16"/>
      <c r="C464" s="15"/>
      <c r="D464" s="16"/>
      <c r="E464" s="17"/>
      <c r="F464" s="17"/>
      <c r="H464" s="19"/>
      <c r="I464" s="47"/>
      <c r="J464" s="48"/>
      <c r="K464" s="49"/>
    </row>
    <row r="465" spans="1:11" ht="12.75" hidden="1" x14ac:dyDescent="0.2">
      <c r="A465" s="16"/>
      <c r="B465" s="16"/>
      <c r="C465" s="15"/>
      <c r="D465" s="16"/>
      <c r="E465" s="17"/>
      <c r="F465" s="17"/>
      <c r="H465" s="19"/>
      <c r="I465" s="47"/>
      <c r="J465" s="48"/>
      <c r="K465" s="49"/>
    </row>
    <row r="466" spans="1:11" ht="12.75" hidden="1" x14ac:dyDescent="0.2">
      <c r="A466" s="16"/>
      <c r="B466" s="16"/>
      <c r="C466" s="15"/>
      <c r="D466" s="16"/>
      <c r="E466" s="17"/>
      <c r="F466" s="17"/>
      <c r="H466" s="19"/>
      <c r="I466" s="47"/>
      <c r="J466" s="48"/>
      <c r="K466" s="49"/>
    </row>
    <row r="467" spans="1:11" ht="12.75" hidden="1" x14ac:dyDescent="0.2">
      <c r="A467" s="16"/>
      <c r="B467" s="16"/>
      <c r="C467" s="15"/>
      <c r="D467" s="16"/>
      <c r="E467" s="17"/>
      <c r="F467" s="17"/>
      <c r="H467" s="19"/>
      <c r="I467" s="47"/>
      <c r="J467" s="48"/>
      <c r="K467" s="49"/>
    </row>
    <row r="468" spans="1:11" ht="12.75" hidden="1" x14ac:dyDescent="0.2">
      <c r="A468" s="16"/>
      <c r="B468" s="16"/>
      <c r="C468" s="15"/>
      <c r="D468" s="16"/>
      <c r="E468" s="17"/>
      <c r="F468" s="17"/>
      <c r="H468" s="19"/>
      <c r="I468" s="47"/>
      <c r="J468" s="48"/>
      <c r="K468" s="49"/>
    </row>
    <row r="469" spans="1:11" ht="12.75" hidden="1" x14ac:dyDescent="0.2">
      <c r="A469" s="16"/>
      <c r="B469" s="16"/>
      <c r="C469" s="15"/>
      <c r="D469" s="16"/>
      <c r="E469" s="17"/>
      <c r="F469" s="17"/>
      <c r="H469" s="19"/>
      <c r="I469" s="47"/>
      <c r="J469" s="48"/>
      <c r="K469" s="49"/>
    </row>
    <row r="470" spans="1:11" ht="12.75" hidden="1" x14ac:dyDescent="0.2">
      <c r="A470" s="16"/>
      <c r="B470" s="16"/>
      <c r="C470" s="15"/>
      <c r="D470" s="16"/>
      <c r="E470" s="17"/>
      <c r="F470" s="17"/>
      <c r="H470" s="19"/>
      <c r="I470" s="47"/>
      <c r="J470" s="48"/>
      <c r="K470" s="49"/>
    </row>
    <row r="471" spans="1:11" ht="12.75" hidden="1" x14ac:dyDescent="0.2">
      <c r="A471" s="16"/>
      <c r="B471" s="16"/>
      <c r="C471" s="15"/>
      <c r="D471" s="16"/>
      <c r="E471" s="17"/>
      <c r="F471" s="17"/>
      <c r="H471" s="19"/>
      <c r="I471" s="47"/>
      <c r="J471" s="48"/>
      <c r="K471" s="49"/>
    </row>
    <row r="472" spans="1:11" ht="12.75" hidden="1" x14ac:dyDescent="0.2">
      <c r="A472" s="16"/>
      <c r="B472" s="16"/>
      <c r="C472" s="15"/>
      <c r="D472" s="16"/>
      <c r="E472" s="17"/>
      <c r="F472" s="17"/>
      <c r="H472" s="19"/>
      <c r="I472" s="47"/>
      <c r="J472" s="48"/>
      <c r="K472" s="49"/>
    </row>
    <row r="473" spans="1:11" ht="12.75" hidden="1" x14ac:dyDescent="0.2">
      <c r="A473" s="16"/>
      <c r="B473" s="16"/>
      <c r="C473" s="15"/>
      <c r="D473" s="16"/>
      <c r="E473" s="17"/>
      <c r="F473" s="17"/>
      <c r="H473" s="19"/>
      <c r="I473" s="47"/>
      <c r="J473" s="48"/>
      <c r="K473" s="49"/>
    </row>
    <row r="474" spans="1:11" ht="12.75" hidden="1" x14ac:dyDescent="0.2">
      <c r="A474" s="16"/>
      <c r="B474" s="16"/>
      <c r="C474" s="15"/>
      <c r="D474" s="16"/>
      <c r="E474" s="17"/>
      <c r="F474" s="17"/>
      <c r="H474" s="19"/>
      <c r="I474" s="47"/>
      <c r="J474" s="48"/>
      <c r="K474" s="49"/>
    </row>
    <row r="475" spans="1:11" ht="12.75" hidden="1" x14ac:dyDescent="0.2">
      <c r="A475" s="16"/>
      <c r="B475" s="16"/>
      <c r="C475" s="15"/>
      <c r="D475" s="16"/>
      <c r="E475" s="17"/>
      <c r="F475" s="17"/>
      <c r="H475" s="19"/>
      <c r="I475" s="47"/>
      <c r="J475" s="48"/>
      <c r="K475" s="49"/>
    </row>
    <row r="476" spans="1:11" ht="12.75" hidden="1" x14ac:dyDescent="0.2">
      <c r="A476" s="16"/>
      <c r="B476" s="16"/>
      <c r="C476" s="15"/>
      <c r="D476" s="16"/>
      <c r="E476" s="17"/>
      <c r="F476" s="17"/>
      <c r="H476" s="19"/>
      <c r="I476" s="47"/>
      <c r="J476" s="48"/>
      <c r="K476" s="49"/>
    </row>
    <row r="477" spans="1:11" ht="12.75" hidden="1" x14ac:dyDescent="0.2">
      <c r="A477" s="16"/>
      <c r="B477" s="16"/>
      <c r="C477" s="15"/>
      <c r="D477" s="16"/>
      <c r="E477" s="17"/>
      <c r="F477" s="17"/>
      <c r="H477" s="19"/>
      <c r="I477" s="47"/>
      <c r="J477" s="48"/>
      <c r="K477" s="49"/>
    </row>
    <row r="478" spans="1:11" ht="12.75" hidden="1" x14ac:dyDescent="0.2">
      <c r="A478" s="16"/>
      <c r="B478" s="16"/>
      <c r="C478" s="15"/>
      <c r="D478" s="16"/>
      <c r="E478" s="17"/>
      <c r="F478" s="17"/>
      <c r="H478" s="19"/>
      <c r="I478" s="47"/>
      <c r="J478" s="48"/>
      <c r="K478" s="49"/>
    </row>
    <row r="479" spans="1:11" ht="12.75" hidden="1" x14ac:dyDescent="0.2">
      <c r="A479" s="16"/>
      <c r="B479" s="16"/>
      <c r="C479" s="15"/>
      <c r="D479" s="16"/>
      <c r="E479" s="17"/>
      <c r="F479" s="17"/>
      <c r="H479" s="19"/>
      <c r="I479" s="47"/>
      <c r="J479" s="48"/>
      <c r="K479" s="49"/>
    </row>
    <row r="480" spans="1:11" ht="12.75" hidden="1" x14ac:dyDescent="0.2">
      <c r="A480" s="16"/>
      <c r="B480" s="16"/>
      <c r="C480" s="15"/>
      <c r="D480" s="16"/>
      <c r="E480" s="17"/>
      <c r="F480" s="17"/>
      <c r="H480" s="19"/>
      <c r="I480" s="47"/>
      <c r="J480" s="48"/>
      <c r="K480" s="49"/>
    </row>
    <row r="481" spans="1:11" ht="12.75" hidden="1" x14ac:dyDescent="0.2">
      <c r="A481" s="16"/>
      <c r="B481" s="16"/>
      <c r="C481" s="15"/>
      <c r="D481" s="16"/>
      <c r="E481" s="17"/>
      <c r="F481" s="17"/>
      <c r="H481" s="19"/>
      <c r="I481" s="47"/>
      <c r="J481" s="48"/>
      <c r="K481" s="49"/>
    </row>
    <row r="482" spans="1:11" ht="12.75" hidden="1" x14ac:dyDescent="0.2">
      <c r="A482" s="16"/>
      <c r="B482" s="16"/>
      <c r="C482" s="15"/>
      <c r="D482" s="16"/>
      <c r="E482" s="17"/>
      <c r="F482" s="17"/>
      <c r="H482" s="19"/>
      <c r="I482" s="47"/>
      <c r="J482" s="48"/>
      <c r="K482" s="49"/>
    </row>
    <row r="483" spans="1:11" ht="12.75" hidden="1" x14ac:dyDescent="0.2">
      <c r="A483" s="16"/>
      <c r="B483" s="16"/>
      <c r="C483" s="15"/>
      <c r="D483" s="16"/>
      <c r="E483" s="17"/>
      <c r="F483" s="17"/>
      <c r="H483" s="19"/>
      <c r="I483" s="47"/>
      <c r="J483" s="48"/>
      <c r="K483" s="49"/>
    </row>
    <row r="484" spans="1:11" ht="12.75" hidden="1" x14ac:dyDescent="0.2">
      <c r="A484" s="16"/>
      <c r="B484" s="16"/>
      <c r="C484" s="15"/>
      <c r="D484" s="16"/>
      <c r="E484" s="17"/>
      <c r="F484" s="17"/>
      <c r="H484" s="19"/>
      <c r="I484" s="47"/>
      <c r="J484" s="48"/>
      <c r="K484" s="49"/>
    </row>
    <row r="485" spans="1:11" ht="12.75" hidden="1" x14ac:dyDescent="0.2">
      <c r="A485" s="16"/>
      <c r="B485" s="16"/>
      <c r="C485" s="15"/>
      <c r="D485" s="16"/>
      <c r="E485" s="17"/>
      <c r="F485" s="17"/>
      <c r="H485" s="19"/>
      <c r="I485" s="47"/>
      <c r="J485" s="48"/>
      <c r="K485" s="49"/>
    </row>
    <row r="486" spans="1:11" ht="12.75" hidden="1" x14ac:dyDescent="0.2">
      <c r="A486" s="16"/>
      <c r="B486" s="16"/>
      <c r="C486" s="15"/>
      <c r="D486" s="16"/>
      <c r="E486" s="17"/>
      <c r="F486" s="17"/>
      <c r="H486" s="19"/>
      <c r="I486" s="47"/>
      <c r="J486" s="48"/>
      <c r="K486" s="49"/>
    </row>
    <row r="487" spans="1:11" ht="12.75" hidden="1" x14ac:dyDescent="0.2">
      <c r="A487" s="16"/>
      <c r="B487" s="16"/>
      <c r="C487" s="15"/>
      <c r="D487" s="16"/>
      <c r="E487" s="17"/>
      <c r="F487" s="17"/>
      <c r="H487" s="19"/>
      <c r="I487" s="47"/>
      <c r="J487" s="48"/>
      <c r="K487" s="49"/>
    </row>
    <row r="488" spans="1:11" ht="12.75" hidden="1" x14ac:dyDescent="0.2">
      <c r="A488" s="16"/>
      <c r="B488" s="16"/>
      <c r="C488" s="15"/>
      <c r="D488" s="16"/>
      <c r="E488" s="17"/>
      <c r="F488" s="17"/>
      <c r="H488" s="19"/>
      <c r="I488" s="47"/>
      <c r="J488" s="48"/>
      <c r="K488" s="49"/>
    </row>
    <row r="489" spans="1:11" ht="12.75" hidden="1" x14ac:dyDescent="0.2">
      <c r="A489" s="16"/>
      <c r="B489" s="16"/>
      <c r="C489" s="15"/>
      <c r="D489" s="16"/>
      <c r="E489" s="17"/>
      <c r="F489" s="17"/>
      <c r="H489" s="19"/>
      <c r="I489" s="47"/>
      <c r="J489" s="48"/>
      <c r="K489" s="49"/>
    </row>
    <row r="490" spans="1:11" ht="12.75" hidden="1" x14ac:dyDescent="0.2">
      <c r="A490" s="16"/>
      <c r="B490" s="16"/>
      <c r="C490" s="15"/>
      <c r="D490" s="16"/>
      <c r="E490" s="17"/>
      <c r="F490" s="17"/>
      <c r="H490" s="19"/>
      <c r="I490" s="47"/>
      <c r="J490" s="48"/>
      <c r="K490" s="49"/>
    </row>
    <row r="491" spans="1:11" ht="12.75" hidden="1" x14ac:dyDescent="0.2">
      <c r="A491" s="16"/>
      <c r="B491" s="16"/>
      <c r="C491" s="15"/>
      <c r="D491" s="16"/>
      <c r="E491" s="17"/>
      <c r="F491" s="17"/>
      <c r="H491" s="19"/>
      <c r="I491" s="47"/>
      <c r="J491" s="48"/>
      <c r="K491" s="49"/>
    </row>
    <row r="492" spans="1:11" ht="12.75" hidden="1" x14ac:dyDescent="0.2">
      <c r="A492" s="16"/>
      <c r="B492" s="16"/>
      <c r="C492" s="15"/>
      <c r="D492" s="16"/>
      <c r="E492" s="17"/>
      <c r="F492" s="17"/>
      <c r="H492" s="19"/>
      <c r="I492" s="47"/>
      <c r="J492" s="48"/>
      <c r="K492" s="49"/>
    </row>
    <row r="493" spans="1:11" ht="12.75" hidden="1" x14ac:dyDescent="0.2">
      <c r="A493" s="16"/>
      <c r="B493" s="16"/>
      <c r="C493" s="15"/>
      <c r="D493" s="16"/>
      <c r="E493" s="17"/>
      <c r="F493" s="17"/>
      <c r="H493" s="19"/>
      <c r="I493" s="47"/>
      <c r="J493" s="48"/>
      <c r="K493" s="49"/>
    </row>
    <row r="494" spans="1:11" ht="12.75" hidden="1" x14ac:dyDescent="0.2">
      <c r="A494" s="16"/>
      <c r="B494" s="16"/>
      <c r="C494" s="15"/>
      <c r="D494" s="16"/>
      <c r="E494" s="17"/>
      <c r="F494" s="17"/>
      <c r="H494" s="19"/>
      <c r="I494" s="47"/>
      <c r="J494" s="48"/>
      <c r="K494" s="49"/>
    </row>
    <row r="495" spans="1:11" ht="12.75" hidden="1" x14ac:dyDescent="0.2">
      <c r="A495" s="16"/>
      <c r="B495" s="16"/>
      <c r="C495" s="15"/>
      <c r="D495" s="16"/>
      <c r="E495" s="17"/>
      <c r="F495" s="17"/>
      <c r="H495" s="19"/>
      <c r="I495" s="47"/>
      <c r="J495" s="48"/>
      <c r="K495" s="49"/>
    </row>
    <row r="496" spans="1:11" ht="12.75" hidden="1" x14ac:dyDescent="0.2">
      <c r="A496" s="16"/>
      <c r="B496" s="16"/>
      <c r="C496" s="15"/>
      <c r="D496" s="16"/>
      <c r="E496" s="17"/>
      <c r="F496" s="17"/>
      <c r="H496" s="19"/>
      <c r="I496" s="47"/>
      <c r="J496" s="48"/>
      <c r="K496" s="49"/>
    </row>
    <row r="497" spans="1:11" ht="12.75" hidden="1" x14ac:dyDescent="0.2">
      <c r="A497" s="16"/>
      <c r="B497" s="16"/>
      <c r="C497" s="15"/>
      <c r="D497" s="16"/>
      <c r="E497" s="17"/>
      <c r="F497" s="17"/>
      <c r="H497" s="19"/>
      <c r="I497" s="47"/>
      <c r="J497" s="48"/>
      <c r="K497" s="49"/>
    </row>
    <row r="498" spans="1:11" ht="12.75" hidden="1" x14ac:dyDescent="0.2">
      <c r="A498" s="16"/>
      <c r="B498" s="16"/>
      <c r="C498" s="15"/>
      <c r="D498" s="16"/>
      <c r="E498" s="17"/>
      <c r="F498" s="17"/>
      <c r="H498" s="19"/>
      <c r="I498" s="47"/>
      <c r="J498" s="48"/>
      <c r="K498" s="49"/>
    </row>
    <row r="499" spans="1:11" ht="12.75" hidden="1" x14ac:dyDescent="0.2">
      <c r="A499" s="16"/>
      <c r="B499" s="16"/>
      <c r="C499" s="15"/>
      <c r="D499" s="16"/>
      <c r="E499" s="17"/>
      <c r="F499" s="17"/>
      <c r="H499" s="19"/>
      <c r="I499" s="47"/>
      <c r="J499" s="48"/>
      <c r="K499" s="49"/>
    </row>
    <row r="500" spans="1:11" ht="12.75" hidden="1" x14ac:dyDescent="0.2">
      <c r="A500" s="16"/>
      <c r="B500" s="16"/>
      <c r="C500" s="15"/>
      <c r="D500" s="16"/>
      <c r="E500" s="17"/>
      <c r="F500" s="17"/>
      <c r="H500" s="19"/>
      <c r="I500" s="47"/>
      <c r="J500" s="48"/>
      <c r="K500" s="49"/>
    </row>
    <row r="501" spans="1:11" ht="12.75" hidden="1" x14ac:dyDescent="0.2">
      <c r="A501" s="16"/>
      <c r="B501" s="16"/>
      <c r="C501" s="15"/>
      <c r="D501" s="16"/>
      <c r="E501" s="17"/>
      <c r="F501" s="17"/>
      <c r="H501" s="19"/>
      <c r="I501" s="47"/>
      <c r="J501" s="48"/>
      <c r="K501" s="49"/>
    </row>
    <row r="502" spans="1:11" ht="12.75" hidden="1" x14ac:dyDescent="0.2">
      <c r="A502" s="16"/>
      <c r="B502" s="16"/>
      <c r="C502" s="15"/>
      <c r="D502" s="16"/>
      <c r="E502" s="17"/>
      <c r="F502" s="17"/>
      <c r="H502" s="19"/>
      <c r="I502" s="47"/>
      <c r="J502" s="48"/>
      <c r="K502" s="49"/>
    </row>
    <row r="503" spans="1:11" ht="12.75" hidden="1" x14ac:dyDescent="0.2">
      <c r="A503" s="16"/>
      <c r="B503" s="16"/>
      <c r="C503" s="15"/>
      <c r="D503" s="16"/>
      <c r="E503" s="17"/>
      <c r="F503" s="17"/>
      <c r="H503" s="19"/>
      <c r="I503" s="47"/>
      <c r="J503" s="48"/>
      <c r="K503" s="49"/>
    </row>
    <row r="504" spans="1:11" ht="12.75" hidden="1" x14ac:dyDescent="0.2">
      <c r="A504" s="16"/>
      <c r="B504" s="16"/>
      <c r="C504" s="15"/>
      <c r="D504" s="16"/>
      <c r="E504" s="17"/>
      <c r="F504" s="17"/>
      <c r="H504" s="19"/>
      <c r="I504" s="47"/>
      <c r="J504" s="48"/>
      <c r="K504" s="49"/>
    </row>
    <row r="505" spans="1:11" ht="12.75" hidden="1" x14ac:dyDescent="0.2">
      <c r="A505" s="16"/>
      <c r="B505" s="16"/>
      <c r="C505" s="15"/>
      <c r="D505" s="16"/>
      <c r="E505" s="17"/>
      <c r="F505" s="17"/>
      <c r="H505" s="19"/>
      <c r="I505" s="47"/>
      <c r="J505" s="48"/>
      <c r="K505" s="49"/>
    </row>
    <row r="506" spans="1:11" ht="12.75" hidden="1" x14ac:dyDescent="0.2">
      <c r="A506" s="16"/>
      <c r="B506" s="16"/>
      <c r="C506" s="15"/>
      <c r="D506" s="16"/>
      <c r="E506" s="17"/>
      <c r="F506" s="17"/>
      <c r="H506" s="19"/>
      <c r="I506" s="47"/>
      <c r="J506" s="48"/>
      <c r="K506" s="49"/>
    </row>
    <row r="507" spans="1:11" ht="12.75" hidden="1" x14ac:dyDescent="0.2">
      <c r="A507" s="16"/>
      <c r="B507" s="16"/>
      <c r="C507" s="15"/>
      <c r="D507" s="16"/>
      <c r="E507" s="17"/>
      <c r="F507" s="17"/>
      <c r="H507" s="19"/>
      <c r="I507" s="47"/>
      <c r="J507" s="48"/>
      <c r="K507" s="49"/>
    </row>
    <row r="508" spans="1:11" ht="12.75" hidden="1" x14ac:dyDescent="0.2">
      <c r="A508" s="16"/>
      <c r="B508" s="16"/>
      <c r="C508" s="15"/>
      <c r="D508" s="16"/>
      <c r="E508" s="17"/>
      <c r="F508" s="17"/>
      <c r="H508" s="19"/>
      <c r="I508" s="47"/>
      <c r="J508" s="48"/>
      <c r="K508" s="49"/>
    </row>
    <row r="509" spans="1:11" ht="12.75" hidden="1" x14ac:dyDescent="0.2">
      <c r="A509" s="16"/>
      <c r="B509" s="16"/>
      <c r="C509" s="15"/>
      <c r="D509" s="16"/>
      <c r="E509" s="17"/>
      <c r="F509" s="17"/>
      <c r="H509" s="19"/>
      <c r="I509" s="47"/>
      <c r="J509" s="48"/>
      <c r="K509" s="49"/>
    </row>
    <row r="510" spans="1:11" ht="12.75" hidden="1" x14ac:dyDescent="0.2">
      <c r="A510" s="16"/>
      <c r="B510" s="16"/>
      <c r="C510" s="15"/>
      <c r="D510" s="16"/>
      <c r="E510" s="17"/>
      <c r="F510" s="17"/>
      <c r="H510" s="19"/>
      <c r="I510" s="47"/>
      <c r="J510" s="48"/>
      <c r="K510" s="49"/>
    </row>
    <row r="511" spans="1:11" ht="12.75" hidden="1" x14ac:dyDescent="0.2">
      <c r="A511" s="16"/>
      <c r="B511" s="16"/>
      <c r="C511" s="15"/>
      <c r="D511" s="16"/>
      <c r="E511" s="17"/>
      <c r="F511" s="17"/>
      <c r="H511" s="19"/>
      <c r="I511" s="47"/>
      <c r="J511" s="48"/>
      <c r="K511" s="49"/>
    </row>
    <row r="512" spans="1:11" ht="12.75" hidden="1" x14ac:dyDescent="0.2">
      <c r="A512" s="16"/>
      <c r="B512" s="16"/>
      <c r="C512" s="15"/>
      <c r="D512" s="16"/>
      <c r="E512" s="17"/>
      <c r="F512" s="17"/>
      <c r="H512" s="19"/>
      <c r="I512" s="47"/>
      <c r="J512" s="48"/>
      <c r="K512" s="49"/>
    </row>
    <row r="513" spans="1:11" ht="12.75" hidden="1" x14ac:dyDescent="0.2">
      <c r="A513" s="16"/>
      <c r="B513" s="16"/>
      <c r="C513" s="15"/>
      <c r="D513" s="16"/>
      <c r="E513" s="17"/>
      <c r="F513" s="17"/>
      <c r="H513" s="19"/>
      <c r="I513" s="47"/>
      <c r="J513" s="48"/>
      <c r="K513" s="49"/>
    </row>
    <row r="514" spans="1:11" ht="12.75" hidden="1" x14ac:dyDescent="0.2">
      <c r="A514" s="16"/>
      <c r="B514" s="16"/>
      <c r="C514" s="15"/>
      <c r="D514" s="16"/>
      <c r="E514" s="17"/>
      <c r="F514" s="17"/>
      <c r="H514" s="19"/>
      <c r="I514" s="47"/>
      <c r="J514" s="48"/>
      <c r="K514" s="49"/>
    </row>
    <row r="515" spans="1:11" ht="12.75" hidden="1" x14ac:dyDescent="0.2">
      <c r="A515" s="16"/>
      <c r="B515" s="16"/>
      <c r="C515" s="15"/>
      <c r="D515" s="16"/>
      <c r="E515" s="17"/>
      <c r="F515" s="17"/>
      <c r="H515" s="19"/>
      <c r="I515" s="47"/>
      <c r="J515" s="48"/>
      <c r="K515" s="49"/>
    </row>
    <row r="516" spans="1:11" ht="12.75" hidden="1" x14ac:dyDescent="0.2">
      <c r="A516" s="16"/>
      <c r="B516" s="16"/>
      <c r="C516" s="15"/>
      <c r="D516" s="16"/>
      <c r="E516" s="17"/>
      <c r="F516" s="17"/>
      <c r="H516" s="19"/>
      <c r="I516" s="47"/>
      <c r="J516" s="48"/>
      <c r="K516" s="49"/>
    </row>
    <row r="517" spans="1:11" ht="12.75" hidden="1" x14ac:dyDescent="0.2">
      <c r="A517" s="16"/>
      <c r="B517" s="16"/>
      <c r="C517" s="15"/>
      <c r="D517" s="16"/>
      <c r="E517" s="17"/>
      <c r="F517" s="17"/>
      <c r="H517" s="19"/>
      <c r="I517" s="47"/>
      <c r="J517" s="48"/>
      <c r="K517" s="49"/>
    </row>
    <row r="518" spans="1:11" ht="12.75" hidden="1" x14ac:dyDescent="0.2">
      <c r="A518" s="16"/>
      <c r="B518" s="16"/>
      <c r="C518" s="15"/>
      <c r="D518" s="16"/>
      <c r="E518" s="17"/>
      <c r="F518" s="17"/>
      <c r="H518" s="19"/>
      <c r="I518" s="47"/>
      <c r="J518" s="48"/>
      <c r="K518" s="49"/>
    </row>
    <row r="519" spans="1:11" ht="12.75" hidden="1" x14ac:dyDescent="0.2">
      <c r="A519" s="16"/>
      <c r="B519" s="16"/>
      <c r="C519" s="15"/>
      <c r="D519" s="16"/>
      <c r="E519" s="17"/>
      <c r="F519" s="17"/>
      <c r="H519" s="19"/>
      <c r="I519" s="47"/>
      <c r="J519" s="48"/>
      <c r="K519" s="49"/>
    </row>
    <row r="520" spans="1:11" ht="12.75" hidden="1" x14ac:dyDescent="0.2">
      <c r="A520" s="16"/>
      <c r="B520" s="16"/>
      <c r="C520" s="15"/>
      <c r="D520" s="16"/>
      <c r="E520" s="17"/>
      <c r="F520" s="17"/>
      <c r="H520" s="19"/>
      <c r="I520" s="47"/>
      <c r="J520" s="48"/>
      <c r="K520" s="49"/>
    </row>
    <row r="521" spans="1:11" ht="12.75" hidden="1" x14ac:dyDescent="0.2">
      <c r="A521" s="16"/>
      <c r="B521" s="16"/>
      <c r="C521" s="15"/>
      <c r="D521" s="16"/>
      <c r="E521" s="17"/>
      <c r="F521" s="17"/>
      <c r="H521" s="19"/>
      <c r="I521" s="47"/>
      <c r="J521" s="48"/>
      <c r="K521" s="49"/>
    </row>
    <row r="522" spans="1:11" ht="12.75" hidden="1" x14ac:dyDescent="0.2">
      <c r="A522" s="16"/>
      <c r="B522" s="16"/>
      <c r="C522" s="15"/>
      <c r="D522" s="16"/>
      <c r="E522" s="17"/>
      <c r="F522" s="17"/>
      <c r="H522" s="19"/>
      <c r="I522" s="47"/>
      <c r="J522" s="48"/>
      <c r="K522" s="49"/>
    </row>
    <row r="523" spans="1:11" ht="12.75" hidden="1" x14ac:dyDescent="0.2">
      <c r="A523" s="16"/>
      <c r="B523" s="16"/>
      <c r="C523" s="15"/>
      <c r="D523" s="16"/>
      <c r="E523" s="17"/>
      <c r="F523" s="17"/>
      <c r="H523" s="19"/>
      <c r="I523" s="47"/>
      <c r="J523" s="48"/>
      <c r="K523" s="49"/>
    </row>
    <row r="524" spans="1:11" ht="12.75" hidden="1" x14ac:dyDescent="0.2">
      <c r="A524" s="16"/>
      <c r="B524" s="16"/>
      <c r="C524" s="15"/>
      <c r="D524" s="16"/>
      <c r="E524" s="17"/>
      <c r="F524" s="17"/>
      <c r="H524" s="19"/>
      <c r="I524" s="47"/>
      <c r="J524" s="48"/>
      <c r="K524" s="49"/>
    </row>
    <row r="525" spans="1:11" ht="12.75" hidden="1" x14ac:dyDescent="0.2">
      <c r="A525" s="16"/>
      <c r="B525" s="16"/>
      <c r="C525" s="15"/>
      <c r="D525" s="16"/>
      <c r="E525" s="17"/>
      <c r="F525" s="17"/>
      <c r="H525" s="19"/>
      <c r="I525" s="47"/>
      <c r="J525" s="48"/>
      <c r="K525" s="49"/>
    </row>
    <row r="526" spans="1:11" ht="12.75" hidden="1" x14ac:dyDescent="0.2">
      <c r="A526" s="16"/>
      <c r="B526" s="16"/>
      <c r="C526" s="15"/>
      <c r="D526" s="16"/>
      <c r="E526" s="17"/>
      <c r="F526" s="17"/>
      <c r="H526" s="19"/>
      <c r="I526" s="47"/>
      <c r="J526" s="48"/>
      <c r="K526" s="49"/>
    </row>
    <row r="527" spans="1:11" ht="12.75" hidden="1" x14ac:dyDescent="0.2">
      <c r="A527" s="16"/>
      <c r="B527" s="16"/>
      <c r="C527" s="15"/>
      <c r="D527" s="16"/>
      <c r="E527" s="17"/>
      <c r="F527" s="17"/>
      <c r="H527" s="19"/>
      <c r="I527" s="47"/>
      <c r="J527" s="48"/>
      <c r="K527" s="49"/>
    </row>
    <row r="528" spans="1:11" ht="12.75" hidden="1" x14ac:dyDescent="0.2">
      <c r="A528" s="16"/>
      <c r="B528" s="16"/>
      <c r="C528" s="15"/>
      <c r="D528" s="16"/>
      <c r="E528" s="17"/>
      <c r="F528" s="17"/>
      <c r="H528" s="19"/>
      <c r="I528" s="47"/>
      <c r="J528" s="48"/>
      <c r="K528" s="49"/>
    </row>
    <row r="529" spans="1:11" ht="12.75" hidden="1" x14ac:dyDescent="0.2">
      <c r="A529" s="16"/>
      <c r="B529" s="16"/>
      <c r="C529" s="15"/>
      <c r="D529" s="16"/>
      <c r="E529" s="17"/>
      <c r="F529" s="17"/>
      <c r="H529" s="19"/>
      <c r="I529" s="47"/>
      <c r="J529" s="48"/>
      <c r="K529" s="49"/>
    </row>
    <row r="530" spans="1:11" ht="12.75" hidden="1" x14ac:dyDescent="0.2">
      <c r="A530" s="16"/>
      <c r="B530" s="16"/>
      <c r="C530" s="15"/>
      <c r="D530" s="16"/>
      <c r="E530" s="17"/>
      <c r="F530" s="17"/>
      <c r="H530" s="19"/>
      <c r="I530" s="47"/>
      <c r="J530" s="48"/>
      <c r="K530" s="49"/>
    </row>
    <row r="531" spans="1:11" ht="12.75" hidden="1" x14ac:dyDescent="0.2">
      <c r="A531" s="16"/>
      <c r="B531" s="16"/>
      <c r="C531" s="15"/>
      <c r="D531" s="16"/>
      <c r="E531" s="17"/>
      <c r="F531" s="17"/>
      <c r="H531" s="19"/>
      <c r="I531" s="47"/>
      <c r="J531" s="48"/>
      <c r="K531" s="49"/>
    </row>
    <row r="532" spans="1:11" ht="12.75" hidden="1" x14ac:dyDescent="0.2">
      <c r="A532" s="16"/>
      <c r="B532" s="16"/>
      <c r="C532" s="15"/>
      <c r="D532" s="16"/>
      <c r="E532" s="17"/>
      <c r="F532" s="17"/>
      <c r="H532" s="19"/>
      <c r="I532" s="47"/>
      <c r="J532" s="48"/>
      <c r="K532" s="49"/>
    </row>
    <row r="533" spans="1:11" ht="12.75" hidden="1" x14ac:dyDescent="0.2">
      <c r="A533" s="16"/>
      <c r="B533" s="16"/>
      <c r="C533" s="15"/>
      <c r="D533" s="16"/>
      <c r="E533" s="17"/>
      <c r="F533" s="17"/>
      <c r="H533" s="19"/>
      <c r="I533" s="47"/>
      <c r="J533" s="48"/>
      <c r="K533" s="49"/>
    </row>
    <row r="534" spans="1:11" ht="12.75" hidden="1" x14ac:dyDescent="0.2">
      <c r="A534" s="16"/>
      <c r="B534" s="16"/>
      <c r="C534" s="15"/>
      <c r="D534" s="16"/>
      <c r="E534" s="17"/>
      <c r="F534" s="17"/>
      <c r="H534" s="19"/>
      <c r="I534" s="47"/>
      <c r="J534" s="48"/>
      <c r="K534" s="49"/>
    </row>
    <row r="535" spans="1:11" ht="12.75" hidden="1" x14ac:dyDescent="0.2">
      <c r="A535" s="16"/>
      <c r="B535" s="16"/>
      <c r="C535" s="15"/>
      <c r="D535" s="16"/>
      <c r="E535" s="17"/>
      <c r="F535" s="17"/>
      <c r="H535" s="19"/>
      <c r="I535" s="47"/>
      <c r="J535" s="48"/>
      <c r="K535" s="49"/>
    </row>
    <row r="536" spans="1:11" ht="12.75" hidden="1" x14ac:dyDescent="0.2">
      <c r="A536" s="16"/>
      <c r="B536" s="16"/>
      <c r="C536" s="15"/>
      <c r="D536" s="16"/>
      <c r="E536" s="17"/>
      <c r="F536" s="17"/>
      <c r="H536" s="19"/>
      <c r="I536" s="47"/>
      <c r="J536" s="48"/>
      <c r="K536" s="49"/>
    </row>
    <row r="537" spans="1:11" ht="12.75" hidden="1" x14ac:dyDescent="0.2">
      <c r="A537" s="16"/>
      <c r="B537" s="16"/>
      <c r="C537" s="15"/>
      <c r="D537" s="16"/>
      <c r="E537" s="17"/>
      <c r="F537" s="17"/>
      <c r="H537" s="19"/>
      <c r="I537" s="47"/>
      <c r="J537" s="48"/>
      <c r="K537" s="49"/>
    </row>
    <row r="538" spans="1:11" ht="12.75" hidden="1" x14ac:dyDescent="0.2">
      <c r="A538" s="16"/>
      <c r="B538" s="16"/>
      <c r="C538" s="15"/>
      <c r="D538" s="16"/>
      <c r="E538" s="17"/>
      <c r="F538" s="17"/>
      <c r="H538" s="19"/>
      <c r="I538" s="47"/>
      <c r="J538" s="48"/>
      <c r="K538" s="49"/>
    </row>
    <row r="539" spans="1:11" ht="12.75" hidden="1" x14ac:dyDescent="0.2">
      <c r="A539" s="16"/>
      <c r="B539" s="16"/>
      <c r="C539" s="15"/>
      <c r="D539" s="16"/>
      <c r="E539" s="17"/>
      <c r="F539" s="17"/>
      <c r="H539" s="19"/>
      <c r="I539" s="47"/>
      <c r="J539" s="48"/>
      <c r="K539" s="49"/>
    </row>
    <row r="540" spans="1:11" ht="12.75" hidden="1" x14ac:dyDescent="0.2">
      <c r="A540" s="16"/>
      <c r="B540" s="16"/>
      <c r="C540" s="15"/>
      <c r="D540" s="16"/>
      <c r="E540" s="17"/>
      <c r="F540" s="17"/>
      <c r="H540" s="19"/>
      <c r="I540" s="47"/>
      <c r="J540" s="48"/>
      <c r="K540" s="49"/>
    </row>
    <row r="541" spans="1:11" ht="12.75" hidden="1" x14ac:dyDescent="0.2">
      <c r="A541" s="16"/>
      <c r="B541" s="16"/>
      <c r="C541" s="15"/>
      <c r="D541" s="16"/>
      <c r="E541" s="17"/>
      <c r="F541" s="17"/>
      <c r="H541" s="19"/>
      <c r="I541" s="47"/>
      <c r="J541" s="48"/>
      <c r="K541" s="49"/>
    </row>
    <row r="542" spans="1:11" ht="12.75" hidden="1" x14ac:dyDescent="0.2">
      <c r="A542" s="16"/>
      <c r="B542" s="16"/>
      <c r="C542" s="15"/>
      <c r="D542" s="16"/>
      <c r="E542" s="17"/>
      <c r="F542" s="17"/>
      <c r="H542" s="19"/>
      <c r="I542" s="47"/>
      <c r="J542" s="48"/>
      <c r="K542" s="49"/>
    </row>
    <row r="543" spans="1:11" ht="12.75" hidden="1" x14ac:dyDescent="0.2">
      <c r="A543" s="16"/>
      <c r="B543" s="16"/>
      <c r="C543" s="15"/>
      <c r="D543" s="16"/>
      <c r="E543" s="17"/>
      <c r="F543" s="17"/>
      <c r="H543" s="19"/>
      <c r="I543" s="47"/>
      <c r="J543" s="48"/>
      <c r="K543" s="49"/>
    </row>
    <row r="544" spans="1:11" ht="12.75" hidden="1" x14ac:dyDescent="0.2">
      <c r="A544" s="16"/>
      <c r="B544" s="16"/>
      <c r="C544" s="15"/>
      <c r="D544" s="16"/>
      <c r="E544" s="17"/>
      <c r="F544" s="17"/>
      <c r="H544" s="19"/>
      <c r="I544" s="47"/>
      <c r="J544" s="48"/>
      <c r="K544" s="49"/>
    </row>
    <row r="545" spans="1:11" ht="12.75" hidden="1" x14ac:dyDescent="0.2">
      <c r="A545" s="16"/>
      <c r="B545" s="16"/>
      <c r="C545" s="15"/>
      <c r="D545" s="16"/>
      <c r="E545" s="17"/>
      <c r="F545" s="17"/>
      <c r="H545" s="19"/>
      <c r="I545" s="47"/>
      <c r="J545" s="48"/>
      <c r="K545" s="49"/>
    </row>
    <row r="546" spans="1:11" ht="12.75" hidden="1" x14ac:dyDescent="0.2">
      <c r="A546" s="16"/>
      <c r="B546" s="16"/>
      <c r="C546" s="15"/>
      <c r="D546" s="16"/>
      <c r="E546" s="17"/>
      <c r="F546" s="17"/>
      <c r="H546" s="19"/>
      <c r="I546" s="47"/>
      <c r="J546" s="48"/>
      <c r="K546" s="49"/>
    </row>
    <row r="547" spans="1:11" ht="12.75" hidden="1" x14ac:dyDescent="0.2">
      <c r="A547" s="16"/>
      <c r="B547" s="16"/>
      <c r="C547" s="15"/>
      <c r="D547" s="16"/>
      <c r="E547" s="17"/>
      <c r="F547" s="17"/>
      <c r="H547" s="19"/>
      <c r="I547" s="47"/>
      <c r="J547" s="48"/>
      <c r="K547" s="49"/>
    </row>
    <row r="548" spans="1:11" ht="12.75" hidden="1" x14ac:dyDescent="0.2">
      <c r="A548" s="16"/>
      <c r="B548" s="16"/>
      <c r="C548" s="15"/>
      <c r="D548" s="16"/>
      <c r="E548" s="17"/>
      <c r="F548" s="17"/>
      <c r="H548" s="19"/>
      <c r="I548" s="47"/>
      <c r="J548" s="48"/>
      <c r="K548" s="49"/>
    </row>
    <row r="549" spans="1:11" ht="12.75" hidden="1" x14ac:dyDescent="0.2">
      <c r="A549" s="16"/>
      <c r="B549" s="16"/>
      <c r="C549" s="15"/>
      <c r="D549" s="16"/>
      <c r="E549" s="17"/>
      <c r="F549" s="17"/>
      <c r="H549" s="19"/>
      <c r="I549" s="47"/>
      <c r="J549" s="48"/>
      <c r="K549" s="49"/>
    </row>
    <row r="550" spans="1:11" ht="12.75" hidden="1" x14ac:dyDescent="0.2">
      <c r="A550" s="16"/>
      <c r="B550" s="16"/>
      <c r="C550" s="15"/>
      <c r="D550" s="16"/>
      <c r="E550" s="17"/>
      <c r="F550" s="17"/>
      <c r="H550" s="19"/>
      <c r="I550" s="47"/>
      <c r="J550" s="48"/>
      <c r="K550" s="49"/>
    </row>
    <row r="551" spans="1:11" ht="12.75" hidden="1" x14ac:dyDescent="0.2">
      <c r="A551" s="16"/>
      <c r="B551" s="16"/>
      <c r="C551" s="15"/>
      <c r="D551" s="16"/>
      <c r="E551" s="17"/>
      <c r="F551" s="17"/>
      <c r="H551" s="19"/>
      <c r="I551" s="47"/>
      <c r="J551" s="48"/>
      <c r="K551" s="49"/>
    </row>
    <row r="552" spans="1:11" ht="12.75" hidden="1" x14ac:dyDescent="0.2">
      <c r="A552" s="16"/>
      <c r="B552" s="16"/>
      <c r="C552" s="15"/>
      <c r="D552" s="16"/>
      <c r="E552" s="17"/>
      <c r="F552" s="17"/>
      <c r="H552" s="19"/>
      <c r="I552" s="47"/>
      <c r="J552" s="48"/>
      <c r="K552" s="49"/>
    </row>
    <row r="553" spans="1:11" ht="12.75" hidden="1" x14ac:dyDescent="0.2">
      <c r="A553" s="16"/>
      <c r="B553" s="16"/>
      <c r="C553" s="15"/>
      <c r="D553" s="16"/>
      <c r="E553" s="17"/>
      <c r="F553" s="17"/>
      <c r="H553" s="19"/>
      <c r="I553" s="47"/>
      <c r="J553" s="48"/>
      <c r="K553" s="49"/>
    </row>
    <row r="554" spans="1:11" ht="12.75" hidden="1" x14ac:dyDescent="0.2">
      <c r="A554" s="16"/>
      <c r="B554" s="16"/>
      <c r="C554" s="15"/>
      <c r="D554" s="16"/>
      <c r="E554" s="17"/>
      <c r="F554" s="17"/>
      <c r="H554" s="19"/>
      <c r="I554" s="47"/>
      <c r="J554" s="48"/>
      <c r="K554" s="49"/>
    </row>
    <row r="555" spans="1:11" ht="12.75" hidden="1" x14ac:dyDescent="0.2">
      <c r="A555" s="16"/>
      <c r="B555" s="16"/>
      <c r="C555" s="15"/>
      <c r="D555" s="16"/>
      <c r="E555" s="17"/>
      <c r="F555" s="17"/>
      <c r="H555" s="19"/>
      <c r="I555" s="47"/>
      <c r="J555" s="48"/>
      <c r="K555" s="49"/>
    </row>
    <row r="556" spans="1:11" ht="12.75" hidden="1" x14ac:dyDescent="0.2">
      <c r="A556" s="16"/>
      <c r="B556" s="16"/>
      <c r="C556" s="15"/>
      <c r="D556" s="16"/>
      <c r="E556" s="17"/>
      <c r="F556" s="17"/>
      <c r="H556" s="19"/>
      <c r="I556" s="47"/>
      <c r="J556" s="48"/>
      <c r="K556" s="49"/>
    </row>
    <row r="557" spans="1:11" ht="12.75" hidden="1" x14ac:dyDescent="0.2">
      <c r="A557" s="16"/>
      <c r="B557" s="16"/>
      <c r="C557" s="15"/>
      <c r="D557" s="16"/>
      <c r="E557" s="17"/>
      <c r="F557" s="17"/>
      <c r="H557" s="19"/>
      <c r="I557" s="47"/>
      <c r="J557" s="48"/>
      <c r="K557" s="49"/>
    </row>
    <row r="558" spans="1:11" ht="12.75" hidden="1" x14ac:dyDescent="0.2">
      <c r="A558" s="16"/>
      <c r="B558" s="16"/>
      <c r="C558" s="15"/>
      <c r="D558" s="16"/>
      <c r="E558" s="17"/>
      <c r="F558" s="17"/>
      <c r="H558" s="19"/>
      <c r="I558" s="47"/>
      <c r="J558" s="48"/>
      <c r="K558" s="49"/>
    </row>
    <row r="559" spans="1:11" ht="12.75" hidden="1" x14ac:dyDescent="0.2">
      <c r="A559" s="16"/>
      <c r="B559" s="16"/>
      <c r="C559" s="15"/>
      <c r="D559" s="16"/>
      <c r="E559" s="17"/>
      <c r="F559" s="17"/>
      <c r="H559" s="19"/>
      <c r="I559" s="47"/>
      <c r="J559" s="48"/>
      <c r="K559" s="49"/>
    </row>
    <row r="560" spans="1:11" ht="12.75" hidden="1" x14ac:dyDescent="0.2">
      <c r="A560" s="16"/>
      <c r="B560" s="16"/>
      <c r="C560" s="15"/>
      <c r="D560" s="16"/>
      <c r="E560" s="17"/>
      <c r="F560" s="17"/>
      <c r="H560" s="19"/>
      <c r="I560" s="47"/>
      <c r="J560" s="48"/>
      <c r="K560" s="49"/>
    </row>
    <row r="561" spans="1:11" ht="12.75" hidden="1" x14ac:dyDescent="0.2">
      <c r="A561" s="16"/>
      <c r="B561" s="16"/>
      <c r="C561" s="15"/>
      <c r="D561" s="16"/>
      <c r="E561" s="17"/>
      <c r="F561" s="17"/>
      <c r="H561" s="19"/>
      <c r="I561" s="47"/>
      <c r="J561" s="48"/>
      <c r="K561" s="49"/>
    </row>
    <row r="562" spans="1:11" ht="12.75" hidden="1" x14ac:dyDescent="0.2">
      <c r="A562" s="16"/>
      <c r="B562" s="16"/>
      <c r="C562" s="15"/>
      <c r="D562" s="16"/>
      <c r="E562" s="17"/>
      <c r="F562" s="17"/>
      <c r="H562" s="19"/>
      <c r="I562" s="47"/>
      <c r="J562" s="48"/>
      <c r="K562" s="49"/>
    </row>
    <row r="563" spans="1:11" ht="12.75" hidden="1" x14ac:dyDescent="0.2">
      <c r="A563" s="16"/>
      <c r="B563" s="16"/>
      <c r="C563" s="15"/>
      <c r="D563" s="16"/>
      <c r="E563" s="17"/>
      <c r="F563" s="17"/>
      <c r="H563" s="19"/>
      <c r="I563" s="47"/>
      <c r="J563" s="48"/>
      <c r="K563" s="49"/>
    </row>
    <row r="564" spans="1:11" ht="12.75" hidden="1" x14ac:dyDescent="0.2">
      <c r="A564" s="16"/>
      <c r="B564" s="16"/>
      <c r="C564" s="15"/>
      <c r="D564" s="16"/>
      <c r="E564" s="17"/>
      <c r="F564" s="17"/>
      <c r="H564" s="19"/>
      <c r="I564" s="47"/>
      <c r="J564" s="48"/>
      <c r="K564" s="49"/>
    </row>
    <row r="565" spans="1:11" ht="12.75" hidden="1" x14ac:dyDescent="0.2">
      <c r="A565" s="16"/>
      <c r="B565" s="16"/>
      <c r="C565" s="15"/>
      <c r="D565" s="16"/>
      <c r="E565" s="17"/>
      <c r="F565" s="17"/>
      <c r="H565" s="19"/>
      <c r="I565" s="47"/>
      <c r="J565" s="48"/>
      <c r="K565" s="49"/>
    </row>
    <row r="566" spans="1:11" ht="12.75" hidden="1" x14ac:dyDescent="0.2">
      <c r="A566" s="16"/>
      <c r="B566" s="16"/>
      <c r="C566" s="15"/>
      <c r="D566" s="16"/>
      <c r="E566" s="17"/>
      <c r="F566" s="17"/>
      <c r="H566" s="19"/>
      <c r="I566" s="47"/>
      <c r="J566" s="48"/>
      <c r="K566" s="49"/>
    </row>
    <row r="567" spans="1:11" ht="12.75" hidden="1" x14ac:dyDescent="0.2">
      <c r="A567" s="16"/>
      <c r="B567" s="16"/>
      <c r="C567" s="15"/>
      <c r="D567" s="16"/>
      <c r="E567" s="17"/>
      <c r="F567" s="17"/>
      <c r="H567" s="19"/>
      <c r="I567" s="47"/>
      <c r="J567" s="48"/>
      <c r="K567" s="49"/>
    </row>
    <row r="568" spans="1:11" ht="12.75" hidden="1" x14ac:dyDescent="0.2">
      <c r="A568" s="16"/>
      <c r="B568" s="16"/>
      <c r="C568" s="15"/>
      <c r="D568" s="16"/>
      <c r="E568" s="17"/>
      <c r="F568" s="17"/>
      <c r="H568" s="19"/>
      <c r="I568" s="47"/>
      <c r="J568" s="48"/>
      <c r="K568" s="49"/>
    </row>
    <row r="569" spans="1:11" ht="12.75" hidden="1" x14ac:dyDescent="0.2">
      <c r="A569" s="16"/>
      <c r="B569" s="16"/>
      <c r="C569" s="15"/>
      <c r="D569" s="16"/>
      <c r="E569" s="17"/>
      <c r="F569" s="17"/>
      <c r="H569" s="19"/>
      <c r="I569" s="47"/>
      <c r="J569" s="48"/>
      <c r="K569" s="49"/>
    </row>
    <row r="570" spans="1:11" ht="12.75" hidden="1" x14ac:dyDescent="0.2">
      <c r="A570" s="16"/>
      <c r="B570" s="16"/>
      <c r="C570" s="15"/>
      <c r="D570" s="16"/>
      <c r="E570" s="17"/>
      <c r="F570" s="17"/>
      <c r="H570" s="19"/>
      <c r="I570" s="47"/>
      <c r="J570" s="48"/>
      <c r="K570" s="49"/>
    </row>
    <row r="571" spans="1:11" ht="12.75" hidden="1" x14ac:dyDescent="0.2">
      <c r="A571" s="16"/>
      <c r="B571" s="16"/>
      <c r="C571" s="15"/>
      <c r="D571" s="16"/>
      <c r="E571" s="17"/>
      <c r="F571" s="17"/>
      <c r="H571" s="19"/>
      <c r="I571" s="47"/>
      <c r="J571" s="48"/>
      <c r="K571" s="49"/>
    </row>
    <row r="572" spans="1:11" ht="12.75" hidden="1" x14ac:dyDescent="0.2">
      <c r="A572" s="16"/>
      <c r="B572" s="16"/>
      <c r="C572" s="15"/>
      <c r="D572" s="16"/>
      <c r="E572" s="17"/>
      <c r="F572" s="17"/>
      <c r="H572" s="19"/>
      <c r="I572" s="47"/>
      <c r="J572" s="48"/>
      <c r="K572" s="49"/>
    </row>
    <row r="573" spans="1:11" ht="12.75" hidden="1" x14ac:dyDescent="0.2">
      <c r="A573" s="16"/>
      <c r="B573" s="16"/>
      <c r="C573" s="15"/>
      <c r="D573" s="16"/>
      <c r="E573" s="17"/>
      <c r="F573" s="17"/>
      <c r="H573" s="19"/>
      <c r="I573" s="47"/>
      <c r="J573" s="48"/>
      <c r="K573" s="49"/>
    </row>
    <row r="574" spans="1:11" ht="12.75" hidden="1" x14ac:dyDescent="0.2">
      <c r="A574" s="16"/>
      <c r="B574" s="16"/>
      <c r="C574" s="15"/>
      <c r="D574" s="16"/>
      <c r="E574" s="17"/>
      <c r="F574" s="17"/>
      <c r="H574" s="19"/>
      <c r="I574" s="47"/>
      <c r="J574" s="48"/>
      <c r="K574" s="49"/>
    </row>
    <row r="575" spans="1:11" ht="12.75" hidden="1" x14ac:dyDescent="0.2">
      <c r="A575" s="16"/>
      <c r="B575" s="16"/>
      <c r="C575" s="15"/>
      <c r="D575" s="16"/>
      <c r="E575" s="17"/>
      <c r="F575" s="17"/>
      <c r="H575" s="19"/>
      <c r="I575" s="47"/>
      <c r="J575" s="48"/>
      <c r="K575" s="49"/>
    </row>
    <row r="576" spans="1:11" ht="12.75" hidden="1" x14ac:dyDescent="0.2">
      <c r="A576" s="16"/>
      <c r="B576" s="16"/>
      <c r="C576" s="15"/>
      <c r="D576" s="16"/>
      <c r="E576" s="17"/>
      <c r="F576" s="17"/>
      <c r="H576" s="19"/>
      <c r="I576" s="47"/>
      <c r="J576" s="48"/>
      <c r="K576" s="49"/>
    </row>
    <row r="577" spans="1:11" ht="12.75" hidden="1" x14ac:dyDescent="0.2">
      <c r="A577" s="16"/>
      <c r="B577" s="16"/>
      <c r="C577" s="15"/>
      <c r="D577" s="16"/>
      <c r="E577" s="17"/>
      <c r="F577" s="17"/>
      <c r="H577" s="19"/>
      <c r="I577" s="47"/>
      <c r="J577" s="48"/>
      <c r="K577" s="49"/>
    </row>
    <row r="578" spans="1:11" ht="12.75" hidden="1" x14ac:dyDescent="0.2">
      <c r="A578" s="16"/>
      <c r="B578" s="16"/>
      <c r="C578" s="15"/>
      <c r="D578" s="16"/>
      <c r="E578" s="17"/>
      <c r="F578" s="17"/>
      <c r="H578" s="19"/>
      <c r="I578" s="47"/>
      <c r="J578" s="48"/>
      <c r="K578" s="49"/>
    </row>
    <row r="579" spans="1:11" ht="12.75" hidden="1" x14ac:dyDescent="0.2">
      <c r="A579" s="16"/>
      <c r="B579" s="16"/>
      <c r="C579" s="15"/>
      <c r="D579" s="16"/>
      <c r="E579" s="17"/>
      <c r="F579" s="17"/>
      <c r="H579" s="19"/>
      <c r="I579" s="47"/>
      <c r="J579" s="48"/>
      <c r="K579" s="49"/>
    </row>
    <row r="580" spans="1:11" ht="12.75" hidden="1" x14ac:dyDescent="0.2">
      <c r="A580" s="16"/>
      <c r="B580" s="16"/>
      <c r="C580" s="15"/>
      <c r="D580" s="16"/>
      <c r="E580" s="17"/>
      <c r="F580" s="17"/>
      <c r="H580" s="19"/>
      <c r="I580" s="47"/>
      <c r="J580" s="48"/>
      <c r="K580" s="49"/>
    </row>
    <row r="581" spans="1:11" ht="12.75" hidden="1" x14ac:dyDescent="0.2">
      <c r="A581" s="16"/>
      <c r="B581" s="16"/>
      <c r="C581" s="15"/>
      <c r="D581" s="16"/>
      <c r="E581" s="17"/>
      <c r="F581" s="17"/>
      <c r="H581" s="19"/>
      <c r="I581" s="47"/>
      <c r="J581" s="48"/>
      <c r="K581" s="49"/>
    </row>
    <row r="582" spans="1:11" ht="12.75" hidden="1" x14ac:dyDescent="0.2">
      <c r="A582" s="16"/>
      <c r="B582" s="16"/>
      <c r="C582" s="15"/>
      <c r="D582" s="16"/>
      <c r="E582" s="17"/>
      <c r="F582" s="17"/>
      <c r="H582" s="19"/>
      <c r="I582" s="47"/>
      <c r="J582" s="48"/>
      <c r="K582" s="49"/>
    </row>
    <row r="583" spans="1:11" ht="12.75" hidden="1" x14ac:dyDescent="0.2">
      <c r="A583" s="16"/>
      <c r="B583" s="16"/>
      <c r="C583" s="15"/>
      <c r="D583" s="16"/>
      <c r="E583" s="17"/>
      <c r="F583" s="17"/>
      <c r="H583" s="19"/>
      <c r="I583" s="47"/>
      <c r="J583" s="48"/>
      <c r="K583" s="49"/>
    </row>
    <row r="584" spans="1:11" ht="12.75" hidden="1" x14ac:dyDescent="0.2">
      <c r="A584" s="16"/>
      <c r="B584" s="16"/>
      <c r="C584" s="15"/>
      <c r="D584" s="16"/>
      <c r="E584" s="17"/>
      <c r="F584" s="17"/>
      <c r="H584" s="19"/>
      <c r="I584" s="47"/>
      <c r="J584" s="48"/>
      <c r="K584" s="49"/>
    </row>
    <row r="585" spans="1:11" ht="12.75" hidden="1" x14ac:dyDescent="0.2">
      <c r="A585" s="16"/>
      <c r="B585" s="16"/>
      <c r="C585" s="15"/>
      <c r="D585" s="16"/>
      <c r="E585" s="17"/>
      <c r="F585" s="17"/>
      <c r="H585" s="19"/>
      <c r="I585" s="47"/>
      <c r="J585" s="48"/>
      <c r="K585" s="49"/>
    </row>
    <row r="586" spans="1:11" ht="12.75" hidden="1" x14ac:dyDescent="0.2">
      <c r="A586" s="16"/>
      <c r="B586" s="16"/>
      <c r="C586" s="15"/>
      <c r="D586" s="16"/>
      <c r="E586" s="17"/>
      <c r="F586" s="17"/>
      <c r="H586" s="19"/>
      <c r="I586" s="47"/>
      <c r="J586" s="48"/>
      <c r="K586" s="49"/>
    </row>
    <row r="587" spans="1:11" ht="12.75" hidden="1" x14ac:dyDescent="0.2">
      <c r="A587" s="16"/>
      <c r="B587" s="16"/>
      <c r="C587" s="15"/>
      <c r="D587" s="16"/>
      <c r="E587" s="17"/>
      <c r="F587" s="17"/>
      <c r="H587" s="19"/>
      <c r="I587" s="47"/>
      <c r="J587" s="48"/>
      <c r="K587" s="49"/>
    </row>
    <row r="588" spans="1:11" ht="12.75" hidden="1" x14ac:dyDescent="0.2">
      <c r="A588" s="16"/>
      <c r="B588" s="16"/>
      <c r="C588" s="15"/>
      <c r="D588" s="16"/>
      <c r="E588" s="17"/>
      <c r="F588" s="17"/>
      <c r="H588" s="19"/>
      <c r="I588" s="47"/>
      <c r="J588" s="48"/>
      <c r="K588" s="49"/>
    </row>
    <row r="589" spans="1:11" ht="12.75" hidden="1" x14ac:dyDescent="0.2">
      <c r="A589" s="16"/>
      <c r="B589" s="16"/>
      <c r="C589" s="15"/>
      <c r="D589" s="16"/>
      <c r="E589" s="17"/>
      <c r="F589" s="17"/>
      <c r="H589" s="19"/>
      <c r="I589" s="47"/>
      <c r="J589" s="48"/>
      <c r="K589" s="49"/>
    </row>
    <row r="590" spans="1:11" ht="12.75" hidden="1" x14ac:dyDescent="0.2">
      <c r="A590" s="16"/>
      <c r="B590" s="16"/>
      <c r="C590" s="15"/>
      <c r="D590" s="16"/>
      <c r="E590" s="17"/>
      <c r="F590" s="17"/>
      <c r="H590" s="19"/>
      <c r="I590" s="47"/>
      <c r="J590" s="48"/>
      <c r="K590" s="49"/>
    </row>
    <row r="591" spans="1:11" ht="12.75" hidden="1" x14ac:dyDescent="0.2">
      <c r="A591" s="16"/>
      <c r="B591" s="16"/>
      <c r="C591" s="15"/>
      <c r="D591" s="16"/>
      <c r="E591" s="17"/>
      <c r="F591" s="17"/>
      <c r="H591" s="19"/>
      <c r="I591" s="47"/>
      <c r="J591" s="48"/>
      <c r="K591" s="49"/>
    </row>
    <row r="592" spans="1:11" ht="12.75" hidden="1" x14ac:dyDescent="0.2">
      <c r="A592" s="16"/>
      <c r="B592" s="16"/>
      <c r="C592" s="15"/>
      <c r="D592" s="16"/>
      <c r="E592" s="17"/>
      <c r="F592" s="17"/>
      <c r="H592" s="19"/>
      <c r="I592" s="47"/>
      <c r="J592" s="48"/>
      <c r="K592" s="49"/>
    </row>
    <row r="593" spans="1:11" ht="12.75" hidden="1" x14ac:dyDescent="0.2">
      <c r="A593" s="16"/>
      <c r="B593" s="16"/>
      <c r="C593" s="15"/>
      <c r="D593" s="16"/>
      <c r="E593" s="17"/>
      <c r="F593" s="17"/>
      <c r="H593" s="19"/>
      <c r="I593" s="47"/>
      <c r="J593" s="48"/>
      <c r="K593" s="49"/>
    </row>
    <row r="594" spans="1:11" ht="12.75" hidden="1" x14ac:dyDescent="0.2">
      <c r="A594" s="16"/>
      <c r="B594" s="16"/>
      <c r="C594" s="15"/>
      <c r="D594" s="16"/>
      <c r="E594" s="17"/>
      <c r="F594" s="17"/>
      <c r="H594" s="19"/>
      <c r="I594" s="47"/>
      <c r="J594" s="48"/>
      <c r="K594" s="49"/>
    </row>
    <row r="595" spans="1:11" ht="12.75" hidden="1" x14ac:dyDescent="0.2">
      <c r="A595" s="16"/>
      <c r="B595" s="16"/>
      <c r="C595" s="15"/>
      <c r="D595" s="16"/>
      <c r="E595" s="17"/>
      <c r="F595" s="17"/>
      <c r="H595" s="19"/>
      <c r="I595" s="47"/>
      <c r="J595" s="48"/>
      <c r="K595" s="49"/>
    </row>
    <row r="596" spans="1:11" ht="12.75" hidden="1" x14ac:dyDescent="0.2">
      <c r="A596" s="16"/>
      <c r="B596" s="16"/>
      <c r="C596" s="15"/>
      <c r="D596" s="16"/>
      <c r="E596" s="17"/>
      <c r="F596" s="17"/>
      <c r="H596" s="19"/>
      <c r="I596" s="47"/>
      <c r="J596" s="48"/>
      <c r="K596" s="49"/>
    </row>
    <row r="597" spans="1:11" ht="12.75" hidden="1" x14ac:dyDescent="0.2">
      <c r="A597" s="16"/>
      <c r="B597" s="16"/>
      <c r="C597" s="15"/>
      <c r="D597" s="16"/>
      <c r="E597" s="17"/>
      <c r="F597" s="17"/>
      <c r="H597" s="19"/>
      <c r="I597" s="47"/>
      <c r="J597" s="48"/>
      <c r="K597" s="49"/>
    </row>
    <row r="598" spans="1:11" ht="12.75" hidden="1" x14ac:dyDescent="0.2">
      <c r="A598" s="16"/>
      <c r="B598" s="16"/>
      <c r="C598" s="15"/>
      <c r="D598" s="16"/>
      <c r="E598" s="17"/>
      <c r="F598" s="17"/>
      <c r="H598" s="19"/>
      <c r="I598" s="47"/>
      <c r="J598" s="48"/>
      <c r="K598" s="49"/>
    </row>
    <row r="599" spans="1:11" ht="12.75" hidden="1" x14ac:dyDescent="0.2">
      <c r="A599" s="16"/>
      <c r="B599" s="16"/>
      <c r="C599" s="15"/>
      <c r="D599" s="16"/>
      <c r="E599" s="17"/>
      <c r="F599" s="17"/>
      <c r="H599" s="19"/>
      <c r="I599" s="47"/>
      <c r="J599" s="48"/>
      <c r="K599" s="49"/>
    </row>
    <row r="600" spans="1:11" ht="12.75" hidden="1" x14ac:dyDescent="0.2">
      <c r="A600" s="16"/>
      <c r="B600" s="16"/>
      <c r="C600" s="15"/>
      <c r="D600" s="16"/>
      <c r="E600" s="17"/>
      <c r="F600" s="17"/>
      <c r="H600" s="19"/>
      <c r="I600" s="47"/>
      <c r="J600" s="48"/>
      <c r="K600" s="49"/>
    </row>
    <row r="601" spans="1:11" ht="12.75" hidden="1" x14ac:dyDescent="0.2">
      <c r="A601" s="16"/>
      <c r="B601" s="16"/>
      <c r="C601" s="15"/>
      <c r="D601" s="16"/>
      <c r="E601" s="17"/>
      <c r="F601" s="17"/>
      <c r="H601" s="19"/>
      <c r="I601" s="47"/>
      <c r="J601" s="48"/>
      <c r="K601" s="49"/>
    </row>
    <row r="602" spans="1:11" ht="12.75" hidden="1" x14ac:dyDescent="0.2">
      <c r="A602" s="16"/>
      <c r="B602" s="16"/>
      <c r="C602" s="15"/>
      <c r="D602" s="16"/>
      <c r="E602" s="17"/>
      <c r="F602" s="17"/>
      <c r="H602" s="19"/>
      <c r="I602" s="47"/>
      <c r="J602" s="48"/>
      <c r="K602" s="49"/>
    </row>
    <row r="603" spans="1:11" ht="12.75" hidden="1" x14ac:dyDescent="0.2">
      <c r="A603" s="16"/>
      <c r="B603" s="16"/>
      <c r="C603" s="15"/>
      <c r="D603" s="16"/>
      <c r="E603" s="17"/>
      <c r="F603" s="17"/>
      <c r="H603" s="19"/>
      <c r="I603" s="47"/>
      <c r="J603" s="48"/>
      <c r="K603" s="49"/>
    </row>
    <row r="604" spans="1:11" ht="12.75" hidden="1" x14ac:dyDescent="0.2">
      <c r="A604" s="16"/>
      <c r="B604" s="16"/>
      <c r="C604" s="15"/>
      <c r="D604" s="16"/>
      <c r="E604" s="17"/>
      <c r="F604" s="17"/>
      <c r="H604" s="19"/>
      <c r="I604" s="47"/>
      <c r="J604" s="48"/>
      <c r="K604" s="49"/>
    </row>
    <row r="605" spans="1:11" ht="12.75" hidden="1" x14ac:dyDescent="0.2">
      <c r="A605" s="16"/>
      <c r="B605" s="16"/>
      <c r="C605" s="15"/>
      <c r="D605" s="16"/>
      <c r="E605" s="17"/>
      <c r="F605" s="17"/>
      <c r="H605" s="19"/>
      <c r="I605" s="47"/>
      <c r="J605" s="48"/>
      <c r="K605" s="49"/>
    </row>
    <row r="606" spans="1:11" ht="12.75" hidden="1" x14ac:dyDescent="0.2">
      <c r="A606" s="16"/>
      <c r="B606" s="16"/>
      <c r="C606" s="15"/>
      <c r="D606" s="16"/>
      <c r="E606" s="17"/>
      <c r="F606" s="17"/>
      <c r="H606" s="19"/>
      <c r="I606" s="47"/>
      <c r="J606" s="48"/>
      <c r="K606" s="49"/>
    </row>
    <row r="607" spans="1:11" ht="12.75" hidden="1" x14ac:dyDescent="0.2">
      <c r="A607" s="16"/>
      <c r="B607" s="16"/>
      <c r="C607" s="15"/>
      <c r="D607" s="16"/>
      <c r="E607" s="17"/>
      <c r="F607" s="17"/>
      <c r="H607" s="19"/>
      <c r="I607" s="47"/>
      <c r="J607" s="48"/>
      <c r="K607" s="49"/>
    </row>
    <row r="608" spans="1:11" ht="12.75" hidden="1" x14ac:dyDescent="0.2">
      <c r="A608" s="16"/>
      <c r="B608" s="16"/>
      <c r="C608" s="15"/>
      <c r="D608" s="16"/>
      <c r="E608" s="17"/>
      <c r="F608" s="17"/>
      <c r="H608" s="19"/>
      <c r="I608" s="47"/>
      <c r="J608" s="48"/>
      <c r="K608" s="49"/>
    </row>
    <row r="609" spans="1:11" ht="12.75" hidden="1" x14ac:dyDescent="0.2">
      <c r="A609" s="16"/>
      <c r="B609" s="16"/>
      <c r="C609" s="15"/>
      <c r="D609" s="16"/>
      <c r="E609" s="17"/>
      <c r="F609" s="17"/>
      <c r="H609" s="19"/>
      <c r="I609" s="47"/>
      <c r="J609" s="48"/>
      <c r="K609" s="49"/>
    </row>
    <row r="610" spans="1:11" ht="12.75" hidden="1" x14ac:dyDescent="0.2">
      <c r="A610" s="16"/>
      <c r="B610" s="16"/>
      <c r="C610" s="15"/>
      <c r="D610" s="16"/>
      <c r="E610" s="17"/>
      <c r="F610" s="17"/>
      <c r="H610" s="19"/>
      <c r="I610" s="47"/>
      <c r="J610" s="48"/>
      <c r="K610" s="49"/>
    </row>
    <row r="611" spans="1:11" ht="12.75" hidden="1" x14ac:dyDescent="0.2">
      <c r="A611" s="16"/>
      <c r="B611" s="16"/>
      <c r="C611" s="15"/>
      <c r="D611" s="16"/>
      <c r="E611" s="17"/>
      <c r="F611" s="17"/>
      <c r="H611" s="19"/>
      <c r="I611" s="47"/>
      <c r="J611" s="48"/>
      <c r="K611" s="49"/>
    </row>
    <row r="612" spans="1:11" ht="12.75" hidden="1" x14ac:dyDescent="0.2">
      <c r="A612" s="16"/>
      <c r="B612" s="16"/>
      <c r="C612" s="15"/>
      <c r="D612" s="16"/>
      <c r="E612" s="17"/>
      <c r="F612" s="17"/>
      <c r="H612" s="19"/>
      <c r="I612" s="47"/>
      <c r="J612" s="48"/>
      <c r="K612" s="49"/>
    </row>
    <row r="613" spans="1:11" ht="12.75" hidden="1" x14ac:dyDescent="0.2">
      <c r="A613" s="16"/>
      <c r="B613" s="16"/>
      <c r="C613" s="15"/>
      <c r="D613" s="16"/>
      <c r="E613" s="17"/>
      <c r="F613" s="17"/>
      <c r="H613" s="19"/>
      <c r="I613" s="47"/>
      <c r="J613" s="48"/>
      <c r="K613" s="49"/>
    </row>
    <row r="614" spans="1:11" ht="12.75" hidden="1" x14ac:dyDescent="0.2">
      <c r="A614" s="16"/>
      <c r="B614" s="16"/>
      <c r="C614" s="15"/>
      <c r="D614" s="16"/>
      <c r="E614" s="17"/>
      <c r="F614" s="17"/>
      <c r="H614" s="19"/>
      <c r="I614" s="47"/>
      <c r="J614" s="48"/>
      <c r="K614" s="49"/>
    </row>
    <row r="615" spans="1:11" ht="12.75" hidden="1" x14ac:dyDescent="0.2">
      <c r="A615" s="16"/>
      <c r="B615" s="16"/>
      <c r="C615" s="15"/>
      <c r="D615" s="16"/>
      <c r="E615" s="17"/>
      <c r="F615" s="17"/>
      <c r="H615" s="19"/>
      <c r="I615" s="47"/>
      <c r="J615" s="48"/>
      <c r="K615" s="49"/>
    </row>
    <row r="616" spans="1:11" ht="12.75" hidden="1" x14ac:dyDescent="0.2">
      <c r="A616" s="16"/>
      <c r="B616" s="16"/>
      <c r="C616" s="15"/>
      <c r="D616" s="16"/>
      <c r="E616" s="17"/>
      <c r="F616" s="17"/>
      <c r="H616" s="19"/>
      <c r="I616" s="47"/>
      <c r="J616" s="48"/>
      <c r="K616" s="49"/>
    </row>
    <row r="617" spans="1:11" ht="12.75" hidden="1" x14ac:dyDescent="0.2">
      <c r="A617" s="16"/>
      <c r="B617" s="16"/>
      <c r="C617" s="15"/>
      <c r="D617" s="16"/>
      <c r="E617" s="17"/>
      <c r="F617" s="17"/>
      <c r="H617" s="19"/>
      <c r="I617" s="47"/>
      <c r="J617" s="48"/>
      <c r="K617" s="49"/>
    </row>
    <row r="618" spans="1:11" ht="12.75" hidden="1" x14ac:dyDescent="0.2">
      <c r="A618" s="16"/>
      <c r="B618" s="16"/>
      <c r="C618" s="15"/>
      <c r="D618" s="16"/>
      <c r="E618" s="17"/>
      <c r="F618" s="17"/>
      <c r="H618" s="19"/>
      <c r="I618" s="47"/>
      <c r="J618" s="48"/>
      <c r="K618" s="49"/>
    </row>
    <row r="619" spans="1:11" ht="12.75" hidden="1" x14ac:dyDescent="0.2">
      <c r="A619" s="16"/>
      <c r="B619" s="16"/>
      <c r="C619" s="15"/>
      <c r="D619" s="16"/>
      <c r="E619" s="17"/>
      <c r="F619" s="17"/>
      <c r="H619" s="19"/>
      <c r="I619" s="47"/>
      <c r="J619" s="48"/>
      <c r="K619" s="49"/>
    </row>
    <row r="620" spans="1:11" ht="12.75" hidden="1" x14ac:dyDescent="0.2">
      <c r="A620" s="16"/>
      <c r="B620" s="16"/>
      <c r="C620" s="15"/>
      <c r="D620" s="16"/>
      <c r="E620" s="17"/>
      <c r="F620" s="17"/>
      <c r="H620" s="19"/>
      <c r="I620" s="47"/>
      <c r="J620" s="48"/>
      <c r="K620" s="49"/>
    </row>
    <row r="621" spans="1:11" ht="12.75" hidden="1" x14ac:dyDescent="0.2">
      <c r="A621" s="16"/>
      <c r="B621" s="16"/>
      <c r="C621" s="15"/>
      <c r="D621" s="16"/>
      <c r="E621" s="17"/>
      <c r="F621" s="17"/>
      <c r="H621" s="19"/>
      <c r="I621" s="47"/>
      <c r="J621" s="48"/>
      <c r="K621" s="49"/>
    </row>
    <row r="622" spans="1:11" ht="12.75" hidden="1" x14ac:dyDescent="0.2">
      <c r="A622" s="16"/>
      <c r="B622" s="16"/>
      <c r="C622" s="15"/>
      <c r="D622" s="16"/>
      <c r="E622" s="17"/>
      <c r="F622" s="17"/>
      <c r="H622" s="19"/>
      <c r="I622" s="47"/>
      <c r="J622" s="48"/>
      <c r="K622" s="49"/>
    </row>
    <row r="623" spans="1:11" ht="12.75" hidden="1" x14ac:dyDescent="0.2">
      <c r="A623" s="16"/>
      <c r="B623" s="16"/>
      <c r="C623" s="15"/>
      <c r="D623" s="16"/>
      <c r="E623" s="17"/>
      <c r="F623" s="17"/>
      <c r="H623" s="19"/>
      <c r="I623" s="47"/>
      <c r="J623" s="48"/>
      <c r="K623" s="49"/>
    </row>
    <row r="624" spans="1:11" ht="12.75" hidden="1" x14ac:dyDescent="0.2">
      <c r="A624" s="16"/>
      <c r="B624" s="16"/>
      <c r="C624" s="15"/>
      <c r="D624" s="16"/>
      <c r="E624" s="17"/>
      <c r="F624" s="17"/>
      <c r="H624" s="19"/>
      <c r="I624" s="47"/>
      <c r="J624" s="48"/>
      <c r="K624" s="49"/>
    </row>
    <row r="625" spans="1:11" ht="12.75" hidden="1" x14ac:dyDescent="0.2">
      <c r="A625" s="16"/>
      <c r="B625" s="16"/>
      <c r="C625" s="15"/>
      <c r="D625" s="16"/>
      <c r="E625" s="17"/>
      <c r="F625" s="17"/>
      <c r="H625" s="19"/>
      <c r="I625" s="47"/>
      <c r="J625" s="48"/>
      <c r="K625" s="49"/>
    </row>
    <row r="626" spans="1:11" ht="12.75" hidden="1" x14ac:dyDescent="0.2">
      <c r="A626" s="16"/>
      <c r="B626" s="16"/>
      <c r="C626" s="15"/>
      <c r="D626" s="16"/>
      <c r="E626" s="17"/>
      <c r="F626" s="17"/>
      <c r="H626" s="19"/>
      <c r="I626" s="47"/>
      <c r="J626" s="48"/>
      <c r="K626" s="49"/>
    </row>
    <row r="627" spans="1:11" ht="12.75" hidden="1" x14ac:dyDescent="0.2">
      <c r="A627" s="16"/>
      <c r="B627" s="16"/>
      <c r="C627" s="15"/>
      <c r="D627" s="16"/>
      <c r="E627" s="17"/>
      <c r="F627" s="17"/>
      <c r="H627" s="19"/>
      <c r="I627" s="47"/>
      <c r="J627" s="48"/>
      <c r="K627" s="49"/>
    </row>
    <row r="628" spans="1:11" ht="12.75" hidden="1" x14ac:dyDescent="0.2">
      <c r="A628" s="16"/>
      <c r="B628" s="16"/>
      <c r="C628" s="15"/>
      <c r="D628" s="16"/>
      <c r="E628" s="17"/>
      <c r="F628" s="17"/>
      <c r="H628" s="19"/>
      <c r="I628" s="47"/>
      <c r="J628" s="48"/>
      <c r="K628" s="49"/>
    </row>
    <row r="629" spans="1:11" ht="12.75" hidden="1" x14ac:dyDescent="0.2">
      <c r="A629" s="16"/>
      <c r="B629" s="16"/>
      <c r="C629" s="15"/>
      <c r="D629" s="16"/>
      <c r="E629" s="17"/>
      <c r="F629" s="17"/>
      <c r="H629" s="19"/>
      <c r="I629" s="47"/>
      <c r="J629" s="48"/>
      <c r="K629" s="49"/>
    </row>
    <row r="630" spans="1:11" ht="12.75" hidden="1" x14ac:dyDescent="0.2">
      <c r="A630" s="16"/>
      <c r="B630" s="16"/>
      <c r="C630" s="15"/>
      <c r="D630" s="16"/>
      <c r="E630" s="17"/>
      <c r="F630" s="17"/>
      <c r="H630" s="19"/>
      <c r="I630" s="47"/>
      <c r="J630" s="48"/>
      <c r="K630" s="49"/>
    </row>
    <row r="631" spans="1:11" ht="12.75" hidden="1" x14ac:dyDescent="0.2">
      <c r="A631" s="16"/>
      <c r="B631" s="16"/>
      <c r="C631" s="15"/>
      <c r="D631" s="16"/>
      <c r="E631" s="17"/>
      <c r="F631" s="17"/>
      <c r="H631" s="19"/>
      <c r="I631" s="47"/>
      <c r="J631" s="48"/>
      <c r="K631" s="49"/>
    </row>
    <row r="632" spans="1:11" ht="12.75" hidden="1" x14ac:dyDescent="0.2">
      <c r="A632" s="16"/>
      <c r="B632" s="16"/>
      <c r="C632" s="15"/>
      <c r="D632" s="16"/>
      <c r="E632" s="17"/>
      <c r="F632" s="17"/>
      <c r="H632" s="19"/>
      <c r="I632" s="47"/>
      <c r="J632" s="48"/>
      <c r="K632" s="49"/>
    </row>
    <row r="633" spans="1:11" ht="12.75" hidden="1" x14ac:dyDescent="0.2">
      <c r="A633" s="16"/>
      <c r="B633" s="16"/>
      <c r="C633" s="15"/>
      <c r="D633" s="16"/>
      <c r="E633" s="17"/>
      <c r="F633" s="17"/>
      <c r="H633" s="19"/>
      <c r="I633" s="47"/>
      <c r="J633" s="48"/>
      <c r="K633" s="49"/>
    </row>
    <row r="634" spans="1:11" ht="12.75" hidden="1" x14ac:dyDescent="0.2">
      <c r="A634" s="16"/>
      <c r="B634" s="16"/>
      <c r="C634" s="15"/>
      <c r="D634" s="16"/>
      <c r="E634" s="17"/>
      <c r="F634" s="17"/>
      <c r="H634" s="19"/>
      <c r="I634" s="47"/>
      <c r="J634" s="48"/>
      <c r="K634" s="49"/>
    </row>
    <row r="635" spans="1:11" ht="12.75" hidden="1" x14ac:dyDescent="0.2">
      <c r="A635" s="16"/>
      <c r="B635" s="16"/>
      <c r="C635" s="15"/>
      <c r="D635" s="16"/>
      <c r="E635" s="17"/>
      <c r="F635" s="17"/>
      <c r="H635" s="19"/>
      <c r="I635" s="47"/>
      <c r="J635" s="48"/>
      <c r="K635" s="49"/>
    </row>
    <row r="636" spans="1:11" ht="12.75" hidden="1" x14ac:dyDescent="0.2">
      <c r="A636" s="16"/>
      <c r="B636" s="16"/>
      <c r="C636" s="15"/>
      <c r="D636" s="16"/>
      <c r="E636" s="17"/>
      <c r="F636" s="17"/>
      <c r="H636" s="19"/>
      <c r="I636" s="47"/>
      <c r="J636" s="48"/>
      <c r="K636" s="49"/>
    </row>
    <row r="637" spans="1:11" ht="12.75" hidden="1" x14ac:dyDescent="0.2">
      <c r="A637" s="16"/>
      <c r="B637" s="16"/>
      <c r="C637" s="15"/>
      <c r="D637" s="16"/>
      <c r="E637" s="17"/>
      <c r="F637" s="17"/>
      <c r="H637" s="19"/>
      <c r="I637" s="47"/>
      <c r="J637" s="48"/>
      <c r="K637" s="49"/>
    </row>
    <row r="638" spans="1:11" ht="12.75" hidden="1" x14ac:dyDescent="0.2">
      <c r="A638" s="16"/>
      <c r="B638" s="16"/>
      <c r="C638" s="15"/>
      <c r="D638" s="16"/>
      <c r="E638" s="17"/>
      <c r="F638" s="17"/>
      <c r="H638" s="19"/>
      <c r="I638" s="47"/>
      <c r="J638" s="48"/>
      <c r="K638" s="49"/>
    </row>
    <row r="639" spans="1:11" ht="12.75" hidden="1" x14ac:dyDescent="0.2">
      <c r="A639" s="16"/>
      <c r="B639" s="16"/>
      <c r="C639" s="15"/>
      <c r="D639" s="16"/>
      <c r="E639" s="17"/>
      <c r="F639" s="17"/>
      <c r="H639" s="19"/>
      <c r="I639" s="47"/>
      <c r="J639" s="48"/>
      <c r="K639" s="49"/>
    </row>
    <row r="640" spans="1:11" ht="12.75" hidden="1" x14ac:dyDescent="0.2">
      <c r="A640" s="16"/>
      <c r="B640" s="16"/>
      <c r="C640" s="15"/>
      <c r="D640" s="16"/>
      <c r="E640" s="17"/>
      <c r="F640" s="17"/>
      <c r="H640" s="19"/>
      <c r="I640" s="47"/>
      <c r="J640" s="48"/>
      <c r="K640" s="49"/>
    </row>
    <row r="641" spans="1:11" ht="12.75" hidden="1" x14ac:dyDescent="0.2">
      <c r="A641" s="16"/>
      <c r="B641" s="16"/>
      <c r="C641" s="15"/>
      <c r="D641" s="16"/>
      <c r="E641" s="17"/>
      <c r="F641" s="17"/>
      <c r="H641" s="19"/>
      <c r="I641" s="47"/>
      <c r="J641" s="48"/>
      <c r="K641" s="49"/>
    </row>
    <row r="642" spans="1:11" ht="12.75" hidden="1" x14ac:dyDescent="0.2">
      <c r="A642" s="16"/>
      <c r="B642" s="16"/>
      <c r="C642" s="15"/>
      <c r="D642" s="16"/>
      <c r="E642" s="17"/>
      <c r="F642" s="17"/>
      <c r="H642" s="19"/>
      <c r="I642" s="47"/>
      <c r="J642" s="48"/>
      <c r="K642" s="49"/>
    </row>
    <row r="643" spans="1:11" ht="12.75" hidden="1" x14ac:dyDescent="0.2">
      <c r="A643" s="16"/>
      <c r="B643" s="16"/>
      <c r="C643" s="15"/>
      <c r="D643" s="16"/>
      <c r="E643" s="17"/>
      <c r="F643" s="17"/>
      <c r="H643" s="19"/>
      <c r="I643" s="47"/>
      <c r="J643" s="48"/>
      <c r="K643" s="49"/>
    </row>
    <row r="644" spans="1:11" ht="12.75" hidden="1" x14ac:dyDescent="0.2">
      <c r="A644" s="16"/>
      <c r="B644" s="16"/>
      <c r="C644" s="15"/>
      <c r="D644" s="16"/>
      <c r="E644" s="17"/>
      <c r="F644" s="17"/>
      <c r="H644" s="19"/>
      <c r="I644" s="47"/>
      <c r="J644" s="48"/>
      <c r="K644" s="49"/>
    </row>
    <row r="645" spans="1:11" ht="12.75" hidden="1" x14ac:dyDescent="0.2">
      <c r="A645" s="16"/>
      <c r="B645" s="16"/>
      <c r="C645" s="15"/>
      <c r="D645" s="16"/>
      <c r="E645" s="17"/>
      <c r="F645" s="17"/>
      <c r="H645" s="19"/>
      <c r="I645" s="47"/>
      <c r="J645" s="48"/>
      <c r="K645" s="49"/>
    </row>
    <row r="646" spans="1:11" ht="12.75" hidden="1" x14ac:dyDescent="0.2">
      <c r="A646" s="16"/>
      <c r="B646" s="16"/>
      <c r="C646" s="15"/>
      <c r="D646" s="16"/>
      <c r="E646" s="17"/>
      <c r="F646" s="17"/>
      <c r="H646" s="19"/>
      <c r="I646" s="47"/>
      <c r="J646" s="48"/>
      <c r="K646" s="49"/>
    </row>
    <row r="647" spans="1:11" ht="12.75" hidden="1" x14ac:dyDescent="0.2">
      <c r="A647" s="16"/>
      <c r="B647" s="16"/>
      <c r="C647" s="15"/>
      <c r="D647" s="16"/>
      <c r="E647" s="17"/>
      <c r="F647" s="17"/>
      <c r="H647" s="19"/>
      <c r="I647" s="47"/>
      <c r="J647" s="48"/>
      <c r="K647" s="49"/>
    </row>
    <row r="648" spans="1:11" ht="12.75" hidden="1" x14ac:dyDescent="0.2">
      <c r="A648" s="16"/>
      <c r="B648" s="16"/>
      <c r="C648" s="15"/>
      <c r="D648" s="16"/>
      <c r="E648" s="17"/>
      <c r="F648" s="17"/>
      <c r="H648" s="19"/>
      <c r="I648" s="47"/>
      <c r="J648" s="48"/>
      <c r="K648" s="49"/>
    </row>
    <row r="649" spans="1:11" ht="12.75" hidden="1" x14ac:dyDescent="0.2">
      <c r="A649" s="16"/>
      <c r="B649" s="16"/>
      <c r="C649" s="15"/>
      <c r="D649" s="16"/>
      <c r="E649" s="17"/>
      <c r="F649" s="17"/>
      <c r="H649" s="19"/>
      <c r="I649" s="47"/>
      <c r="J649" s="48"/>
      <c r="K649" s="49"/>
    </row>
    <row r="650" spans="1:11" ht="12.75" hidden="1" x14ac:dyDescent="0.2">
      <c r="A650" s="16"/>
      <c r="B650" s="16"/>
      <c r="C650" s="15"/>
      <c r="D650" s="16"/>
      <c r="E650" s="17"/>
      <c r="F650" s="17"/>
      <c r="H650" s="19"/>
      <c r="I650" s="47"/>
      <c r="J650" s="48"/>
      <c r="K650" s="49"/>
    </row>
    <row r="651" spans="1:11" ht="12.75" hidden="1" x14ac:dyDescent="0.2">
      <c r="A651" s="16"/>
      <c r="B651" s="16"/>
      <c r="C651" s="15"/>
      <c r="D651" s="16"/>
      <c r="E651" s="17"/>
      <c r="F651" s="17"/>
      <c r="H651" s="19"/>
      <c r="I651" s="47"/>
      <c r="J651" s="48"/>
      <c r="K651" s="49"/>
    </row>
    <row r="652" spans="1:11" ht="12.75" hidden="1" x14ac:dyDescent="0.2">
      <c r="A652" s="16"/>
      <c r="B652" s="16"/>
      <c r="C652" s="15"/>
      <c r="D652" s="16"/>
      <c r="E652" s="17"/>
      <c r="F652" s="17"/>
      <c r="H652" s="19"/>
      <c r="I652" s="47"/>
      <c r="J652" s="48"/>
      <c r="K652" s="49"/>
    </row>
    <row r="653" spans="1:11" ht="12.75" hidden="1" x14ac:dyDescent="0.2">
      <c r="A653" s="16"/>
      <c r="B653" s="16"/>
      <c r="C653" s="15"/>
      <c r="D653" s="16"/>
      <c r="E653" s="17"/>
      <c r="F653" s="17"/>
      <c r="H653" s="19"/>
      <c r="I653" s="47"/>
      <c r="J653" s="48"/>
      <c r="K653" s="49"/>
    </row>
    <row r="654" spans="1:11" ht="12.75" hidden="1" x14ac:dyDescent="0.2">
      <c r="A654" s="16"/>
      <c r="B654" s="16"/>
      <c r="C654" s="15"/>
      <c r="D654" s="16"/>
      <c r="E654" s="17"/>
      <c r="F654" s="17"/>
      <c r="H654" s="19"/>
      <c r="I654" s="47"/>
      <c r="J654" s="48"/>
      <c r="K654" s="49"/>
    </row>
    <row r="655" spans="1:11" ht="12.75" hidden="1" x14ac:dyDescent="0.2">
      <c r="A655" s="16"/>
      <c r="B655" s="16"/>
      <c r="C655" s="15"/>
      <c r="D655" s="16"/>
      <c r="E655" s="17"/>
      <c r="F655" s="17"/>
      <c r="H655" s="19"/>
      <c r="I655" s="47"/>
      <c r="J655" s="48"/>
      <c r="K655" s="49"/>
    </row>
    <row r="656" spans="1:11" ht="12.75" hidden="1" x14ac:dyDescent="0.2">
      <c r="A656" s="16"/>
      <c r="B656" s="16"/>
      <c r="C656" s="15"/>
      <c r="D656" s="16"/>
      <c r="E656" s="17"/>
      <c r="F656" s="17"/>
      <c r="H656" s="19"/>
      <c r="I656" s="47"/>
      <c r="J656" s="48"/>
      <c r="K656" s="49"/>
    </row>
    <row r="657" spans="1:11" ht="12.75" hidden="1" x14ac:dyDescent="0.2">
      <c r="A657" s="16"/>
      <c r="B657" s="16"/>
      <c r="C657" s="15"/>
      <c r="D657" s="16"/>
      <c r="E657" s="17"/>
      <c r="F657" s="17"/>
      <c r="H657" s="19"/>
      <c r="I657" s="47"/>
      <c r="J657" s="48"/>
      <c r="K657" s="49"/>
    </row>
    <row r="658" spans="1:11" ht="12.75" hidden="1" x14ac:dyDescent="0.2">
      <c r="A658" s="16"/>
      <c r="B658" s="16"/>
      <c r="C658" s="15"/>
      <c r="D658" s="16"/>
      <c r="E658" s="17"/>
      <c r="F658" s="17"/>
      <c r="H658" s="19"/>
      <c r="I658" s="47"/>
      <c r="J658" s="48"/>
      <c r="K658" s="49"/>
    </row>
    <row r="659" spans="1:11" ht="12.75" hidden="1" x14ac:dyDescent="0.2">
      <c r="A659" s="16"/>
      <c r="B659" s="16"/>
      <c r="C659" s="15"/>
      <c r="D659" s="16"/>
      <c r="E659" s="17"/>
      <c r="F659" s="17"/>
      <c r="H659" s="19"/>
      <c r="I659" s="47"/>
      <c r="J659" s="48"/>
      <c r="K659" s="49"/>
    </row>
    <row r="660" spans="1:11" ht="12.75" hidden="1" x14ac:dyDescent="0.2">
      <c r="A660" s="16"/>
      <c r="B660" s="16"/>
      <c r="C660" s="15"/>
      <c r="D660" s="16"/>
      <c r="E660" s="17"/>
      <c r="F660" s="17"/>
      <c r="H660" s="19"/>
      <c r="I660" s="47"/>
      <c r="J660" s="48"/>
      <c r="K660" s="49"/>
    </row>
    <row r="661" spans="1:11" ht="12.75" hidden="1" x14ac:dyDescent="0.2">
      <c r="A661" s="16"/>
      <c r="B661" s="16"/>
      <c r="C661" s="15"/>
      <c r="D661" s="16"/>
      <c r="E661" s="17"/>
      <c r="F661" s="17"/>
      <c r="H661" s="19"/>
      <c r="I661" s="47"/>
      <c r="J661" s="48"/>
      <c r="K661" s="49"/>
    </row>
    <row r="662" spans="1:11" ht="12.75" hidden="1" x14ac:dyDescent="0.2">
      <c r="A662" s="16"/>
      <c r="B662" s="16"/>
      <c r="C662" s="15"/>
      <c r="D662" s="16"/>
      <c r="E662" s="17"/>
      <c r="F662" s="17"/>
      <c r="H662" s="19"/>
      <c r="I662" s="47"/>
      <c r="J662" s="48"/>
      <c r="K662" s="49"/>
    </row>
    <row r="663" spans="1:11" ht="12.75" hidden="1" x14ac:dyDescent="0.2">
      <c r="A663" s="16"/>
      <c r="B663" s="16"/>
      <c r="C663" s="15"/>
      <c r="D663" s="16"/>
      <c r="E663" s="17"/>
      <c r="F663" s="17"/>
      <c r="H663" s="19"/>
      <c r="I663" s="47"/>
      <c r="J663" s="48"/>
      <c r="K663" s="49"/>
    </row>
    <row r="664" spans="1:11" ht="12.75" hidden="1" x14ac:dyDescent="0.2">
      <c r="A664" s="16"/>
      <c r="B664" s="16"/>
      <c r="C664" s="15"/>
      <c r="D664" s="16"/>
      <c r="E664" s="17"/>
      <c r="F664" s="17"/>
      <c r="H664" s="19"/>
      <c r="I664" s="47"/>
      <c r="J664" s="48"/>
      <c r="K664" s="49"/>
    </row>
    <row r="665" spans="1:11" ht="12.75" hidden="1" x14ac:dyDescent="0.2">
      <c r="A665" s="16"/>
      <c r="B665" s="16"/>
      <c r="C665" s="15"/>
      <c r="D665" s="16"/>
      <c r="E665" s="17"/>
      <c r="F665" s="17"/>
      <c r="H665" s="19"/>
      <c r="I665" s="47"/>
      <c r="J665" s="48"/>
      <c r="K665" s="49"/>
    </row>
    <row r="666" spans="1:11" ht="12.75" hidden="1" x14ac:dyDescent="0.2">
      <c r="A666" s="16"/>
      <c r="B666" s="16"/>
      <c r="C666" s="15"/>
      <c r="D666" s="16"/>
      <c r="E666" s="17"/>
      <c r="F666" s="17"/>
      <c r="H666" s="19"/>
      <c r="I666" s="47"/>
      <c r="J666" s="48"/>
      <c r="K666" s="49"/>
    </row>
    <row r="667" spans="1:11" ht="12.75" hidden="1" x14ac:dyDescent="0.2">
      <c r="A667" s="16"/>
      <c r="B667" s="16"/>
      <c r="C667" s="15"/>
      <c r="D667" s="16"/>
      <c r="E667" s="17"/>
      <c r="F667" s="17"/>
      <c r="H667" s="19"/>
      <c r="I667" s="47"/>
      <c r="J667" s="48"/>
      <c r="K667" s="49"/>
    </row>
    <row r="668" spans="1:11" ht="12.75" hidden="1" x14ac:dyDescent="0.2">
      <c r="A668" s="16"/>
      <c r="B668" s="16"/>
      <c r="C668" s="15"/>
      <c r="D668" s="16"/>
      <c r="E668" s="17"/>
      <c r="F668" s="17"/>
      <c r="H668" s="19"/>
      <c r="I668" s="47"/>
      <c r="J668" s="48"/>
      <c r="K668" s="49"/>
    </row>
    <row r="669" spans="1:11" ht="12.75" hidden="1" x14ac:dyDescent="0.2">
      <c r="A669" s="16"/>
      <c r="B669" s="16"/>
      <c r="C669" s="15"/>
      <c r="D669" s="16"/>
      <c r="E669" s="17"/>
      <c r="F669" s="17"/>
      <c r="H669" s="19"/>
      <c r="I669" s="47"/>
      <c r="J669" s="48"/>
      <c r="K669" s="49"/>
    </row>
    <row r="670" spans="1:11" ht="12.75" hidden="1" x14ac:dyDescent="0.2">
      <c r="A670" s="16"/>
      <c r="B670" s="16"/>
      <c r="C670" s="15"/>
      <c r="D670" s="16"/>
      <c r="E670" s="17"/>
      <c r="F670" s="17"/>
      <c r="H670" s="19"/>
      <c r="I670" s="47"/>
      <c r="J670" s="48"/>
      <c r="K670" s="49"/>
    </row>
    <row r="671" spans="1:11" ht="12.75" hidden="1" x14ac:dyDescent="0.2">
      <c r="A671" s="16"/>
      <c r="B671" s="16"/>
      <c r="C671" s="15"/>
      <c r="D671" s="16"/>
      <c r="E671" s="17"/>
      <c r="F671" s="17"/>
      <c r="H671" s="19"/>
      <c r="I671" s="47"/>
      <c r="J671" s="48"/>
      <c r="K671" s="49"/>
    </row>
    <row r="672" spans="1:11" ht="12.75" hidden="1" x14ac:dyDescent="0.2">
      <c r="A672" s="16"/>
      <c r="B672" s="16"/>
      <c r="C672" s="15"/>
      <c r="D672" s="16"/>
      <c r="E672" s="17"/>
      <c r="F672" s="17"/>
      <c r="H672" s="19"/>
      <c r="I672" s="47"/>
      <c r="J672" s="48"/>
      <c r="K672" s="49"/>
    </row>
    <row r="673" spans="1:11" ht="12.75" hidden="1" x14ac:dyDescent="0.2">
      <c r="A673" s="16"/>
      <c r="B673" s="16"/>
      <c r="C673" s="15"/>
      <c r="D673" s="16"/>
      <c r="E673" s="17"/>
      <c r="F673" s="17"/>
      <c r="H673" s="19"/>
      <c r="I673" s="47"/>
      <c r="J673" s="48"/>
      <c r="K673" s="49"/>
    </row>
    <row r="674" spans="1:11" ht="12.75" hidden="1" x14ac:dyDescent="0.2">
      <c r="A674" s="16"/>
      <c r="B674" s="16"/>
      <c r="C674" s="15"/>
      <c r="D674" s="16"/>
      <c r="E674" s="17"/>
      <c r="F674" s="17"/>
      <c r="H674" s="19"/>
      <c r="I674" s="47"/>
      <c r="J674" s="48"/>
      <c r="K674" s="49"/>
    </row>
    <row r="675" spans="1:11" ht="12.75" hidden="1" x14ac:dyDescent="0.2">
      <c r="A675" s="16"/>
      <c r="B675" s="16"/>
      <c r="C675" s="15"/>
      <c r="D675" s="16"/>
      <c r="E675" s="17"/>
      <c r="F675" s="17"/>
      <c r="H675" s="19"/>
      <c r="I675" s="47"/>
      <c r="J675" s="48"/>
      <c r="K675" s="49"/>
    </row>
    <row r="676" spans="1:11" ht="12.75" hidden="1" x14ac:dyDescent="0.2">
      <c r="A676" s="16"/>
      <c r="B676" s="16"/>
      <c r="C676" s="15"/>
      <c r="D676" s="16"/>
      <c r="E676" s="17"/>
      <c r="F676" s="17"/>
      <c r="H676" s="19"/>
      <c r="I676" s="47"/>
      <c r="J676" s="48"/>
      <c r="K676" s="49"/>
    </row>
    <row r="677" spans="1:11" ht="12.75" hidden="1" x14ac:dyDescent="0.2">
      <c r="A677" s="16"/>
      <c r="B677" s="16"/>
      <c r="C677" s="15"/>
      <c r="D677" s="16"/>
      <c r="E677" s="17"/>
      <c r="F677" s="17"/>
      <c r="H677" s="19"/>
      <c r="I677" s="47"/>
      <c r="J677" s="48"/>
      <c r="K677" s="49"/>
    </row>
    <row r="678" spans="1:11" ht="12.75" hidden="1" x14ac:dyDescent="0.2">
      <c r="A678" s="16"/>
      <c r="B678" s="16"/>
      <c r="C678" s="15"/>
      <c r="D678" s="16"/>
      <c r="E678" s="17"/>
      <c r="F678" s="17"/>
      <c r="H678" s="19"/>
      <c r="I678" s="47"/>
      <c r="J678" s="48"/>
      <c r="K678" s="49"/>
    </row>
    <row r="679" spans="1:11" ht="12.75" hidden="1" x14ac:dyDescent="0.2">
      <c r="A679" s="16"/>
      <c r="B679" s="16"/>
      <c r="C679" s="15"/>
      <c r="D679" s="16"/>
      <c r="E679" s="17"/>
      <c r="F679" s="17"/>
      <c r="H679" s="19"/>
      <c r="I679" s="47"/>
      <c r="J679" s="48"/>
      <c r="K679" s="49"/>
    </row>
    <row r="680" spans="1:11" ht="12.75" hidden="1" x14ac:dyDescent="0.2">
      <c r="A680" s="16"/>
      <c r="B680" s="16"/>
      <c r="C680" s="15"/>
      <c r="D680" s="16"/>
      <c r="E680" s="17"/>
      <c r="F680" s="17"/>
      <c r="H680" s="19"/>
      <c r="I680" s="47"/>
      <c r="J680" s="48"/>
      <c r="K680" s="49"/>
    </row>
    <row r="681" spans="1:11" ht="12.75" hidden="1" x14ac:dyDescent="0.2">
      <c r="A681" s="16"/>
      <c r="B681" s="16"/>
      <c r="C681" s="15"/>
      <c r="D681" s="16"/>
      <c r="E681" s="17"/>
      <c r="F681" s="17"/>
      <c r="H681" s="19"/>
      <c r="I681" s="47"/>
      <c r="J681" s="48"/>
      <c r="K681" s="49"/>
    </row>
    <row r="682" spans="1:11" ht="12.75" hidden="1" x14ac:dyDescent="0.2">
      <c r="A682" s="16"/>
      <c r="B682" s="16"/>
      <c r="C682" s="15"/>
      <c r="D682" s="16"/>
      <c r="E682" s="17"/>
      <c r="F682" s="17"/>
      <c r="H682" s="19"/>
      <c r="I682" s="47"/>
      <c r="J682" s="48"/>
      <c r="K682" s="49"/>
    </row>
    <row r="683" spans="1:11" ht="12.75" hidden="1" x14ac:dyDescent="0.2">
      <c r="A683" s="16"/>
      <c r="B683" s="16"/>
      <c r="C683" s="15"/>
      <c r="D683" s="16"/>
      <c r="E683" s="17"/>
      <c r="F683" s="17"/>
      <c r="H683" s="19"/>
      <c r="I683" s="47"/>
      <c r="J683" s="48"/>
      <c r="K683" s="49"/>
    </row>
    <row r="684" spans="1:11" ht="12.75" hidden="1" x14ac:dyDescent="0.2">
      <c r="A684" s="16"/>
      <c r="B684" s="16"/>
      <c r="C684" s="15"/>
      <c r="D684" s="16"/>
      <c r="E684" s="17"/>
      <c r="F684" s="17"/>
      <c r="H684" s="19"/>
      <c r="I684" s="47"/>
      <c r="J684" s="48"/>
      <c r="K684" s="49"/>
    </row>
    <row r="685" spans="1:11" ht="12.75" hidden="1" x14ac:dyDescent="0.2">
      <c r="A685" s="16"/>
      <c r="B685" s="16"/>
      <c r="C685" s="15"/>
      <c r="D685" s="16"/>
      <c r="E685" s="17"/>
      <c r="F685" s="17"/>
      <c r="H685" s="19"/>
      <c r="I685" s="47"/>
      <c r="J685" s="48"/>
      <c r="K685" s="49"/>
    </row>
    <row r="686" spans="1:11" ht="12.75" hidden="1" x14ac:dyDescent="0.2">
      <c r="A686" s="16"/>
      <c r="B686" s="16"/>
      <c r="C686" s="15"/>
      <c r="D686" s="16"/>
      <c r="E686" s="17"/>
      <c r="F686" s="17"/>
      <c r="H686" s="19"/>
      <c r="I686" s="47"/>
      <c r="J686" s="48"/>
      <c r="K686" s="49"/>
    </row>
    <row r="687" spans="1:11" ht="12.75" hidden="1" x14ac:dyDescent="0.2">
      <c r="A687" s="16"/>
      <c r="B687" s="16"/>
      <c r="C687" s="15"/>
      <c r="D687" s="16"/>
      <c r="E687" s="17"/>
      <c r="F687" s="17"/>
      <c r="H687" s="19"/>
      <c r="I687" s="47"/>
      <c r="J687" s="48"/>
      <c r="K687" s="49"/>
    </row>
    <row r="688" spans="1:11" ht="12.75" hidden="1" x14ac:dyDescent="0.2">
      <c r="A688" s="16"/>
      <c r="B688" s="16"/>
      <c r="C688" s="15"/>
      <c r="D688" s="16"/>
      <c r="E688" s="17"/>
      <c r="F688" s="17"/>
      <c r="H688" s="19"/>
      <c r="I688" s="47"/>
      <c r="J688" s="48"/>
      <c r="K688" s="49"/>
    </row>
    <row r="689" spans="1:11" ht="12.75" hidden="1" x14ac:dyDescent="0.2">
      <c r="A689" s="16"/>
      <c r="B689" s="16"/>
      <c r="C689" s="15"/>
      <c r="D689" s="16"/>
      <c r="E689" s="17"/>
      <c r="F689" s="17"/>
      <c r="H689" s="19"/>
      <c r="I689" s="47"/>
      <c r="J689" s="48"/>
      <c r="K689" s="49"/>
    </row>
    <row r="690" spans="1:11" ht="12.75" hidden="1" x14ac:dyDescent="0.2">
      <c r="A690" s="16"/>
      <c r="B690" s="16"/>
      <c r="C690" s="15"/>
      <c r="D690" s="16"/>
      <c r="E690" s="17"/>
      <c r="F690" s="17"/>
      <c r="H690" s="19"/>
      <c r="I690" s="47"/>
      <c r="J690" s="48"/>
      <c r="K690" s="49"/>
    </row>
    <row r="691" spans="1:11" ht="12.75" hidden="1" x14ac:dyDescent="0.2">
      <c r="A691" s="16"/>
      <c r="B691" s="16"/>
      <c r="C691" s="15"/>
      <c r="D691" s="16"/>
      <c r="E691" s="17"/>
      <c r="F691" s="17"/>
      <c r="H691" s="19"/>
      <c r="I691" s="47"/>
      <c r="J691" s="48"/>
      <c r="K691" s="49"/>
    </row>
    <row r="692" spans="1:11" ht="12.75" hidden="1" x14ac:dyDescent="0.2">
      <c r="A692" s="16"/>
      <c r="B692" s="16"/>
      <c r="C692" s="15"/>
      <c r="D692" s="16"/>
      <c r="E692" s="17"/>
      <c r="F692" s="17"/>
      <c r="H692" s="19"/>
      <c r="I692" s="47"/>
      <c r="J692" s="48"/>
      <c r="K692" s="49"/>
    </row>
    <row r="693" spans="1:11" ht="12.75" hidden="1" x14ac:dyDescent="0.2">
      <c r="A693" s="16"/>
      <c r="B693" s="16"/>
      <c r="C693" s="15"/>
      <c r="D693" s="16"/>
      <c r="E693" s="17"/>
      <c r="F693" s="17"/>
      <c r="H693" s="19"/>
      <c r="I693" s="47"/>
      <c r="J693" s="48"/>
      <c r="K693" s="49"/>
    </row>
    <row r="694" spans="1:11" ht="12.75" hidden="1" x14ac:dyDescent="0.2">
      <c r="A694" s="16"/>
      <c r="B694" s="16"/>
      <c r="C694" s="15"/>
      <c r="D694" s="16"/>
      <c r="E694" s="17"/>
      <c r="F694" s="17"/>
      <c r="H694" s="19"/>
      <c r="I694" s="47"/>
      <c r="J694" s="48"/>
      <c r="K694" s="49"/>
    </row>
    <row r="695" spans="1:11" ht="12.75" hidden="1" x14ac:dyDescent="0.2">
      <c r="A695" s="16"/>
      <c r="B695" s="16"/>
      <c r="C695" s="15"/>
      <c r="D695" s="16"/>
      <c r="E695" s="17"/>
      <c r="F695" s="17"/>
      <c r="H695" s="19"/>
      <c r="I695" s="47"/>
      <c r="J695" s="48"/>
      <c r="K695" s="49"/>
    </row>
    <row r="696" spans="1:11" ht="12.75" hidden="1" x14ac:dyDescent="0.2">
      <c r="A696" s="16"/>
      <c r="B696" s="16"/>
      <c r="C696" s="15"/>
      <c r="D696" s="16"/>
      <c r="E696" s="17"/>
      <c r="F696" s="17"/>
      <c r="H696" s="19"/>
      <c r="I696" s="47"/>
      <c r="J696" s="48"/>
      <c r="K696" s="49"/>
    </row>
    <row r="697" spans="1:11" ht="12.75" hidden="1" x14ac:dyDescent="0.2">
      <c r="A697" s="16"/>
      <c r="B697" s="16"/>
      <c r="C697" s="15"/>
      <c r="D697" s="16"/>
      <c r="E697" s="17"/>
      <c r="F697" s="17"/>
      <c r="H697" s="19"/>
      <c r="I697" s="47"/>
      <c r="J697" s="48"/>
      <c r="K697" s="49"/>
    </row>
    <row r="698" spans="1:11" ht="12.75" hidden="1" x14ac:dyDescent="0.2">
      <c r="A698" s="16"/>
      <c r="B698" s="16"/>
      <c r="C698" s="15"/>
      <c r="D698" s="16"/>
      <c r="E698" s="17"/>
      <c r="F698" s="17"/>
      <c r="H698" s="19"/>
      <c r="I698" s="47"/>
      <c r="J698" s="48"/>
      <c r="K698" s="49"/>
    </row>
    <row r="699" spans="1:11" ht="12.75" hidden="1" x14ac:dyDescent="0.2">
      <c r="A699" s="16"/>
      <c r="B699" s="16"/>
      <c r="C699" s="15"/>
      <c r="D699" s="16"/>
      <c r="E699" s="17"/>
      <c r="F699" s="17"/>
      <c r="H699" s="19"/>
      <c r="I699" s="47"/>
      <c r="J699" s="48"/>
      <c r="K699" s="49"/>
    </row>
    <row r="700" spans="1:11" ht="12.75" hidden="1" x14ac:dyDescent="0.2">
      <c r="A700" s="16"/>
      <c r="B700" s="16"/>
      <c r="C700" s="15"/>
      <c r="D700" s="16"/>
      <c r="E700" s="17"/>
      <c r="F700" s="17"/>
      <c r="H700" s="19"/>
      <c r="I700" s="47"/>
      <c r="J700" s="48"/>
      <c r="K700" s="49"/>
    </row>
    <row r="701" spans="1:11" ht="12.75" hidden="1" x14ac:dyDescent="0.2">
      <c r="A701" s="16"/>
      <c r="B701" s="16"/>
      <c r="C701" s="15"/>
      <c r="D701" s="16"/>
      <c r="E701" s="17"/>
      <c r="F701" s="17"/>
      <c r="H701" s="19"/>
      <c r="I701" s="47"/>
      <c r="J701" s="48"/>
      <c r="K701" s="49"/>
    </row>
    <row r="702" spans="1:11" ht="12.75" hidden="1" x14ac:dyDescent="0.2">
      <c r="A702" s="16"/>
      <c r="B702" s="16"/>
      <c r="C702" s="15"/>
      <c r="D702" s="16"/>
      <c r="E702" s="17"/>
      <c r="F702" s="17"/>
      <c r="H702" s="19"/>
      <c r="I702" s="47"/>
      <c r="J702" s="48"/>
      <c r="K702" s="49"/>
    </row>
    <row r="703" spans="1:11" ht="12.75" hidden="1" x14ac:dyDescent="0.2">
      <c r="A703" s="16"/>
      <c r="B703" s="16"/>
      <c r="C703" s="15"/>
      <c r="D703" s="16"/>
      <c r="E703" s="17"/>
      <c r="F703" s="17"/>
      <c r="H703" s="19"/>
      <c r="I703" s="47"/>
      <c r="J703" s="48"/>
      <c r="K703" s="49"/>
    </row>
    <row r="704" spans="1:11" ht="12.75" hidden="1" x14ac:dyDescent="0.2">
      <c r="A704" s="16"/>
      <c r="B704" s="16"/>
      <c r="C704" s="15"/>
      <c r="D704" s="16"/>
      <c r="E704" s="17"/>
      <c r="F704" s="17"/>
      <c r="H704" s="19"/>
      <c r="I704" s="47"/>
      <c r="J704" s="48"/>
      <c r="K704" s="49"/>
    </row>
    <row r="705" spans="1:11" ht="12.75" hidden="1" x14ac:dyDescent="0.2">
      <c r="A705" s="16"/>
      <c r="B705" s="16"/>
      <c r="C705" s="15"/>
      <c r="D705" s="16"/>
      <c r="E705" s="17"/>
      <c r="F705" s="17"/>
      <c r="H705" s="19"/>
      <c r="I705" s="47"/>
      <c r="J705" s="48"/>
      <c r="K705" s="49"/>
    </row>
    <row r="706" spans="1:11" ht="12.75" hidden="1" x14ac:dyDescent="0.2">
      <c r="A706" s="16"/>
      <c r="B706" s="16"/>
      <c r="C706" s="15"/>
      <c r="D706" s="16"/>
      <c r="E706" s="17"/>
      <c r="F706" s="17"/>
      <c r="H706" s="19"/>
      <c r="I706" s="47"/>
      <c r="J706" s="48"/>
      <c r="K706" s="49"/>
    </row>
    <row r="707" spans="1:11" ht="12.75" hidden="1" x14ac:dyDescent="0.2">
      <c r="A707" s="16"/>
      <c r="B707" s="16"/>
      <c r="C707" s="15"/>
      <c r="D707" s="16"/>
      <c r="E707" s="17"/>
      <c r="F707" s="17"/>
      <c r="H707" s="19"/>
      <c r="I707" s="47"/>
      <c r="J707" s="48"/>
      <c r="K707" s="49"/>
    </row>
    <row r="708" spans="1:11" ht="12.75" hidden="1" x14ac:dyDescent="0.2">
      <c r="A708" s="16"/>
      <c r="B708" s="16"/>
      <c r="C708" s="15"/>
      <c r="D708" s="16"/>
      <c r="E708" s="17"/>
      <c r="F708" s="17"/>
      <c r="H708" s="19"/>
      <c r="I708" s="47"/>
      <c r="J708" s="48"/>
      <c r="K708" s="49"/>
    </row>
    <row r="709" spans="1:11" ht="12.75" hidden="1" x14ac:dyDescent="0.2">
      <c r="A709" s="16"/>
      <c r="B709" s="16"/>
      <c r="C709" s="15"/>
      <c r="D709" s="16"/>
      <c r="E709" s="17"/>
      <c r="F709" s="17"/>
      <c r="H709" s="19"/>
      <c r="I709" s="47"/>
      <c r="J709" s="48"/>
      <c r="K709" s="49"/>
    </row>
    <row r="710" spans="1:11" ht="12.75" hidden="1" x14ac:dyDescent="0.2">
      <c r="A710" s="16"/>
      <c r="B710" s="16"/>
      <c r="C710" s="15"/>
      <c r="D710" s="16"/>
      <c r="E710" s="17"/>
      <c r="F710" s="17"/>
      <c r="H710" s="19"/>
      <c r="I710" s="47"/>
      <c r="J710" s="48"/>
      <c r="K710" s="49"/>
    </row>
    <row r="711" spans="1:11" ht="12.75" hidden="1" x14ac:dyDescent="0.2">
      <c r="A711" s="16"/>
      <c r="B711" s="16"/>
      <c r="C711" s="15"/>
      <c r="D711" s="16"/>
      <c r="E711" s="17"/>
      <c r="F711" s="17"/>
      <c r="H711" s="19"/>
      <c r="I711" s="47"/>
      <c r="J711" s="48"/>
      <c r="K711" s="49"/>
    </row>
    <row r="712" spans="1:11" ht="12.75" hidden="1" x14ac:dyDescent="0.2">
      <c r="A712" s="16"/>
      <c r="B712" s="16"/>
      <c r="C712" s="15"/>
      <c r="D712" s="16"/>
      <c r="E712" s="17"/>
      <c r="F712" s="17"/>
      <c r="H712" s="19"/>
      <c r="I712" s="47"/>
      <c r="J712" s="48"/>
      <c r="K712" s="49"/>
    </row>
    <row r="713" spans="1:11" ht="12.75" hidden="1" x14ac:dyDescent="0.2">
      <c r="A713" s="16"/>
      <c r="B713" s="16"/>
      <c r="C713" s="15"/>
      <c r="D713" s="16"/>
      <c r="E713" s="17"/>
      <c r="F713" s="17"/>
      <c r="H713" s="19"/>
      <c r="I713" s="47"/>
      <c r="J713" s="48"/>
      <c r="K713" s="49"/>
    </row>
    <row r="714" spans="1:11" ht="12.75" hidden="1" x14ac:dyDescent="0.2">
      <c r="A714" s="16"/>
      <c r="B714" s="16"/>
      <c r="C714" s="15"/>
      <c r="D714" s="16"/>
      <c r="E714" s="17"/>
      <c r="F714" s="17"/>
      <c r="H714" s="19"/>
      <c r="I714" s="47"/>
      <c r="J714" s="48"/>
      <c r="K714" s="49"/>
    </row>
    <row r="715" spans="1:11" ht="12.75" hidden="1" x14ac:dyDescent="0.2">
      <c r="A715" s="16"/>
      <c r="B715" s="16"/>
      <c r="C715" s="15"/>
      <c r="D715" s="16"/>
      <c r="E715" s="17"/>
      <c r="F715" s="17"/>
      <c r="H715" s="19"/>
      <c r="I715" s="47"/>
      <c r="J715" s="48"/>
      <c r="K715" s="49"/>
    </row>
    <row r="716" spans="1:11" ht="12.75" hidden="1" x14ac:dyDescent="0.2">
      <c r="A716" s="16"/>
      <c r="B716" s="16"/>
      <c r="C716" s="15"/>
      <c r="D716" s="16"/>
      <c r="E716" s="17"/>
      <c r="F716" s="17"/>
      <c r="H716" s="19"/>
      <c r="I716" s="47"/>
      <c r="J716" s="48"/>
      <c r="K716" s="49"/>
    </row>
    <row r="717" spans="1:11" ht="12.75" hidden="1" x14ac:dyDescent="0.2">
      <c r="A717" s="16"/>
      <c r="B717" s="16"/>
      <c r="C717" s="15"/>
      <c r="D717" s="16"/>
      <c r="E717" s="17"/>
      <c r="F717" s="17"/>
      <c r="H717" s="19"/>
      <c r="I717" s="47"/>
      <c r="J717" s="48"/>
      <c r="K717" s="49"/>
    </row>
    <row r="718" spans="1:11" ht="12.75" hidden="1" x14ac:dyDescent="0.2">
      <c r="A718" s="16"/>
      <c r="B718" s="16"/>
      <c r="C718" s="15"/>
      <c r="D718" s="16"/>
      <c r="E718" s="17"/>
      <c r="F718" s="17"/>
      <c r="H718" s="19"/>
      <c r="I718" s="47"/>
      <c r="J718" s="48"/>
      <c r="K718" s="49"/>
    </row>
    <row r="719" spans="1:11" ht="12.75" hidden="1" x14ac:dyDescent="0.2">
      <c r="A719" s="16"/>
      <c r="B719" s="16"/>
      <c r="C719" s="15"/>
      <c r="D719" s="16"/>
      <c r="E719" s="17"/>
      <c r="F719" s="17"/>
      <c r="H719" s="19"/>
      <c r="I719" s="47"/>
      <c r="J719" s="48"/>
      <c r="K719" s="49"/>
    </row>
    <row r="720" spans="1:11" ht="12.75" hidden="1" x14ac:dyDescent="0.2">
      <c r="A720" s="16"/>
      <c r="B720" s="16"/>
      <c r="C720" s="15"/>
      <c r="D720" s="16"/>
      <c r="E720" s="17"/>
      <c r="F720" s="17"/>
      <c r="H720" s="19"/>
      <c r="I720" s="47"/>
      <c r="J720" s="48"/>
      <c r="K720" s="49"/>
    </row>
    <row r="721" spans="1:11" ht="12.75" hidden="1" x14ac:dyDescent="0.2">
      <c r="A721" s="16"/>
      <c r="B721" s="16"/>
      <c r="C721" s="15"/>
      <c r="D721" s="16"/>
      <c r="E721" s="17"/>
      <c r="F721" s="17"/>
      <c r="H721" s="19"/>
      <c r="I721" s="47"/>
      <c r="J721" s="48"/>
      <c r="K721" s="49"/>
    </row>
    <row r="722" spans="1:11" ht="12.75" hidden="1" x14ac:dyDescent="0.2">
      <c r="A722" s="16"/>
      <c r="B722" s="16"/>
      <c r="C722" s="15"/>
      <c r="D722" s="16"/>
      <c r="E722" s="17"/>
      <c r="F722" s="17"/>
      <c r="H722" s="19"/>
      <c r="I722" s="47"/>
      <c r="J722" s="48"/>
      <c r="K722" s="49"/>
    </row>
    <row r="723" spans="1:11" ht="12.75" hidden="1" x14ac:dyDescent="0.2">
      <c r="A723" s="16"/>
      <c r="B723" s="16"/>
      <c r="C723" s="15"/>
      <c r="D723" s="16"/>
      <c r="E723" s="17"/>
      <c r="F723" s="17"/>
      <c r="H723" s="19"/>
      <c r="I723" s="47"/>
      <c r="J723" s="48"/>
      <c r="K723" s="49"/>
    </row>
    <row r="724" spans="1:11" ht="12.75" hidden="1" x14ac:dyDescent="0.2">
      <c r="A724" s="16"/>
      <c r="B724" s="16"/>
      <c r="C724" s="15"/>
      <c r="D724" s="16"/>
      <c r="E724" s="17"/>
      <c r="F724" s="17"/>
      <c r="H724" s="19"/>
      <c r="I724" s="47"/>
      <c r="J724" s="48"/>
      <c r="K724" s="49"/>
    </row>
    <row r="725" spans="1:11" ht="12.75" hidden="1" x14ac:dyDescent="0.2">
      <c r="A725" s="16"/>
      <c r="B725" s="16"/>
      <c r="C725" s="15"/>
      <c r="D725" s="16"/>
      <c r="E725" s="17"/>
      <c r="F725" s="17"/>
      <c r="H725" s="19"/>
      <c r="I725" s="47"/>
      <c r="J725" s="48"/>
      <c r="K725" s="49"/>
    </row>
    <row r="726" spans="1:11" ht="12.75" hidden="1" x14ac:dyDescent="0.2">
      <c r="A726" s="16"/>
      <c r="B726" s="16"/>
      <c r="C726" s="15"/>
      <c r="D726" s="16"/>
      <c r="E726" s="17"/>
      <c r="F726" s="17"/>
      <c r="H726" s="19"/>
      <c r="I726" s="47"/>
      <c r="J726" s="48"/>
      <c r="K726" s="49"/>
    </row>
    <row r="727" spans="1:11" ht="12.75" hidden="1" x14ac:dyDescent="0.2">
      <c r="A727" s="16"/>
      <c r="B727" s="16"/>
      <c r="C727" s="15"/>
      <c r="D727" s="16"/>
      <c r="E727" s="17"/>
      <c r="F727" s="17"/>
      <c r="H727" s="19"/>
      <c r="I727" s="47"/>
      <c r="J727" s="48"/>
      <c r="K727" s="49"/>
    </row>
    <row r="728" spans="1:11" ht="12.75" hidden="1" x14ac:dyDescent="0.2">
      <c r="A728" s="16"/>
      <c r="B728" s="16"/>
      <c r="C728" s="15"/>
      <c r="D728" s="16"/>
      <c r="E728" s="17"/>
      <c r="F728" s="17"/>
      <c r="H728" s="19"/>
      <c r="I728" s="47"/>
      <c r="J728" s="48"/>
      <c r="K728" s="49"/>
    </row>
    <row r="729" spans="1:11" ht="12.75" hidden="1" x14ac:dyDescent="0.2">
      <c r="A729" s="16"/>
      <c r="B729" s="16"/>
      <c r="C729" s="15"/>
      <c r="D729" s="16"/>
      <c r="E729" s="17"/>
      <c r="F729" s="17"/>
      <c r="H729" s="19"/>
      <c r="I729" s="47"/>
      <c r="J729" s="48"/>
      <c r="K729" s="49"/>
    </row>
    <row r="730" spans="1:11" ht="12.75" hidden="1" x14ac:dyDescent="0.2">
      <c r="A730" s="16"/>
      <c r="B730" s="16"/>
      <c r="C730" s="15"/>
      <c r="D730" s="16"/>
      <c r="E730" s="17"/>
      <c r="F730" s="17"/>
      <c r="H730" s="19"/>
      <c r="I730" s="47"/>
      <c r="J730" s="48"/>
      <c r="K730" s="49"/>
    </row>
    <row r="731" spans="1:11" ht="12.75" hidden="1" x14ac:dyDescent="0.2">
      <c r="A731" s="16"/>
      <c r="B731" s="16"/>
      <c r="C731" s="15"/>
      <c r="D731" s="16"/>
      <c r="E731" s="17"/>
      <c r="F731" s="17"/>
      <c r="H731" s="19"/>
      <c r="I731" s="47"/>
      <c r="J731" s="48"/>
      <c r="K731" s="49"/>
    </row>
    <row r="732" spans="1:11" ht="12.75" hidden="1" x14ac:dyDescent="0.2">
      <c r="A732" s="16"/>
      <c r="B732" s="16"/>
      <c r="C732" s="15"/>
      <c r="D732" s="16"/>
      <c r="E732" s="17"/>
      <c r="F732" s="17"/>
      <c r="H732" s="19"/>
      <c r="I732" s="47"/>
      <c r="J732" s="48"/>
      <c r="K732" s="49"/>
    </row>
    <row r="733" spans="1:11" ht="12.75" hidden="1" x14ac:dyDescent="0.2">
      <c r="A733" s="16"/>
      <c r="B733" s="16"/>
      <c r="C733" s="15"/>
      <c r="D733" s="16"/>
      <c r="E733" s="17"/>
      <c r="F733" s="17"/>
      <c r="H733" s="19"/>
      <c r="I733" s="47"/>
      <c r="J733" s="48"/>
      <c r="K733" s="49"/>
    </row>
    <row r="734" spans="1:11" ht="12.75" hidden="1" x14ac:dyDescent="0.2">
      <c r="A734" s="16"/>
      <c r="B734" s="16"/>
      <c r="C734" s="15"/>
      <c r="D734" s="16"/>
      <c r="E734" s="17"/>
      <c r="F734" s="17"/>
      <c r="H734" s="19"/>
      <c r="I734" s="47"/>
      <c r="J734" s="48"/>
      <c r="K734" s="49"/>
    </row>
    <row r="735" spans="1:11" ht="12.75" hidden="1" x14ac:dyDescent="0.2">
      <c r="A735" s="16"/>
      <c r="B735" s="16"/>
      <c r="C735" s="15"/>
      <c r="D735" s="16"/>
      <c r="E735" s="17"/>
      <c r="F735" s="17"/>
      <c r="H735" s="19"/>
      <c r="I735" s="47"/>
      <c r="J735" s="48"/>
      <c r="K735" s="49"/>
    </row>
    <row r="736" spans="1:11" ht="12.75" hidden="1" x14ac:dyDescent="0.2">
      <c r="A736" s="16"/>
      <c r="B736" s="16"/>
      <c r="C736" s="15"/>
      <c r="D736" s="16"/>
      <c r="E736" s="17"/>
      <c r="F736" s="17"/>
      <c r="H736" s="19"/>
      <c r="I736" s="47"/>
      <c r="J736" s="48"/>
      <c r="K736" s="49"/>
    </row>
    <row r="737" spans="1:11" ht="12.75" hidden="1" x14ac:dyDescent="0.2">
      <c r="A737" s="16"/>
      <c r="B737" s="16"/>
      <c r="C737" s="15"/>
      <c r="D737" s="16"/>
      <c r="E737" s="17"/>
      <c r="F737" s="17"/>
      <c r="H737" s="19"/>
      <c r="I737" s="47"/>
      <c r="J737" s="48"/>
      <c r="K737" s="49"/>
    </row>
    <row r="738" spans="1:11" ht="12.75" hidden="1" x14ac:dyDescent="0.2">
      <c r="A738" s="16"/>
      <c r="B738" s="16"/>
      <c r="C738" s="15"/>
      <c r="D738" s="16"/>
      <c r="E738" s="17"/>
      <c r="F738" s="17"/>
      <c r="H738" s="19"/>
      <c r="I738" s="47"/>
      <c r="J738" s="48"/>
      <c r="K738" s="49"/>
    </row>
    <row r="739" spans="1:11" ht="12.75" hidden="1" x14ac:dyDescent="0.2">
      <c r="A739" s="16"/>
      <c r="B739" s="16"/>
      <c r="C739" s="15"/>
      <c r="D739" s="16"/>
      <c r="E739" s="17"/>
      <c r="F739" s="17"/>
      <c r="H739" s="19"/>
      <c r="I739" s="47"/>
      <c r="J739" s="48"/>
      <c r="K739" s="49"/>
    </row>
    <row r="740" spans="1:11" ht="12.75" hidden="1" x14ac:dyDescent="0.2">
      <c r="A740" s="16"/>
      <c r="B740" s="16"/>
      <c r="C740" s="15"/>
      <c r="D740" s="16"/>
      <c r="E740" s="17"/>
      <c r="F740" s="17"/>
      <c r="H740" s="19"/>
      <c r="I740" s="47"/>
      <c r="J740" s="48"/>
      <c r="K740" s="49"/>
    </row>
    <row r="741" spans="1:11" ht="12.75" hidden="1" x14ac:dyDescent="0.2">
      <c r="A741" s="16"/>
      <c r="B741" s="16"/>
      <c r="C741" s="15"/>
      <c r="D741" s="16"/>
      <c r="E741" s="17"/>
      <c r="F741" s="17"/>
      <c r="H741" s="19"/>
      <c r="I741" s="47"/>
      <c r="J741" s="48"/>
      <c r="K741" s="49"/>
    </row>
    <row r="742" spans="1:11" ht="12.75" hidden="1" x14ac:dyDescent="0.2">
      <c r="A742" s="16"/>
      <c r="B742" s="16"/>
      <c r="C742" s="15"/>
      <c r="D742" s="16"/>
      <c r="E742" s="17"/>
      <c r="F742" s="17"/>
      <c r="H742" s="19"/>
      <c r="I742" s="47"/>
      <c r="J742" s="48"/>
      <c r="K742" s="49"/>
    </row>
    <row r="743" spans="1:11" ht="12.75" hidden="1" x14ac:dyDescent="0.2">
      <c r="A743" s="16"/>
      <c r="B743" s="16"/>
      <c r="C743" s="15"/>
      <c r="D743" s="16"/>
      <c r="E743" s="17"/>
      <c r="F743" s="17"/>
      <c r="H743" s="19"/>
      <c r="I743" s="47"/>
      <c r="J743" s="48"/>
      <c r="K743" s="49"/>
    </row>
    <row r="744" spans="1:11" ht="12.75" hidden="1" x14ac:dyDescent="0.2">
      <c r="A744" s="16"/>
      <c r="B744" s="16"/>
      <c r="C744" s="15"/>
      <c r="D744" s="16"/>
      <c r="E744" s="17"/>
      <c r="F744" s="17"/>
      <c r="H744" s="19"/>
      <c r="I744" s="47"/>
      <c r="J744" s="48"/>
      <c r="K744" s="49"/>
    </row>
    <row r="745" spans="1:11" ht="12.75" hidden="1" x14ac:dyDescent="0.2">
      <c r="A745" s="16"/>
      <c r="B745" s="16"/>
      <c r="C745" s="15"/>
      <c r="D745" s="16"/>
      <c r="E745" s="17"/>
      <c r="F745" s="17"/>
      <c r="H745" s="19"/>
      <c r="I745" s="47"/>
      <c r="J745" s="48"/>
      <c r="K745" s="49"/>
    </row>
    <row r="746" spans="1:11" ht="12.75" hidden="1" x14ac:dyDescent="0.2">
      <c r="A746" s="16"/>
      <c r="B746" s="16"/>
      <c r="C746" s="15"/>
      <c r="D746" s="16"/>
      <c r="E746" s="17"/>
      <c r="F746" s="17"/>
      <c r="H746" s="19"/>
      <c r="I746" s="47"/>
      <c r="J746" s="48"/>
      <c r="K746" s="49"/>
    </row>
    <row r="747" spans="1:11" ht="12.75" hidden="1" x14ac:dyDescent="0.2">
      <c r="A747" s="16"/>
      <c r="B747" s="16"/>
      <c r="C747" s="15"/>
      <c r="D747" s="16"/>
      <c r="E747" s="17"/>
      <c r="F747" s="17"/>
      <c r="H747" s="19"/>
      <c r="I747" s="47"/>
      <c r="J747" s="48"/>
      <c r="K747" s="49"/>
    </row>
    <row r="748" spans="1:11" ht="12.75" hidden="1" x14ac:dyDescent="0.2">
      <c r="A748" s="16"/>
      <c r="B748" s="16"/>
      <c r="C748" s="15"/>
      <c r="D748" s="16"/>
      <c r="E748" s="17"/>
      <c r="F748" s="17"/>
      <c r="H748" s="19"/>
      <c r="I748" s="47"/>
      <c r="J748" s="48"/>
      <c r="K748" s="49"/>
    </row>
    <row r="749" spans="1:11" ht="12.75" hidden="1" x14ac:dyDescent="0.2">
      <c r="A749" s="16"/>
      <c r="B749" s="16"/>
      <c r="C749" s="15"/>
      <c r="D749" s="16"/>
      <c r="E749" s="17"/>
      <c r="F749" s="17"/>
      <c r="H749" s="19"/>
      <c r="I749" s="47"/>
      <c r="J749" s="48"/>
      <c r="K749" s="49"/>
    </row>
    <row r="750" spans="1:11" ht="12.75" hidden="1" x14ac:dyDescent="0.2">
      <c r="A750" s="16"/>
      <c r="B750" s="16"/>
      <c r="C750" s="15"/>
      <c r="D750" s="16"/>
      <c r="E750" s="17"/>
      <c r="F750" s="17"/>
      <c r="H750" s="19"/>
      <c r="I750" s="47"/>
      <c r="J750" s="48"/>
      <c r="K750" s="49"/>
    </row>
    <row r="751" spans="1:11" ht="12.75" hidden="1" x14ac:dyDescent="0.2">
      <c r="A751" s="16"/>
      <c r="B751" s="16"/>
      <c r="C751" s="15"/>
      <c r="D751" s="16"/>
      <c r="E751" s="17"/>
      <c r="F751" s="17"/>
      <c r="H751" s="19"/>
      <c r="I751" s="47"/>
      <c r="J751" s="48"/>
      <c r="K751" s="49"/>
    </row>
    <row r="752" spans="1:11" ht="12.75" hidden="1" x14ac:dyDescent="0.2">
      <c r="A752" s="16"/>
      <c r="B752" s="16"/>
      <c r="C752" s="15"/>
      <c r="D752" s="16"/>
      <c r="E752" s="17"/>
      <c r="F752" s="17"/>
      <c r="H752" s="19"/>
      <c r="I752" s="47"/>
      <c r="J752" s="48"/>
      <c r="K752" s="49"/>
    </row>
    <row r="753" spans="1:11" ht="12.75" hidden="1" x14ac:dyDescent="0.2">
      <c r="A753" s="16"/>
      <c r="B753" s="16"/>
      <c r="C753" s="15"/>
      <c r="D753" s="16"/>
      <c r="E753" s="17"/>
      <c r="F753" s="17"/>
      <c r="H753" s="19"/>
      <c r="I753" s="47"/>
      <c r="J753" s="48"/>
      <c r="K753" s="49"/>
    </row>
    <row r="754" spans="1:11" ht="12.75" hidden="1" x14ac:dyDescent="0.2">
      <c r="A754" s="16"/>
      <c r="B754" s="16"/>
      <c r="C754" s="15"/>
      <c r="D754" s="16"/>
      <c r="E754" s="17"/>
      <c r="F754" s="17"/>
      <c r="H754" s="19"/>
      <c r="I754" s="47"/>
      <c r="J754" s="48"/>
      <c r="K754" s="49"/>
    </row>
    <row r="755" spans="1:11" ht="12.75" hidden="1" x14ac:dyDescent="0.2">
      <c r="A755" s="16"/>
      <c r="B755" s="16"/>
      <c r="C755" s="15"/>
      <c r="D755" s="16"/>
      <c r="E755" s="17"/>
      <c r="F755" s="17"/>
      <c r="H755" s="19"/>
      <c r="I755" s="47"/>
      <c r="J755" s="48"/>
      <c r="K755" s="49"/>
    </row>
    <row r="756" spans="1:11" ht="12.75" hidden="1" x14ac:dyDescent="0.2">
      <c r="A756" s="16"/>
      <c r="B756" s="16"/>
      <c r="C756" s="15"/>
      <c r="D756" s="16"/>
      <c r="E756" s="17"/>
      <c r="F756" s="17"/>
      <c r="H756" s="19"/>
      <c r="I756" s="47"/>
      <c r="J756" s="48"/>
      <c r="K756" s="49"/>
    </row>
    <row r="757" spans="1:11" ht="12.75" hidden="1" x14ac:dyDescent="0.2">
      <c r="A757" s="16"/>
      <c r="B757" s="16"/>
      <c r="C757" s="15"/>
      <c r="D757" s="16"/>
      <c r="E757" s="17"/>
      <c r="F757" s="17"/>
      <c r="H757" s="19"/>
      <c r="I757" s="47"/>
      <c r="J757" s="48"/>
      <c r="K757" s="49"/>
    </row>
    <row r="758" spans="1:11" ht="12.75" hidden="1" x14ac:dyDescent="0.2">
      <c r="A758" s="16"/>
      <c r="B758" s="16"/>
      <c r="C758" s="15"/>
      <c r="D758" s="16"/>
      <c r="E758" s="17"/>
      <c r="F758" s="17"/>
      <c r="H758" s="19"/>
      <c r="I758" s="47"/>
      <c r="J758" s="48"/>
      <c r="K758" s="49"/>
    </row>
    <row r="759" spans="1:11" ht="12.75" hidden="1" x14ac:dyDescent="0.2">
      <c r="A759" s="16"/>
      <c r="B759" s="16"/>
      <c r="C759" s="15"/>
      <c r="D759" s="16"/>
      <c r="E759" s="17"/>
      <c r="F759" s="17"/>
      <c r="H759" s="19"/>
      <c r="I759" s="47"/>
      <c r="J759" s="48"/>
      <c r="K759" s="49"/>
    </row>
    <row r="760" spans="1:11" ht="12.75" hidden="1" x14ac:dyDescent="0.2">
      <c r="A760" s="16"/>
      <c r="B760" s="16"/>
      <c r="C760" s="15"/>
      <c r="D760" s="16"/>
      <c r="E760" s="17"/>
      <c r="F760" s="17"/>
      <c r="H760" s="19"/>
      <c r="I760" s="47"/>
      <c r="J760" s="48"/>
      <c r="K760" s="49"/>
    </row>
    <row r="761" spans="1:11" ht="12.75" hidden="1" x14ac:dyDescent="0.2">
      <c r="A761" s="16"/>
      <c r="B761" s="16"/>
      <c r="C761" s="15"/>
      <c r="D761" s="16"/>
      <c r="E761" s="17"/>
      <c r="F761" s="17"/>
      <c r="H761" s="19"/>
      <c r="I761" s="47"/>
      <c r="J761" s="48"/>
      <c r="K761" s="49"/>
    </row>
    <row r="762" spans="1:11" ht="12.75" hidden="1" x14ac:dyDescent="0.2">
      <c r="A762" s="16"/>
      <c r="B762" s="16"/>
      <c r="C762" s="15"/>
      <c r="D762" s="16"/>
      <c r="E762" s="17"/>
      <c r="F762" s="17"/>
      <c r="H762" s="19"/>
      <c r="I762" s="47"/>
      <c r="J762" s="48"/>
      <c r="K762" s="49"/>
    </row>
    <row r="763" spans="1:11" ht="12.75" hidden="1" x14ac:dyDescent="0.2">
      <c r="A763" s="16"/>
      <c r="B763" s="16"/>
      <c r="C763" s="15"/>
      <c r="D763" s="16"/>
      <c r="E763" s="17"/>
      <c r="F763" s="17"/>
      <c r="H763" s="19"/>
      <c r="I763" s="47"/>
      <c r="J763" s="48"/>
      <c r="K763" s="49"/>
    </row>
    <row r="764" spans="1:11" ht="12.75" hidden="1" x14ac:dyDescent="0.2">
      <c r="A764" s="16"/>
      <c r="B764" s="16"/>
      <c r="C764" s="15"/>
      <c r="D764" s="16"/>
      <c r="E764" s="17"/>
      <c r="F764" s="17"/>
      <c r="H764" s="19"/>
      <c r="I764" s="47"/>
      <c r="J764" s="48"/>
      <c r="K764" s="49"/>
    </row>
    <row r="765" spans="1:11" ht="12.75" hidden="1" x14ac:dyDescent="0.2">
      <c r="A765" s="16"/>
      <c r="B765" s="16"/>
      <c r="C765" s="15"/>
      <c r="D765" s="16"/>
      <c r="E765" s="17"/>
      <c r="F765" s="17"/>
      <c r="H765" s="19"/>
      <c r="I765" s="47"/>
      <c r="J765" s="48"/>
      <c r="K765" s="49"/>
    </row>
    <row r="766" spans="1:11" ht="12.75" hidden="1" x14ac:dyDescent="0.2">
      <c r="A766" s="16"/>
      <c r="B766" s="16"/>
      <c r="C766" s="15"/>
      <c r="D766" s="16"/>
      <c r="E766" s="17"/>
      <c r="F766" s="17"/>
      <c r="H766" s="19"/>
      <c r="I766" s="47"/>
      <c r="J766" s="48"/>
      <c r="K766" s="49"/>
    </row>
    <row r="767" spans="1:11" ht="12.75" hidden="1" x14ac:dyDescent="0.2">
      <c r="A767" s="16"/>
      <c r="B767" s="16"/>
      <c r="C767" s="15"/>
      <c r="D767" s="16"/>
      <c r="E767" s="17"/>
      <c r="F767" s="17"/>
      <c r="H767" s="19"/>
      <c r="I767" s="47"/>
      <c r="J767" s="48"/>
      <c r="K767" s="49"/>
    </row>
    <row r="768" spans="1:11" ht="12.75" hidden="1" x14ac:dyDescent="0.2">
      <c r="A768" s="16"/>
      <c r="B768" s="16"/>
      <c r="C768" s="15"/>
      <c r="D768" s="16"/>
      <c r="E768" s="17"/>
      <c r="F768" s="17"/>
      <c r="H768" s="19"/>
      <c r="I768" s="47"/>
      <c r="J768" s="48"/>
      <c r="K768" s="49"/>
    </row>
    <row r="769" spans="1:11" ht="12.75" hidden="1" x14ac:dyDescent="0.2">
      <c r="A769" s="16"/>
      <c r="B769" s="16"/>
      <c r="C769" s="15"/>
      <c r="D769" s="16"/>
      <c r="E769" s="17"/>
      <c r="F769" s="17"/>
      <c r="H769" s="19"/>
      <c r="I769" s="47"/>
      <c r="J769" s="48"/>
      <c r="K769" s="49"/>
    </row>
    <row r="770" spans="1:11" ht="12.75" hidden="1" x14ac:dyDescent="0.2">
      <c r="A770" s="16"/>
      <c r="B770" s="16"/>
      <c r="C770" s="15"/>
      <c r="D770" s="16"/>
      <c r="E770" s="17"/>
      <c r="F770" s="17"/>
      <c r="H770" s="19"/>
      <c r="I770" s="47"/>
      <c r="J770" s="48"/>
      <c r="K770" s="49"/>
    </row>
    <row r="771" spans="1:11" ht="12.75" hidden="1" x14ac:dyDescent="0.2">
      <c r="A771" s="16"/>
      <c r="B771" s="16"/>
      <c r="C771" s="15"/>
      <c r="D771" s="16"/>
      <c r="E771" s="17"/>
      <c r="F771" s="17"/>
      <c r="H771" s="19"/>
      <c r="I771" s="47"/>
      <c r="J771" s="48"/>
      <c r="K771" s="49"/>
    </row>
    <row r="772" spans="1:11" ht="12.75" hidden="1" x14ac:dyDescent="0.2">
      <c r="A772" s="16"/>
      <c r="B772" s="16"/>
      <c r="C772" s="15"/>
      <c r="D772" s="16"/>
      <c r="E772" s="17"/>
      <c r="F772" s="17"/>
      <c r="H772" s="19"/>
      <c r="I772" s="47"/>
      <c r="J772" s="48"/>
      <c r="K772" s="49"/>
    </row>
    <row r="773" spans="1:11" ht="12.75" hidden="1" x14ac:dyDescent="0.2">
      <c r="A773" s="16"/>
      <c r="B773" s="16"/>
      <c r="C773" s="15"/>
      <c r="D773" s="16"/>
      <c r="E773" s="17"/>
      <c r="F773" s="17"/>
      <c r="H773" s="19"/>
      <c r="I773" s="47"/>
      <c r="J773" s="48"/>
      <c r="K773" s="49"/>
    </row>
    <row r="774" spans="1:11" ht="12.75" hidden="1" x14ac:dyDescent="0.2">
      <c r="A774" s="16"/>
      <c r="B774" s="16"/>
      <c r="C774" s="15"/>
      <c r="D774" s="16"/>
      <c r="E774" s="17"/>
      <c r="F774" s="17"/>
      <c r="H774" s="19"/>
      <c r="I774" s="47"/>
      <c r="J774" s="48"/>
      <c r="K774" s="49"/>
    </row>
    <row r="775" spans="1:11" ht="12.75" hidden="1" x14ac:dyDescent="0.2">
      <c r="A775" s="16"/>
      <c r="B775" s="16"/>
      <c r="C775" s="15"/>
      <c r="D775" s="16"/>
      <c r="E775" s="17"/>
      <c r="F775" s="17"/>
      <c r="H775" s="19"/>
      <c r="I775" s="47"/>
      <c r="J775" s="48"/>
      <c r="K775" s="49"/>
    </row>
    <row r="776" spans="1:11" ht="12.75" hidden="1" x14ac:dyDescent="0.2">
      <c r="A776" s="16"/>
      <c r="B776" s="16"/>
      <c r="C776" s="15"/>
      <c r="D776" s="16"/>
      <c r="E776" s="17"/>
      <c r="F776" s="17"/>
      <c r="H776" s="19"/>
      <c r="I776" s="47"/>
      <c r="J776" s="48"/>
      <c r="K776" s="49"/>
    </row>
    <row r="777" spans="1:11" ht="12.75" hidden="1" x14ac:dyDescent="0.2">
      <c r="A777" s="16"/>
      <c r="B777" s="16"/>
      <c r="C777" s="15"/>
      <c r="D777" s="16"/>
      <c r="E777" s="17"/>
      <c r="F777" s="17"/>
      <c r="H777" s="19"/>
      <c r="I777" s="47"/>
      <c r="J777" s="48"/>
      <c r="K777" s="49"/>
    </row>
    <row r="778" spans="1:11" ht="12.75" hidden="1" x14ac:dyDescent="0.2">
      <c r="A778" s="16"/>
      <c r="B778" s="16"/>
      <c r="C778" s="15"/>
      <c r="D778" s="16"/>
      <c r="E778" s="17"/>
      <c r="F778" s="17"/>
      <c r="H778" s="19"/>
      <c r="I778" s="47"/>
      <c r="J778" s="48"/>
      <c r="K778" s="49"/>
    </row>
    <row r="779" spans="1:11" ht="12.75" hidden="1" x14ac:dyDescent="0.2">
      <c r="A779" s="16"/>
      <c r="B779" s="16"/>
      <c r="C779" s="15"/>
      <c r="D779" s="16"/>
      <c r="E779" s="17"/>
      <c r="F779" s="17"/>
      <c r="H779" s="19"/>
      <c r="I779" s="47"/>
      <c r="J779" s="48"/>
      <c r="K779" s="49"/>
    </row>
    <row r="780" spans="1:11" ht="12.75" hidden="1" x14ac:dyDescent="0.2">
      <c r="A780" s="16"/>
      <c r="B780" s="16"/>
      <c r="C780" s="15"/>
      <c r="D780" s="16"/>
      <c r="E780" s="17"/>
      <c r="F780" s="17"/>
      <c r="H780" s="19"/>
      <c r="I780" s="47"/>
      <c r="J780" s="48"/>
      <c r="K780" s="49"/>
    </row>
    <row r="781" spans="1:11" ht="12.75" hidden="1" x14ac:dyDescent="0.2">
      <c r="A781" s="16"/>
      <c r="B781" s="16"/>
      <c r="C781" s="15"/>
      <c r="D781" s="16"/>
      <c r="E781" s="17"/>
      <c r="F781" s="17"/>
      <c r="H781" s="19"/>
      <c r="I781" s="47"/>
      <c r="J781" s="48"/>
      <c r="K781" s="49"/>
    </row>
    <row r="782" spans="1:11" ht="12.75" hidden="1" x14ac:dyDescent="0.2">
      <c r="A782" s="16"/>
      <c r="B782" s="16"/>
      <c r="C782" s="15"/>
      <c r="D782" s="16"/>
      <c r="E782" s="17"/>
      <c r="F782" s="17"/>
      <c r="H782" s="19"/>
      <c r="I782" s="47"/>
      <c r="J782" s="48"/>
      <c r="K782" s="49"/>
    </row>
    <row r="783" spans="1:11" ht="12.75" hidden="1" x14ac:dyDescent="0.2">
      <c r="A783" s="16"/>
      <c r="B783" s="16"/>
      <c r="C783" s="15"/>
      <c r="D783" s="16"/>
      <c r="E783" s="17"/>
      <c r="F783" s="17"/>
      <c r="H783" s="19"/>
      <c r="I783" s="47"/>
      <c r="J783" s="48"/>
      <c r="K783" s="49"/>
    </row>
    <row r="784" spans="1:11" ht="12.75" hidden="1" x14ac:dyDescent="0.2">
      <c r="A784" s="16"/>
      <c r="B784" s="16"/>
      <c r="C784" s="15"/>
      <c r="D784" s="16"/>
      <c r="E784" s="17"/>
      <c r="F784" s="17"/>
      <c r="H784" s="19"/>
      <c r="I784" s="47"/>
      <c r="J784" s="48"/>
      <c r="K784" s="49"/>
    </row>
    <row r="785" spans="1:11" ht="12.75" hidden="1" x14ac:dyDescent="0.2">
      <c r="A785" s="16"/>
      <c r="B785" s="16"/>
      <c r="C785" s="15"/>
      <c r="D785" s="16"/>
      <c r="E785" s="17"/>
      <c r="F785" s="17"/>
      <c r="H785" s="19"/>
      <c r="I785" s="47"/>
      <c r="J785" s="48"/>
      <c r="K785" s="49"/>
    </row>
    <row r="786" spans="1:11" ht="12.75" hidden="1" x14ac:dyDescent="0.2">
      <c r="A786" s="16"/>
      <c r="B786" s="16"/>
      <c r="C786" s="15"/>
      <c r="D786" s="16"/>
      <c r="E786" s="17"/>
      <c r="F786" s="17"/>
      <c r="H786" s="19"/>
      <c r="I786" s="47"/>
      <c r="J786" s="48"/>
      <c r="K786" s="49"/>
    </row>
    <row r="787" spans="1:11" ht="12.75" hidden="1" x14ac:dyDescent="0.2">
      <c r="A787" s="16"/>
      <c r="B787" s="16"/>
      <c r="C787" s="15"/>
      <c r="D787" s="16"/>
      <c r="E787" s="17"/>
      <c r="F787" s="17"/>
      <c r="H787" s="19"/>
      <c r="I787" s="47"/>
      <c r="J787" s="48"/>
      <c r="K787" s="49"/>
    </row>
    <row r="788" spans="1:11" ht="12.75" hidden="1" x14ac:dyDescent="0.2">
      <c r="A788" s="16"/>
      <c r="B788" s="16"/>
      <c r="C788" s="15"/>
      <c r="D788" s="16"/>
      <c r="E788" s="17"/>
      <c r="F788" s="17"/>
      <c r="H788" s="19"/>
      <c r="I788" s="47"/>
      <c r="J788" s="48"/>
      <c r="K788" s="49"/>
    </row>
    <row r="789" spans="1:11" ht="12.75" hidden="1" x14ac:dyDescent="0.2">
      <c r="A789" s="16"/>
      <c r="B789" s="16"/>
      <c r="C789" s="15"/>
      <c r="D789" s="16"/>
      <c r="E789" s="17"/>
      <c r="F789" s="17"/>
      <c r="H789" s="19"/>
      <c r="I789" s="47"/>
      <c r="J789" s="48"/>
      <c r="K789" s="49"/>
    </row>
    <row r="790" spans="1:11" ht="12.75" hidden="1" x14ac:dyDescent="0.2">
      <c r="A790" s="16"/>
      <c r="B790" s="16"/>
      <c r="C790" s="15"/>
      <c r="D790" s="16"/>
      <c r="E790" s="17"/>
      <c r="F790" s="17"/>
      <c r="H790" s="19"/>
      <c r="I790" s="47"/>
      <c r="J790" s="48"/>
      <c r="K790" s="49"/>
    </row>
    <row r="791" spans="1:11" ht="12.75" hidden="1" x14ac:dyDescent="0.2">
      <c r="A791" s="16"/>
      <c r="B791" s="16"/>
      <c r="C791" s="15"/>
      <c r="D791" s="16"/>
      <c r="E791" s="17"/>
      <c r="F791" s="17"/>
      <c r="H791" s="19"/>
      <c r="I791" s="47"/>
      <c r="J791" s="48"/>
      <c r="K791" s="49"/>
    </row>
    <row r="792" spans="1:11" ht="12.75" hidden="1" x14ac:dyDescent="0.2">
      <c r="A792" s="16"/>
      <c r="B792" s="16"/>
      <c r="C792" s="15"/>
      <c r="D792" s="16"/>
      <c r="E792" s="17"/>
      <c r="F792" s="17"/>
      <c r="H792" s="19"/>
      <c r="I792" s="47"/>
      <c r="J792" s="48"/>
      <c r="K792" s="49"/>
    </row>
    <row r="793" spans="1:11" ht="12.75" hidden="1" x14ac:dyDescent="0.2">
      <c r="A793" s="16"/>
      <c r="B793" s="16"/>
      <c r="C793" s="15"/>
      <c r="D793" s="16"/>
      <c r="E793" s="17"/>
      <c r="F793" s="17"/>
      <c r="H793" s="19"/>
      <c r="I793" s="47"/>
      <c r="J793" s="48"/>
      <c r="K793" s="49"/>
    </row>
    <row r="794" spans="1:11" ht="12.75" hidden="1" x14ac:dyDescent="0.2">
      <c r="A794" s="16"/>
      <c r="B794" s="16"/>
      <c r="C794" s="15"/>
      <c r="D794" s="16"/>
      <c r="E794" s="17"/>
      <c r="F794" s="17"/>
      <c r="H794" s="19"/>
      <c r="I794" s="47"/>
      <c r="J794" s="48"/>
      <c r="K794" s="49"/>
    </row>
    <row r="795" spans="1:11" ht="12.75" hidden="1" x14ac:dyDescent="0.2">
      <c r="A795" s="16"/>
      <c r="B795" s="16"/>
      <c r="C795" s="15"/>
      <c r="D795" s="16"/>
      <c r="E795" s="17"/>
      <c r="F795" s="17"/>
      <c r="H795" s="19"/>
      <c r="I795" s="47"/>
      <c r="J795" s="48"/>
      <c r="K795" s="49"/>
    </row>
    <row r="796" spans="1:11" ht="12.75" hidden="1" x14ac:dyDescent="0.2">
      <c r="A796" s="16"/>
      <c r="B796" s="16"/>
      <c r="C796" s="15"/>
      <c r="D796" s="16"/>
      <c r="E796" s="17"/>
      <c r="F796" s="17"/>
      <c r="H796" s="19"/>
      <c r="I796" s="47"/>
      <c r="J796" s="48"/>
      <c r="K796" s="49"/>
    </row>
    <row r="797" spans="1:11" ht="12.75" hidden="1" x14ac:dyDescent="0.2">
      <c r="A797" s="16"/>
      <c r="B797" s="16"/>
      <c r="C797" s="15"/>
      <c r="D797" s="16"/>
      <c r="E797" s="17"/>
      <c r="F797" s="17"/>
      <c r="H797" s="19"/>
      <c r="I797" s="47"/>
      <c r="J797" s="48"/>
      <c r="K797" s="49"/>
    </row>
    <row r="798" spans="1:11" ht="12.75" hidden="1" x14ac:dyDescent="0.2">
      <c r="A798" s="16"/>
      <c r="B798" s="16"/>
      <c r="C798" s="15"/>
      <c r="D798" s="16"/>
      <c r="E798" s="17"/>
      <c r="F798" s="17"/>
      <c r="H798" s="19"/>
      <c r="I798" s="47"/>
      <c r="J798" s="48"/>
      <c r="K798" s="49"/>
    </row>
    <row r="799" spans="1:11" ht="12.75" hidden="1" x14ac:dyDescent="0.2">
      <c r="A799" s="16"/>
      <c r="B799" s="16"/>
      <c r="C799" s="15"/>
      <c r="D799" s="16"/>
      <c r="E799" s="17"/>
      <c r="F799" s="17"/>
      <c r="H799" s="19"/>
      <c r="I799" s="47"/>
      <c r="J799" s="48"/>
      <c r="K799" s="49"/>
    </row>
    <row r="800" spans="1:11" ht="12.75" hidden="1" x14ac:dyDescent="0.2">
      <c r="A800" s="16"/>
      <c r="B800" s="16"/>
      <c r="C800" s="15"/>
      <c r="D800" s="16"/>
      <c r="E800" s="17"/>
      <c r="F800" s="17"/>
      <c r="H800" s="19"/>
      <c r="I800" s="47"/>
      <c r="J800" s="48"/>
      <c r="K800" s="49"/>
    </row>
    <row r="801" spans="1:11" ht="12.75" hidden="1" x14ac:dyDescent="0.2">
      <c r="A801" s="16"/>
      <c r="B801" s="16"/>
      <c r="C801" s="15"/>
      <c r="D801" s="16"/>
      <c r="E801" s="17"/>
      <c r="F801" s="17"/>
      <c r="H801" s="19"/>
      <c r="I801" s="47"/>
      <c r="J801" s="48"/>
      <c r="K801" s="49"/>
    </row>
    <row r="802" spans="1:11" ht="12.75" hidden="1" x14ac:dyDescent="0.2">
      <c r="A802" s="16"/>
      <c r="B802" s="16"/>
      <c r="C802" s="15"/>
      <c r="D802" s="16"/>
      <c r="E802" s="17"/>
      <c r="F802" s="17"/>
      <c r="H802" s="19"/>
      <c r="I802" s="47"/>
      <c r="J802" s="48"/>
      <c r="K802" s="49"/>
    </row>
    <row r="803" spans="1:11" ht="12.75" hidden="1" x14ac:dyDescent="0.2">
      <c r="A803" s="16"/>
      <c r="B803" s="16"/>
      <c r="C803" s="15"/>
      <c r="D803" s="16"/>
      <c r="E803" s="17"/>
      <c r="F803" s="17"/>
      <c r="H803" s="19"/>
      <c r="I803" s="47"/>
      <c r="J803" s="48"/>
      <c r="K803" s="49"/>
    </row>
    <row r="804" spans="1:11" ht="12.75" hidden="1" x14ac:dyDescent="0.2">
      <c r="A804" s="16"/>
      <c r="B804" s="16"/>
      <c r="C804" s="15"/>
      <c r="D804" s="16"/>
      <c r="E804" s="17"/>
      <c r="F804" s="17"/>
      <c r="H804" s="19"/>
      <c r="I804" s="47"/>
      <c r="J804" s="48"/>
      <c r="K804" s="49"/>
    </row>
    <row r="805" spans="1:11" ht="12.75" hidden="1" x14ac:dyDescent="0.2">
      <c r="A805" s="16"/>
      <c r="B805" s="16"/>
      <c r="C805" s="15"/>
      <c r="D805" s="16"/>
      <c r="E805" s="17"/>
      <c r="F805" s="17"/>
      <c r="H805" s="19"/>
      <c r="I805" s="47"/>
      <c r="J805" s="48"/>
      <c r="K805" s="49"/>
    </row>
    <row r="806" spans="1:11" ht="12.75" hidden="1" x14ac:dyDescent="0.2">
      <c r="A806" s="16"/>
      <c r="B806" s="16"/>
      <c r="C806" s="15"/>
      <c r="D806" s="16"/>
      <c r="E806" s="17"/>
      <c r="F806" s="17"/>
      <c r="H806" s="19"/>
      <c r="I806" s="47"/>
      <c r="J806" s="48"/>
      <c r="K806" s="49"/>
    </row>
    <row r="807" spans="1:11" ht="12.75" hidden="1" x14ac:dyDescent="0.2">
      <c r="A807" s="16"/>
      <c r="B807" s="16"/>
      <c r="C807" s="15"/>
      <c r="D807" s="16"/>
      <c r="E807" s="17"/>
      <c r="F807" s="17"/>
      <c r="H807" s="19"/>
      <c r="I807" s="47"/>
      <c r="J807" s="48"/>
      <c r="K807" s="49"/>
    </row>
    <row r="808" spans="1:11" ht="12.75" hidden="1" x14ac:dyDescent="0.2">
      <c r="A808" s="16"/>
      <c r="B808" s="16"/>
      <c r="C808" s="15"/>
      <c r="D808" s="16"/>
      <c r="E808" s="17"/>
      <c r="F808" s="17"/>
      <c r="H808" s="19"/>
      <c r="I808" s="47"/>
      <c r="J808" s="48"/>
      <c r="K808" s="49"/>
    </row>
    <row r="809" spans="1:11" ht="12.75" hidden="1" x14ac:dyDescent="0.2">
      <c r="A809" s="16"/>
      <c r="B809" s="16"/>
      <c r="C809" s="15"/>
      <c r="D809" s="16"/>
      <c r="E809" s="17"/>
      <c r="F809" s="17"/>
      <c r="H809" s="19"/>
      <c r="I809" s="47"/>
      <c r="J809" s="48"/>
      <c r="K809" s="49"/>
    </row>
    <row r="810" spans="1:11" ht="12.75" hidden="1" x14ac:dyDescent="0.2">
      <c r="A810" s="16"/>
      <c r="B810" s="16"/>
      <c r="C810" s="15"/>
      <c r="D810" s="16"/>
      <c r="E810" s="17"/>
      <c r="F810" s="17"/>
      <c r="H810" s="19"/>
      <c r="I810" s="47"/>
      <c r="J810" s="48"/>
      <c r="K810" s="49"/>
    </row>
    <row r="811" spans="1:11" ht="12.75" hidden="1" x14ac:dyDescent="0.2">
      <c r="A811" s="16"/>
      <c r="B811" s="16"/>
      <c r="C811" s="15"/>
      <c r="D811" s="16"/>
      <c r="E811" s="17"/>
      <c r="F811" s="17"/>
      <c r="H811" s="19"/>
      <c r="I811" s="47"/>
      <c r="J811" s="48"/>
      <c r="K811" s="49"/>
    </row>
    <row r="812" spans="1:11" ht="12.75" hidden="1" x14ac:dyDescent="0.2">
      <c r="A812" s="16"/>
      <c r="B812" s="16"/>
      <c r="C812" s="15"/>
      <c r="D812" s="16"/>
      <c r="E812" s="17"/>
      <c r="F812" s="17"/>
      <c r="H812" s="19"/>
      <c r="I812" s="47"/>
      <c r="J812" s="48"/>
      <c r="K812" s="49"/>
    </row>
    <row r="813" spans="1:11" ht="12.75" hidden="1" x14ac:dyDescent="0.2">
      <c r="A813" s="16"/>
      <c r="B813" s="16"/>
      <c r="C813" s="15"/>
      <c r="D813" s="16"/>
      <c r="E813" s="17"/>
      <c r="F813" s="17"/>
      <c r="H813" s="19"/>
      <c r="I813" s="47"/>
      <c r="J813" s="48"/>
      <c r="K813" s="49"/>
    </row>
    <row r="814" spans="1:11" ht="12.75" hidden="1" x14ac:dyDescent="0.2">
      <c r="A814" s="16"/>
      <c r="B814" s="16"/>
      <c r="C814" s="15"/>
      <c r="D814" s="16"/>
      <c r="E814" s="17"/>
      <c r="F814" s="17"/>
      <c r="H814" s="19"/>
      <c r="I814" s="47"/>
      <c r="J814" s="48"/>
      <c r="K814" s="49"/>
    </row>
    <row r="815" spans="1:11" ht="12.75" hidden="1" x14ac:dyDescent="0.2">
      <c r="A815" s="16"/>
      <c r="B815" s="16"/>
      <c r="C815" s="15"/>
      <c r="D815" s="16"/>
      <c r="E815" s="17"/>
      <c r="F815" s="17"/>
      <c r="H815" s="19"/>
      <c r="I815" s="47"/>
      <c r="J815" s="48"/>
      <c r="K815" s="49"/>
    </row>
    <row r="816" spans="1:11" ht="12.75" hidden="1" x14ac:dyDescent="0.2">
      <c r="A816" s="16"/>
      <c r="B816" s="16"/>
      <c r="C816" s="15"/>
      <c r="D816" s="16"/>
      <c r="E816" s="17"/>
      <c r="F816" s="17"/>
      <c r="H816" s="19"/>
      <c r="I816" s="47"/>
      <c r="J816" s="48"/>
      <c r="K816" s="49"/>
    </row>
    <row r="817" spans="1:11" ht="12.75" hidden="1" x14ac:dyDescent="0.2">
      <c r="A817" s="16"/>
      <c r="B817" s="16"/>
      <c r="C817" s="15"/>
      <c r="D817" s="16"/>
      <c r="E817" s="17"/>
      <c r="F817" s="17"/>
      <c r="H817" s="19"/>
      <c r="I817" s="47"/>
      <c r="J817" s="48"/>
      <c r="K817" s="49"/>
    </row>
    <row r="818" spans="1:11" ht="12.75" hidden="1" x14ac:dyDescent="0.2">
      <c r="A818" s="16"/>
      <c r="B818" s="16"/>
      <c r="C818" s="15"/>
      <c r="D818" s="16"/>
      <c r="E818" s="17"/>
      <c r="F818" s="17"/>
      <c r="H818" s="19"/>
      <c r="I818" s="47"/>
      <c r="J818" s="48"/>
      <c r="K818" s="49"/>
    </row>
    <row r="819" spans="1:11" ht="12.75" hidden="1" x14ac:dyDescent="0.2">
      <c r="A819" s="16"/>
      <c r="B819" s="16"/>
      <c r="C819" s="15"/>
      <c r="D819" s="16"/>
      <c r="E819" s="17"/>
      <c r="F819" s="17"/>
      <c r="H819" s="19"/>
      <c r="I819" s="47"/>
      <c r="J819" s="48"/>
      <c r="K819" s="49"/>
    </row>
    <row r="820" spans="1:11" ht="12.75" hidden="1" x14ac:dyDescent="0.2">
      <c r="A820" s="16"/>
      <c r="B820" s="16"/>
      <c r="C820" s="15"/>
      <c r="D820" s="16"/>
      <c r="E820" s="17"/>
      <c r="F820" s="17"/>
      <c r="H820" s="19"/>
      <c r="I820" s="47"/>
      <c r="J820" s="48"/>
      <c r="K820" s="49"/>
    </row>
    <row r="821" spans="1:11" ht="12.75" hidden="1" x14ac:dyDescent="0.2">
      <c r="A821" s="16"/>
      <c r="B821" s="16"/>
      <c r="C821" s="15"/>
      <c r="D821" s="16"/>
      <c r="E821" s="17"/>
      <c r="F821" s="17"/>
      <c r="H821" s="19"/>
      <c r="I821" s="47"/>
      <c r="J821" s="48"/>
      <c r="K821" s="49"/>
    </row>
    <row r="822" spans="1:11" ht="12.75" hidden="1" x14ac:dyDescent="0.2">
      <c r="A822" s="16"/>
      <c r="B822" s="16"/>
      <c r="C822" s="15"/>
      <c r="D822" s="16"/>
      <c r="E822" s="17"/>
      <c r="F822" s="17"/>
      <c r="H822" s="19"/>
      <c r="I822" s="47"/>
      <c r="J822" s="48"/>
      <c r="K822" s="49"/>
    </row>
    <row r="823" spans="1:11" ht="12.75" hidden="1" x14ac:dyDescent="0.2">
      <c r="A823" s="16"/>
      <c r="B823" s="16"/>
      <c r="C823" s="15"/>
      <c r="D823" s="16"/>
      <c r="E823" s="17"/>
      <c r="F823" s="17"/>
      <c r="H823" s="19"/>
      <c r="I823" s="47"/>
      <c r="J823" s="48"/>
      <c r="K823" s="49"/>
    </row>
    <row r="824" spans="1:11" ht="12.75" hidden="1" x14ac:dyDescent="0.2">
      <c r="A824" s="16"/>
      <c r="B824" s="16"/>
      <c r="C824" s="15"/>
      <c r="D824" s="16"/>
      <c r="E824" s="17"/>
      <c r="F824" s="17"/>
      <c r="H824" s="19"/>
      <c r="I824" s="47"/>
      <c r="J824" s="48"/>
      <c r="K824" s="49"/>
    </row>
    <row r="825" spans="1:11" ht="12.75" hidden="1" x14ac:dyDescent="0.2">
      <c r="A825" s="16"/>
      <c r="B825" s="16"/>
      <c r="C825" s="15"/>
      <c r="D825" s="16"/>
      <c r="E825" s="17"/>
      <c r="F825" s="17"/>
      <c r="H825" s="19"/>
      <c r="I825" s="47"/>
      <c r="J825" s="48"/>
      <c r="K825" s="49"/>
    </row>
    <row r="826" spans="1:11" ht="12.75" hidden="1" x14ac:dyDescent="0.2">
      <c r="A826" s="16"/>
      <c r="B826" s="16"/>
      <c r="C826" s="15"/>
      <c r="D826" s="16"/>
      <c r="E826" s="17"/>
      <c r="F826" s="17"/>
      <c r="H826" s="19"/>
      <c r="I826" s="47"/>
      <c r="J826" s="48"/>
      <c r="K826" s="49"/>
    </row>
    <row r="827" spans="1:11" ht="12.75" hidden="1" x14ac:dyDescent="0.2">
      <c r="A827" s="16"/>
      <c r="B827" s="16"/>
      <c r="C827" s="15"/>
      <c r="D827" s="16"/>
      <c r="E827" s="17"/>
      <c r="F827" s="17"/>
      <c r="H827" s="19"/>
      <c r="I827" s="47"/>
      <c r="J827" s="48"/>
      <c r="K827" s="49"/>
    </row>
    <row r="828" spans="1:11" ht="12.75" hidden="1" x14ac:dyDescent="0.2">
      <c r="A828" s="16"/>
      <c r="B828" s="16"/>
      <c r="C828" s="15"/>
      <c r="D828" s="16"/>
      <c r="E828" s="17"/>
      <c r="F828" s="17"/>
      <c r="H828" s="19"/>
      <c r="I828" s="47"/>
      <c r="J828" s="48"/>
      <c r="K828" s="49"/>
    </row>
    <row r="829" spans="1:11" ht="12.75" hidden="1" x14ac:dyDescent="0.2">
      <c r="A829" s="16"/>
      <c r="B829" s="16"/>
      <c r="C829" s="15"/>
      <c r="D829" s="16"/>
      <c r="E829" s="17"/>
      <c r="F829" s="17"/>
      <c r="H829" s="19"/>
      <c r="I829" s="47"/>
      <c r="J829" s="48"/>
      <c r="K829" s="49"/>
    </row>
    <row r="830" spans="1:11" ht="12.75" hidden="1" x14ac:dyDescent="0.2">
      <c r="A830" s="16"/>
      <c r="B830" s="16"/>
      <c r="C830" s="15"/>
      <c r="D830" s="16"/>
      <c r="E830" s="17"/>
      <c r="F830" s="17"/>
      <c r="H830" s="19"/>
      <c r="I830" s="47"/>
      <c r="J830" s="48"/>
      <c r="K830" s="49"/>
    </row>
    <row r="831" spans="1:11" ht="12.75" hidden="1" x14ac:dyDescent="0.2">
      <c r="A831" s="16"/>
      <c r="B831" s="16"/>
      <c r="C831" s="15"/>
      <c r="D831" s="16"/>
      <c r="E831" s="17"/>
      <c r="F831" s="17"/>
      <c r="H831" s="19"/>
      <c r="I831" s="47"/>
      <c r="J831" s="48"/>
      <c r="K831" s="49"/>
    </row>
    <row r="832" spans="1:11" ht="12.75" hidden="1" x14ac:dyDescent="0.2">
      <c r="A832" s="16"/>
      <c r="B832" s="16"/>
      <c r="C832" s="15"/>
      <c r="D832" s="16"/>
      <c r="E832" s="17"/>
      <c r="F832" s="17"/>
      <c r="H832" s="19"/>
      <c r="I832" s="47"/>
      <c r="J832" s="48"/>
      <c r="K832" s="49"/>
    </row>
    <row r="833" spans="1:11" ht="12.75" hidden="1" x14ac:dyDescent="0.2">
      <c r="A833" s="16"/>
      <c r="B833" s="16"/>
      <c r="C833" s="15"/>
      <c r="D833" s="16"/>
      <c r="E833" s="17"/>
      <c r="F833" s="17"/>
      <c r="H833" s="19"/>
      <c r="I833" s="47"/>
      <c r="J833" s="48"/>
      <c r="K833" s="49"/>
    </row>
    <row r="834" spans="1:11" ht="12.75" hidden="1" x14ac:dyDescent="0.2">
      <c r="A834" s="16"/>
      <c r="B834" s="16"/>
      <c r="C834" s="15"/>
      <c r="D834" s="16"/>
      <c r="E834" s="17"/>
      <c r="F834" s="17"/>
      <c r="H834" s="19"/>
      <c r="I834" s="47"/>
      <c r="J834" s="48"/>
      <c r="K834" s="49"/>
    </row>
    <row r="835" spans="1:11" ht="12.75" hidden="1" x14ac:dyDescent="0.2">
      <c r="A835" s="16"/>
      <c r="B835" s="16"/>
      <c r="C835" s="15"/>
      <c r="D835" s="16"/>
      <c r="E835" s="17"/>
      <c r="F835" s="17"/>
      <c r="H835" s="19"/>
      <c r="I835" s="47"/>
      <c r="J835" s="48"/>
      <c r="K835" s="49"/>
    </row>
    <row r="836" spans="1:11" ht="12.75" hidden="1" x14ac:dyDescent="0.2">
      <c r="A836" s="16"/>
      <c r="B836" s="16"/>
      <c r="C836" s="15"/>
      <c r="D836" s="16"/>
      <c r="E836" s="17"/>
      <c r="F836" s="17"/>
      <c r="H836" s="19"/>
      <c r="I836" s="47"/>
      <c r="J836" s="48"/>
      <c r="K836" s="49"/>
    </row>
    <row r="837" spans="1:11" ht="12.75" hidden="1" x14ac:dyDescent="0.2">
      <c r="A837" s="16"/>
      <c r="B837" s="16"/>
      <c r="C837" s="15"/>
      <c r="D837" s="16"/>
      <c r="E837" s="17"/>
      <c r="F837" s="17"/>
      <c r="H837" s="19"/>
      <c r="I837" s="47"/>
      <c r="J837" s="48"/>
      <c r="K837" s="49"/>
    </row>
    <row r="838" spans="1:11" ht="12.75" hidden="1" x14ac:dyDescent="0.2">
      <c r="A838" s="16"/>
      <c r="B838" s="16"/>
      <c r="C838" s="15"/>
      <c r="D838" s="16"/>
      <c r="E838" s="17"/>
      <c r="F838" s="17"/>
      <c r="H838" s="19"/>
      <c r="I838" s="47"/>
      <c r="J838" s="48"/>
      <c r="K838" s="49"/>
    </row>
    <row r="839" spans="1:11" ht="12.75" hidden="1" x14ac:dyDescent="0.2">
      <c r="A839" s="16"/>
      <c r="B839" s="16"/>
      <c r="C839" s="15"/>
      <c r="D839" s="16"/>
      <c r="E839" s="17"/>
      <c r="F839" s="17"/>
      <c r="H839" s="19"/>
      <c r="I839" s="47"/>
      <c r="J839" s="48"/>
      <c r="K839" s="49"/>
    </row>
    <row r="840" spans="1:11" ht="12.75" hidden="1" x14ac:dyDescent="0.2">
      <c r="A840" s="16"/>
      <c r="B840" s="16"/>
      <c r="C840" s="15"/>
      <c r="D840" s="16"/>
      <c r="E840" s="17"/>
      <c r="F840" s="17"/>
      <c r="H840" s="19"/>
      <c r="I840" s="47"/>
      <c r="J840" s="48"/>
      <c r="K840" s="49"/>
    </row>
    <row r="841" spans="1:11" ht="12.75" hidden="1" x14ac:dyDescent="0.2">
      <c r="A841" s="16"/>
      <c r="B841" s="16"/>
      <c r="C841" s="15"/>
      <c r="D841" s="16"/>
      <c r="E841" s="17"/>
      <c r="F841" s="17"/>
      <c r="H841" s="19"/>
      <c r="I841" s="47"/>
      <c r="J841" s="48"/>
      <c r="K841" s="49"/>
    </row>
    <row r="842" spans="1:11" ht="12.75" hidden="1" x14ac:dyDescent="0.2">
      <c r="A842" s="16"/>
      <c r="B842" s="16"/>
      <c r="C842" s="15"/>
      <c r="D842" s="16"/>
      <c r="E842" s="17"/>
      <c r="F842" s="17"/>
      <c r="H842" s="19"/>
      <c r="I842" s="47"/>
      <c r="J842" s="48"/>
      <c r="K842" s="49"/>
    </row>
    <row r="843" spans="1:11" ht="12.75" hidden="1" x14ac:dyDescent="0.2">
      <c r="A843" s="16"/>
      <c r="B843" s="16"/>
      <c r="C843" s="15"/>
      <c r="D843" s="16"/>
      <c r="E843" s="17"/>
      <c r="F843" s="17"/>
      <c r="H843" s="19"/>
      <c r="I843" s="47"/>
      <c r="J843" s="48"/>
      <c r="K843" s="49"/>
    </row>
    <row r="844" spans="1:11" ht="12.75" hidden="1" x14ac:dyDescent="0.2">
      <c r="A844" s="16"/>
      <c r="B844" s="16"/>
      <c r="C844" s="15"/>
      <c r="D844" s="16"/>
      <c r="E844" s="17"/>
      <c r="F844" s="17"/>
      <c r="H844" s="19"/>
      <c r="I844" s="47"/>
      <c r="J844" s="48"/>
      <c r="K844" s="49"/>
    </row>
    <row r="845" spans="1:11" ht="12.75" hidden="1" x14ac:dyDescent="0.2">
      <c r="A845" s="16"/>
      <c r="B845" s="16"/>
      <c r="C845" s="15"/>
      <c r="D845" s="16"/>
      <c r="E845" s="17"/>
      <c r="F845" s="17"/>
      <c r="H845" s="19"/>
      <c r="I845" s="47"/>
      <c r="J845" s="48"/>
      <c r="K845" s="49"/>
    </row>
    <row r="846" spans="1:11" ht="12.75" hidden="1" x14ac:dyDescent="0.2">
      <c r="A846" s="16"/>
      <c r="B846" s="16"/>
      <c r="C846" s="15"/>
      <c r="D846" s="16"/>
      <c r="E846" s="17"/>
      <c r="F846" s="17"/>
      <c r="H846" s="19"/>
      <c r="I846" s="47"/>
      <c r="J846" s="48"/>
      <c r="K846" s="49"/>
    </row>
    <row r="847" spans="1:11" ht="12.75" hidden="1" x14ac:dyDescent="0.2">
      <c r="A847" s="16"/>
      <c r="B847" s="16"/>
      <c r="C847" s="15"/>
      <c r="D847" s="16"/>
      <c r="E847" s="17"/>
      <c r="F847" s="17"/>
      <c r="H847" s="19"/>
      <c r="I847" s="47"/>
      <c r="J847" s="48"/>
      <c r="K847" s="49"/>
    </row>
    <row r="848" spans="1:11" ht="12.75" hidden="1" x14ac:dyDescent="0.2">
      <c r="A848" s="16"/>
      <c r="B848" s="16"/>
      <c r="C848" s="15"/>
      <c r="D848" s="16"/>
      <c r="E848" s="17"/>
      <c r="F848" s="17"/>
      <c r="H848" s="19"/>
      <c r="I848" s="47"/>
      <c r="J848" s="48"/>
      <c r="K848" s="49"/>
    </row>
    <row r="849" spans="1:11" ht="12.75" hidden="1" x14ac:dyDescent="0.2">
      <c r="A849" s="16"/>
      <c r="B849" s="16"/>
      <c r="C849" s="15"/>
      <c r="D849" s="16"/>
      <c r="E849" s="17"/>
      <c r="F849" s="17"/>
      <c r="H849" s="19"/>
      <c r="I849" s="47"/>
      <c r="J849" s="48"/>
      <c r="K849" s="49"/>
    </row>
    <row r="850" spans="1:11" ht="12.75" hidden="1" x14ac:dyDescent="0.2">
      <c r="A850" s="16"/>
      <c r="B850" s="16"/>
      <c r="C850" s="15"/>
      <c r="D850" s="16"/>
      <c r="E850" s="17"/>
      <c r="F850" s="17"/>
      <c r="H850" s="19"/>
      <c r="I850" s="47"/>
      <c r="J850" s="48"/>
      <c r="K850" s="49"/>
    </row>
    <row r="851" spans="1:11" ht="12.75" hidden="1" x14ac:dyDescent="0.2">
      <c r="A851" s="16"/>
      <c r="B851" s="16"/>
      <c r="C851" s="15"/>
      <c r="D851" s="16"/>
      <c r="E851" s="17"/>
      <c r="F851" s="17"/>
      <c r="H851" s="19"/>
      <c r="I851" s="47"/>
      <c r="J851" s="48"/>
      <c r="K851" s="49"/>
    </row>
    <row r="852" spans="1:11" ht="12.75" hidden="1" x14ac:dyDescent="0.2">
      <c r="A852" s="16"/>
      <c r="B852" s="16"/>
      <c r="C852" s="15"/>
      <c r="D852" s="16"/>
      <c r="E852" s="17"/>
      <c r="F852" s="17"/>
      <c r="H852" s="19"/>
      <c r="I852" s="47"/>
      <c r="J852" s="48"/>
      <c r="K852" s="49"/>
    </row>
    <row r="853" spans="1:11" ht="12.75" hidden="1" x14ac:dyDescent="0.2">
      <c r="A853" s="16"/>
      <c r="B853" s="16"/>
      <c r="C853" s="15"/>
      <c r="D853" s="16"/>
      <c r="E853" s="17"/>
      <c r="F853" s="17"/>
      <c r="H853" s="50"/>
      <c r="I853" s="51"/>
      <c r="J853" s="52"/>
      <c r="K853" s="53"/>
    </row>
  </sheetData>
  <autoFilter ref="A6:I215" xr:uid="{00000000-0009-0000-0000-000005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6:C853">
    <cfRule type="cellIs" dxfId="37" priority="4" operator="lessThan">
      <formula>"92%"</formula>
    </cfRule>
  </conditionalFormatting>
  <conditionalFormatting sqref="C7:C215">
    <cfRule type="cellIs" dxfId="36" priority="1" operator="lessThan">
      <formula>"90%"</formula>
    </cfRule>
    <cfRule type="cellIs" dxfId="35" priority="2" operator="lessThan">
      <formula>"94%"</formula>
    </cfRule>
  </conditionalFormatting>
  <conditionalFormatting sqref="K1:K853">
    <cfRule type="cellIs" dxfId="34" priority="3" operator="lessThan">
      <formula>0</formula>
    </cfRule>
  </conditionalFormatting>
  <dataValidations count="1">
    <dataValidation type="list" allowBlank="1" sqref="E7:E215" xr:uid="{00000000-0002-0000-0500-000000000000}">
      <formula1>"Weather,Health,Safety,Other"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FF"/>
    <outlinePr summaryBelow="0" summaryRight="0"/>
    <pageSetUpPr fitToPage="1"/>
  </sheetPr>
  <dimension ref="A1:K853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22.28515625" customWidth="1"/>
    <col min="6" max="6" width="23.42578125" customWidth="1"/>
    <col min="7" max="7" width="12.42578125" customWidth="1"/>
    <col min="8" max="10" width="16.28515625" customWidth="1"/>
    <col min="11" max="11" width="17.42578125" customWidth="1"/>
  </cols>
  <sheetData>
    <row r="1" spans="1:11" ht="26.25" x14ac:dyDescent="0.35">
      <c r="A1" s="1"/>
      <c r="B1" s="1"/>
      <c r="C1" s="1"/>
      <c r="D1" s="1"/>
      <c r="E1" s="1"/>
      <c r="F1" s="1"/>
      <c r="G1" s="1"/>
      <c r="H1" s="2"/>
      <c r="I1" s="2"/>
      <c r="J1" s="3"/>
      <c r="K1" s="56" t="e">
        <f>SUM(K7:K215)</f>
        <v>#REF!</v>
      </c>
    </row>
    <row r="2" spans="1:11" x14ac:dyDescent="0.25">
      <c r="A2" s="122"/>
      <c r="B2" s="119"/>
      <c r="C2" s="119"/>
      <c r="D2" s="119"/>
      <c r="E2" s="119"/>
      <c r="F2" s="119"/>
      <c r="G2" s="119"/>
      <c r="H2" s="123" t="s">
        <v>0</v>
      </c>
      <c r="I2" s="124"/>
      <c r="J2" s="5" t="s">
        <v>9</v>
      </c>
      <c r="K2" s="125" t="s">
        <v>93</v>
      </c>
    </row>
    <row r="3" spans="1:11" ht="23.25" x14ac:dyDescent="0.3">
      <c r="A3" s="119"/>
      <c r="B3" s="119"/>
      <c r="C3" s="119"/>
      <c r="D3" s="119"/>
      <c r="E3" s="119"/>
      <c r="F3" s="119"/>
      <c r="G3" s="119"/>
      <c r="H3" s="126">
        <f>SUM(I7:I128)</f>
        <v>165234.24500000002</v>
      </c>
      <c r="I3" s="124"/>
      <c r="J3" s="127">
        <v>0.95</v>
      </c>
      <c r="K3" s="124"/>
    </row>
    <row r="4" spans="1:11" ht="12.75" x14ac:dyDescent="0.2">
      <c r="A4" s="119"/>
      <c r="B4" s="119"/>
      <c r="C4" s="119"/>
      <c r="D4" s="119"/>
      <c r="E4" s="119"/>
      <c r="F4" s="119"/>
      <c r="G4" s="119"/>
      <c r="H4" s="129" t="s">
        <v>11</v>
      </c>
      <c r="I4" s="119"/>
      <c r="J4" s="128"/>
      <c r="K4" s="124"/>
    </row>
    <row r="5" spans="1:11" ht="15" x14ac:dyDescent="0.35">
      <c r="A5" s="119"/>
      <c r="B5" s="119"/>
      <c r="C5" s="119"/>
      <c r="D5" s="119"/>
      <c r="E5" s="119"/>
      <c r="F5" s="119"/>
      <c r="G5" s="119"/>
      <c r="H5" s="130">
        <v>55</v>
      </c>
      <c r="I5" s="119"/>
      <c r="J5" s="128"/>
      <c r="K5" s="124"/>
    </row>
    <row r="6" spans="1:11" ht="24" x14ac:dyDescent="0.2">
      <c r="A6" s="6"/>
      <c r="B6" s="7"/>
      <c r="C6" s="8"/>
      <c r="D6" s="7"/>
      <c r="E6" s="9"/>
      <c r="F6" s="7"/>
      <c r="G6" s="7"/>
      <c r="H6" s="10" t="s">
        <v>19</v>
      </c>
      <c r="I6" s="11" t="s">
        <v>20</v>
      </c>
      <c r="J6" s="12" t="s">
        <v>21</v>
      </c>
      <c r="K6" s="124"/>
    </row>
    <row r="7" spans="1:11" ht="12.75" x14ac:dyDescent="0.2">
      <c r="A7" s="13">
        <v>45516</v>
      </c>
      <c r="B7" s="14" t="s">
        <v>3</v>
      </c>
      <c r="C7" s="15">
        <v>1</v>
      </c>
      <c r="D7" s="16" t="s">
        <v>58</v>
      </c>
      <c r="E7" s="17"/>
      <c r="F7" s="17"/>
      <c r="G7" s="18">
        <v>549</v>
      </c>
      <c r="H7" s="19">
        <f t="shared" ref="H7:H24" si="0">G7-(C7*G7)</f>
        <v>0</v>
      </c>
      <c r="I7" s="20">
        <f t="shared" ref="I7:I215" si="1">H7*$H$5</f>
        <v>0</v>
      </c>
      <c r="J7" s="21">
        <v>0</v>
      </c>
      <c r="K7" s="22">
        <f t="shared" ref="K7:K215" si="2">J7-H7</f>
        <v>0</v>
      </c>
    </row>
    <row r="8" spans="1:11" ht="12.75" x14ac:dyDescent="0.2">
      <c r="A8" s="13">
        <v>45517</v>
      </c>
      <c r="B8" s="14" t="s">
        <v>4</v>
      </c>
      <c r="C8" s="15">
        <v>0.99650000000000005</v>
      </c>
      <c r="D8" s="16" t="s">
        <v>58</v>
      </c>
      <c r="E8" s="17"/>
      <c r="F8" s="17"/>
      <c r="G8" s="18">
        <v>571</v>
      </c>
      <c r="H8" s="19">
        <f t="shared" si="0"/>
        <v>1.9984999999999218</v>
      </c>
      <c r="I8" s="20">
        <f t="shared" si="1"/>
        <v>109.9174999999957</v>
      </c>
      <c r="J8" s="21">
        <f t="shared" ref="J8:J57" si="3">G8-(G8*J$3)</f>
        <v>28.550000000000068</v>
      </c>
      <c r="K8" s="22">
        <f t="shared" si="2"/>
        <v>26.551500000000146</v>
      </c>
    </row>
    <row r="9" spans="1:11" ht="12.75" x14ac:dyDescent="0.2">
      <c r="A9" s="13">
        <v>45518</v>
      </c>
      <c r="B9" s="14" t="s">
        <v>5</v>
      </c>
      <c r="C9" s="15">
        <v>0.98260000000000003</v>
      </c>
      <c r="D9" s="16" t="s">
        <v>58</v>
      </c>
      <c r="E9" s="17"/>
      <c r="F9" s="17"/>
      <c r="G9" s="18">
        <v>575</v>
      </c>
      <c r="H9" s="19">
        <f t="shared" si="0"/>
        <v>10.004999999999995</v>
      </c>
      <c r="I9" s="20">
        <f t="shared" si="1"/>
        <v>550.27499999999975</v>
      </c>
      <c r="J9" s="21">
        <f t="shared" si="3"/>
        <v>28.75</v>
      </c>
      <c r="K9" s="22">
        <f t="shared" si="2"/>
        <v>18.745000000000005</v>
      </c>
    </row>
    <row r="10" spans="1:11" ht="12.75" x14ac:dyDescent="0.2">
      <c r="A10" s="13">
        <v>45519</v>
      </c>
      <c r="B10" s="14" t="s">
        <v>6</v>
      </c>
      <c r="C10" s="15">
        <v>0.98609999999999998</v>
      </c>
      <c r="D10" s="16" t="s">
        <v>58</v>
      </c>
      <c r="E10" s="17"/>
      <c r="F10" s="17"/>
      <c r="G10" s="18">
        <v>576</v>
      </c>
      <c r="H10" s="19">
        <f t="shared" si="0"/>
        <v>8.0063999999999851</v>
      </c>
      <c r="I10" s="20">
        <f t="shared" si="1"/>
        <v>440.35199999999918</v>
      </c>
      <c r="J10" s="21">
        <f t="shared" si="3"/>
        <v>28.800000000000068</v>
      </c>
      <c r="K10" s="22">
        <f t="shared" si="2"/>
        <v>20.793600000000083</v>
      </c>
    </row>
    <row r="11" spans="1:11" ht="12.75" x14ac:dyDescent="0.2">
      <c r="A11" s="13">
        <v>45520</v>
      </c>
      <c r="B11" s="14" t="s">
        <v>7</v>
      </c>
      <c r="C11" s="15">
        <v>0.9587</v>
      </c>
      <c r="D11" s="16" t="s">
        <v>58</v>
      </c>
      <c r="E11" s="17"/>
      <c r="F11" s="17"/>
      <c r="G11" s="18">
        <v>581</v>
      </c>
      <c r="H11" s="19">
        <f t="shared" si="0"/>
        <v>23.995300000000043</v>
      </c>
      <c r="I11" s="20">
        <f t="shared" si="1"/>
        <v>1319.7415000000024</v>
      </c>
      <c r="J11" s="21">
        <f t="shared" si="3"/>
        <v>29.050000000000068</v>
      </c>
      <c r="K11" s="22">
        <f t="shared" si="2"/>
        <v>5.0547000000000253</v>
      </c>
    </row>
    <row r="12" spans="1:11" ht="12.75" x14ac:dyDescent="0.2">
      <c r="A12" s="13">
        <v>45523</v>
      </c>
      <c r="B12" s="14" t="s">
        <v>3</v>
      </c>
      <c r="C12" s="15">
        <v>0.94640000000000002</v>
      </c>
      <c r="D12" s="16" t="s">
        <v>58</v>
      </c>
      <c r="E12" s="17" t="s">
        <v>25</v>
      </c>
      <c r="F12" s="17"/>
      <c r="G12" s="18">
        <v>597</v>
      </c>
      <c r="H12" s="19">
        <f t="shared" si="0"/>
        <v>31.999199999999973</v>
      </c>
      <c r="I12" s="20">
        <f t="shared" si="1"/>
        <v>1759.9559999999985</v>
      </c>
      <c r="J12" s="21">
        <f t="shared" si="3"/>
        <v>29.850000000000023</v>
      </c>
      <c r="K12" s="22">
        <f t="shared" si="2"/>
        <v>-2.1491999999999507</v>
      </c>
    </row>
    <row r="13" spans="1:11" ht="12.75" x14ac:dyDescent="0.2">
      <c r="A13" s="13">
        <v>45524</v>
      </c>
      <c r="B13" s="14" t="s">
        <v>4</v>
      </c>
      <c r="C13" s="15">
        <v>0.97499999999999998</v>
      </c>
      <c r="D13" s="16" t="s">
        <v>58</v>
      </c>
      <c r="E13" s="17"/>
      <c r="F13" s="17"/>
      <c r="G13" s="18">
        <v>599</v>
      </c>
      <c r="H13" s="19">
        <f t="shared" si="0"/>
        <v>14.975000000000023</v>
      </c>
      <c r="I13" s="20">
        <f t="shared" si="1"/>
        <v>823.62500000000125</v>
      </c>
      <c r="J13" s="21">
        <f t="shared" si="3"/>
        <v>29.950000000000045</v>
      </c>
      <c r="K13" s="22">
        <f t="shared" si="2"/>
        <v>14.975000000000023</v>
      </c>
    </row>
    <row r="14" spans="1:11" ht="12.75" x14ac:dyDescent="0.2">
      <c r="A14" s="13">
        <v>45525</v>
      </c>
      <c r="B14" s="14" t="s">
        <v>5</v>
      </c>
      <c r="C14" s="15">
        <v>0.96350000000000002</v>
      </c>
      <c r="D14" s="16" t="s">
        <v>58</v>
      </c>
      <c r="E14" s="17"/>
      <c r="F14" s="17"/>
      <c r="G14" s="18">
        <v>603</v>
      </c>
      <c r="H14" s="19">
        <f t="shared" si="0"/>
        <v>22.009500000000003</v>
      </c>
      <c r="I14" s="20">
        <f t="shared" si="1"/>
        <v>1210.5225</v>
      </c>
      <c r="J14" s="21">
        <f t="shared" si="3"/>
        <v>30.149999999999977</v>
      </c>
      <c r="K14" s="22">
        <f t="shared" si="2"/>
        <v>8.1404999999999745</v>
      </c>
    </row>
    <row r="15" spans="1:11" ht="12.75" x14ac:dyDescent="0.2">
      <c r="A15" s="13">
        <v>45526</v>
      </c>
      <c r="B15" s="14" t="s">
        <v>6</v>
      </c>
      <c r="C15" s="15">
        <v>0.96350000000000002</v>
      </c>
      <c r="D15" s="16" t="s">
        <v>58</v>
      </c>
      <c r="E15" s="17"/>
      <c r="F15" s="17"/>
      <c r="G15" s="18">
        <v>603</v>
      </c>
      <c r="H15" s="19">
        <f t="shared" si="0"/>
        <v>22.009500000000003</v>
      </c>
      <c r="I15" s="20">
        <f t="shared" si="1"/>
        <v>1210.5225</v>
      </c>
      <c r="J15" s="21">
        <f t="shared" si="3"/>
        <v>30.149999999999977</v>
      </c>
      <c r="K15" s="22">
        <f t="shared" si="2"/>
        <v>8.1404999999999745</v>
      </c>
    </row>
    <row r="16" spans="1:11" ht="12.75" x14ac:dyDescent="0.2">
      <c r="A16" s="13">
        <v>45527</v>
      </c>
      <c r="B16" s="14" t="s">
        <v>7</v>
      </c>
      <c r="C16" s="15">
        <v>0.93200000000000005</v>
      </c>
      <c r="D16" s="16" t="s">
        <v>58</v>
      </c>
      <c r="E16" s="17"/>
      <c r="F16" s="17"/>
      <c r="G16" s="18">
        <v>603</v>
      </c>
      <c r="H16" s="19">
        <f t="shared" si="0"/>
        <v>41.004000000000019</v>
      </c>
      <c r="I16" s="20">
        <f t="shared" si="1"/>
        <v>2255.2200000000012</v>
      </c>
      <c r="J16" s="21">
        <f t="shared" si="3"/>
        <v>30.149999999999977</v>
      </c>
      <c r="K16" s="22">
        <f t="shared" si="2"/>
        <v>-10.854000000000042</v>
      </c>
    </row>
    <row r="17" spans="1:11" ht="12.75" x14ac:dyDescent="0.2">
      <c r="A17" s="13">
        <v>45530</v>
      </c>
      <c r="B17" s="14" t="s">
        <v>3</v>
      </c>
      <c r="C17" s="15">
        <v>0.9536</v>
      </c>
      <c r="D17" s="16" t="s">
        <v>58</v>
      </c>
      <c r="E17" s="17"/>
      <c r="F17" s="17"/>
      <c r="G17" s="18">
        <v>603</v>
      </c>
      <c r="H17" s="19">
        <f t="shared" si="0"/>
        <v>27.979199999999992</v>
      </c>
      <c r="I17" s="20">
        <f t="shared" si="1"/>
        <v>1538.8559999999995</v>
      </c>
      <c r="J17" s="21">
        <f t="shared" si="3"/>
        <v>30.149999999999977</v>
      </c>
      <c r="K17" s="22">
        <f t="shared" si="2"/>
        <v>2.1707999999999856</v>
      </c>
    </row>
    <row r="18" spans="1:11" ht="12.75" x14ac:dyDescent="0.2">
      <c r="A18" s="13">
        <v>45531</v>
      </c>
      <c r="B18" s="14" t="s">
        <v>4</v>
      </c>
      <c r="C18" s="15">
        <v>0.95860000000000001</v>
      </c>
      <c r="D18" s="16" t="s">
        <v>58</v>
      </c>
      <c r="E18" s="17"/>
      <c r="F18" s="17"/>
      <c r="G18" s="18">
        <v>604</v>
      </c>
      <c r="H18" s="19">
        <f t="shared" si="0"/>
        <v>25.005599999999959</v>
      </c>
      <c r="I18" s="20">
        <f t="shared" si="1"/>
        <v>1375.3079999999977</v>
      </c>
      <c r="J18" s="21">
        <f t="shared" si="3"/>
        <v>30.200000000000045</v>
      </c>
      <c r="K18" s="22">
        <f t="shared" si="2"/>
        <v>5.1944000000000869</v>
      </c>
    </row>
    <row r="19" spans="1:11" ht="12.75" x14ac:dyDescent="0.2">
      <c r="A19" s="13">
        <v>45532</v>
      </c>
      <c r="B19" s="14" t="s">
        <v>5</v>
      </c>
      <c r="C19" s="15">
        <v>0.94040000000000001</v>
      </c>
      <c r="D19" s="16" t="s">
        <v>58</v>
      </c>
      <c r="E19" s="17"/>
      <c r="F19" s="23"/>
      <c r="G19" s="18">
        <v>604</v>
      </c>
      <c r="H19" s="19">
        <f t="shared" si="0"/>
        <v>35.998399999999947</v>
      </c>
      <c r="I19" s="20">
        <f t="shared" si="1"/>
        <v>1979.9119999999971</v>
      </c>
      <c r="J19" s="21">
        <f t="shared" si="3"/>
        <v>30.200000000000045</v>
      </c>
      <c r="K19" s="22">
        <f t="shared" si="2"/>
        <v>-5.7983999999999014</v>
      </c>
    </row>
    <row r="20" spans="1:11" ht="12.75" x14ac:dyDescent="0.2">
      <c r="A20" s="13">
        <v>45533</v>
      </c>
      <c r="B20" s="14" t="s">
        <v>6</v>
      </c>
      <c r="C20" s="15">
        <v>0.95530000000000004</v>
      </c>
      <c r="D20" s="16" t="s">
        <v>58</v>
      </c>
      <c r="E20" s="17"/>
      <c r="F20" s="17"/>
      <c r="G20" s="18">
        <v>604</v>
      </c>
      <c r="H20" s="19">
        <f t="shared" si="0"/>
        <v>26.99879999999996</v>
      </c>
      <c r="I20" s="20">
        <f t="shared" si="1"/>
        <v>1484.9339999999979</v>
      </c>
      <c r="J20" s="21">
        <f t="shared" si="3"/>
        <v>30.200000000000045</v>
      </c>
      <c r="K20" s="22">
        <f t="shared" si="2"/>
        <v>3.2012000000000853</v>
      </c>
    </row>
    <row r="21" spans="1:11" ht="12.75" x14ac:dyDescent="0.2">
      <c r="A21" s="13">
        <v>45534</v>
      </c>
      <c r="B21" s="14" t="s">
        <v>7</v>
      </c>
      <c r="C21" s="15">
        <v>0.92720000000000002</v>
      </c>
      <c r="D21" s="16" t="s">
        <v>58</v>
      </c>
      <c r="E21" s="17"/>
      <c r="F21" s="17"/>
      <c r="G21" s="18">
        <v>604</v>
      </c>
      <c r="H21" s="19">
        <f t="shared" si="0"/>
        <v>43.971199999999953</v>
      </c>
      <c r="I21" s="20">
        <f t="shared" si="1"/>
        <v>2418.4159999999974</v>
      </c>
      <c r="J21" s="21">
        <f t="shared" si="3"/>
        <v>30.200000000000045</v>
      </c>
      <c r="K21" s="22">
        <f t="shared" si="2"/>
        <v>-13.771199999999908</v>
      </c>
    </row>
    <row r="22" spans="1:11" ht="12.75" x14ac:dyDescent="0.2">
      <c r="A22" s="24">
        <v>45537</v>
      </c>
      <c r="B22" s="25" t="s">
        <v>3</v>
      </c>
      <c r="C22" s="26"/>
      <c r="D22" s="27"/>
      <c r="E22" s="28"/>
      <c r="F22" s="28"/>
      <c r="G22" s="29"/>
      <c r="H22" s="19">
        <f t="shared" si="0"/>
        <v>0</v>
      </c>
      <c r="I22" s="20">
        <f t="shared" si="1"/>
        <v>0</v>
      </c>
      <c r="J22" s="21">
        <f t="shared" si="3"/>
        <v>0</v>
      </c>
      <c r="K22" s="22">
        <f t="shared" si="2"/>
        <v>0</v>
      </c>
    </row>
    <row r="23" spans="1:11" ht="12.75" x14ac:dyDescent="0.2">
      <c r="A23" s="13">
        <v>45538</v>
      </c>
      <c r="B23" s="14" t="s">
        <v>4</v>
      </c>
      <c r="C23" s="15">
        <v>0.94230000000000003</v>
      </c>
      <c r="D23" s="16" t="s">
        <v>58</v>
      </c>
      <c r="E23" s="17"/>
      <c r="F23" s="17"/>
      <c r="G23" s="18">
        <v>607</v>
      </c>
      <c r="H23" s="19">
        <f t="shared" si="0"/>
        <v>35.023900000000026</v>
      </c>
      <c r="I23" s="20">
        <f t="shared" si="1"/>
        <v>1926.3145000000013</v>
      </c>
      <c r="J23" s="21">
        <f t="shared" si="3"/>
        <v>30.350000000000023</v>
      </c>
      <c r="K23" s="22">
        <f t="shared" si="2"/>
        <v>-4.6739000000000033</v>
      </c>
    </row>
    <row r="24" spans="1:11" ht="12.75" x14ac:dyDescent="0.2">
      <c r="A24" s="13">
        <v>45539</v>
      </c>
      <c r="B24" s="14" t="s">
        <v>5</v>
      </c>
      <c r="C24" s="15">
        <v>0.95550000000000002</v>
      </c>
      <c r="D24" s="16" t="s">
        <v>58</v>
      </c>
      <c r="E24" s="17"/>
      <c r="F24" s="17"/>
      <c r="G24" s="18">
        <v>607</v>
      </c>
      <c r="H24" s="19">
        <f t="shared" si="0"/>
        <v>27.011499999999955</v>
      </c>
      <c r="I24" s="20">
        <f t="shared" si="1"/>
        <v>1485.6324999999974</v>
      </c>
      <c r="J24" s="21">
        <f t="shared" si="3"/>
        <v>30.350000000000023</v>
      </c>
      <c r="K24" s="22">
        <f t="shared" si="2"/>
        <v>3.3385000000000673</v>
      </c>
    </row>
    <row r="25" spans="1:11" ht="12.75" x14ac:dyDescent="0.2">
      <c r="A25" s="13">
        <v>45540</v>
      </c>
      <c r="B25" s="14" t="s">
        <v>6</v>
      </c>
      <c r="C25" s="15">
        <v>0.95389999999999997</v>
      </c>
      <c r="D25" s="16" t="s">
        <v>58</v>
      </c>
      <c r="E25" s="17"/>
      <c r="F25" s="17"/>
      <c r="G25" s="18">
        <v>608</v>
      </c>
      <c r="H25" s="19">
        <f t="shared" ref="H25:H28" si="4">G25-(C26*G25)</f>
        <v>37.027199999999993</v>
      </c>
      <c r="I25" s="20">
        <f t="shared" si="1"/>
        <v>2036.4959999999996</v>
      </c>
      <c r="J25" s="21">
        <f t="shared" si="3"/>
        <v>30.399999999999977</v>
      </c>
      <c r="K25" s="22">
        <f t="shared" si="2"/>
        <v>-6.6272000000000162</v>
      </c>
    </row>
    <row r="26" spans="1:11" ht="12.75" x14ac:dyDescent="0.2">
      <c r="A26" s="13">
        <v>45541</v>
      </c>
      <c r="B26" s="14" t="s">
        <v>7</v>
      </c>
      <c r="C26" s="15">
        <v>0.93910000000000005</v>
      </c>
      <c r="D26" s="16" t="s">
        <v>58</v>
      </c>
      <c r="E26" s="17"/>
      <c r="F26" s="17"/>
      <c r="G26" s="18">
        <v>608</v>
      </c>
      <c r="H26" s="19">
        <f t="shared" si="4"/>
        <v>37.027199999999993</v>
      </c>
      <c r="I26" s="20">
        <f t="shared" si="1"/>
        <v>2036.4959999999996</v>
      </c>
      <c r="J26" s="21">
        <f t="shared" si="3"/>
        <v>30.399999999999977</v>
      </c>
      <c r="K26" s="22">
        <f t="shared" si="2"/>
        <v>-6.6272000000000162</v>
      </c>
    </row>
    <row r="27" spans="1:11" ht="12.75" x14ac:dyDescent="0.2">
      <c r="A27" s="13">
        <v>45544</v>
      </c>
      <c r="B27" s="14" t="s">
        <v>3</v>
      </c>
      <c r="C27" s="15">
        <v>0.93910000000000005</v>
      </c>
      <c r="D27" s="16" t="s">
        <v>58</v>
      </c>
      <c r="E27" s="17"/>
      <c r="F27" s="17"/>
      <c r="G27" s="18">
        <v>608</v>
      </c>
      <c r="H27" s="19">
        <f t="shared" si="4"/>
        <v>22.982399999999984</v>
      </c>
      <c r="I27" s="20">
        <f t="shared" si="1"/>
        <v>1264.0319999999992</v>
      </c>
      <c r="J27" s="21">
        <f t="shared" si="3"/>
        <v>30.399999999999977</v>
      </c>
      <c r="K27" s="22">
        <f t="shared" si="2"/>
        <v>7.4175999999999931</v>
      </c>
    </row>
    <row r="28" spans="1:11" ht="12.75" x14ac:dyDescent="0.2">
      <c r="A28" s="13">
        <v>45545</v>
      </c>
      <c r="B28" s="14" t="s">
        <v>4</v>
      </c>
      <c r="C28" s="15">
        <v>0.96220000000000006</v>
      </c>
      <c r="D28" s="16" t="s">
        <v>58</v>
      </c>
      <c r="E28" s="17"/>
      <c r="F28" s="17"/>
      <c r="G28" s="18">
        <v>607</v>
      </c>
      <c r="H28" s="19">
        <f t="shared" si="4"/>
        <v>26.890099999999961</v>
      </c>
      <c r="I28" s="20">
        <f t="shared" si="1"/>
        <v>1478.9554999999978</v>
      </c>
      <c r="J28" s="21">
        <f t="shared" si="3"/>
        <v>30.350000000000023</v>
      </c>
      <c r="K28" s="22">
        <f t="shared" si="2"/>
        <v>3.4599000000000615</v>
      </c>
    </row>
    <row r="29" spans="1:11" ht="12.75" x14ac:dyDescent="0.2">
      <c r="A29" s="13">
        <v>45546</v>
      </c>
      <c r="B29" s="14" t="s">
        <v>5</v>
      </c>
      <c r="C29" s="15">
        <v>0.95569999999999999</v>
      </c>
      <c r="D29" s="16" t="s">
        <v>58</v>
      </c>
      <c r="E29" s="17"/>
      <c r="F29" s="17"/>
      <c r="G29" s="18">
        <v>609</v>
      </c>
      <c r="H29" s="19">
        <f t="shared" ref="H29:H58" si="5">G29-(C29*G29)</f>
        <v>26.978700000000003</v>
      </c>
      <c r="I29" s="20">
        <f t="shared" si="1"/>
        <v>1483.8285000000001</v>
      </c>
      <c r="J29" s="21">
        <f t="shared" si="3"/>
        <v>30.450000000000045</v>
      </c>
      <c r="K29" s="22">
        <f t="shared" si="2"/>
        <v>3.471300000000042</v>
      </c>
    </row>
    <row r="30" spans="1:11" ht="12.75" x14ac:dyDescent="0.2">
      <c r="A30" s="13">
        <v>45547</v>
      </c>
      <c r="B30" s="14" t="s">
        <v>6</v>
      </c>
      <c r="C30" s="15">
        <v>0.95409999999999995</v>
      </c>
      <c r="D30" s="16" t="s">
        <v>58</v>
      </c>
      <c r="E30" s="17"/>
      <c r="F30" s="17"/>
      <c r="G30" s="18">
        <v>610</v>
      </c>
      <c r="H30" s="19">
        <f t="shared" si="5"/>
        <v>27.999000000000024</v>
      </c>
      <c r="I30" s="20">
        <f t="shared" si="1"/>
        <v>1539.9450000000013</v>
      </c>
      <c r="J30" s="21">
        <f t="shared" si="3"/>
        <v>30.5</v>
      </c>
      <c r="K30" s="22">
        <f t="shared" si="2"/>
        <v>2.5009999999999764</v>
      </c>
    </row>
    <row r="31" spans="1:11" ht="12.75" x14ac:dyDescent="0.2">
      <c r="A31" s="13">
        <v>45548</v>
      </c>
      <c r="B31" s="14" t="s">
        <v>7</v>
      </c>
      <c r="C31" s="15">
        <v>0.94750000000000001</v>
      </c>
      <c r="D31" s="16" t="s">
        <v>58</v>
      </c>
      <c r="E31" s="17"/>
      <c r="F31" s="17"/>
      <c r="G31" s="18">
        <v>610</v>
      </c>
      <c r="H31" s="19">
        <f t="shared" si="5"/>
        <v>32.024999999999977</v>
      </c>
      <c r="I31" s="20">
        <f t="shared" si="1"/>
        <v>1761.3749999999986</v>
      </c>
      <c r="J31" s="21">
        <f t="shared" si="3"/>
        <v>30.5</v>
      </c>
      <c r="K31" s="22">
        <f t="shared" si="2"/>
        <v>-1.5249999999999773</v>
      </c>
    </row>
    <row r="32" spans="1:11" ht="12.75" x14ac:dyDescent="0.2">
      <c r="A32" s="30">
        <v>45551</v>
      </c>
      <c r="B32" s="31" t="s">
        <v>3</v>
      </c>
      <c r="C32" s="32"/>
      <c r="D32" s="33"/>
      <c r="E32" s="34"/>
      <c r="F32" s="34"/>
      <c r="G32" s="35"/>
      <c r="H32" s="19">
        <f t="shared" si="5"/>
        <v>0</v>
      </c>
      <c r="I32" s="20">
        <f t="shared" si="1"/>
        <v>0</v>
      </c>
      <c r="J32" s="21">
        <f t="shared" si="3"/>
        <v>0</v>
      </c>
      <c r="K32" s="22">
        <f t="shared" si="2"/>
        <v>0</v>
      </c>
    </row>
    <row r="33" spans="1:11" ht="12.75" x14ac:dyDescent="0.2">
      <c r="A33" s="13">
        <v>45552</v>
      </c>
      <c r="B33" s="14" t="s">
        <v>4</v>
      </c>
      <c r="C33" s="15">
        <v>0.96709999999999996</v>
      </c>
      <c r="D33" s="16" t="s">
        <v>58</v>
      </c>
      <c r="E33" s="17"/>
      <c r="F33" s="17"/>
      <c r="G33" s="18">
        <v>607</v>
      </c>
      <c r="H33" s="19">
        <f t="shared" si="5"/>
        <v>19.970300000000066</v>
      </c>
      <c r="I33" s="20">
        <f t="shared" si="1"/>
        <v>1098.3665000000037</v>
      </c>
      <c r="J33" s="21">
        <f t="shared" si="3"/>
        <v>30.350000000000023</v>
      </c>
      <c r="K33" s="22">
        <f t="shared" si="2"/>
        <v>10.379699999999957</v>
      </c>
    </row>
    <row r="34" spans="1:11" ht="12.75" x14ac:dyDescent="0.2">
      <c r="A34" s="13">
        <v>45553</v>
      </c>
      <c r="B34" s="14" t="s">
        <v>5</v>
      </c>
      <c r="C34" s="15">
        <v>0.96379999999999999</v>
      </c>
      <c r="D34" s="16" t="s">
        <v>58</v>
      </c>
      <c r="E34" s="17"/>
      <c r="F34" s="17"/>
      <c r="G34" s="18">
        <v>607</v>
      </c>
      <c r="H34" s="19">
        <f t="shared" si="5"/>
        <v>21.97339999999997</v>
      </c>
      <c r="I34" s="20">
        <f t="shared" si="1"/>
        <v>1208.5369999999984</v>
      </c>
      <c r="J34" s="21">
        <f t="shared" si="3"/>
        <v>30.350000000000023</v>
      </c>
      <c r="K34" s="22">
        <f t="shared" si="2"/>
        <v>8.3766000000000531</v>
      </c>
    </row>
    <row r="35" spans="1:11" ht="12.75" x14ac:dyDescent="0.2">
      <c r="A35" s="13">
        <v>45554</v>
      </c>
      <c r="B35" s="14" t="s">
        <v>6</v>
      </c>
      <c r="C35" s="15">
        <v>0.95550000000000002</v>
      </c>
      <c r="D35" s="16" t="s">
        <v>58</v>
      </c>
      <c r="E35" s="17"/>
      <c r="F35" s="17"/>
      <c r="G35" s="18">
        <v>607</v>
      </c>
      <c r="H35" s="19">
        <f t="shared" si="5"/>
        <v>27.011499999999955</v>
      </c>
      <c r="I35" s="20">
        <f t="shared" si="1"/>
        <v>1485.6324999999974</v>
      </c>
      <c r="J35" s="21">
        <f t="shared" si="3"/>
        <v>30.350000000000023</v>
      </c>
      <c r="K35" s="22">
        <f t="shared" si="2"/>
        <v>3.3385000000000673</v>
      </c>
    </row>
    <row r="36" spans="1:11" ht="12.75" x14ac:dyDescent="0.2">
      <c r="A36" s="13">
        <v>45555</v>
      </c>
      <c r="B36" s="14" t="s">
        <v>7</v>
      </c>
      <c r="C36" s="15">
        <v>0.88959999999999995</v>
      </c>
      <c r="D36" s="16" t="s">
        <v>58</v>
      </c>
      <c r="E36" s="17"/>
      <c r="F36" s="17"/>
      <c r="G36" s="18">
        <v>606</v>
      </c>
      <c r="H36" s="19">
        <f t="shared" si="5"/>
        <v>66.902400000000057</v>
      </c>
      <c r="I36" s="20">
        <f t="shared" si="1"/>
        <v>3679.6320000000032</v>
      </c>
      <c r="J36" s="21">
        <f t="shared" si="3"/>
        <v>30.300000000000068</v>
      </c>
      <c r="K36" s="22">
        <f t="shared" si="2"/>
        <v>-36.602399999999989</v>
      </c>
    </row>
    <row r="37" spans="1:11" ht="12.75" x14ac:dyDescent="0.2">
      <c r="A37" s="13">
        <v>45558</v>
      </c>
      <c r="B37" s="14" t="s">
        <v>3</v>
      </c>
      <c r="C37" s="15">
        <v>0.95389999999999997</v>
      </c>
      <c r="D37" s="16" t="s">
        <v>58</v>
      </c>
      <c r="E37" s="17"/>
      <c r="F37" s="17"/>
      <c r="G37" s="18">
        <v>608</v>
      </c>
      <c r="H37" s="19">
        <f t="shared" si="5"/>
        <v>28.028800000000047</v>
      </c>
      <c r="I37" s="20">
        <f t="shared" si="1"/>
        <v>1541.5840000000026</v>
      </c>
      <c r="J37" s="21">
        <f t="shared" si="3"/>
        <v>30.399999999999977</v>
      </c>
      <c r="K37" s="22">
        <f t="shared" si="2"/>
        <v>2.3711999999999307</v>
      </c>
    </row>
    <row r="38" spans="1:11" ht="12.75" x14ac:dyDescent="0.2">
      <c r="A38" s="13">
        <v>45559</v>
      </c>
      <c r="B38" s="14" t="s">
        <v>4</v>
      </c>
      <c r="C38" s="15">
        <v>0.96050000000000002</v>
      </c>
      <c r="D38" s="16" t="s">
        <v>58</v>
      </c>
      <c r="E38" s="17"/>
      <c r="F38" s="17"/>
      <c r="G38" s="18">
        <v>608</v>
      </c>
      <c r="H38" s="19">
        <f t="shared" si="5"/>
        <v>24.015999999999963</v>
      </c>
      <c r="I38" s="20">
        <f t="shared" si="1"/>
        <v>1320.8799999999978</v>
      </c>
      <c r="J38" s="21">
        <f t="shared" si="3"/>
        <v>30.399999999999977</v>
      </c>
      <c r="K38" s="22">
        <f t="shared" si="2"/>
        <v>6.3840000000000146</v>
      </c>
    </row>
    <row r="39" spans="1:11" ht="12.75" x14ac:dyDescent="0.2">
      <c r="A39" s="13">
        <v>45560</v>
      </c>
      <c r="B39" s="14" t="s">
        <v>5</v>
      </c>
      <c r="C39" s="15">
        <v>0.97199999999999998</v>
      </c>
      <c r="D39" s="16" t="s">
        <v>58</v>
      </c>
      <c r="E39" s="17"/>
      <c r="F39" s="17"/>
      <c r="G39" s="18">
        <v>607</v>
      </c>
      <c r="H39" s="19">
        <f t="shared" si="5"/>
        <v>16.995999999999981</v>
      </c>
      <c r="I39" s="20">
        <f t="shared" si="1"/>
        <v>934.77999999999895</v>
      </c>
      <c r="J39" s="21">
        <f t="shared" si="3"/>
        <v>30.350000000000023</v>
      </c>
      <c r="K39" s="22">
        <f t="shared" si="2"/>
        <v>13.354000000000042</v>
      </c>
    </row>
    <row r="40" spans="1:11" ht="12.75" x14ac:dyDescent="0.2">
      <c r="A40" s="13">
        <v>45561</v>
      </c>
      <c r="B40" s="14" t="s">
        <v>6</v>
      </c>
      <c r="C40" s="15">
        <v>0.97030000000000005</v>
      </c>
      <c r="D40" s="16" t="s">
        <v>58</v>
      </c>
      <c r="E40" s="17"/>
      <c r="F40" s="17"/>
      <c r="G40" s="18">
        <v>606</v>
      </c>
      <c r="H40" s="19">
        <f t="shared" si="5"/>
        <v>17.998199999999997</v>
      </c>
      <c r="I40" s="20">
        <f t="shared" si="1"/>
        <v>989.90099999999984</v>
      </c>
      <c r="J40" s="21">
        <f t="shared" si="3"/>
        <v>30.300000000000068</v>
      </c>
      <c r="K40" s="22">
        <f t="shared" si="2"/>
        <v>12.301800000000071</v>
      </c>
    </row>
    <row r="41" spans="1:11" ht="12.75" x14ac:dyDescent="0.2">
      <c r="A41" s="13">
        <v>45562</v>
      </c>
      <c r="B41" s="14" t="s">
        <v>7</v>
      </c>
      <c r="C41" s="15">
        <v>0.93910000000000005</v>
      </c>
      <c r="D41" s="16" t="s">
        <v>58</v>
      </c>
      <c r="E41" s="17"/>
      <c r="F41" s="17"/>
      <c r="G41" s="18">
        <v>608</v>
      </c>
      <c r="H41" s="19">
        <f t="shared" si="5"/>
        <v>37.027199999999993</v>
      </c>
      <c r="I41" s="20">
        <f t="shared" si="1"/>
        <v>2036.4959999999996</v>
      </c>
      <c r="J41" s="21">
        <f t="shared" si="3"/>
        <v>30.399999999999977</v>
      </c>
      <c r="K41" s="22">
        <f t="shared" si="2"/>
        <v>-6.6272000000000162</v>
      </c>
    </row>
    <row r="42" spans="1:11" ht="12.75" x14ac:dyDescent="0.2">
      <c r="A42" s="13">
        <v>45565</v>
      </c>
      <c r="B42" s="14" t="s">
        <v>3</v>
      </c>
      <c r="C42" s="15">
        <v>0.9456</v>
      </c>
      <c r="D42" s="16" t="s">
        <v>58</v>
      </c>
      <c r="E42" s="17"/>
      <c r="F42" s="17"/>
      <c r="G42" s="18">
        <v>607</v>
      </c>
      <c r="H42" s="19">
        <f t="shared" si="5"/>
        <v>33.020800000000008</v>
      </c>
      <c r="I42" s="20">
        <f t="shared" si="1"/>
        <v>1816.1440000000005</v>
      </c>
      <c r="J42" s="21">
        <f t="shared" si="3"/>
        <v>30.350000000000023</v>
      </c>
      <c r="K42" s="22">
        <f t="shared" si="2"/>
        <v>-2.6707999999999856</v>
      </c>
    </row>
    <row r="43" spans="1:11" ht="12.75" x14ac:dyDescent="0.2">
      <c r="A43" s="13">
        <v>45566</v>
      </c>
      <c r="B43" s="14" t="s">
        <v>4</v>
      </c>
      <c r="C43" s="15">
        <v>0.94569999999999999</v>
      </c>
      <c r="D43" s="16" t="s">
        <v>58</v>
      </c>
      <c r="E43" s="17"/>
      <c r="F43" s="17"/>
      <c r="G43" s="18">
        <v>607</v>
      </c>
      <c r="H43" s="19">
        <f t="shared" si="5"/>
        <v>32.960100000000011</v>
      </c>
      <c r="I43" s="20">
        <f t="shared" si="1"/>
        <v>1812.8055000000006</v>
      </c>
      <c r="J43" s="21">
        <f t="shared" si="3"/>
        <v>30.350000000000023</v>
      </c>
      <c r="K43" s="22">
        <f t="shared" si="2"/>
        <v>-2.6100999999999885</v>
      </c>
    </row>
    <row r="44" spans="1:11" ht="12.75" x14ac:dyDescent="0.2">
      <c r="A44" s="13">
        <v>45567</v>
      </c>
      <c r="B44" s="14" t="s">
        <v>5</v>
      </c>
      <c r="C44" s="15">
        <v>0.95389999999999997</v>
      </c>
      <c r="D44" s="16" t="s">
        <v>58</v>
      </c>
      <c r="E44" s="17"/>
      <c r="F44" s="17"/>
      <c r="G44" s="18">
        <v>607</v>
      </c>
      <c r="H44" s="19">
        <f t="shared" si="5"/>
        <v>27.982700000000023</v>
      </c>
      <c r="I44" s="20">
        <f t="shared" si="1"/>
        <v>1539.0485000000012</v>
      </c>
      <c r="J44" s="21">
        <f t="shared" si="3"/>
        <v>30.350000000000023</v>
      </c>
      <c r="K44" s="22">
        <f t="shared" si="2"/>
        <v>2.3673000000000002</v>
      </c>
    </row>
    <row r="45" spans="1:11" ht="12.75" x14ac:dyDescent="0.2">
      <c r="A45" s="13">
        <v>45568</v>
      </c>
      <c r="B45" s="14" t="s">
        <v>6</v>
      </c>
      <c r="C45" s="15">
        <v>0.95069999999999999</v>
      </c>
      <c r="D45" s="16" t="s">
        <v>58</v>
      </c>
      <c r="E45" s="17"/>
      <c r="F45" s="17"/>
      <c r="G45" s="18">
        <v>607</v>
      </c>
      <c r="H45" s="19">
        <f t="shared" si="5"/>
        <v>29.925100000000043</v>
      </c>
      <c r="I45" s="20">
        <f t="shared" si="1"/>
        <v>1645.8805000000025</v>
      </c>
      <c r="J45" s="21">
        <f t="shared" si="3"/>
        <v>30.350000000000023</v>
      </c>
      <c r="K45" s="22">
        <f t="shared" si="2"/>
        <v>0.42489999999997963</v>
      </c>
    </row>
    <row r="46" spans="1:11" ht="12.75" x14ac:dyDescent="0.2">
      <c r="A46" s="13">
        <v>45569</v>
      </c>
      <c r="B46" s="14" t="s">
        <v>7</v>
      </c>
      <c r="C46" s="15">
        <v>0.92110000000000003</v>
      </c>
      <c r="D46" s="16" t="s">
        <v>58</v>
      </c>
      <c r="E46" s="17"/>
      <c r="F46" s="17"/>
      <c r="G46" s="18">
        <v>607</v>
      </c>
      <c r="H46" s="19">
        <f t="shared" si="5"/>
        <v>47.892299999999977</v>
      </c>
      <c r="I46" s="20">
        <f t="shared" si="1"/>
        <v>2634.0764999999988</v>
      </c>
      <c r="J46" s="21">
        <f t="shared" si="3"/>
        <v>30.350000000000023</v>
      </c>
      <c r="K46" s="22">
        <f t="shared" si="2"/>
        <v>-17.542299999999955</v>
      </c>
    </row>
    <row r="47" spans="1:11" ht="12.75" x14ac:dyDescent="0.2">
      <c r="A47" s="24">
        <v>45572</v>
      </c>
      <c r="B47" s="25" t="s">
        <v>3</v>
      </c>
      <c r="C47" s="26"/>
      <c r="D47" s="27"/>
      <c r="E47" s="28"/>
      <c r="F47" s="28"/>
      <c r="G47" s="29"/>
      <c r="H47" s="19">
        <f t="shared" si="5"/>
        <v>0</v>
      </c>
      <c r="I47" s="20">
        <f t="shared" si="1"/>
        <v>0</v>
      </c>
      <c r="J47" s="21">
        <f t="shared" si="3"/>
        <v>0</v>
      </c>
      <c r="K47" s="22">
        <f t="shared" si="2"/>
        <v>0</v>
      </c>
    </row>
    <row r="48" spans="1:11" ht="12.75" x14ac:dyDescent="0.2">
      <c r="A48" s="24">
        <v>45573</v>
      </c>
      <c r="B48" s="25" t="s">
        <v>4</v>
      </c>
      <c r="C48" s="26"/>
      <c r="D48" s="27"/>
      <c r="E48" s="28"/>
      <c r="F48" s="28"/>
      <c r="G48" s="29"/>
      <c r="H48" s="19">
        <f t="shared" si="5"/>
        <v>0</v>
      </c>
      <c r="I48" s="20">
        <f t="shared" si="1"/>
        <v>0</v>
      </c>
      <c r="J48" s="21">
        <f t="shared" si="3"/>
        <v>0</v>
      </c>
      <c r="K48" s="22">
        <f t="shared" si="2"/>
        <v>0</v>
      </c>
    </row>
    <row r="49" spans="1:11" ht="12.75" x14ac:dyDescent="0.2">
      <c r="A49" s="24">
        <v>45574</v>
      </c>
      <c r="B49" s="25" t="s">
        <v>5</v>
      </c>
      <c r="C49" s="26"/>
      <c r="D49" s="27"/>
      <c r="E49" s="28"/>
      <c r="F49" s="28"/>
      <c r="G49" s="29"/>
      <c r="H49" s="19">
        <f t="shared" si="5"/>
        <v>0</v>
      </c>
      <c r="I49" s="20">
        <f t="shared" si="1"/>
        <v>0</v>
      </c>
      <c r="J49" s="21">
        <f t="shared" si="3"/>
        <v>0</v>
      </c>
      <c r="K49" s="22">
        <f t="shared" si="2"/>
        <v>0</v>
      </c>
    </row>
    <row r="50" spans="1:11" ht="12.75" x14ac:dyDescent="0.2">
      <c r="A50" s="24">
        <v>45575</v>
      </c>
      <c r="B50" s="25" t="s">
        <v>6</v>
      </c>
      <c r="C50" s="26"/>
      <c r="D50" s="27"/>
      <c r="E50" s="28"/>
      <c r="F50" s="28"/>
      <c r="G50" s="29"/>
      <c r="H50" s="19">
        <f t="shared" si="5"/>
        <v>0</v>
      </c>
      <c r="I50" s="20">
        <f t="shared" si="1"/>
        <v>0</v>
      </c>
      <c r="J50" s="21">
        <f t="shared" si="3"/>
        <v>0</v>
      </c>
      <c r="K50" s="22">
        <f t="shared" si="2"/>
        <v>0</v>
      </c>
    </row>
    <row r="51" spans="1:11" ht="12.75" x14ac:dyDescent="0.2">
      <c r="A51" s="24">
        <v>45576</v>
      </c>
      <c r="B51" s="25" t="s">
        <v>7</v>
      </c>
      <c r="C51" s="26"/>
      <c r="D51" s="27"/>
      <c r="E51" s="28"/>
      <c r="F51" s="28"/>
      <c r="G51" s="29"/>
      <c r="H51" s="19">
        <f t="shared" si="5"/>
        <v>0</v>
      </c>
      <c r="I51" s="20">
        <f t="shared" si="1"/>
        <v>0</v>
      </c>
      <c r="J51" s="21">
        <f t="shared" si="3"/>
        <v>0</v>
      </c>
      <c r="K51" s="22">
        <f t="shared" si="2"/>
        <v>0</v>
      </c>
    </row>
    <row r="52" spans="1:11" ht="12.75" x14ac:dyDescent="0.2">
      <c r="A52" s="13">
        <v>45579</v>
      </c>
      <c r="B52" s="14" t="s">
        <v>3</v>
      </c>
      <c r="C52" s="15">
        <v>0.92759999999999998</v>
      </c>
      <c r="D52" s="16" t="s">
        <v>58</v>
      </c>
      <c r="E52" s="17"/>
      <c r="F52" s="17"/>
      <c r="G52" s="18">
        <v>608</v>
      </c>
      <c r="H52" s="19">
        <f t="shared" si="5"/>
        <v>44.019199999999955</v>
      </c>
      <c r="I52" s="20">
        <f t="shared" si="1"/>
        <v>2421.0559999999978</v>
      </c>
      <c r="J52" s="21">
        <f t="shared" si="3"/>
        <v>30.399999999999977</v>
      </c>
      <c r="K52" s="22">
        <f t="shared" si="2"/>
        <v>-13.619199999999978</v>
      </c>
    </row>
    <row r="53" spans="1:11" ht="12.75" x14ac:dyDescent="0.2">
      <c r="A53" s="13">
        <v>45580</v>
      </c>
      <c r="B53" s="14" t="s">
        <v>4</v>
      </c>
      <c r="C53" s="15">
        <v>0.96220000000000006</v>
      </c>
      <c r="D53" s="16" t="s">
        <v>58</v>
      </c>
      <c r="E53" s="17"/>
      <c r="F53" s="17"/>
      <c r="G53" s="18">
        <v>608</v>
      </c>
      <c r="H53" s="19">
        <f t="shared" si="5"/>
        <v>22.982399999999984</v>
      </c>
      <c r="I53" s="20">
        <f t="shared" si="1"/>
        <v>1264.0319999999992</v>
      </c>
      <c r="J53" s="21">
        <f t="shared" si="3"/>
        <v>30.399999999999977</v>
      </c>
      <c r="K53" s="22">
        <f t="shared" si="2"/>
        <v>7.4175999999999931</v>
      </c>
    </row>
    <row r="54" spans="1:11" ht="12.75" x14ac:dyDescent="0.2">
      <c r="A54" s="13">
        <v>45581</v>
      </c>
      <c r="B54" s="14" t="s">
        <v>5</v>
      </c>
      <c r="C54" s="36">
        <v>0.95720000000000005</v>
      </c>
      <c r="D54" s="16" t="s">
        <v>58</v>
      </c>
      <c r="E54" s="17"/>
      <c r="F54" s="37"/>
      <c r="G54" s="18">
        <v>607</v>
      </c>
      <c r="H54" s="19">
        <f t="shared" si="5"/>
        <v>25.979600000000005</v>
      </c>
      <c r="I54" s="20">
        <f t="shared" si="1"/>
        <v>1428.8780000000002</v>
      </c>
      <c r="J54" s="21">
        <f t="shared" si="3"/>
        <v>30.350000000000023</v>
      </c>
      <c r="K54" s="22">
        <f t="shared" si="2"/>
        <v>4.3704000000000178</v>
      </c>
    </row>
    <row r="55" spans="1:11" ht="12.75" x14ac:dyDescent="0.2">
      <c r="A55" s="13">
        <v>45582</v>
      </c>
      <c r="B55" s="14" t="s">
        <v>6</v>
      </c>
      <c r="C55" s="15">
        <v>0.96209999999999996</v>
      </c>
      <c r="D55" s="16" t="s">
        <v>58</v>
      </c>
      <c r="E55" s="17"/>
      <c r="F55" s="17"/>
      <c r="G55" s="18">
        <v>607</v>
      </c>
      <c r="H55" s="19">
        <f t="shared" si="5"/>
        <v>23.005300000000034</v>
      </c>
      <c r="I55" s="20">
        <f t="shared" si="1"/>
        <v>1265.2915000000019</v>
      </c>
      <c r="J55" s="21">
        <f t="shared" si="3"/>
        <v>30.350000000000023</v>
      </c>
      <c r="K55" s="22">
        <f t="shared" si="2"/>
        <v>7.3446999999999889</v>
      </c>
    </row>
    <row r="56" spans="1:11" ht="12.75" x14ac:dyDescent="0.2">
      <c r="A56" s="13">
        <v>45583</v>
      </c>
      <c r="B56" s="14" t="s">
        <v>7</v>
      </c>
      <c r="C56" s="15">
        <v>0.9274</v>
      </c>
      <c r="D56" s="16" t="s">
        <v>58</v>
      </c>
      <c r="E56" s="17"/>
      <c r="F56" s="17"/>
      <c r="G56" s="18">
        <v>607</v>
      </c>
      <c r="H56" s="19">
        <f t="shared" si="5"/>
        <v>44.068200000000047</v>
      </c>
      <c r="I56" s="20">
        <f t="shared" si="1"/>
        <v>2423.7510000000025</v>
      </c>
      <c r="J56" s="21">
        <f t="shared" si="3"/>
        <v>30.350000000000023</v>
      </c>
      <c r="K56" s="22">
        <f t="shared" si="2"/>
        <v>-13.718200000000024</v>
      </c>
    </row>
    <row r="57" spans="1:11" ht="12.75" x14ac:dyDescent="0.2">
      <c r="A57" s="13">
        <v>45586</v>
      </c>
      <c r="B57" s="14" t="s">
        <v>3</v>
      </c>
      <c r="C57" s="15">
        <v>0.94730000000000003</v>
      </c>
      <c r="D57" s="16" t="s">
        <v>58</v>
      </c>
      <c r="E57" s="17"/>
      <c r="F57" s="17"/>
      <c r="G57" s="18">
        <v>607</v>
      </c>
      <c r="H57" s="19">
        <f t="shared" si="5"/>
        <v>31.988899999999944</v>
      </c>
      <c r="I57" s="20">
        <f t="shared" si="1"/>
        <v>1759.389499999997</v>
      </c>
      <c r="J57" s="21">
        <f t="shared" si="3"/>
        <v>30.350000000000023</v>
      </c>
      <c r="K57" s="22">
        <f t="shared" si="2"/>
        <v>-1.6388999999999214</v>
      </c>
    </row>
    <row r="58" spans="1:11" ht="12.75" x14ac:dyDescent="0.2">
      <c r="A58" s="13">
        <v>45587</v>
      </c>
      <c r="B58" s="14" t="s">
        <v>4</v>
      </c>
      <c r="C58" s="15">
        <v>0.96209999999999996</v>
      </c>
      <c r="D58" s="16" t="s">
        <v>58</v>
      </c>
      <c r="E58" s="17"/>
      <c r="F58" s="17"/>
      <c r="G58" s="57">
        <v>607</v>
      </c>
      <c r="H58" s="19">
        <f t="shared" si="5"/>
        <v>23.005300000000034</v>
      </c>
      <c r="I58" s="20">
        <f t="shared" si="1"/>
        <v>1265.2915000000019</v>
      </c>
      <c r="J58" s="21" t="e">
        <f>#REF!-(#REF!*J$3)</f>
        <v>#REF!</v>
      </c>
      <c r="K58" s="22" t="e">
        <f t="shared" si="2"/>
        <v>#REF!</v>
      </c>
    </row>
    <row r="59" spans="1:11" ht="12.75" x14ac:dyDescent="0.2">
      <c r="A59" s="13">
        <v>45588</v>
      </c>
      <c r="B59" s="14" t="s">
        <v>5</v>
      </c>
      <c r="C59" s="15">
        <v>0.96709999999999996</v>
      </c>
      <c r="D59" s="16" t="s">
        <v>58</v>
      </c>
      <c r="E59" s="17"/>
      <c r="F59" s="17"/>
      <c r="G59" s="57">
        <v>607</v>
      </c>
      <c r="H59" s="19">
        <f>G58-(C59*G58)</f>
        <v>19.970300000000066</v>
      </c>
      <c r="I59" s="20">
        <f t="shared" si="1"/>
        <v>1098.3665000000037</v>
      </c>
      <c r="J59" s="21">
        <f>G58-(G58*J$3)</f>
        <v>30.350000000000023</v>
      </c>
      <c r="K59" s="22">
        <f t="shared" si="2"/>
        <v>10.379699999999957</v>
      </c>
    </row>
    <row r="60" spans="1:11" ht="12.75" x14ac:dyDescent="0.2">
      <c r="A60" s="13">
        <v>45589</v>
      </c>
      <c r="B60" s="14" t="s">
        <v>6</v>
      </c>
      <c r="C60" s="15">
        <v>0.94389999999999996</v>
      </c>
      <c r="D60" s="16" t="s">
        <v>58</v>
      </c>
      <c r="E60" s="17"/>
      <c r="F60" s="17"/>
      <c r="G60" s="18">
        <v>606</v>
      </c>
      <c r="H60" s="19">
        <f t="shared" ref="H60:H91" si="6">G60-(C60*G60)</f>
        <v>33.996600000000058</v>
      </c>
      <c r="I60" s="20">
        <f t="shared" si="1"/>
        <v>1869.8130000000033</v>
      </c>
      <c r="J60" s="21">
        <f t="shared" ref="J60:J91" si="7">G60-(G60*J$3)</f>
        <v>30.300000000000068</v>
      </c>
      <c r="K60" s="22">
        <f t="shared" si="2"/>
        <v>-3.6965999999999894</v>
      </c>
    </row>
    <row r="61" spans="1:11" ht="12.75" x14ac:dyDescent="0.2">
      <c r="A61" s="13">
        <v>45590</v>
      </c>
      <c r="B61" s="14" t="s">
        <v>7</v>
      </c>
      <c r="C61" s="15">
        <v>0.91420000000000001</v>
      </c>
      <c r="D61" s="16" t="s">
        <v>58</v>
      </c>
      <c r="E61" s="17"/>
      <c r="F61" s="17"/>
      <c r="G61" s="18">
        <v>606</v>
      </c>
      <c r="H61" s="19">
        <f t="shared" si="6"/>
        <v>51.994799999999941</v>
      </c>
      <c r="I61" s="20">
        <f t="shared" si="1"/>
        <v>2859.7139999999968</v>
      </c>
      <c r="J61" s="21">
        <f t="shared" si="7"/>
        <v>30.300000000000068</v>
      </c>
      <c r="K61" s="22">
        <f t="shared" si="2"/>
        <v>-21.694799999999873</v>
      </c>
    </row>
    <row r="62" spans="1:11" ht="12.75" x14ac:dyDescent="0.2">
      <c r="A62" s="13">
        <v>45593</v>
      </c>
      <c r="B62" s="14" t="s">
        <v>3</v>
      </c>
      <c r="C62" s="15">
        <v>0.94210000000000005</v>
      </c>
      <c r="D62" s="16" t="s">
        <v>58</v>
      </c>
      <c r="E62" s="17"/>
      <c r="F62" s="17"/>
      <c r="G62" s="18">
        <v>605</v>
      </c>
      <c r="H62" s="19">
        <f t="shared" si="6"/>
        <v>35.029499999999985</v>
      </c>
      <c r="I62" s="20">
        <f t="shared" si="1"/>
        <v>1926.622499999999</v>
      </c>
      <c r="J62" s="21">
        <f t="shared" si="7"/>
        <v>30.25</v>
      </c>
      <c r="K62" s="22">
        <f t="shared" si="2"/>
        <v>-4.7794999999999845</v>
      </c>
    </row>
    <row r="63" spans="1:11" ht="12.75" x14ac:dyDescent="0.2">
      <c r="A63" s="13">
        <v>45594</v>
      </c>
      <c r="B63" s="14" t="s">
        <v>4</v>
      </c>
      <c r="C63" s="15">
        <v>0.96689999999999998</v>
      </c>
      <c r="D63" s="16" t="s">
        <v>58</v>
      </c>
      <c r="E63" s="17"/>
      <c r="F63" s="17"/>
      <c r="G63" s="18">
        <v>604</v>
      </c>
      <c r="H63" s="19">
        <f t="shared" si="6"/>
        <v>19.992399999999975</v>
      </c>
      <c r="I63" s="20">
        <f t="shared" si="1"/>
        <v>1099.5819999999985</v>
      </c>
      <c r="J63" s="21">
        <f t="shared" si="7"/>
        <v>30.200000000000045</v>
      </c>
      <c r="K63" s="22">
        <f t="shared" si="2"/>
        <v>10.20760000000007</v>
      </c>
    </row>
    <row r="64" spans="1:11" ht="12.75" x14ac:dyDescent="0.2">
      <c r="A64" s="13">
        <v>45595</v>
      </c>
      <c r="B64" s="14" t="s">
        <v>5</v>
      </c>
      <c r="C64" s="15">
        <v>0.95540000000000003</v>
      </c>
      <c r="D64" s="16" t="s">
        <v>58</v>
      </c>
      <c r="E64" s="17"/>
      <c r="F64" s="17"/>
      <c r="G64" s="18">
        <v>606</v>
      </c>
      <c r="H64" s="19">
        <f t="shared" si="6"/>
        <v>27.027600000000007</v>
      </c>
      <c r="I64" s="20">
        <f t="shared" si="1"/>
        <v>1486.5180000000005</v>
      </c>
      <c r="J64" s="21">
        <f t="shared" si="7"/>
        <v>30.300000000000068</v>
      </c>
      <c r="K64" s="22">
        <f t="shared" si="2"/>
        <v>3.2724000000000615</v>
      </c>
    </row>
    <row r="65" spans="1:11" ht="12.75" x14ac:dyDescent="0.2">
      <c r="A65" s="13">
        <v>45596</v>
      </c>
      <c r="B65" s="14" t="s">
        <v>6</v>
      </c>
      <c r="C65" s="15">
        <v>0.94550000000000001</v>
      </c>
      <c r="D65" s="16" t="s">
        <v>58</v>
      </c>
      <c r="E65" s="17"/>
      <c r="F65" s="17"/>
      <c r="G65" s="18">
        <v>606</v>
      </c>
      <c r="H65" s="19">
        <f t="shared" si="6"/>
        <v>33.027000000000044</v>
      </c>
      <c r="I65" s="20">
        <f t="shared" si="1"/>
        <v>1816.4850000000024</v>
      </c>
      <c r="J65" s="21">
        <f t="shared" si="7"/>
        <v>30.300000000000068</v>
      </c>
      <c r="K65" s="22">
        <f t="shared" si="2"/>
        <v>-2.7269999999999754</v>
      </c>
    </row>
    <row r="66" spans="1:11" ht="12.75" x14ac:dyDescent="0.2">
      <c r="A66" s="13">
        <v>45597</v>
      </c>
      <c r="B66" s="14" t="s">
        <v>7</v>
      </c>
      <c r="C66" s="15">
        <v>0.90259999999999996</v>
      </c>
      <c r="D66" s="16" t="s">
        <v>58</v>
      </c>
      <c r="E66" s="17"/>
      <c r="F66" s="17"/>
      <c r="G66" s="18">
        <v>606</v>
      </c>
      <c r="H66" s="19">
        <f t="shared" si="6"/>
        <v>59.024400000000014</v>
      </c>
      <c r="I66" s="20">
        <f t="shared" si="1"/>
        <v>3246.3420000000006</v>
      </c>
      <c r="J66" s="21">
        <f t="shared" si="7"/>
        <v>30.300000000000068</v>
      </c>
      <c r="K66" s="22">
        <f t="shared" si="2"/>
        <v>-28.724399999999946</v>
      </c>
    </row>
    <row r="67" spans="1:11" ht="12.75" x14ac:dyDescent="0.2">
      <c r="A67" s="38">
        <v>45600</v>
      </c>
      <c r="B67" s="39" t="s">
        <v>3</v>
      </c>
      <c r="C67" s="40"/>
      <c r="D67" s="41"/>
      <c r="E67" s="42"/>
      <c r="F67" s="42"/>
      <c r="G67" s="43"/>
      <c r="H67" s="19">
        <f t="shared" si="6"/>
        <v>0</v>
      </c>
      <c r="I67" s="20">
        <f t="shared" si="1"/>
        <v>0</v>
      </c>
      <c r="J67" s="21">
        <f t="shared" si="7"/>
        <v>0</v>
      </c>
      <c r="K67" s="22">
        <f t="shared" si="2"/>
        <v>0</v>
      </c>
    </row>
    <row r="68" spans="1:11" ht="12.75" x14ac:dyDescent="0.2">
      <c r="A68" s="30">
        <v>45601</v>
      </c>
      <c r="B68" s="31" t="s">
        <v>4</v>
      </c>
      <c r="C68" s="32"/>
      <c r="D68" s="33"/>
      <c r="E68" s="34"/>
      <c r="F68" s="34"/>
      <c r="G68" s="35"/>
      <c r="H68" s="19">
        <f t="shared" si="6"/>
        <v>0</v>
      </c>
      <c r="I68" s="20">
        <f t="shared" si="1"/>
        <v>0</v>
      </c>
      <c r="J68" s="21">
        <f t="shared" si="7"/>
        <v>0</v>
      </c>
      <c r="K68" s="22">
        <f t="shared" si="2"/>
        <v>0</v>
      </c>
    </row>
    <row r="69" spans="1:11" ht="12.75" x14ac:dyDescent="0.2">
      <c r="A69" s="13">
        <v>45602</v>
      </c>
      <c r="B69" s="14" t="s">
        <v>5</v>
      </c>
      <c r="C69" s="15">
        <v>0.96360000000000001</v>
      </c>
      <c r="D69" s="16" t="s">
        <v>58</v>
      </c>
      <c r="E69" s="17"/>
      <c r="F69" s="17"/>
      <c r="G69" s="18">
        <v>605</v>
      </c>
      <c r="H69" s="19">
        <f t="shared" si="6"/>
        <v>22.022000000000048</v>
      </c>
      <c r="I69" s="20">
        <f t="shared" si="1"/>
        <v>1211.2100000000028</v>
      </c>
      <c r="J69" s="21">
        <f t="shared" si="7"/>
        <v>30.25</v>
      </c>
      <c r="K69" s="22">
        <f t="shared" si="2"/>
        <v>8.2279999999999518</v>
      </c>
    </row>
    <row r="70" spans="1:11" ht="12.75" x14ac:dyDescent="0.2">
      <c r="A70" s="13">
        <v>45603</v>
      </c>
      <c r="B70" s="14" t="s">
        <v>6</v>
      </c>
      <c r="C70" s="15">
        <v>0.98340000000000005</v>
      </c>
      <c r="D70" s="23" t="s">
        <v>58</v>
      </c>
      <c r="E70" s="17"/>
      <c r="F70" s="17"/>
      <c r="G70" s="18">
        <v>604</v>
      </c>
      <c r="H70" s="19">
        <f t="shared" si="6"/>
        <v>10.026399999999967</v>
      </c>
      <c r="I70" s="20">
        <f t="shared" si="1"/>
        <v>551.45199999999818</v>
      </c>
      <c r="J70" s="21">
        <f t="shared" si="7"/>
        <v>30.200000000000045</v>
      </c>
      <c r="K70" s="22">
        <f t="shared" si="2"/>
        <v>20.173600000000079</v>
      </c>
    </row>
    <row r="71" spans="1:11" ht="12.75" x14ac:dyDescent="0.2">
      <c r="A71" s="13">
        <v>45604</v>
      </c>
      <c r="B71" s="14" t="s">
        <v>7</v>
      </c>
      <c r="C71" s="15">
        <v>0.94369999999999998</v>
      </c>
      <c r="D71" s="23" t="s">
        <v>58</v>
      </c>
      <c r="E71" s="17"/>
      <c r="F71" s="17"/>
      <c r="G71" s="18">
        <v>604</v>
      </c>
      <c r="H71" s="19">
        <f t="shared" si="6"/>
        <v>34.005200000000059</v>
      </c>
      <c r="I71" s="20">
        <f t="shared" si="1"/>
        <v>1870.2860000000032</v>
      </c>
      <c r="J71" s="21">
        <f t="shared" si="7"/>
        <v>30.200000000000045</v>
      </c>
      <c r="K71" s="22">
        <f t="shared" si="2"/>
        <v>-3.8052000000000135</v>
      </c>
    </row>
    <row r="72" spans="1:11" ht="12.75" x14ac:dyDescent="0.2">
      <c r="A72" s="13">
        <v>45607</v>
      </c>
      <c r="B72" s="14" t="s">
        <v>3</v>
      </c>
      <c r="C72" s="15">
        <v>0.94369999999999998</v>
      </c>
      <c r="D72" s="23" t="s">
        <v>58</v>
      </c>
      <c r="E72" s="17"/>
      <c r="F72" s="17"/>
      <c r="G72" s="18">
        <v>604</v>
      </c>
      <c r="H72" s="19">
        <f t="shared" si="6"/>
        <v>34.005200000000059</v>
      </c>
      <c r="I72" s="20">
        <f t="shared" si="1"/>
        <v>1870.2860000000032</v>
      </c>
      <c r="J72" s="21">
        <f t="shared" si="7"/>
        <v>30.200000000000045</v>
      </c>
      <c r="K72" s="22">
        <f t="shared" si="2"/>
        <v>-3.8052000000000135</v>
      </c>
    </row>
    <row r="73" spans="1:11" ht="12.75" x14ac:dyDescent="0.2">
      <c r="A73" s="13">
        <v>45608</v>
      </c>
      <c r="B73" s="14" t="s">
        <v>4</v>
      </c>
      <c r="C73" s="15">
        <v>0.96030000000000004</v>
      </c>
      <c r="D73" s="16" t="s">
        <v>58</v>
      </c>
      <c r="E73" s="17"/>
      <c r="F73" s="17"/>
      <c r="G73" s="18">
        <v>604</v>
      </c>
      <c r="H73" s="19">
        <f t="shared" si="6"/>
        <v>23.978799999999978</v>
      </c>
      <c r="I73" s="20">
        <f t="shared" si="1"/>
        <v>1318.8339999999989</v>
      </c>
      <c r="J73" s="21">
        <f t="shared" si="7"/>
        <v>30.200000000000045</v>
      </c>
      <c r="K73" s="22">
        <f t="shared" si="2"/>
        <v>6.2212000000000671</v>
      </c>
    </row>
    <row r="74" spans="1:11" ht="12.75" x14ac:dyDescent="0.2">
      <c r="A74" s="13">
        <v>45609</v>
      </c>
      <c r="B74" s="14" t="s">
        <v>5</v>
      </c>
      <c r="C74" s="15">
        <v>0.97350000000000003</v>
      </c>
      <c r="D74" s="16" t="s">
        <v>58</v>
      </c>
      <c r="E74" s="17"/>
      <c r="F74" s="17"/>
      <c r="G74" s="18">
        <v>604</v>
      </c>
      <c r="H74" s="19">
        <f t="shared" si="6"/>
        <v>16.005999999999972</v>
      </c>
      <c r="I74" s="20">
        <f t="shared" si="1"/>
        <v>880.32999999999845</v>
      </c>
      <c r="J74" s="21">
        <f t="shared" si="7"/>
        <v>30.200000000000045</v>
      </c>
      <c r="K74" s="22">
        <f t="shared" si="2"/>
        <v>14.194000000000074</v>
      </c>
    </row>
    <row r="75" spans="1:11" ht="12.75" x14ac:dyDescent="0.2">
      <c r="A75" s="13">
        <v>45610</v>
      </c>
      <c r="B75" s="14" t="s">
        <v>6</v>
      </c>
      <c r="C75" s="15">
        <v>0.96689999999999998</v>
      </c>
      <c r="D75" s="16" t="s">
        <v>58</v>
      </c>
      <c r="E75" s="17"/>
      <c r="F75" s="17"/>
      <c r="G75" s="18">
        <v>604</v>
      </c>
      <c r="H75" s="19">
        <f t="shared" si="6"/>
        <v>19.992399999999975</v>
      </c>
      <c r="I75" s="20">
        <f t="shared" si="1"/>
        <v>1099.5819999999985</v>
      </c>
      <c r="J75" s="21">
        <f t="shared" si="7"/>
        <v>30.200000000000045</v>
      </c>
      <c r="K75" s="22">
        <f t="shared" si="2"/>
        <v>10.20760000000007</v>
      </c>
    </row>
    <row r="76" spans="1:11" ht="12.75" x14ac:dyDescent="0.2">
      <c r="A76" s="13">
        <v>45611</v>
      </c>
      <c r="B76" s="14" t="s">
        <v>7</v>
      </c>
      <c r="C76" s="15">
        <v>0.93540000000000001</v>
      </c>
      <c r="D76" s="16" t="s">
        <v>58</v>
      </c>
      <c r="E76" s="17"/>
      <c r="F76" s="17"/>
      <c r="G76" s="18">
        <v>604</v>
      </c>
      <c r="H76" s="19">
        <f t="shared" si="6"/>
        <v>39.018400000000042</v>
      </c>
      <c r="I76" s="20">
        <f t="shared" si="1"/>
        <v>2146.0120000000024</v>
      </c>
      <c r="J76" s="21">
        <f t="shared" si="7"/>
        <v>30.200000000000045</v>
      </c>
      <c r="K76" s="22">
        <f t="shared" si="2"/>
        <v>-8.8183999999999969</v>
      </c>
    </row>
    <row r="77" spans="1:11" ht="12.75" x14ac:dyDescent="0.2">
      <c r="A77" s="13">
        <v>45614</v>
      </c>
      <c r="B77" s="14" t="s">
        <v>3</v>
      </c>
      <c r="C77" s="15">
        <v>0.92369999999999997</v>
      </c>
      <c r="D77" s="16" t="s">
        <v>58</v>
      </c>
      <c r="E77" s="17"/>
      <c r="F77" s="17"/>
      <c r="G77" s="18">
        <v>604</v>
      </c>
      <c r="H77" s="19">
        <f t="shared" si="6"/>
        <v>46.085199999999986</v>
      </c>
      <c r="I77" s="20">
        <f t="shared" si="1"/>
        <v>2534.6859999999992</v>
      </c>
      <c r="J77" s="21">
        <f t="shared" si="7"/>
        <v>30.200000000000045</v>
      </c>
      <c r="K77" s="22">
        <f t="shared" si="2"/>
        <v>-15.885199999999941</v>
      </c>
    </row>
    <row r="78" spans="1:11" ht="12.75" x14ac:dyDescent="0.2">
      <c r="A78" s="13">
        <v>45615</v>
      </c>
      <c r="B78" s="14" t="s">
        <v>4</v>
      </c>
      <c r="C78" s="15">
        <v>0.95860000000000001</v>
      </c>
      <c r="D78" s="16" t="s">
        <v>58</v>
      </c>
      <c r="E78" s="17"/>
      <c r="F78" s="17"/>
      <c r="G78" s="18">
        <v>604</v>
      </c>
      <c r="H78" s="19">
        <f t="shared" si="6"/>
        <v>25.005599999999959</v>
      </c>
      <c r="I78" s="20">
        <f t="shared" si="1"/>
        <v>1375.3079999999977</v>
      </c>
      <c r="J78" s="21">
        <f t="shared" si="7"/>
        <v>30.200000000000045</v>
      </c>
      <c r="K78" s="22">
        <f t="shared" si="2"/>
        <v>5.1944000000000869</v>
      </c>
    </row>
    <row r="79" spans="1:11" ht="12.75" x14ac:dyDescent="0.2">
      <c r="A79" s="13">
        <v>45616</v>
      </c>
      <c r="B79" s="14" t="s">
        <v>5</v>
      </c>
      <c r="C79" s="15">
        <v>0.94869999999999999</v>
      </c>
      <c r="D79" s="16" t="s">
        <v>58</v>
      </c>
      <c r="E79" s="17"/>
      <c r="F79" s="17"/>
      <c r="G79" s="18">
        <v>604</v>
      </c>
      <c r="H79" s="19">
        <f t="shared" si="6"/>
        <v>30.985199999999963</v>
      </c>
      <c r="I79" s="20">
        <f t="shared" si="1"/>
        <v>1704.1859999999979</v>
      </c>
      <c r="J79" s="21">
        <f t="shared" si="7"/>
        <v>30.200000000000045</v>
      </c>
      <c r="K79" s="22">
        <f t="shared" si="2"/>
        <v>-0.78519999999991796</v>
      </c>
    </row>
    <row r="80" spans="1:11" ht="12.75" x14ac:dyDescent="0.2">
      <c r="A80" s="13">
        <v>45617</v>
      </c>
      <c r="B80" s="14" t="s">
        <v>6</v>
      </c>
      <c r="C80" s="15">
        <v>0.95030000000000003</v>
      </c>
      <c r="D80" s="16" t="s">
        <v>58</v>
      </c>
      <c r="E80" s="17"/>
      <c r="F80" s="17"/>
      <c r="G80" s="18">
        <v>604</v>
      </c>
      <c r="H80" s="19">
        <f t="shared" si="6"/>
        <v>30.018799999999942</v>
      </c>
      <c r="I80" s="20">
        <f t="shared" si="1"/>
        <v>1651.0339999999969</v>
      </c>
      <c r="J80" s="21">
        <f t="shared" si="7"/>
        <v>30.200000000000045</v>
      </c>
      <c r="K80" s="22">
        <f t="shared" si="2"/>
        <v>0.1812000000001035</v>
      </c>
    </row>
    <row r="81" spans="1:11" ht="12.75" x14ac:dyDescent="0.2">
      <c r="A81" s="13">
        <v>45618</v>
      </c>
      <c r="B81" s="14" t="s">
        <v>7</v>
      </c>
      <c r="C81" s="15">
        <v>0.90069999999999995</v>
      </c>
      <c r="D81" s="16" t="s">
        <v>58</v>
      </c>
      <c r="E81" s="17"/>
      <c r="F81" s="17"/>
      <c r="G81" s="18">
        <v>604</v>
      </c>
      <c r="H81" s="19">
        <f t="shared" si="6"/>
        <v>59.977200000000039</v>
      </c>
      <c r="I81" s="20">
        <f t="shared" si="1"/>
        <v>3298.7460000000019</v>
      </c>
      <c r="J81" s="21">
        <f t="shared" si="7"/>
        <v>30.200000000000045</v>
      </c>
      <c r="K81" s="22">
        <f t="shared" si="2"/>
        <v>-29.777199999999993</v>
      </c>
    </row>
    <row r="82" spans="1:11" ht="12.75" x14ac:dyDescent="0.2">
      <c r="A82" s="30">
        <v>45621</v>
      </c>
      <c r="B82" s="31" t="s">
        <v>3</v>
      </c>
      <c r="C82" s="32"/>
      <c r="D82" s="33"/>
      <c r="E82" s="34"/>
      <c r="F82" s="34"/>
      <c r="G82" s="35"/>
      <c r="H82" s="19">
        <f t="shared" si="6"/>
        <v>0</v>
      </c>
      <c r="I82" s="20">
        <f t="shared" si="1"/>
        <v>0</v>
      </c>
      <c r="J82" s="21">
        <f t="shared" si="7"/>
        <v>0</v>
      </c>
      <c r="K82" s="22">
        <f t="shared" si="2"/>
        <v>0</v>
      </c>
    </row>
    <row r="83" spans="1:11" ht="12.75" x14ac:dyDescent="0.2">
      <c r="A83" s="30">
        <v>45622</v>
      </c>
      <c r="B83" s="31" t="s">
        <v>4</v>
      </c>
      <c r="C83" s="32"/>
      <c r="D83" s="33"/>
      <c r="E83" s="34"/>
      <c r="F83" s="34"/>
      <c r="G83" s="35"/>
      <c r="H83" s="19">
        <f t="shared" si="6"/>
        <v>0</v>
      </c>
      <c r="I83" s="20">
        <f t="shared" si="1"/>
        <v>0</v>
      </c>
      <c r="J83" s="21">
        <f t="shared" si="7"/>
        <v>0</v>
      </c>
      <c r="K83" s="22">
        <f t="shared" si="2"/>
        <v>0</v>
      </c>
    </row>
    <row r="84" spans="1:11" ht="12.75" x14ac:dyDescent="0.2">
      <c r="A84" s="30">
        <v>45623</v>
      </c>
      <c r="B84" s="31" t="s">
        <v>5</v>
      </c>
      <c r="C84" s="32"/>
      <c r="D84" s="33"/>
      <c r="E84" s="34"/>
      <c r="F84" s="34"/>
      <c r="G84" s="35"/>
      <c r="H84" s="19">
        <f t="shared" si="6"/>
        <v>0</v>
      </c>
      <c r="I84" s="20">
        <f t="shared" si="1"/>
        <v>0</v>
      </c>
      <c r="J84" s="21">
        <f t="shared" si="7"/>
        <v>0</v>
      </c>
      <c r="K84" s="22">
        <f t="shared" si="2"/>
        <v>0</v>
      </c>
    </row>
    <row r="85" spans="1:11" ht="12.75" x14ac:dyDescent="0.2">
      <c r="A85" s="30">
        <v>45624</v>
      </c>
      <c r="B85" s="31" t="s">
        <v>6</v>
      </c>
      <c r="C85" s="32"/>
      <c r="D85" s="33"/>
      <c r="E85" s="34"/>
      <c r="F85" s="34"/>
      <c r="G85" s="35"/>
      <c r="H85" s="19">
        <f t="shared" si="6"/>
        <v>0</v>
      </c>
      <c r="I85" s="20">
        <f t="shared" si="1"/>
        <v>0</v>
      </c>
      <c r="J85" s="21">
        <f t="shared" si="7"/>
        <v>0</v>
      </c>
      <c r="K85" s="22">
        <f t="shared" si="2"/>
        <v>0</v>
      </c>
    </row>
    <row r="86" spans="1:11" ht="12.75" x14ac:dyDescent="0.2">
      <c r="A86" s="30">
        <v>45625</v>
      </c>
      <c r="B86" s="31" t="s">
        <v>7</v>
      </c>
      <c r="C86" s="32"/>
      <c r="D86" s="33"/>
      <c r="E86" s="34"/>
      <c r="F86" s="34"/>
      <c r="G86" s="35"/>
      <c r="H86" s="19">
        <f t="shared" si="6"/>
        <v>0</v>
      </c>
      <c r="I86" s="20">
        <f t="shared" si="1"/>
        <v>0</v>
      </c>
      <c r="J86" s="21">
        <f t="shared" si="7"/>
        <v>0</v>
      </c>
      <c r="K86" s="22">
        <f t="shared" si="2"/>
        <v>0</v>
      </c>
    </row>
    <row r="87" spans="1:11" ht="12.75" x14ac:dyDescent="0.2">
      <c r="A87" s="13">
        <v>45628</v>
      </c>
      <c r="B87" s="14" t="s">
        <v>3</v>
      </c>
      <c r="C87" s="15">
        <v>0.93200000000000005</v>
      </c>
      <c r="D87" s="16" t="s">
        <v>58</v>
      </c>
      <c r="E87" s="17"/>
      <c r="F87" s="17"/>
      <c r="G87" s="18">
        <v>603</v>
      </c>
      <c r="H87" s="19">
        <f t="shared" si="6"/>
        <v>41.004000000000019</v>
      </c>
      <c r="I87" s="20">
        <f t="shared" si="1"/>
        <v>2255.2200000000012</v>
      </c>
      <c r="J87" s="21">
        <f t="shared" si="7"/>
        <v>30.149999999999977</v>
      </c>
      <c r="K87" s="22">
        <f t="shared" si="2"/>
        <v>-10.854000000000042</v>
      </c>
    </row>
    <row r="88" spans="1:11" ht="12.75" x14ac:dyDescent="0.2">
      <c r="A88" s="13">
        <v>45629</v>
      </c>
      <c r="B88" s="14" t="s">
        <v>4</v>
      </c>
      <c r="C88" s="15">
        <v>0.96530000000000005</v>
      </c>
      <c r="D88" s="16" t="s">
        <v>58</v>
      </c>
      <c r="E88" s="17"/>
      <c r="F88" s="17"/>
      <c r="G88" s="18">
        <v>605</v>
      </c>
      <c r="H88" s="19">
        <f t="shared" si="6"/>
        <v>20.993499999999926</v>
      </c>
      <c r="I88" s="20">
        <f t="shared" si="1"/>
        <v>1154.6424999999958</v>
      </c>
      <c r="J88" s="21">
        <f t="shared" si="7"/>
        <v>30.25</v>
      </c>
      <c r="K88" s="22">
        <f t="shared" si="2"/>
        <v>9.2565000000000737</v>
      </c>
    </row>
    <row r="89" spans="1:11" ht="12.75" x14ac:dyDescent="0.2">
      <c r="A89" s="13">
        <v>45630</v>
      </c>
      <c r="B89" s="14" t="s">
        <v>5</v>
      </c>
      <c r="C89" s="15">
        <v>0.93879999999999997</v>
      </c>
      <c r="D89" s="16" t="s">
        <v>58</v>
      </c>
      <c r="E89" s="17"/>
      <c r="F89" s="17"/>
      <c r="G89" s="18">
        <v>605</v>
      </c>
      <c r="H89" s="19">
        <f t="shared" si="6"/>
        <v>37.026000000000067</v>
      </c>
      <c r="I89" s="20">
        <f t="shared" si="1"/>
        <v>2036.4300000000037</v>
      </c>
      <c r="J89" s="21">
        <f t="shared" si="7"/>
        <v>30.25</v>
      </c>
      <c r="K89" s="22">
        <f t="shared" si="2"/>
        <v>-6.7760000000000673</v>
      </c>
    </row>
    <row r="90" spans="1:11" ht="12.75" x14ac:dyDescent="0.2">
      <c r="A90" s="13">
        <v>45631</v>
      </c>
      <c r="B90" s="14" t="s">
        <v>6</v>
      </c>
      <c r="C90" s="15">
        <v>0.96030000000000004</v>
      </c>
      <c r="D90" s="16" t="s">
        <v>58</v>
      </c>
      <c r="E90" s="17"/>
      <c r="F90" s="17"/>
      <c r="G90" s="18">
        <v>605</v>
      </c>
      <c r="H90" s="19">
        <f t="shared" si="6"/>
        <v>24.018500000000017</v>
      </c>
      <c r="I90" s="20">
        <f t="shared" si="1"/>
        <v>1321.0175000000008</v>
      </c>
      <c r="J90" s="21">
        <f t="shared" si="7"/>
        <v>30.25</v>
      </c>
      <c r="K90" s="22">
        <f t="shared" si="2"/>
        <v>6.2314999999999827</v>
      </c>
    </row>
    <row r="91" spans="1:11" ht="12.75" x14ac:dyDescent="0.2">
      <c r="A91" s="13">
        <v>45632</v>
      </c>
      <c r="B91" s="14" t="s">
        <v>7</v>
      </c>
      <c r="C91" s="15">
        <v>0.9405</v>
      </c>
      <c r="D91" s="16" t="s">
        <v>58</v>
      </c>
      <c r="E91" s="17"/>
      <c r="F91" s="17"/>
      <c r="G91" s="18">
        <v>605</v>
      </c>
      <c r="H91" s="19">
        <f t="shared" si="6"/>
        <v>35.997499999999945</v>
      </c>
      <c r="I91" s="20">
        <f t="shared" si="1"/>
        <v>1979.862499999997</v>
      </c>
      <c r="J91" s="21">
        <f t="shared" si="7"/>
        <v>30.25</v>
      </c>
      <c r="K91" s="22">
        <f t="shared" si="2"/>
        <v>-5.7474999999999454</v>
      </c>
    </row>
    <row r="92" spans="1:11" ht="12.75" x14ac:dyDescent="0.2">
      <c r="A92" s="13">
        <v>45635</v>
      </c>
      <c r="B92" s="14" t="s">
        <v>3</v>
      </c>
      <c r="C92" s="15">
        <v>0.95699999999999996</v>
      </c>
      <c r="D92" s="16" t="s">
        <v>58</v>
      </c>
      <c r="E92" s="17"/>
      <c r="F92" s="17"/>
      <c r="G92" s="18">
        <v>605</v>
      </c>
      <c r="H92" s="19">
        <f t="shared" ref="H92:H96" si="8">G93-(C92*G93)</f>
        <v>26.014999999999986</v>
      </c>
      <c r="I92" s="20">
        <f t="shared" si="1"/>
        <v>1430.8249999999994</v>
      </c>
      <c r="J92" s="21">
        <f t="shared" ref="J92:J93" si="9">G93-(G93*J$3)</f>
        <v>30.25</v>
      </c>
      <c r="K92" s="22">
        <f t="shared" si="2"/>
        <v>4.2350000000000136</v>
      </c>
    </row>
    <row r="93" spans="1:11" ht="12.75" x14ac:dyDescent="0.2">
      <c r="A93" s="13">
        <v>45636</v>
      </c>
      <c r="B93" s="14" t="s">
        <v>4</v>
      </c>
      <c r="C93" s="15">
        <v>0.96199999999999997</v>
      </c>
      <c r="D93" s="16" t="s">
        <v>58</v>
      </c>
      <c r="E93" s="17"/>
      <c r="F93" s="17"/>
      <c r="G93" s="18">
        <v>605</v>
      </c>
      <c r="H93" s="19">
        <f t="shared" si="8"/>
        <v>22.990000000000009</v>
      </c>
      <c r="I93" s="20">
        <f t="shared" si="1"/>
        <v>1264.4500000000005</v>
      </c>
      <c r="J93" s="21">
        <f t="shared" si="9"/>
        <v>30.25</v>
      </c>
      <c r="K93" s="22">
        <f t="shared" si="2"/>
        <v>7.2599999999999909</v>
      </c>
    </row>
    <row r="94" spans="1:11" ht="12.75" x14ac:dyDescent="0.2">
      <c r="A94" s="13">
        <v>45637</v>
      </c>
      <c r="B94" s="14" t="s">
        <v>5</v>
      </c>
      <c r="C94" s="15">
        <v>0.96030000000000004</v>
      </c>
      <c r="D94" s="16" t="s">
        <v>58</v>
      </c>
      <c r="E94" s="17"/>
      <c r="F94" s="17"/>
      <c r="G94" s="18">
        <v>605</v>
      </c>
      <c r="H94" s="19">
        <f t="shared" si="8"/>
        <v>24.13760000000002</v>
      </c>
      <c r="I94" s="20">
        <f t="shared" si="1"/>
        <v>1327.5680000000011</v>
      </c>
      <c r="J94" s="21">
        <f t="shared" ref="J94:J215" si="10">G94-(G94*J$3)</f>
        <v>30.25</v>
      </c>
      <c r="K94" s="22">
        <f t="shared" si="2"/>
        <v>6.1123999999999796</v>
      </c>
    </row>
    <row r="95" spans="1:11" ht="12.75" x14ac:dyDescent="0.2">
      <c r="A95" s="13">
        <v>45638</v>
      </c>
      <c r="B95" s="14" t="s">
        <v>6</v>
      </c>
      <c r="C95" s="15">
        <v>0.94740000000000002</v>
      </c>
      <c r="D95" s="16" t="s">
        <v>58</v>
      </c>
      <c r="E95" s="17"/>
      <c r="F95" s="17"/>
      <c r="G95" s="18">
        <v>608</v>
      </c>
      <c r="H95" s="19">
        <f t="shared" si="8"/>
        <v>31.980800000000045</v>
      </c>
      <c r="I95" s="20">
        <f t="shared" si="1"/>
        <v>1758.9440000000025</v>
      </c>
      <c r="J95" s="21">
        <f t="shared" si="10"/>
        <v>30.399999999999977</v>
      </c>
      <c r="K95" s="22">
        <f t="shared" si="2"/>
        <v>-1.5808000000000675</v>
      </c>
    </row>
    <row r="96" spans="1:11" ht="12.75" x14ac:dyDescent="0.2">
      <c r="A96" s="13">
        <v>45639</v>
      </c>
      <c r="B96" s="14" t="s">
        <v>7</v>
      </c>
      <c r="C96" s="15">
        <v>0.92269999999999996</v>
      </c>
      <c r="D96" s="16" t="s">
        <v>58</v>
      </c>
      <c r="E96" s="17"/>
      <c r="F96" s="17"/>
      <c r="G96" s="18">
        <v>608</v>
      </c>
      <c r="H96" s="19">
        <f t="shared" si="8"/>
        <v>46.998400000000061</v>
      </c>
      <c r="I96" s="20">
        <f t="shared" si="1"/>
        <v>2584.9120000000034</v>
      </c>
      <c r="J96" s="21">
        <f t="shared" si="10"/>
        <v>30.399999999999977</v>
      </c>
      <c r="K96" s="22">
        <f t="shared" si="2"/>
        <v>-16.598400000000083</v>
      </c>
    </row>
    <row r="97" spans="1:11" ht="12.75" x14ac:dyDescent="0.2">
      <c r="A97" s="13">
        <v>45642</v>
      </c>
      <c r="B97" s="14" t="s">
        <v>3</v>
      </c>
      <c r="C97" s="15">
        <v>0.93589999999999995</v>
      </c>
      <c r="D97" s="16" t="s">
        <v>58</v>
      </c>
      <c r="E97" s="17"/>
      <c r="F97" s="17"/>
      <c r="G97" s="18">
        <v>608</v>
      </c>
      <c r="H97" s="19">
        <f t="shared" ref="H97:H215" si="11">G97-(C97*G97)</f>
        <v>38.972800000000007</v>
      </c>
      <c r="I97" s="20">
        <f t="shared" si="1"/>
        <v>2143.5040000000004</v>
      </c>
      <c r="J97" s="21">
        <f t="shared" si="10"/>
        <v>30.399999999999977</v>
      </c>
      <c r="K97" s="22">
        <f t="shared" si="2"/>
        <v>-8.5728000000000293</v>
      </c>
    </row>
    <row r="98" spans="1:11" ht="12.75" x14ac:dyDescent="0.2">
      <c r="A98" s="13">
        <v>45643</v>
      </c>
      <c r="B98" s="14" t="s">
        <v>4</v>
      </c>
      <c r="C98" s="15">
        <v>0.96220000000000006</v>
      </c>
      <c r="D98" s="16" t="s">
        <v>58</v>
      </c>
      <c r="E98" s="17"/>
      <c r="F98" s="17"/>
      <c r="G98" s="18">
        <v>608</v>
      </c>
      <c r="H98" s="19">
        <f t="shared" si="11"/>
        <v>22.982399999999984</v>
      </c>
      <c r="I98" s="20">
        <f t="shared" si="1"/>
        <v>1264.0319999999992</v>
      </c>
      <c r="J98" s="21">
        <f t="shared" si="10"/>
        <v>30.399999999999977</v>
      </c>
      <c r="K98" s="22">
        <f t="shared" si="2"/>
        <v>7.4175999999999931</v>
      </c>
    </row>
    <row r="99" spans="1:11" ht="12.75" x14ac:dyDescent="0.2">
      <c r="A99" s="13">
        <v>45644</v>
      </c>
      <c r="B99" s="14" t="s">
        <v>5</v>
      </c>
      <c r="C99" s="15">
        <v>0.96220000000000006</v>
      </c>
      <c r="D99" s="16" t="s">
        <v>58</v>
      </c>
      <c r="E99" s="17"/>
      <c r="F99" s="17"/>
      <c r="G99" s="18">
        <v>608</v>
      </c>
      <c r="H99" s="19">
        <f t="shared" si="11"/>
        <v>22.982399999999984</v>
      </c>
      <c r="I99" s="20">
        <f t="shared" si="1"/>
        <v>1264.0319999999992</v>
      </c>
      <c r="J99" s="21">
        <f t="shared" si="10"/>
        <v>30.399999999999977</v>
      </c>
      <c r="K99" s="22">
        <f t="shared" si="2"/>
        <v>7.4175999999999931</v>
      </c>
    </row>
    <row r="100" spans="1:11" ht="12.75" x14ac:dyDescent="0.2">
      <c r="A100" s="13">
        <v>45645</v>
      </c>
      <c r="B100" s="14" t="s">
        <v>6</v>
      </c>
      <c r="C100" s="15">
        <v>0.92930000000000001</v>
      </c>
      <c r="D100" s="16" t="s">
        <v>58</v>
      </c>
      <c r="E100" s="17"/>
      <c r="F100" s="17"/>
      <c r="G100" s="18">
        <v>608</v>
      </c>
      <c r="H100" s="19">
        <f t="shared" si="11"/>
        <v>42.985599999999977</v>
      </c>
      <c r="I100" s="20">
        <f t="shared" si="1"/>
        <v>2364.2079999999987</v>
      </c>
      <c r="J100" s="21">
        <f t="shared" si="10"/>
        <v>30.399999999999977</v>
      </c>
      <c r="K100" s="22">
        <f t="shared" si="2"/>
        <v>-12.585599999999999</v>
      </c>
    </row>
    <row r="101" spans="1:11" ht="12.75" x14ac:dyDescent="0.2">
      <c r="A101" s="13">
        <v>45646</v>
      </c>
      <c r="B101" s="14" t="s">
        <v>7</v>
      </c>
      <c r="C101" s="15">
        <v>0.90629999999999999</v>
      </c>
      <c r="D101" s="16" t="s">
        <v>58</v>
      </c>
      <c r="E101" s="17"/>
      <c r="F101" s="17"/>
      <c r="G101" s="18">
        <v>608</v>
      </c>
      <c r="H101" s="19">
        <f t="shared" si="11"/>
        <v>56.969600000000014</v>
      </c>
      <c r="I101" s="20">
        <f t="shared" si="1"/>
        <v>3133.3280000000009</v>
      </c>
      <c r="J101" s="21">
        <f t="shared" si="10"/>
        <v>30.399999999999977</v>
      </c>
      <c r="K101" s="22">
        <f t="shared" si="2"/>
        <v>-26.569600000000037</v>
      </c>
    </row>
    <row r="102" spans="1:11" ht="12.75" x14ac:dyDescent="0.2">
      <c r="A102" s="24">
        <v>45649</v>
      </c>
      <c r="B102" s="25" t="s">
        <v>3</v>
      </c>
      <c r="C102" s="26"/>
      <c r="D102" s="27"/>
      <c r="E102" s="28"/>
      <c r="F102" s="28"/>
      <c r="G102" s="29"/>
      <c r="H102" s="19">
        <f t="shared" si="11"/>
        <v>0</v>
      </c>
      <c r="I102" s="20">
        <f t="shared" si="1"/>
        <v>0</v>
      </c>
      <c r="J102" s="21">
        <f t="shared" si="10"/>
        <v>0</v>
      </c>
      <c r="K102" s="22">
        <f t="shared" si="2"/>
        <v>0</v>
      </c>
    </row>
    <row r="103" spans="1:11" ht="12.75" x14ac:dyDescent="0.2">
      <c r="A103" s="24">
        <v>45650</v>
      </c>
      <c r="B103" s="25" t="s">
        <v>4</v>
      </c>
      <c r="C103" s="26"/>
      <c r="D103" s="27"/>
      <c r="E103" s="28"/>
      <c r="F103" s="28"/>
      <c r="G103" s="29"/>
      <c r="H103" s="19">
        <f t="shared" si="11"/>
        <v>0</v>
      </c>
      <c r="I103" s="20">
        <f t="shared" si="1"/>
        <v>0</v>
      </c>
      <c r="J103" s="21">
        <f t="shared" si="10"/>
        <v>0</v>
      </c>
      <c r="K103" s="22">
        <f t="shared" si="2"/>
        <v>0</v>
      </c>
    </row>
    <row r="104" spans="1:11" ht="12.75" x14ac:dyDescent="0.2">
      <c r="A104" s="24">
        <v>45651</v>
      </c>
      <c r="B104" s="25" t="s">
        <v>5</v>
      </c>
      <c r="C104" s="26"/>
      <c r="D104" s="27"/>
      <c r="E104" s="28"/>
      <c r="F104" s="28"/>
      <c r="G104" s="29"/>
      <c r="H104" s="19">
        <f t="shared" si="11"/>
        <v>0</v>
      </c>
      <c r="I104" s="20">
        <f t="shared" si="1"/>
        <v>0</v>
      </c>
      <c r="J104" s="21">
        <f t="shared" si="10"/>
        <v>0</v>
      </c>
      <c r="K104" s="22">
        <f t="shared" si="2"/>
        <v>0</v>
      </c>
    </row>
    <row r="105" spans="1:11" ht="12.75" x14ac:dyDescent="0.2">
      <c r="A105" s="24">
        <v>45652</v>
      </c>
      <c r="B105" s="25" t="s">
        <v>6</v>
      </c>
      <c r="C105" s="26"/>
      <c r="D105" s="27"/>
      <c r="E105" s="28"/>
      <c r="F105" s="28"/>
      <c r="G105" s="29"/>
      <c r="H105" s="19">
        <f t="shared" si="11"/>
        <v>0</v>
      </c>
      <c r="I105" s="20">
        <f t="shared" si="1"/>
        <v>0</v>
      </c>
      <c r="J105" s="21">
        <f t="shared" si="10"/>
        <v>0</v>
      </c>
      <c r="K105" s="22">
        <f t="shared" si="2"/>
        <v>0</v>
      </c>
    </row>
    <row r="106" spans="1:11" ht="12.75" x14ac:dyDescent="0.2">
      <c r="A106" s="24">
        <v>45653</v>
      </c>
      <c r="B106" s="25" t="s">
        <v>7</v>
      </c>
      <c r="C106" s="26"/>
      <c r="D106" s="27"/>
      <c r="E106" s="28"/>
      <c r="F106" s="28"/>
      <c r="G106" s="29"/>
      <c r="H106" s="19">
        <f t="shared" si="11"/>
        <v>0</v>
      </c>
      <c r="I106" s="20">
        <f t="shared" si="1"/>
        <v>0</v>
      </c>
      <c r="J106" s="21">
        <f t="shared" si="10"/>
        <v>0</v>
      </c>
      <c r="K106" s="22">
        <f t="shared" si="2"/>
        <v>0</v>
      </c>
    </row>
    <row r="107" spans="1:11" ht="12.75" x14ac:dyDescent="0.2">
      <c r="A107" s="24">
        <v>45656</v>
      </c>
      <c r="B107" s="25" t="s">
        <v>3</v>
      </c>
      <c r="C107" s="26"/>
      <c r="D107" s="27"/>
      <c r="E107" s="28"/>
      <c r="F107" s="28"/>
      <c r="G107" s="29"/>
      <c r="H107" s="19">
        <f t="shared" si="11"/>
        <v>0</v>
      </c>
      <c r="I107" s="20">
        <f t="shared" si="1"/>
        <v>0</v>
      </c>
      <c r="J107" s="21">
        <f t="shared" si="10"/>
        <v>0</v>
      </c>
      <c r="K107" s="22">
        <f t="shared" si="2"/>
        <v>0</v>
      </c>
    </row>
    <row r="108" spans="1:11" ht="12.75" x14ac:dyDescent="0.2">
      <c r="A108" s="24">
        <v>45657</v>
      </c>
      <c r="B108" s="25" t="s">
        <v>4</v>
      </c>
      <c r="C108" s="26"/>
      <c r="D108" s="27"/>
      <c r="E108" s="28"/>
      <c r="F108" s="28"/>
      <c r="G108" s="29"/>
      <c r="H108" s="19">
        <f t="shared" si="11"/>
        <v>0</v>
      </c>
      <c r="I108" s="20">
        <f t="shared" si="1"/>
        <v>0</v>
      </c>
      <c r="J108" s="21">
        <f t="shared" si="10"/>
        <v>0</v>
      </c>
      <c r="K108" s="22">
        <f t="shared" si="2"/>
        <v>0</v>
      </c>
    </row>
    <row r="109" spans="1:11" ht="12.75" x14ac:dyDescent="0.2">
      <c r="A109" s="24">
        <v>45658</v>
      </c>
      <c r="B109" s="25" t="s">
        <v>5</v>
      </c>
      <c r="C109" s="26"/>
      <c r="D109" s="27"/>
      <c r="E109" s="28"/>
      <c r="F109" s="28"/>
      <c r="G109" s="29"/>
      <c r="H109" s="19">
        <f t="shared" si="11"/>
        <v>0</v>
      </c>
      <c r="I109" s="20">
        <f t="shared" si="1"/>
        <v>0</v>
      </c>
      <c r="J109" s="21">
        <f t="shared" si="10"/>
        <v>0</v>
      </c>
      <c r="K109" s="22">
        <f t="shared" si="2"/>
        <v>0</v>
      </c>
    </row>
    <row r="110" spans="1:11" ht="12.75" x14ac:dyDescent="0.2">
      <c r="A110" s="24">
        <v>45659</v>
      </c>
      <c r="B110" s="25" t="s">
        <v>6</v>
      </c>
      <c r="C110" s="26"/>
      <c r="D110" s="27"/>
      <c r="E110" s="28"/>
      <c r="F110" s="28"/>
      <c r="G110" s="29"/>
      <c r="H110" s="19">
        <f t="shared" si="11"/>
        <v>0</v>
      </c>
      <c r="I110" s="20">
        <f t="shared" si="1"/>
        <v>0</v>
      </c>
      <c r="J110" s="21">
        <f t="shared" si="10"/>
        <v>0</v>
      </c>
      <c r="K110" s="22">
        <f t="shared" si="2"/>
        <v>0</v>
      </c>
    </row>
    <row r="111" spans="1:11" ht="12.75" x14ac:dyDescent="0.2">
      <c r="A111" s="24">
        <v>45660</v>
      </c>
      <c r="B111" s="25" t="s">
        <v>7</v>
      </c>
      <c r="C111" s="26"/>
      <c r="D111" s="27"/>
      <c r="E111" s="28"/>
      <c r="F111" s="28"/>
      <c r="G111" s="29"/>
      <c r="H111" s="19">
        <f t="shared" si="11"/>
        <v>0</v>
      </c>
      <c r="I111" s="20">
        <f t="shared" si="1"/>
        <v>0</v>
      </c>
      <c r="J111" s="21">
        <f t="shared" si="10"/>
        <v>0</v>
      </c>
      <c r="K111" s="22">
        <f t="shared" si="2"/>
        <v>0</v>
      </c>
    </row>
    <row r="112" spans="1:11" ht="12.75" x14ac:dyDescent="0.2">
      <c r="A112" s="30">
        <v>45663</v>
      </c>
      <c r="B112" s="31" t="s">
        <v>3</v>
      </c>
      <c r="C112" s="32"/>
      <c r="D112" s="33"/>
      <c r="E112" s="34"/>
      <c r="F112" s="34"/>
      <c r="G112" s="35"/>
      <c r="H112" s="19">
        <f t="shared" si="11"/>
        <v>0</v>
      </c>
      <c r="I112" s="20">
        <f t="shared" si="1"/>
        <v>0</v>
      </c>
      <c r="J112" s="21">
        <f t="shared" si="10"/>
        <v>0</v>
      </c>
      <c r="K112" s="22">
        <f t="shared" si="2"/>
        <v>0</v>
      </c>
    </row>
    <row r="113" spans="1:11" ht="12.75" x14ac:dyDescent="0.2">
      <c r="A113" s="30">
        <v>45664</v>
      </c>
      <c r="B113" s="31" t="s">
        <v>4</v>
      </c>
      <c r="C113" s="32"/>
      <c r="D113" s="33"/>
      <c r="E113" s="34"/>
      <c r="F113" s="34"/>
      <c r="G113" s="35"/>
      <c r="H113" s="19">
        <f t="shared" si="11"/>
        <v>0</v>
      </c>
      <c r="I113" s="20">
        <f t="shared" si="1"/>
        <v>0</v>
      </c>
      <c r="J113" s="21">
        <f t="shared" si="10"/>
        <v>0</v>
      </c>
      <c r="K113" s="22">
        <f t="shared" si="2"/>
        <v>0</v>
      </c>
    </row>
    <row r="114" spans="1:11" ht="12.75" x14ac:dyDescent="0.2">
      <c r="A114" s="13">
        <v>45665</v>
      </c>
      <c r="B114" s="14" t="s">
        <v>5</v>
      </c>
      <c r="C114" s="15">
        <v>0.89900000000000002</v>
      </c>
      <c r="D114" s="16" t="s">
        <v>60</v>
      </c>
      <c r="E114" s="17"/>
      <c r="F114" s="17"/>
      <c r="G114" s="18">
        <v>604</v>
      </c>
      <c r="H114" s="19">
        <f t="shared" si="11"/>
        <v>61.004000000000019</v>
      </c>
      <c r="I114" s="20">
        <f t="shared" si="1"/>
        <v>3355.2200000000012</v>
      </c>
      <c r="J114" s="21">
        <f t="shared" si="10"/>
        <v>30.200000000000045</v>
      </c>
      <c r="K114" s="22">
        <f t="shared" si="2"/>
        <v>-30.803999999999974</v>
      </c>
    </row>
    <row r="115" spans="1:11" ht="12.75" x14ac:dyDescent="0.2">
      <c r="A115" s="13">
        <v>45666</v>
      </c>
      <c r="B115" s="14" t="s">
        <v>6</v>
      </c>
      <c r="C115" s="15">
        <v>0.89600000000000002</v>
      </c>
      <c r="D115" s="16" t="s">
        <v>60</v>
      </c>
      <c r="E115" s="17"/>
      <c r="F115" s="17"/>
      <c r="G115" s="18">
        <v>606</v>
      </c>
      <c r="H115" s="19">
        <f t="shared" si="11"/>
        <v>63.024000000000001</v>
      </c>
      <c r="I115" s="20">
        <f t="shared" si="1"/>
        <v>3466.32</v>
      </c>
      <c r="J115" s="21">
        <f t="shared" si="10"/>
        <v>30.300000000000068</v>
      </c>
      <c r="K115" s="22">
        <f t="shared" si="2"/>
        <v>-32.723999999999933</v>
      </c>
    </row>
    <row r="116" spans="1:11" ht="12.75" x14ac:dyDescent="0.2">
      <c r="A116" s="13">
        <v>45667</v>
      </c>
      <c r="B116" s="14" t="s">
        <v>7</v>
      </c>
      <c r="C116" s="15">
        <v>0.86370000000000002</v>
      </c>
      <c r="D116" s="16" t="s">
        <v>60</v>
      </c>
      <c r="E116" s="17"/>
      <c r="F116" s="17"/>
      <c r="G116" s="18">
        <v>609</v>
      </c>
      <c r="H116" s="19">
        <f t="shared" si="11"/>
        <v>83.006700000000023</v>
      </c>
      <c r="I116" s="20">
        <f t="shared" si="1"/>
        <v>4565.3685000000014</v>
      </c>
      <c r="J116" s="21">
        <f t="shared" si="10"/>
        <v>30.450000000000045</v>
      </c>
      <c r="K116" s="22">
        <f t="shared" si="2"/>
        <v>-52.556699999999978</v>
      </c>
    </row>
    <row r="117" spans="1:11" ht="12.75" x14ac:dyDescent="0.2">
      <c r="A117" s="13">
        <v>45670</v>
      </c>
      <c r="B117" s="14" t="s">
        <v>3</v>
      </c>
      <c r="C117" s="15">
        <v>0.95240000000000002</v>
      </c>
      <c r="D117" s="16" t="s">
        <v>58</v>
      </c>
      <c r="E117" s="17"/>
      <c r="F117" s="17"/>
      <c r="G117" s="18">
        <v>611</v>
      </c>
      <c r="H117" s="19">
        <f t="shared" si="11"/>
        <v>29.083599999999933</v>
      </c>
      <c r="I117" s="20">
        <f t="shared" si="1"/>
        <v>1599.5979999999963</v>
      </c>
      <c r="J117" s="21">
        <f t="shared" si="10"/>
        <v>30.550000000000068</v>
      </c>
      <c r="K117" s="22">
        <f t="shared" si="2"/>
        <v>1.4664000000001352</v>
      </c>
    </row>
    <row r="118" spans="1:11" ht="12.75" x14ac:dyDescent="0.2">
      <c r="A118" s="13">
        <v>45671</v>
      </c>
      <c r="B118" s="14" t="s">
        <v>4</v>
      </c>
      <c r="C118" s="15">
        <v>0.9607</v>
      </c>
      <c r="D118" s="16" t="s">
        <v>58</v>
      </c>
      <c r="E118" s="17"/>
      <c r="F118" s="17"/>
      <c r="G118" s="18">
        <v>614</v>
      </c>
      <c r="H118" s="19">
        <f t="shared" si="11"/>
        <v>24.130199999999945</v>
      </c>
      <c r="I118" s="20">
        <f t="shared" si="1"/>
        <v>1327.1609999999969</v>
      </c>
      <c r="J118" s="21">
        <f t="shared" si="10"/>
        <v>30.700000000000045</v>
      </c>
      <c r="K118" s="22">
        <f t="shared" si="2"/>
        <v>6.5698000000001002</v>
      </c>
    </row>
    <row r="119" spans="1:11" ht="12.75" x14ac:dyDescent="0.2">
      <c r="A119" s="13">
        <v>45672</v>
      </c>
      <c r="B119" s="14" t="s">
        <v>5</v>
      </c>
      <c r="C119" s="15">
        <v>0.96560000000000001</v>
      </c>
      <c r="D119" s="16" t="s">
        <v>58</v>
      </c>
      <c r="E119" s="17"/>
      <c r="F119" s="17"/>
      <c r="G119" s="18">
        <v>610</v>
      </c>
      <c r="H119" s="19">
        <f t="shared" si="11"/>
        <v>20.984000000000037</v>
      </c>
      <c r="I119" s="20">
        <f t="shared" si="1"/>
        <v>1154.1200000000022</v>
      </c>
      <c r="J119" s="21">
        <f t="shared" si="10"/>
        <v>30.5</v>
      </c>
      <c r="K119" s="22">
        <f t="shared" si="2"/>
        <v>9.5159999999999627</v>
      </c>
    </row>
    <row r="120" spans="1:11" ht="12.75" x14ac:dyDescent="0.2">
      <c r="A120" s="13">
        <v>45673</v>
      </c>
      <c r="B120" s="14" t="s">
        <v>6</v>
      </c>
      <c r="C120" s="15">
        <v>0.95079999999999998</v>
      </c>
      <c r="D120" s="16" t="s">
        <v>58</v>
      </c>
      <c r="E120" s="17"/>
      <c r="F120" s="17"/>
      <c r="G120" s="18">
        <v>610</v>
      </c>
      <c r="H120" s="19">
        <f t="shared" si="11"/>
        <v>30.012000000000057</v>
      </c>
      <c r="I120" s="20">
        <f t="shared" si="1"/>
        <v>1650.660000000003</v>
      </c>
      <c r="J120" s="21">
        <f t="shared" si="10"/>
        <v>30.5</v>
      </c>
      <c r="K120" s="22">
        <f t="shared" si="2"/>
        <v>0.4879999999999427</v>
      </c>
    </row>
    <row r="121" spans="1:11" ht="12.75" x14ac:dyDescent="0.2">
      <c r="A121" s="13">
        <v>45674</v>
      </c>
      <c r="B121" s="14" t="s">
        <v>7</v>
      </c>
      <c r="C121" s="15">
        <v>0.91800000000000004</v>
      </c>
      <c r="D121" s="16" t="s">
        <v>58</v>
      </c>
      <c r="E121" s="17"/>
      <c r="F121" s="17"/>
      <c r="G121" s="18">
        <v>610</v>
      </c>
      <c r="H121" s="19">
        <f t="shared" si="11"/>
        <v>50.019999999999982</v>
      </c>
      <c r="I121" s="20">
        <f t="shared" si="1"/>
        <v>2751.099999999999</v>
      </c>
      <c r="J121" s="21">
        <f t="shared" si="10"/>
        <v>30.5</v>
      </c>
      <c r="K121" s="22">
        <f t="shared" si="2"/>
        <v>-19.519999999999982</v>
      </c>
    </row>
    <row r="122" spans="1:11" ht="12.75" x14ac:dyDescent="0.2">
      <c r="A122" s="24">
        <v>45677</v>
      </c>
      <c r="B122" s="25" t="s">
        <v>3</v>
      </c>
      <c r="C122" s="26"/>
      <c r="D122" s="27"/>
      <c r="E122" s="28"/>
      <c r="F122" s="28"/>
      <c r="G122" s="29"/>
      <c r="H122" s="19">
        <f t="shared" si="11"/>
        <v>0</v>
      </c>
      <c r="I122" s="20">
        <f t="shared" si="1"/>
        <v>0</v>
      </c>
      <c r="J122" s="21">
        <f t="shared" si="10"/>
        <v>0</v>
      </c>
      <c r="K122" s="22">
        <f t="shared" si="2"/>
        <v>0</v>
      </c>
    </row>
    <row r="123" spans="1:11" ht="12.75" x14ac:dyDescent="0.2">
      <c r="A123" s="13">
        <v>45678</v>
      </c>
      <c r="B123" s="14" t="s">
        <v>4</v>
      </c>
      <c r="C123" s="15"/>
      <c r="D123" s="16"/>
      <c r="E123" s="17"/>
      <c r="F123" s="17"/>
      <c r="H123" s="19">
        <f t="shared" si="11"/>
        <v>0</v>
      </c>
      <c r="I123" s="20">
        <f t="shared" si="1"/>
        <v>0</v>
      </c>
      <c r="J123" s="21">
        <f t="shared" si="10"/>
        <v>0</v>
      </c>
      <c r="K123" s="22">
        <f t="shared" si="2"/>
        <v>0</v>
      </c>
    </row>
    <row r="124" spans="1:11" ht="12.75" x14ac:dyDescent="0.2">
      <c r="A124" s="13">
        <v>45679</v>
      </c>
      <c r="B124" s="14" t="s">
        <v>5</v>
      </c>
      <c r="C124" s="15"/>
      <c r="D124" s="16"/>
      <c r="E124" s="17"/>
      <c r="F124" s="17"/>
      <c r="H124" s="19">
        <f t="shared" si="11"/>
        <v>0</v>
      </c>
      <c r="I124" s="20">
        <f t="shared" si="1"/>
        <v>0</v>
      </c>
      <c r="J124" s="21">
        <f t="shared" si="10"/>
        <v>0</v>
      </c>
      <c r="K124" s="22">
        <f t="shared" si="2"/>
        <v>0</v>
      </c>
    </row>
    <row r="125" spans="1:11" ht="12.75" x14ac:dyDescent="0.2">
      <c r="A125" s="13">
        <v>45680</v>
      </c>
      <c r="B125" s="14" t="s">
        <v>6</v>
      </c>
      <c r="C125" s="15">
        <v>0.85709999999999997</v>
      </c>
      <c r="D125" s="16" t="s">
        <v>60</v>
      </c>
      <c r="E125" s="17"/>
      <c r="F125" s="17"/>
      <c r="G125" s="18">
        <v>609</v>
      </c>
      <c r="H125" s="19">
        <f t="shared" si="11"/>
        <v>87.026100000000042</v>
      </c>
      <c r="I125" s="20">
        <f t="shared" si="1"/>
        <v>4786.4355000000023</v>
      </c>
      <c r="J125" s="21">
        <f t="shared" si="10"/>
        <v>30.450000000000045</v>
      </c>
      <c r="K125" s="22">
        <f t="shared" si="2"/>
        <v>-56.576099999999997</v>
      </c>
    </row>
    <row r="126" spans="1:11" ht="12.75" x14ac:dyDescent="0.2">
      <c r="A126" s="13">
        <v>45681</v>
      </c>
      <c r="B126" s="14" t="s">
        <v>7</v>
      </c>
      <c r="C126" s="15">
        <v>0.90800000000000003</v>
      </c>
      <c r="D126" s="16" t="s">
        <v>58</v>
      </c>
      <c r="E126" s="17"/>
      <c r="F126" s="17"/>
      <c r="G126" s="18">
        <v>609</v>
      </c>
      <c r="H126" s="19">
        <f t="shared" si="11"/>
        <v>56.02800000000002</v>
      </c>
      <c r="I126" s="20">
        <f t="shared" si="1"/>
        <v>3081.5400000000009</v>
      </c>
      <c r="J126" s="21">
        <f t="shared" si="10"/>
        <v>30.450000000000045</v>
      </c>
      <c r="K126" s="22">
        <f t="shared" si="2"/>
        <v>-25.577999999999975</v>
      </c>
    </row>
    <row r="127" spans="1:11" ht="12.75" x14ac:dyDescent="0.2">
      <c r="A127" s="13">
        <v>45684</v>
      </c>
      <c r="B127" s="14" t="s">
        <v>3</v>
      </c>
      <c r="C127" s="15">
        <v>0.93400000000000005</v>
      </c>
      <c r="D127" s="16" t="s">
        <v>58</v>
      </c>
      <c r="E127" s="17"/>
      <c r="F127" s="17"/>
      <c r="G127" s="18">
        <v>606</v>
      </c>
      <c r="H127" s="19">
        <f t="shared" si="11"/>
        <v>39.995999999999981</v>
      </c>
      <c r="I127" s="20">
        <f t="shared" si="1"/>
        <v>2199.7799999999988</v>
      </c>
      <c r="J127" s="21">
        <f t="shared" si="10"/>
        <v>30.300000000000068</v>
      </c>
      <c r="K127" s="22">
        <f t="shared" si="2"/>
        <v>-9.6959999999999127</v>
      </c>
    </row>
    <row r="128" spans="1:11" ht="12.75" x14ac:dyDescent="0.2">
      <c r="A128" s="13">
        <v>45685</v>
      </c>
      <c r="B128" s="14" t="s">
        <v>4</v>
      </c>
      <c r="C128" s="15">
        <v>0.93899999999999995</v>
      </c>
      <c r="D128" s="16" t="s">
        <v>58</v>
      </c>
      <c r="E128" s="17"/>
      <c r="F128" s="17"/>
      <c r="G128" s="18">
        <v>607</v>
      </c>
      <c r="H128" s="19">
        <f t="shared" si="11"/>
        <v>37.027000000000044</v>
      </c>
      <c r="I128" s="20">
        <f t="shared" si="1"/>
        <v>2036.4850000000024</v>
      </c>
      <c r="J128" s="21">
        <f t="shared" si="10"/>
        <v>30.350000000000023</v>
      </c>
      <c r="K128" s="22">
        <f t="shared" si="2"/>
        <v>-6.6770000000000209</v>
      </c>
    </row>
    <row r="129" spans="1:11" ht="12.75" x14ac:dyDescent="0.2">
      <c r="A129" s="13">
        <v>45686</v>
      </c>
      <c r="B129" s="14" t="s">
        <v>5</v>
      </c>
      <c r="C129" s="15">
        <v>0.95240000000000002</v>
      </c>
      <c r="D129" s="16" t="s">
        <v>58</v>
      </c>
      <c r="E129" s="17"/>
      <c r="F129" s="17"/>
      <c r="G129" s="18">
        <v>608</v>
      </c>
      <c r="H129" s="19">
        <f t="shared" si="11"/>
        <v>28.940799999999967</v>
      </c>
      <c r="I129" s="20">
        <f t="shared" si="1"/>
        <v>1591.7439999999983</v>
      </c>
      <c r="J129" s="21">
        <f t="shared" si="10"/>
        <v>30.399999999999977</v>
      </c>
      <c r="K129" s="22">
        <f t="shared" si="2"/>
        <v>1.4592000000000098</v>
      </c>
    </row>
    <row r="130" spans="1:11" ht="12.75" x14ac:dyDescent="0.2">
      <c r="A130" s="13">
        <v>45687</v>
      </c>
      <c r="B130" s="14" t="s">
        <v>6</v>
      </c>
      <c r="C130" s="15">
        <v>0.93330000000000002</v>
      </c>
      <c r="D130" s="16" t="s">
        <v>58</v>
      </c>
      <c r="E130" s="17"/>
      <c r="F130" s="17"/>
      <c r="G130" s="18">
        <v>610</v>
      </c>
      <c r="H130" s="19">
        <f t="shared" si="11"/>
        <v>40.687000000000012</v>
      </c>
      <c r="I130" s="20">
        <f t="shared" si="1"/>
        <v>2237.7850000000008</v>
      </c>
      <c r="J130" s="21">
        <f t="shared" si="10"/>
        <v>30.5</v>
      </c>
      <c r="K130" s="22">
        <f t="shared" si="2"/>
        <v>-10.187000000000012</v>
      </c>
    </row>
    <row r="131" spans="1:11" ht="12.75" x14ac:dyDescent="0.2">
      <c r="A131" s="13">
        <v>45688</v>
      </c>
      <c r="B131" s="14" t="s">
        <v>7</v>
      </c>
      <c r="C131" s="15">
        <v>0.9194</v>
      </c>
      <c r="D131" s="16" t="s">
        <v>58</v>
      </c>
      <c r="E131" s="17"/>
      <c r="F131" s="17"/>
      <c r="G131" s="18">
        <v>608</v>
      </c>
      <c r="H131" s="19">
        <f t="shared" si="11"/>
        <v>49.004800000000046</v>
      </c>
      <c r="I131" s="20">
        <f t="shared" si="1"/>
        <v>2695.2640000000024</v>
      </c>
      <c r="J131" s="21">
        <f t="shared" si="10"/>
        <v>30.399999999999977</v>
      </c>
      <c r="K131" s="22">
        <f t="shared" si="2"/>
        <v>-18.604800000000068</v>
      </c>
    </row>
    <row r="132" spans="1:11" ht="12.75" x14ac:dyDescent="0.2">
      <c r="A132" s="13">
        <v>45691</v>
      </c>
      <c r="B132" s="14" t="s">
        <v>3</v>
      </c>
      <c r="C132" s="15">
        <v>0.79900000000000004</v>
      </c>
      <c r="D132" s="16" t="s">
        <v>60</v>
      </c>
      <c r="E132" s="17" t="s">
        <v>30</v>
      </c>
      <c r="F132" s="17"/>
      <c r="G132" s="18">
        <v>607</v>
      </c>
      <c r="H132" s="19">
        <f t="shared" si="11"/>
        <v>122.00699999999995</v>
      </c>
      <c r="I132" s="20">
        <f t="shared" si="1"/>
        <v>6710.3849999999975</v>
      </c>
      <c r="J132" s="21">
        <f t="shared" si="10"/>
        <v>30.350000000000023</v>
      </c>
      <c r="K132" s="22">
        <f t="shared" si="2"/>
        <v>-91.656999999999925</v>
      </c>
    </row>
    <row r="133" spans="1:11" ht="12.75" x14ac:dyDescent="0.2">
      <c r="A133" s="13">
        <v>45692</v>
      </c>
      <c r="B133" s="14" t="s">
        <v>4</v>
      </c>
      <c r="C133" s="15">
        <v>0.94710000000000005</v>
      </c>
      <c r="D133" s="16" t="s">
        <v>58</v>
      </c>
      <c r="E133" s="17"/>
      <c r="F133" s="17"/>
      <c r="G133" s="18">
        <v>605</v>
      </c>
      <c r="H133" s="19">
        <f t="shared" si="11"/>
        <v>32.004500000000007</v>
      </c>
      <c r="I133" s="20">
        <f t="shared" si="1"/>
        <v>1760.2475000000004</v>
      </c>
      <c r="J133" s="21">
        <f t="shared" si="10"/>
        <v>30.25</v>
      </c>
      <c r="K133" s="22">
        <f t="shared" si="2"/>
        <v>-1.7545000000000073</v>
      </c>
    </row>
    <row r="134" spans="1:11" ht="12.75" x14ac:dyDescent="0.2">
      <c r="A134" s="13">
        <v>45693</v>
      </c>
      <c r="B134" s="14" t="s">
        <v>5</v>
      </c>
      <c r="C134" s="15">
        <v>0.96179999999999999</v>
      </c>
      <c r="D134" s="16" t="s">
        <v>58</v>
      </c>
      <c r="E134" s="17"/>
      <c r="F134" s="17"/>
      <c r="G134" s="18">
        <v>602</v>
      </c>
      <c r="H134" s="19">
        <f t="shared" si="11"/>
        <v>22.996399999999994</v>
      </c>
      <c r="I134" s="20">
        <f t="shared" si="1"/>
        <v>1264.8019999999997</v>
      </c>
      <c r="J134" s="21">
        <f t="shared" si="10"/>
        <v>30.100000000000023</v>
      </c>
      <c r="K134" s="22">
        <f t="shared" si="2"/>
        <v>7.1036000000000286</v>
      </c>
    </row>
    <row r="135" spans="1:11" ht="12.75" x14ac:dyDescent="0.2">
      <c r="A135" s="13">
        <v>45694</v>
      </c>
      <c r="B135" s="14" t="s">
        <v>6</v>
      </c>
      <c r="C135" s="15">
        <v>0.94199999999999995</v>
      </c>
      <c r="D135" s="16" t="s">
        <v>58</v>
      </c>
      <c r="E135" s="17"/>
      <c r="F135" s="17"/>
      <c r="G135" s="18">
        <v>603</v>
      </c>
      <c r="H135" s="19">
        <f t="shared" si="11"/>
        <v>34.974000000000046</v>
      </c>
      <c r="I135" s="20">
        <f t="shared" si="1"/>
        <v>1923.5700000000024</v>
      </c>
      <c r="J135" s="21">
        <f t="shared" si="10"/>
        <v>30.149999999999977</v>
      </c>
      <c r="K135" s="22">
        <f t="shared" si="2"/>
        <v>-4.8240000000000691</v>
      </c>
    </row>
    <row r="136" spans="1:11" ht="12.75" x14ac:dyDescent="0.2">
      <c r="A136" s="13">
        <v>45695</v>
      </c>
      <c r="B136" s="14" t="s">
        <v>7</v>
      </c>
      <c r="C136" s="15">
        <v>0.94199999999999995</v>
      </c>
      <c r="D136" s="16" t="s">
        <v>58</v>
      </c>
      <c r="E136" s="17"/>
      <c r="F136" s="17"/>
      <c r="G136" s="18">
        <v>603</v>
      </c>
      <c r="H136" s="19">
        <f t="shared" si="11"/>
        <v>34.974000000000046</v>
      </c>
      <c r="I136" s="20">
        <f t="shared" si="1"/>
        <v>1923.5700000000024</v>
      </c>
      <c r="J136" s="21">
        <f t="shared" si="10"/>
        <v>30.149999999999977</v>
      </c>
      <c r="K136" s="22">
        <f t="shared" si="2"/>
        <v>-4.8240000000000691</v>
      </c>
    </row>
    <row r="137" spans="1:11" ht="12.75" x14ac:dyDescent="0.2">
      <c r="A137" s="30">
        <v>45698</v>
      </c>
      <c r="B137" s="31" t="s">
        <v>3</v>
      </c>
      <c r="C137" s="32"/>
      <c r="D137" s="33"/>
      <c r="E137" s="34"/>
      <c r="F137" s="34"/>
      <c r="G137" s="35"/>
      <c r="H137" s="19">
        <f t="shared" si="11"/>
        <v>0</v>
      </c>
      <c r="I137" s="20">
        <f t="shared" si="1"/>
        <v>0</v>
      </c>
      <c r="J137" s="21">
        <f t="shared" si="10"/>
        <v>0</v>
      </c>
      <c r="K137" s="22">
        <f t="shared" si="2"/>
        <v>0</v>
      </c>
    </row>
    <row r="138" spans="1:11" ht="12.75" x14ac:dyDescent="0.2">
      <c r="A138" s="30">
        <v>45699</v>
      </c>
      <c r="B138" s="31" t="s">
        <v>4</v>
      </c>
      <c r="C138" s="32"/>
      <c r="D138" s="33"/>
      <c r="E138" s="34"/>
      <c r="F138" s="34"/>
      <c r="G138" s="35"/>
      <c r="H138" s="19">
        <f t="shared" si="11"/>
        <v>0</v>
      </c>
      <c r="I138" s="20">
        <f t="shared" si="1"/>
        <v>0</v>
      </c>
      <c r="J138" s="21">
        <f t="shared" si="10"/>
        <v>0</v>
      </c>
      <c r="K138" s="22">
        <f t="shared" si="2"/>
        <v>0</v>
      </c>
    </row>
    <row r="139" spans="1:11" ht="12.75" x14ac:dyDescent="0.2">
      <c r="A139" s="13">
        <v>45700</v>
      </c>
      <c r="B139" s="14" t="s">
        <v>5</v>
      </c>
      <c r="C139" s="15">
        <v>0.95189999999999997</v>
      </c>
      <c r="D139" s="16" t="s">
        <v>58</v>
      </c>
      <c r="E139" s="17"/>
      <c r="F139" s="17"/>
      <c r="G139" s="18">
        <v>603</v>
      </c>
      <c r="H139" s="19">
        <f t="shared" si="11"/>
        <v>29.004300000000057</v>
      </c>
      <c r="I139" s="20">
        <f t="shared" si="1"/>
        <v>1595.2365000000032</v>
      </c>
      <c r="J139" s="21">
        <f t="shared" si="10"/>
        <v>30.149999999999977</v>
      </c>
      <c r="K139" s="22">
        <f t="shared" si="2"/>
        <v>1.1456999999999198</v>
      </c>
    </row>
    <row r="140" spans="1:11" ht="12.75" x14ac:dyDescent="0.2">
      <c r="A140" s="13">
        <v>45701</v>
      </c>
      <c r="B140" s="14" t="s">
        <v>6</v>
      </c>
      <c r="C140" s="15">
        <v>0.94199999999999995</v>
      </c>
      <c r="D140" s="16" t="s">
        <v>58</v>
      </c>
      <c r="E140" s="17"/>
      <c r="F140" s="17"/>
      <c r="G140" s="18">
        <v>603</v>
      </c>
      <c r="H140" s="19">
        <f t="shared" si="11"/>
        <v>34.974000000000046</v>
      </c>
      <c r="I140" s="20">
        <f t="shared" si="1"/>
        <v>1923.5700000000024</v>
      </c>
      <c r="J140" s="21">
        <f t="shared" si="10"/>
        <v>30.149999999999977</v>
      </c>
      <c r="K140" s="22">
        <f t="shared" si="2"/>
        <v>-4.8240000000000691</v>
      </c>
    </row>
    <row r="141" spans="1:11" ht="12.75" x14ac:dyDescent="0.2">
      <c r="A141" s="13">
        <v>45702</v>
      </c>
      <c r="B141" s="14" t="s">
        <v>7</v>
      </c>
      <c r="C141" s="15">
        <v>0.93259999999999998</v>
      </c>
      <c r="D141" s="16" t="s">
        <v>58</v>
      </c>
      <c r="E141" s="17"/>
      <c r="F141" s="17"/>
      <c r="G141" s="18">
        <v>608</v>
      </c>
      <c r="H141" s="19">
        <f t="shared" si="11"/>
        <v>40.979199999999992</v>
      </c>
      <c r="I141" s="20">
        <f t="shared" si="1"/>
        <v>2253.8559999999998</v>
      </c>
      <c r="J141" s="21">
        <f t="shared" si="10"/>
        <v>30.399999999999977</v>
      </c>
      <c r="K141" s="22">
        <f t="shared" si="2"/>
        <v>-10.579200000000014</v>
      </c>
    </row>
    <row r="142" spans="1:11" ht="12.75" x14ac:dyDescent="0.2">
      <c r="A142" s="38">
        <v>45705</v>
      </c>
      <c r="B142" s="39" t="s">
        <v>3</v>
      </c>
      <c r="C142" s="40"/>
      <c r="D142" s="41"/>
      <c r="E142" s="42"/>
      <c r="F142" s="42"/>
      <c r="G142" s="43"/>
      <c r="H142" s="19">
        <f t="shared" si="11"/>
        <v>0</v>
      </c>
      <c r="I142" s="20">
        <f t="shared" si="1"/>
        <v>0</v>
      </c>
      <c r="J142" s="21">
        <f t="shared" si="10"/>
        <v>0</v>
      </c>
      <c r="K142" s="22">
        <f t="shared" si="2"/>
        <v>0</v>
      </c>
    </row>
    <row r="143" spans="1:11" ht="12.75" x14ac:dyDescent="0.2">
      <c r="A143" s="13">
        <v>45706</v>
      </c>
      <c r="B143" s="14" t="s">
        <v>4</v>
      </c>
      <c r="C143" s="15">
        <v>0.93740000000000001</v>
      </c>
      <c r="D143" s="16" t="s">
        <v>58</v>
      </c>
      <c r="E143" s="17"/>
      <c r="F143" s="17"/>
      <c r="G143" s="18">
        <v>607</v>
      </c>
      <c r="H143" s="19">
        <f t="shared" si="11"/>
        <v>37.998199999999997</v>
      </c>
      <c r="I143" s="20">
        <f t="shared" si="1"/>
        <v>2089.9009999999998</v>
      </c>
      <c r="J143" s="21">
        <f t="shared" si="10"/>
        <v>30.350000000000023</v>
      </c>
      <c r="K143" s="22">
        <f t="shared" si="2"/>
        <v>-7.6481999999999744</v>
      </c>
    </row>
    <row r="144" spans="1:11" ht="12.75" x14ac:dyDescent="0.2">
      <c r="A144" s="13">
        <v>45707</v>
      </c>
      <c r="B144" s="14" t="s">
        <v>5</v>
      </c>
      <c r="C144" s="15">
        <v>0.94750000000000001</v>
      </c>
      <c r="D144" s="16" t="s">
        <v>58</v>
      </c>
      <c r="E144" s="17"/>
      <c r="F144" s="17"/>
      <c r="G144" s="18">
        <v>609</v>
      </c>
      <c r="H144" s="19">
        <f t="shared" si="11"/>
        <v>31.972499999999968</v>
      </c>
      <c r="I144" s="20">
        <f t="shared" si="1"/>
        <v>1758.4874999999984</v>
      </c>
      <c r="J144" s="21">
        <f t="shared" si="10"/>
        <v>30.450000000000045</v>
      </c>
      <c r="K144" s="22">
        <f t="shared" si="2"/>
        <v>-1.5224999999999227</v>
      </c>
    </row>
    <row r="145" spans="1:11" ht="12.75" x14ac:dyDescent="0.2">
      <c r="A145" s="13">
        <v>45708</v>
      </c>
      <c r="B145" s="14" t="s">
        <v>6</v>
      </c>
      <c r="C145" s="15">
        <v>0.89490000000000003</v>
      </c>
      <c r="D145" s="16" t="s">
        <v>60</v>
      </c>
      <c r="E145" s="17"/>
      <c r="F145" s="17"/>
      <c r="G145" s="18">
        <v>609</v>
      </c>
      <c r="H145" s="19">
        <f t="shared" si="11"/>
        <v>64.005899999999997</v>
      </c>
      <c r="I145" s="20">
        <f t="shared" si="1"/>
        <v>3520.3244999999997</v>
      </c>
      <c r="J145" s="21">
        <f t="shared" si="10"/>
        <v>30.450000000000045</v>
      </c>
      <c r="K145" s="22">
        <f t="shared" si="2"/>
        <v>-33.555899999999951</v>
      </c>
    </row>
    <row r="146" spans="1:11" ht="12.75" x14ac:dyDescent="0.2">
      <c r="A146" s="13">
        <v>45709</v>
      </c>
      <c r="B146" s="14" t="s">
        <v>7</v>
      </c>
      <c r="C146" s="15">
        <v>0.91949999999999998</v>
      </c>
      <c r="D146" s="16" t="s">
        <v>58</v>
      </c>
      <c r="E146" s="17"/>
      <c r="F146" s="17"/>
      <c r="G146" s="18">
        <v>609</v>
      </c>
      <c r="H146" s="19">
        <f t="shared" si="11"/>
        <v>49.024499999999989</v>
      </c>
      <c r="I146" s="20">
        <f t="shared" si="1"/>
        <v>2696.3474999999994</v>
      </c>
      <c r="J146" s="21">
        <f t="shared" si="10"/>
        <v>30.450000000000045</v>
      </c>
      <c r="K146" s="22">
        <f t="shared" si="2"/>
        <v>-18.574499999999944</v>
      </c>
    </row>
    <row r="147" spans="1:11" ht="12.75" x14ac:dyDescent="0.2">
      <c r="A147" s="13">
        <v>45712</v>
      </c>
      <c r="B147" s="14" t="s">
        <v>3</v>
      </c>
      <c r="C147" s="15">
        <v>0.94740000000000002</v>
      </c>
      <c r="D147" s="16" t="s">
        <v>58</v>
      </c>
      <c r="E147" s="17"/>
      <c r="F147" s="17"/>
      <c r="G147" s="18">
        <v>608</v>
      </c>
      <c r="H147" s="19">
        <f t="shared" si="11"/>
        <v>31.980800000000045</v>
      </c>
      <c r="I147" s="20">
        <f t="shared" si="1"/>
        <v>1758.9440000000025</v>
      </c>
      <c r="J147" s="21">
        <f t="shared" si="10"/>
        <v>30.399999999999977</v>
      </c>
      <c r="K147" s="22">
        <f t="shared" si="2"/>
        <v>-1.5808000000000675</v>
      </c>
    </row>
    <row r="148" spans="1:11" ht="12.75" x14ac:dyDescent="0.2">
      <c r="A148" s="13">
        <v>45713</v>
      </c>
      <c r="B148" s="14" t="s">
        <v>4</v>
      </c>
      <c r="C148" s="15">
        <v>0.9556</v>
      </c>
      <c r="D148" s="16" t="s">
        <v>58</v>
      </c>
      <c r="E148" s="17"/>
      <c r="F148" s="17"/>
      <c r="G148" s="18">
        <v>608</v>
      </c>
      <c r="H148" s="19">
        <f t="shared" si="11"/>
        <v>26.995199999999954</v>
      </c>
      <c r="I148" s="20">
        <f t="shared" si="1"/>
        <v>1484.7359999999976</v>
      </c>
      <c r="J148" s="21">
        <f t="shared" si="10"/>
        <v>30.399999999999977</v>
      </c>
      <c r="K148" s="22">
        <f t="shared" si="2"/>
        <v>3.4048000000000229</v>
      </c>
    </row>
    <row r="149" spans="1:11" ht="12.75" x14ac:dyDescent="0.2">
      <c r="A149" s="13">
        <v>45714</v>
      </c>
      <c r="B149" s="14" t="s">
        <v>5</v>
      </c>
      <c r="C149" s="15">
        <v>0.95720000000000005</v>
      </c>
      <c r="D149" s="16" t="s">
        <v>58</v>
      </c>
      <c r="E149" s="17"/>
      <c r="F149" s="17"/>
      <c r="G149" s="18">
        <v>608</v>
      </c>
      <c r="H149" s="19">
        <f t="shared" si="11"/>
        <v>26.022399999999948</v>
      </c>
      <c r="I149" s="20">
        <f t="shared" si="1"/>
        <v>1431.2319999999972</v>
      </c>
      <c r="J149" s="21">
        <f t="shared" si="10"/>
        <v>30.399999999999977</v>
      </c>
      <c r="K149" s="22">
        <f t="shared" si="2"/>
        <v>4.3776000000000295</v>
      </c>
    </row>
    <row r="150" spans="1:11" ht="12.75" x14ac:dyDescent="0.2">
      <c r="A150" s="13">
        <v>45715</v>
      </c>
      <c r="B150" s="14" t="s">
        <v>6</v>
      </c>
      <c r="C150" s="15">
        <v>0.9506</v>
      </c>
      <c r="D150" s="16" t="s">
        <v>58</v>
      </c>
      <c r="E150" s="17"/>
      <c r="F150" s="17"/>
      <c r="G150" s="18">
        <v>607</v>
      </c>
      <c r="H150" s="19">
        <f t="shared" si="11"/>
        <v>29.98580000000004</v>
      </c>
      <c r="I150" s="20">
        <f t="shared" si="1"/>
        <v>1649.2190000000023</v>
      </c>
      <c r="J150" s="21">
        <f t="shared" si="10"/>
        <v>30.350000000000023</v>
      </c>
      <c r="K150" s="22">
        <f t="shared" si="2"/>
        <v>0.36419999999998254</v>
      </c>
    </row>
    <row r="151" spans="1:11" ht="12.75" x14ac:dyDescent="0.2">
      <c r="A151" s="13">
        <v>45716</v>
      </c>
      <c r="B151" s="14" t="s">
        <v>7</v>
      </c>
      <c r="C151" s="15">
        <v>0.93569999999999998</v>
      </c>
      <c r="D151" s="16" t="s">
        <v>58</v>
      </c>
      <c r="E151" s="17"/>
      <c r="F151" s="17"/>
      <c r="G151" s="18">
        <v>607</v>
      </c>
      <c r="H151" s="19">
        <f t="shared" si="11"/>
        <v>39.030100000000061</v>
      </c>
      <c r="I151" s="20">
        <f t="shared" si="1"/>
        <v>2146.6555000000035</v>
      </c>
      <c r="J151" s="21">
        <f t="shared" si="10"/>
        <v>30.350000000000023</v>
      </c>
      <c r="K151" s="22">
        <f t="shared" si="2"/>
        <v>-8.6801000000000386</v>
      </c>
    </row>
    <row r="152" spans="1:11" ht="12.75" x14ac:dyDescent="0.2">
      <c r="A152" s="13">
        <v>45719</v>
      </c>
      <c r="B152" s="14" t="s">
        <v>3</v>
      </c>
      <c r="C152" s="15">
        <v>0.95369999999999999</v>
      </c>
      <c r="D152" s="16" t="s">
        <v>58</v>
      </c>
      <c r="E152" s="17"/>
      <c r="F152" s="17"/>
      <c r="G152" s="18">
        <v>605</v>
      </c>
      <c r="H152" s="19">
        <f t="shared" si="11"/>
        <v>28.011499999999955</v>
      </c>
      <c r="I152" s="20">
        <f t="shared" si="1"/>
        <v>1540.6324999999974</v>
      </c>
      <c r="J152" s="21">
        <f t="shared" si="10"/>
        <v>30.25</v>
      </c>
      <c r="K152" s="22">
        <f t="shared" si="2"/>
        <v>2.2385000000000446</v>
      </c>
    </row>
    <row r="153" spans="1:11" ht="12.75" x14ac:dyDescent="0.2">
      <c r="A153" s="13">
        <v>45720</v>
      </c>
      <c r="B153" s="14" t="s">
        <v>4</v>
      </c>
      <c r="C153" s="15">
        <v>0.94550000000000001</v>
      </c>
      <c r="D153" s="16" t="s">
        <v>58</v>
      </c>
      <c r="E153" s="17"/>
      <c r="F153" s="17"/>
      <c r="G153" s="18">
        <v>605</v>
      </c>
      <c r="H153" s="19">
        <f t="shared" si="11"/>
        <v>32.972499999999968</v>
      </c>
      <c r="I153" s="20">
        <f t="shared" si="1"/>
        <v>1813.4874999999984</v>
      </c>
      <c r="J153" s="21">
        <f t="shared" si="10"/>
        <v>30.25</v>
      </c>
      <c r="K153" s="22">
        <f t="shared" si="2"/>
        <v>-2.7224999999999682</v>
      </c>
    </row>
    <row r="154" spans="1:11" ht="12.75" x14ac:dyDescent="0.2">
      <c r="A154" s="13">
        <v>45721</v>
      </c>
      <c r="B154" s="14" t="s">
        <v>5</v>
      </c>
      <c r="C154" s="15">
        <v>0.95860000000000001</v>
      </c>
      <c r="D154" s="16" t="s">
        <v>58</v>
      </c>
      <c r="E154" s="17"/>
      <c r="F154" s="17"/>
      <c r="G154" s="18">
        <v>604</v>
      </c>
      <c r="H154" s="19">
        <f t="shared" si="11"/>
        <v>25.005599999999959</v>
      </c>
      <c r="I154" s="20">
        <f t="shared" si="1"/>
        <v>1375.3079999999977</v>
      </c>
      <c r="J154" s="21">
        <f t="shared" si="10"/>
        <v>30.200000000000045</v>
      </c>
      <c r="K154" s="22">
        <f t="shared" si="2"/>
        <v>5.1944000000000869</v>
      </c>
    </row>
    <row r="155" spans="1:11" ht="12.75" x14ac:dyDescent="0.2">
      <c r="A155" s="13">
        <v>45722</v>
      </c>
      <c r="B155" s="14" t="s">
        <v>6</v>
      </c>
      <c r="C155" s="15">
        <v>0.96189999999999998</v>
      </c>
      <c r="D155" s="16" t="s">
        <v>58</v>
      </c>
      <c r="E155" s="17"/>
      <c r="F155" s="17"/>
      <c r="G155" s="18">
        <v>604</v>
      </c>
      <c r="H155" s="19">
        <f t="shared" si="11"/>
        <v>23.012400000000071</v>
      </c>
      <c r="I155" s="20">
        <f t="shared" si="1"/>
        <v>1265.6820000000039</v>
      </c>
      <c r="J155" s="21">
        <f t="shared" si="10"/>
        <v>30.200000000000045</v>
      </c>
      <c r="K155" s="22">
        <f t="shared" si="2"/>
        <v>7.1875999999999749</v>
      </c>
    </row>
    <row r="156" spans="1:11" ht="12.75" x14ac:dyDescent="0.2">
      <c r="A156" s="13">
        <v>45723</v>
      </c>
      <c r="B156" s="14" t="s">
        <v>7</v>
      </c>
      <c r="C156" s="15">
        <v>0.94210000000000005</v>
      </c>
      <c r="D156" s="16" t="s">
        <v>58</v>
      </c>
      <c r="E156" s="17"/>
      <c r="F156" s="17"/>
      <c r="G156" s="18">
        <v>604</v>
      </c>
      <c r="H156" s="19">
        <f t="shared" si="11"/>
        <v>34.971599999999967</v>
      </c>
      <c r="I156" s="20">
        <f t="shared" si="1"/>
        <v>1923.4379999999983</v>
      </c>
      <c r="J156" s="21">
        <f t="shared" si="10"/>
        <v>30.200000000000045</v>
      </c>
      <c r="K156" s="22">
        <f t="shared" si="2"/>
        <v>-4.7715999999999212</v>
      </c>
    </row>
    <row r="157" spans="1:11" ht="12.75" x14ac:dyDescent="0.2">
      <c r="A157" s="44">
        <v>45726</v>
      </c>
      <c r="B157" s="45" t="s">
        <v>3</v>
      </c>
      <c r="C157" s="15">
        <v>0.89400000000000002</v>
      </c>
      <c r="D157" s="16" t="s">
        <v>60</v>
      </c>
      <c r="E157" s="17"/>
      <c r="F157" s="17"/>
      <c r="G157" s="18">
        <v>604</v>
      </c>
      <c r="H157" s="19">
        <f t="shared" si="11"/>
        <v>64.024000000000001</v>
      </c>
      <c r="I157" s="20">
        <f t="shared" si="1"/>
        <v>3521.32</v>
      </c>
      <c r="J157" s="21">
        <f t="shared" si="10"/>
        <v>30.200000000000045</v>
      </c>
      <c r="K157" s="22">
        <f t="shared" si="2"/>
        <v>-33.823999999999955</v>
      </c>
    </row>
    <row r="158" spans="1:11" ht="12.75" x14ac:dyDescent="0.2">
      <c r="A158" s="44">
        <v>45727</v>
      </c>
      <c r="B158" s="45" t="s">
        <v>4</v>
      </c>
      <c r="C158" s="15"/>
      <c r="D158" s="16"/>
      <c r="E158" s="17"/>
      <c r="F158" s="17"/>
      <c r="H158" s="19">
        <f t="shared" si="11"/>
        <v>0</v>
      </c>
      <c r="I158" s="20">
        <f t="shared" si="1"/>
        <v>0</v>
      </c>
      <c r="J158" s="21">
        <f t="shared" si="10"/>
        <v>0</v>
      </c>
      <c r="K158" s="22">
        <f t="shared" si="2"/>
        <v>0</v>
      </c>
    </row>
    <row r="159" spans="1:11" ht="12.75" x14ac:dyDescent="0.2">
      <c r="A159" s="44">
        <v>45728</v>
      </c>
      <c r="B159" s="45" t="s">
        <v>5</v>
      </c>
      <c r="C159" s="15"/>
      <c r="D159" s="16"/>
      <c r="E159" s="17"/>
      <c r="F159" s="17"/>
      <c r="H159" s="19">
        <f t="shared" si="11"/>
        <v>0</v>
      </c>
      <c r="I159" s="20">
        <f t="shared" si="1"/>
        <v>0</v>
      </c>
      <c r="J159" s="21">
        <f t="shared" si="10"/>
        <v>0</v>
      </c>
      <c r="K159" s="22">
        <f t="shared" si="2"/>
        <v>0</v>
      </c>
    </row>
    <row r="160" spans="1:11" ht="12.75" x14ac:dyDescent="0.2">
      <c r="A160" s="44">
        <v>45729</v>
      </c>
      <c r="B160" s="45" t="s">
        <v>6</v>
      </c>
      <c r="C160" s="15"/>
      <c r="D160" s="16"/>
      <c r="E160" s="17"/>
      <c r="F160" s="17"/>
      <c r="H160" s="19">
        <f t="shared" si="11"/>
        <v>0</v>
      </c>
      <c r="I160" s="20">
        <f t="shared" si="1"/>
        <v>0</v>
      </c>
      <c r="J160" s="21">
        <f t="shared" si="10"/>
        <v>0</v>
      </c>
      <c r="K160" s="22">
        <f t="shared" si="2"/>
        <v>0</v>
      </c>
    </row>
    <row r="161" spans="1:11" ht="12.75" x14ac:dyDescent="0.2">
      <c r="A161" s="44">
        <v>45730</v>
      </c>
      <c r="B161" s="45" t="s">
        <v>7</v>
      </c>
      <c r="C161" s="15"/>
      <c r="D161" s="16"/>
      <c r="E161" s="17"/>
      <c r="F161" s="17"/>
      <c r="H161" s="19">
        <f t="shared" si="11"/>
        <v>0</v>
      </c>
      <c r="I161" s="20">
        <f t="shared" si="1"/>
        <v>0</v>
      </c>
      <c r="J161" s="21">
        <f t="shared" si="10"/>
        <v>0</v>
      </c>
      <c r="K161" s="22">
        <f t="shared" si="2"/>
        <v>0</v>
      </c>
    </row>
    <row r="162" spans="1:11" ht="12.75" x14ac:dyDescent="0.2">
      <c r="A162" s="24">
        <v>45733</v>
      </c>
      <c r="B162" s="25" t="s">
        <v>3</v>
      </c>
      <c r="C162" s="26"/>
      <c r="D162" s="27"/>
      <c r="E162" s="28"/>
      <c r="F162" s="28"/>
      <c r="G162" s="29"/>
      <c r="H162" s="19">
        <f t="shared" si="11"/>
        <v>0</v>
      </c>
      <c r="I162" s="20">
        <f t="shared" si="1"/>
        <v>0</v>
      </c>
      <c r="J162" s="21">
        <f t="shared" si="10"/>
        <v>0</v>
      </c>
      <c r="K162" s="22">
        <f t="shared" si="2"/>
        <v>0</v>
      </c>
    </row>
    <row r="163" spans="1:11" ht="12.75" x14ac:dyDescent="0.2">
      <c r="A163" s="24">
        <v>45734</v>
      </c>
      <c r="B163" s="25" t="s">
        <v>4</v>
      </c>
      <c r="C163" s="26"/>
      <c r="D163" s="27"/>
      <c r="E163" s="28"/>
      <c r="F163" s="28"/>
      <c r="G163" s="29"/>
      <c r="H163" s="19">
        <f t="shared" si="11"/>
        <v>0</v>
      </c>
      <c r="I163" s="20">
        <f t="shared" si="1"/>
        <v>0</v>
      </c>
      <c r="J163" s="21">
        <f t="shared" si="10"/>
        <v>0</v>
      </c>
      <c r="K163" s="22">
        <f t="shared" si="2"/>
        <v>0</v>
      </c>
    </row>
    <row r="164" spans="1:11" ht="12.75" x14ac:dyDescent="0.2">
      <c r="A164" s="24">
        <v>45735</v>
      </c>
      <c r="B164" s="25" t="s">
        <v>5</v>
      </c>
      <c r="C164" s="26"/>
      <c r="D164" s="27"/>
      <c r="E164" s="28"/>
      <c r="F164" s="28"/>
      <c r="G164" s="29"/>
      <c r="H164" s="19">
        <f t="shared" si="11"/>
        <v>0</v>
      </c>
      <c r="I164" s="20">
        <f t="shared" si="1"/>
        <v>0</v>
      </c>
      <c r="J164" s="21">
        <f t="shared" si="10"/>
        <v>0</v>
      </c>
      <c r="K164" s="22">
        <f t="shared" si="2"/>
        <v>0</v>
      </c>
    </row>
    <row r="165" spans="1:11" ht="12.75" x14ac:dyDescent="0.2">
      <c r="A165" s="24">
        <v>45736</v>
      </c>
      <c r="B165" s="25" t="s">
        <v>6</v>
      </c>
      <c r="C165" s="26"/>
      <c r="D165" s="27"/>
      <c r="E165" s="28"/>
      <c r="F165" s="28"/>
      <c r="G165" s="29"/>
      <c r="H165" s="19">
        <f t="shared" si="11"/>
        <v>0</v>
      </c>
      <c r="I165" s="20">
        <f t="shared" si="1"/>
        <v>0</v>
      </c>
      <c r="J165" s="21">
        <f t="shared" si="10"/>
        <v>0</v>
      </c>
      <c r="K165" s="22">
        <f t="shared" si="2"/>
        <v>0</v>
      </c>
    </row>
    <row r="166" spans="1:11" ht="12.75" x14ac:dyDescent="0.2">
      <c r="A166" s="24">
        <v>45737</v>
      </c>
      <c r="B166" s="25" t="s">
        <v>7</v>
      </c>
      <c r="C166" s="26"/>
      <c r="D166" s="27"/>
      <c r="E166" s="28"/>
      <c r="F166" s="28"/>
      <c r="G166" s="29"/>
      <c r="H166" s="19">
        <f t="shared" si="11"/>
        <v>0</v>
      </c>
      <c r="I166" s="20">
        <f t="shared" si="1"/>
        <v>0</v>
      </c>
      <c r="J166" s="21">
        <f t="shared" si="10"/>
        <v>0</v>
      </c>
      <c r="K166" s="22">
        <f t="shared" si="2"/>
        <v>0</v>
      </c>
    </row>
    <row r="167" spans="1:11" ht="12.75" x14ac:dyDescent="0.2">
      <c r="A167" s="13">
        <v>45740</v>
      </c>
      <c r="B167" s="14" t="s">
        <v>3</v>
      </c>
      <c r="C167" s="15"/>
      <c r="D167" s="16"/>
      <c r="E167" s="17"/>
      <c r="F167" s="17"/>
      <c r="H167" s="19">
        <f t="shared" si="11"/>
        <v>0</v>
      </c>
      <c r="I167" s="20">
        <f t="shared" si="1"/>
        <v>0</v>
      </c>
      <c r="J167" s="21">
        <f t="shared" si="10"/>
        <v>0</v>
      </c>
      <c r="K167" s="22">
        <f t="shared" si="2"/>
        <v>0</v>
      </c>
    </row>
    <row r="168" spans="1:11" ht="12.75" x14ac:dyDescent="0.2">
      <c r="A168" s="13">
        <v>45741</v>
      </c>
      <c r="B168" s="14" t="s">
        <v>4</v>
      </c>
      <c r="C168" s="15"/>
      <c r="D168" s="16"/>
      <c r="E168" s="17"/>
      <c r="F168" s="17"/>
      <c r="H168" s="19">
        <f t="shared" si="11"/>
        <v>0</v>
      </c>
      <c r="I168" s="20">
        <f t="shared" si="1"/>
        <v>0</v>
      </c>
      <c r="J168" s="21">
        <f t="shared" si="10"/>
        <v>0</v>
      </c>
      <c r="K168" s="22">
        <f t="shared" si="2"/>
        <v>0</v>
      </c>
    </row>
    <row r="169" spans="1:11" ht="12.75" x14ac:dyDescent="0.2">
      <c r="A169" s="13">
        <v>45742</v>
      </c>
      <c r="B169" s="14" t="s">
        <v>5</v>
      </c>
      <c r="C169" s="15"/>
      <c r="D169" s="16"/>
      <c r="E169" s="17"/>
      <c r="F169" s="17"/>
      <c r="H169" s="19">
        <f t="shared" si="11"/>
        <v>0</v>
      </c>
      <c r="I169" s="20">
        <f t="shared" si="1"/>
        <v>0</v>
      </c>
      <c r="J169" s="21">
        <f t="shared" si="10"/>
        <v>0</v>
      </c>
      <c r="K169" s="22">
        <f t="shared" si="2"/>
        <v>0</v>
      </c>
    </row>
    <row r="170" spans="1:11" ht="12.75" x14ac:dyDescent="0.2">
      <c r="A170" s="13">
        <v>45743</v>
      </c>
      <c r="B170" s="14" t="s">
        <v>6</v>
      </c>
      <c r="C170" s="15"/>
      <c r="D170" s="16"/>
      <c r="E170" s="17"/>
      <c r="F170" s="17"/>
      <c r="H170" s="19">
        <f t="shared" si="11"/>
        <v>0</v>
      </c>
      <c r="I170" s="20">
        <f t="shared" si="1"/>
        <v>0</v>
      </c>
      <c r="J170" s="21">
        <f t="shared" si="10"/>
        <v>0</v>
      </c>
      <c r="K170" s="22">
        <f t="shared" si="2"/>
        <v>0</v>
      </c>
    </row>
    <row r="171" spans="1:11" ht="12.75" x14ac:dyDescent="0.2">
      <c r="A171" s="13">
        <v>45744</v>
      </c>
      <c r="B171" s="14" t="s">
        <v>7</v>
      </c>
      <c r="C171" s="15"/>
      <c r="D171" s="16"/>
      <c r="E171" s="17"/>
      <c r="F171" s="17"/>
      <c r="H171" s="19">
        <f t="shared" si="11"/>
        <v>0</v>
      </c>
      <c r="I171" s="20">
        <f t="shared" si="1"/>
        <v>0</v>
      </c>
      <c r="J171" s="21">
        <f t="shared" si="10"/>
        <v>0</v>
      </c>
      <c r="K171" s="22">
        <f t="shared" si="2"/>
        <v>0</v>
      </c>
    </row>
    <row r="172" spans="1:11" ht="12.75" x14ac:dyDescent="0.2">
      <c r="A172" s="13">
        <v>45747</v>
      </c>
      <c r="B172" s="14" t="s">
        <v>3</v>
      </c>
      <c r="C172" s="15"/>
      <c r="D172" s="16"/>
      <c r="E172" s="17"/>
      <c r="F172" s="17"/>
      <c r="H172" s="19">
        <f t="shared" si="11"/>
        <v>0</v>
      </c>
      <c r="I172" s="20">
        <f t="shared" si="1"/>
        <v>0</v>
      </c>
      <c r="J172" s="21">
        <f t="shared" si="10"/>
        <v>0</v>
      </c>
      <c r="K172" s="22">
        <f t="shared" si="2"/>
        <v>0</v>
      </c>
    </row>
    <row r="173" spans="1:11" ht="12.75" x14ac:dyDescent="0.2">
      <c r="A173" s="13">
        <v>45748</v>
      </c>
      <c r="B173" s="14" t="s">
        <v>4</v>
      </c>
      <c r="C173" s="15"/>
      <c r="D173" s="16"/>
      <c r="E173" s="17"/>
      <c r="F173" s="17"/>
      <c r="H173" s="19">
        <f t="shared" si="11"/>
        <v>0</v>
      </c>
      <c r="I173" s="20">
        <f t="shared" si="1"/>
        <v>0</v>
      </c>
      <c r="J173" s="21">
        <f t="shared" si="10"/>
        <v>0</v>
      </c>
      <c r="K173" s="22">
        <f t="shared" si="2"/>
        <v>0</v>
      </c>
    </row>
    <row r="174" spans="1:11" ht="12.75" x14ac:dyDescent="0.2">
      <c r="A174" s="13">
        <v>45749</v>
      </c>
      <c r="B174" s="14" t="s">
        <v>5</v>
      </c>
      <c r="C174" s="15"/>
      <c r="D174" s="16"/>
      <c r="E174" s="17"/>
      <c r="F174" s="17"/>
      <c r="H174" s="19">
        <f t="shared" si="11"/>
        <v>0</v>
      </c>
      <c r="I174" s="20">
        <f t="shared" si="1"/>
        <v>0</v>
      </c>
      <c r="J174" s="21">
        <f t="shared" si="10"/>
        <v>0</v>
      </c>
      <c r="K174" s="22">
        <f t="shared" si="2"/>
        <v>0</v>
      </c>
    </row>
    <row r="175" spans="1:11" ht="12.75" x14ac:dyDescent="0.2">
      <c r="A175" s="13">
        <v>45750</v>
      </c>
      <c r="B175" s="14" t="s">
        <v>6</v>
      </c>
      <c r="C175" s="15"/>
      <c r="D175" s="16"/>
      <c r="E175" s="17"/>
      <c r="F175" s="17"/>
      <c r="H175" s="19">
        <f t="shared" si="11"/>
        <v>0</v>
      </c>
      <c r="I175" s="20">
        <f t="shared" si="1"/>
        <v>0</v>
      </c>
      <c r="J175" s="21">
        <f t="shared" si="10"/>
        <v>0</v>
      </c>
      <c r="K175" s="22">
        <f t="shared" si="2"/>
        <v>0</v>
      </c>
    </row>
    <row r="176" spans="1:11" ht="12.75" x14ac:dyDescent="0.2">
      <c r="A176" s="13">
        <v>45751</v>
      </c>
      <c r="B176" s="14" t="s">
        <v>7</v>
      </c>
      <c r="C176" s="15"/>
      <c r="D176" s="16"/>
      <c r="E176" s="17"/>
      <c r="F176" s="17"/>
      <c r="H176" s="19">
        <f t="shared" si="11"/>
        <v>0</v>
      </c>
      <c r="I176" s="20">
        <f t="shared" si="1"/>
        <v>0</v>
      </c>
      <c r="J176" s="21">
        <f t="shared" si="10"/>
        <v>0</v>
      </c>
      <c r="K176" s="22">
        <f t="shared" si="2"/>
        <v>0</v>
      </c>
    </row>
    <row r="177" spans="1:11" ht="12.75" x14ac:dyDescent="0.2">
      <c r="A177" s="13">
        <v>45754</v>
      </c>
      <c r="B177" s="14" t="s">
        <v>3</v>
      </c>
      <c r="C177" s="15"/>
      <c r="D177" s="16"/>
      <c r="E177" s="17"/>
      <c r="F177" s="17"/>
      <c r="H177" s="19">
        <f t="shared" si="11"/>
        <v>0</v>
      </c>
      <c r="I177" s="20">
        <f t="shared" si="1"/>
        <v>0</v>
      </c>
      <c r="J177" s="21">
        <f t="shared" si="10"/>
        <v>0</v>
      </c>
      <c r="K177" s="22">
        <f t="shared" si="2"/>
        <v>0</v>
      </c>
    </row>
    <row r="178" spans="1:11" ht="12.75" x14ac:dyDescent="0.2">
      <c r="A178" s="13">
        <v>45755</v>
      </c>
      <c r="B178" s="14" t="s">
        <v>4</v>
      </c>
      <c r="C178" s="15"/>
      <c r="D178" s="16"/>
      <c r="E178" s="17"/>
      <c r="F178" s="17"/>
      <c r="H178" s="19">
        <f t="shared" si="11"/>
        <v>0</v>
      </c>
      <c r="I178" s="20">
        <f t="shared" si="1"/>
        <v>0</v>
      </c>
      <c r="J178" s="21">
        <f t="shared" si="10"/>
        <v>0</v>
      </c>
      <c r="K178" s="22">
        <f t="shared" si="2"/>
        <v>0</v>
      </c>
    </row>
    <row r="179" spans="1:11" ht="12.75" x14ac:dyDescent="0.2">
      <c r="A179" s="13">
        <v>45756</v>
      </c>
      <c r="B179" s="14" t="s">
        <v>5</v>
      </c>
      <c r="C179" s="15"/>
      <c r="D179" s="16"/>
      <c r="E179" s="17"/>
      <c r="F179" s="17"/>
      <c r="H179" s="19">
        <f t="shared" si="11"/>
        <v>0</v>
      </c>
      <c r="I179" s="20">
        <f t="shared" si="1"/>
        <v>0</v>
      </c>
      <c r="J179" s="21">
        <f t="shared" si="10"/>
        <v>0</v>
      </c>
      <c r="K179" s="22">
        <f t="shared" si="2"/>
        <v>0</v>
      </c>
    </row>
    <row r="180" spans="1:11" ht="12.75" x14ac:dyDescent="0.2">
      <c r="A180" s="13">
        <v>45757</v>
      </c>
      <c r="B180" s="14" t="s">
        <v>6</v>
      </c>
      <c r="C180" s="15"/>
      <c r="D180" s="16"/>
      <c r="E180" s="17"/>
      <c r="F180" s="17"/>
      <c r="H180" s="19">
        <f t="shared" si="11"/>
        <v>0</v>
      </c>
      <c r="I180" s="20">
        <f t="shared" si="1"/>
        <v>0</v>
      </c>
      <c r="J180" s="21">
        <f t="shared" si="10"/>
        <v>0</v>
      </c>
      <c r="K180" s="22">
        <f t="shared" si="2"/>
        <v>0</v>
      </c>
    </row>
    <row r="181" spans="1:11" ht="12.75" x14ac:dyDescent="0.2">
      <c r="A181" s="13">
        <v>45758</v>
      </c>
      <c r="B181" s="14" t="s">
        <v>7</v>
      </c>
      <c r="C181" s="15"/>
      <c r="D181" s="16"/>
      <c r="E181" s="17"/>
      <c r="F181" s="17"/>
      <c r="H181" s="19">
        <f t="shared" si="11"/>
        <v>0</v>
      </c>
      <c r="I181" s="20">
        <f t="shared" si="1"/>
        <v>0</v>
      </c>
      <c r="J181" s="21">
        <f t="shared" si="10"/>
        <v>0</v>
      </c>
      <c r="K181" s="22">
        <f t="shared" si="2"/>
        <v>0</v>
      </c>
    </row>
    <row r="182" spans="1:11" ht="12.75" x14ac:dyDescent="0.2">
      <c r="A182" s="13">
        <v>45761</v>
      </c>
      <c r="B182" s="14" t="s">
        <v>3</v>
      </c>
      <c r="C182" s="15"/>
      <c r="D182" s="16"/>
      <c r="E182" s="17"/>
      <c r="F182" s="17"/>
      <c r="H182" s="19">
        <f t="shared" si="11"/>
        <v>0</v>
      </c>
      <c r="I182" s="20">
        <f t="shared" si="1"/>
        <v>0</v>
      </c>
      <c r="J182" s="21">
        <f t="shared" si="10"/>
        <v>0</v>
      </c>
      <c r="K182" s="22">
        <f t="shared" si="2"/>
        <v>0</v>
      </c>
    </row>
    <row r="183" spans="1:11" ht="12.75" x14ac:dyDescent="0.2">
      <c r="A183" s="13">
        <v>45762</v>
      </c>
      <c r="B183" s="14" t="s">
        <v>4</v>
      </c>
      <c r="C183" s="15"/>
      <c r="D183" s="16"/>
      <c r="E183" s="17"/>
      <c r="F183" s="17"/>
      <c r="H183" s="19">
        <f t="shared" si="11"/>
        <v>0</v>
      </c>
      <c r="I183" s="20">
        <f t="shared" si="1"/>
        <v>0</v>
      </c>
      <c r="J183" s="21">
        <f t="shared" si="10"/>
        <v>0</v>
      </c>
      <c r="K183" s="22">
        <f t="shared" si="2"/>
        <v>0</v>
      </c>
    </row>
    <row r="184" spans="1:11" ht="12.75" x14ac:dyDescent="0.2">
      <c r="A184" s="13">
        <v>45763</v>
      </c>
      <c r="B184" s="14" t="s">
        <v>5</v>
      </c>
      <c r="C184" s="15"/>
      <c r="D184" s="16"/>
      <c r="E184" s="17"/>
      <c r="F184" s="17"/>
      <c r="H184" s="19">
        <f t="shared" si="11"/>
        <v>0</v>
      </c>
      <c r="I184" s="20">
        <f t="shared" si="1"/>
        <v>0</v>
      </c>
      <c r="J184" s="21">
        <f t="shared" si="10"/>
        <v>0</v>
      </c>
      <c r="K184" s="22">
        <f t="shared" si="2"/>
        <v>0</v>
      </c>
    </row>
    <row r="185" spans="1:11" ht="12.75" x14ac:dyDescent="0.2">
      <c r="A185" s="13">
        <v>45764</v>
      </c>
      <c r="B185" s="14" t="s">
        <v>6</v>
      </c>
      <c r="C185" s="15"/>
      <c r="D185" s="16"/>
      <c r="E185" s="17"/>
      <c r="F185" s="17"/>
      <c r="H185" s="19">
        <f t="shared" si="11"/>
        <v>0</v>
      </c>
      <c r="I185" s="20">
        <f t="shared" si="1"/>
        <v>0</v>
      </c>
      <c r="J185" s="21">
        <f t="shared" si="10"/>
        <v>0</v>
      </c>
      <c r="K185" s="22">
        <f t="shared" si="2"/>
        <v>0</v>
      </c>
    </row>
    <row r="186" spans="1:11" ht="12.75" x14ac:dyDescent="0.2">
      <c r="A186" s="24">
        <v>45765</v>
      </c>
      <c r="B186" s="25" t="s">
        <v>7</v>
      </c>
      <c r="C186" s="26"/>
      <c r="D186" s="27"/>
      <c r="E186" s="28"/>
      <c r="F186" s="28"/>
      <c r="G186" s="29"/>
      <c r="H186" s="19">
        <f t="shared" si="11"/>
        <v>0</v>
      </c>
      <c r="I186" s="20">
        <f t="shared" si="1"/>
        <v>0</v>
      </c>
      <c r="J186" s="21">
        <f t="shared" si="10"/>
        <v>0</v>
      </c>
      <c r="K186" s="22">
        <f t="shared" si="2"/>
        <v>0</v>
      </c>
    </row>
    <row r="187" spans="1:11" ht="12.75" x14ac:dyDescent="0.2">
      <c r="A187" s="24">
        <v>45768</v>
      </c>
      <c r="B187" s="25" t="s">
        <v>3</v>
      </c>
      <c r="C187" s="26"/>
      <c r="D187" s="27"/>
      <c r="E187" s="28"/>
      <c r="F187" s="28"/>
      <c r="G187" s="29"/>
      <c r="H187" s="19">
        <f t="shared" si="11"/>
        <v>0</v>
      </c>
      <c r="I187" s="20">
        <f t="shared" si="1"/>
        <v>0</v>
      </c>
      <c r="J187" s="21">
        <f t="shared" si="10"/>
        <v>0</v>
      </c>
      <c r="K187" s="22">
        <f t="shared" si="2"/>
        <v>0</v>
      </c>
    </row>
    <row r="188" spans="1:11" ht="12.75" x14ac:dyDescent="0.2">
      <c r="A188" s="13">
        <v>45769</v>
      </c>
      <c r="B188" s="14" t="s">
        <v>4</v>
      </c>
      <c r="C188" s="15"/>
      <c r="D188" s="16"/>
      <c r="E188" s="17"/>
      <c r="F188" s="17"/>
      <c r="H188" s="19">
        <f t="shared" si="11"/>
        <v>0</v>
      </c>
      <c r="I188" s="20">
        <f t="shared" si="1"/>
        <v>0</v>
      </c>
      <c r="J188" s="21">
        <f t="shared" si="10"/>
        <v>0</v>
      </c>
      <c r="K188" s="22">
        <f t="shared" si="2"/>
        <v>0</v>
      </c>
    </row>
    <row r="189" spans="1:11" ht="12.75" x14ac:dyDescent="0.2">
      <c r="A189" s="13">
        <v>45770</v>
      </c>
      <c r="B189" s="14" t="s">
        <v>5</v>
      </c>
      <c r="C189" s="15"/>
      <c r="D189" s="16"/>
      <c r="E189" s="17"/>
      <c r="F189" s="17"/>
      <c r="H189" s="19">
        <f t="shared" si="11"/>
        <v>0</v>
      </c>
      <c r="I189" s="20">
        <f t="shared" si="1"/>
        <v>0</v>
      </c>
      <c r="J189" s="21">
        <f t="shared" si="10"/>
        <v>0</v>
      </c>
      <c r="K189" s="22">
        <f t="shared" si="2"/>
        <v>0</v>
      </c>
    </row>
    <row r="190" spans="1:11" ht="12.75" x14ac:dyDescent="0.2">
      <c r="A190" s="13">
        <v>45771</v>
      </c>
      <c r="B190" s="14" t="s">
        <v>6</v>
      </c>
      <c r="C190" s="15"/>
      <c r="D190" s="16"/>
      <c r="E190" s="17"/>
      <c r="F190" s="17"/>
      <c r="H190" s="19">
        <f t="shared" si="11"/>
        <v>0</v>
      </c>
      <c r="I190" s="20">
        <f t="shared" si="1"/>
        <v>0</v>
      </c>
      <c r="J190" s="21">
        <f t="shared" si="10"/>
        <v>0</v>
      </c>
      <c r="K190" s="22">
        <f t="shared" si="2"/>
        <v>0</v>
      </c>
    </row>
    <row r="191" spans="1:11" ht="12.75" x14ac:dyDescent="0.2">
      <c r="A191" s="13">
        <v>45772</v>
      </c>
      <c r="B191" s="14" t="s">
        <v>7</v>
      </c>
      <c r="C191" s="15"/>
      <c r="D191" s="16"/>
      <c r="E191" s="17"/>
      <c r="F191" s="17"/>
      <c r="H191" s="19">
        <f t="shared" si="11"/>
        <v>0</v>
      </c>
      <c r="I191" s="20">
        <f t="shared" si="1"/>
        <v>0</v>
      </c>
      <c r="J191" s="21">
        <f t="shared" si="10"/>
        <v>0</v>
      </c>
      <c r="K191" s="22">
        <f t="shared" si="2"/>
        <v>0</v>
      </c>
    </row>
    <row r="192" spans="1:11" ht="12.75" x14ac:dyDescent="0.2">
      <c r="A192" s="13">
        <v>45775</v>
      </c>
      <c r="B192" s="14" t="s">
        <v>3</v>
      </c>
      <c r="C192" s="15"/>
      <c r="D192" s="16"/>
      <c r="E192" s="17"/>
      <c r="F192" s="17"/>
      <c r="H192" s="19">
        <f t="shared" si="11"/>
        <v>0</v>
      </c>
      <c r="I192" s="20">
        <f t="shared" si="1"/>
        <v>0</v>
      </c>
      <c r="J192" s="21">
        <f t="shared" si="10"/>
        <v>0</v>
      </c>
      <c r="K192" s="22">
        <f t="shared" si="2"/>
        <v>0</v>
      </c>
    </row>
    <row r="193" spans="1:11" ht="12.75" x14ac:dyDescent="0.2">
      <c r="A193" s="13">
        <v>45776</v>
      </c>
      <c r="B193" s="14" t="s">
        <v>4</v>
      </c>
      <c r="C193" s="15"/>
      <c r="D193" s="16"/>
      <c r="E193" s="17"/>
      <c r="F193" s="17"/>
      <c r="H193" s="19">
        <f t="shared" si="11"/>
        <v>0</v>
      </c>
      <c r="I193" s="20">
        <f t="shared" si="1"/>
        <v>0</v>
      </c>
      <c r="J193" s="21">
        <f t="shared" si="10"/>
        <v>0</v>
      </c>
      <c r="K193" s="22">
        <f t="shared" si="2"/>
        <v>0</v>
      </c>
    </row>
    <row r="194" spans="1:11" ht="12.75" x14ac:dyDescent="0.2">
      <c r="A194" s="13">
        <v>45777</v>
      </c>
      <c r="B194" s="14" t="s">
        <v>5</v>
      </c>
      <c r="C194" s="15"/>
      <c r="D194" s="16"/>
      <c r="E194" s="17"/>
      <c r="F194" s="17"/>
      <c r="H194" s="19">
        <f t="shared" si="11"/>
        <v>0</v>
      </c>
      <c r="I194" s="20">
        <f t="shared" si="1"/>
        <v>0</v>
      </c>
      <c r="J194" s="21">
        <f t="shared" si="10"/>
        <v>0</v>
      </c>
      <c r="K194" s="22">
        <f t="shared" si="2"/>
        <v>0</v>
      </c>
    </row>
    <row r="195" spans="1:11" ht="12.75" x14ac:dyDescent="0.2">
      <c r="A195" s="13">
        <v>45778</v>
      </c>
      <c r="B195" s="14" t="s">
        <v>6</v>
      </c>
      <c r="C195" s="15"/>
      <c r="D195" s="16"/>
      <c r="E195" s="17"/>
      <c r="F195" s="17"/>
      <c r="H195" s="19">
        <f t="shared" si="11"/>
        <v>0</v>
      </c>
      <c r="I195" s="20">
        <f t="shared" si="1"/>
        <v>0</v>
      </c>
      <c r="J195" s="21">
        <f t="shared" si="10"/>
        <v>0</v>
      </c>
      <c r="K195" s="22">
        <f t="shared" si="2"/>
        <v>0</v>
      </c>
    </row>
    <row r="196" spans="1:11" ht="12.75" x14ac:dyDescent="0.2">
      <c r="A196" s="13">
        <v>45779</v>
      </c>
      <c r="B196" s="14" t="s">
        <v>7</v>
      </c>
      <c r="C196" s="15"/>
      <c r="D196" s="16"/>
      <c r="E196" s="17"/>
      <c r="F196" s="17"/>
      <c r="H196" s="19">
        <f t="shared" si="11"/>
        <v>0</v>
      </c>
      <c r="I196" s="20">
        <f t="shared" si="1"/>
        <v>0</v>
      </c>
      <c r="J196" s="21">
        <f t="shared" si="10"/>
        <v>0</v>
      </c>
      <c r="K196" s="22">
        <f t="shared" si="2"/>
        <v>0</v>
      </c>
    </row>
    <row r="197" spans="1:11" ht="12.75" x14ac:dyDescent="0.2">
      <c r="A197" s="13">
        <v>45782</v>
      </c>
      <c r="B197" s="14" t="s">
        <v>3</v>
      </c>
      <c r="C197" s="15"/>
      <c r="D197" s="16"/>
      <c r="E197" s="17"/>
      <c r="F197" s="17"/>
      <c r="H197" s="19">
        <f t="shared" si="11"/>
        <v>0</v>
      </c>
      <c r="I197" s="20">
        <f t="shared" si="1"/>
        <v>0</v>
      </c>
      <c r="J197" s="21">
        <f t="shared" si="10"/>
        <v>0</v>
      </c>
      <c r="K197" s="22">
        <f t="shared" si="2"/>
        <v>0</v>
      </c>
    </row>
    <row r="198" spans="1:11" ht="12.75" x14ac:dyDescent="0.2">
      <c r="A198" s="13">
        <v>45783</v>
      </c>
      <c r="B198" s="14" t="s">
        <v>4</v>
      </c>
      <c r="C198" s="15"/>
      <c r="D198" s="16"/>
      <c r="E198" s="17"/>
      <c r="F198" s="17"/>
      <c r="H198" s="19">
        <f t="shared" si="11"/>
        <v>0</v>
      </c>
      <c r="I198" s="20">
        <f t="shared" si="1"/>
        <v>0</v>
      </c>
      <c r="J198" s="21">
        <f t="shared" si="10"/>
        <v>0</v>
      </c>
      <c r="K198" s="22">
        <f t="shared" si="2"/>
        <v>0</v>
      </c>
    </row>
    <row r="199" spans="1:11" ht="12.75" x14ac:dyDescent="0.2">
      <c r="A199" s="13">
        <v>45784</v>
      </c>
      <c r="B199" s="14" t="s">
        <v>5</v>
      </c>
      <c r="C199" s="15"/>
      <c r="D199" s="16"/>
      <c r="E199" s="17"/>
      <c r="F199" s="17"/>
      <c r="H199" s="19">
        <f t="shared" si="11"/>
        <v>0</v>
      </c>
      <c r="I199" s="20">
        <f t="shared" si="1"/>
        <v>0</v>
      </c>
      <c r="J199" s="21">
        <f t="shared" si="10"/>
        <v>0</v>
      </c>
      <c r="K199" s="22">
        <f t="shared" si="2"/>
        <v>0</v>
      </c>
    </row>
    <row r="200" spans="1:11" ht="12.75" x14ac:dyDescent="0.2">
      <c r="A200" s="13">
        <v>45785</v>
      </c>
      <c r="B200" s="14" t="s">
        <v>6</v>
      </c>
      <c r="C200" s="15"/>
      <c r="D200" s="16"/>
      <c r="E200" s="17"/>
      <c r="F200" s="17"/>
      <c r="H200" s="19">
        <f t="shared" si="11"/>
        <v>0</v>
      </c>
      <c r="I200" s="20">
        <f t="shared" si="1"/>
        <v>0</v>
      </c>
      <c r="J200" s="21">
        <f t="shared" si="10"/>
        <v>0</v>
      </c>
      <c r="K200" s="22">
        <f t="shared" si="2"/>
        <v>0</v>
      </c>
    </row>
    <row r="201" spans="1:11" ht="12.75" x14ac:dyDescent="0.2">
      <c r="A201" s="13">
        <v>45786</v>
      </c>
      <c r="B201" s="14" t="s">
        <v>7</v>
      </c>
      <c r="C201" s="15"/>
      <c r="D201" s="16"/>
      <c r="E201" s="17"/>
      <c r="F201" s="17"/>
      <c r="H201" s="19">
        <f t="shared" si="11"/>
        <v>0</v>
      </c>
      <c r="I201" s="20">
        <f t="shared" si="1"/>
        <v>0</v>
      </c>
      <c r="J201" s="21">
        <f t="shared" si="10"/>
        <v>0</v>
      </c>
      <c r="K201" s="22">
        <f t="shared" si="2"/>
        <v>0</v>
      </c>
    </row>
    <row r="202" spans="1:11" ht="12.75" x14ac:dyDescent="0.2">
      <c r="A202" s="13">
        <v>45789</v>
      </c>
      <c r="B202" s="14" t="s">
        <v>3</v>
      </c>
      <c r="C202" s="15"/>
      <c r="D202" s="16"/>
      <c r="E202" s="17"/>
      <c r="F202" s="17"/>
      <c r="H202" s="19">
        <f t="shared" si="11"/>
        <v>0</v>
      </c>
      <c r="I202" s="20">
        <f t="shared" si="1"/>
        <v>0</v>
      </c>
      <c r="J202" s="21">
        <f t="shared" si="10"/>
        <v>0</v>
      </c>
      <c r="K202" s="22">
        <f t="shared" si="2"/>
        <v>0</v>
      </c>
    </row>
    <row r="203" spans="1:11" ht="12.75" x14ac:dyDescent="0.2">
      <c r="A203" s="13">
        <v>45790</v>
      </c>
      <c r="B203" s="14" t="s">
        <v>4</v>
      </c>
      <c r="C203" s="15"/>
      <c r="D203" s="16"/>
      <c r="E203" s="17"/>
      <c r="F203" s="17"/>
      <c r="H203" s="19">
        <f t="shared" si="11"/>
        <v>0</v>
      </c>
      <c r="I203" s="20">
        <f t="shared" si="1"/>
        <v>0</v>
      </c>
      <c r="J203" s="21">
        <f t="shared" si="10"/>
        <v>0</v>
      </c>
      <c r="K203" s="22">
        <f t="shared" si="2"/>
        <v>0</v>
      </c>
    </row>
    <row r="204" spans="1:11" ht="12.75" x14ac:dyDescent="0.2">
      <c r="A204" s="13">
        <v>45791</v>
      </c>
      <c r="B204" s="14" t="s">
        <v>5</v>
      </c>
      <c r="C204" s="15"/>
      <c r="D204" s="16"/>
      <c r="E204" s="17"/>
      <c r="F204" s="17"/>
      <c r="H204" s="19">
        <f t="shared" si="11"/>
        <v>0</v>
      </c>
      <c r="I204" s="20">
        <f t="shared" si="1"/>
        <v>0</v>
      </c>
      <c r="J204" s="21">
        <f t="shared" si="10"/>
        <v>0</v>
      </c>
      <c r="K204" s="22">
        <f t="shared" si="2"/>
        <v>0</v>
      </c>
    </row>
    <row r="205" spans="1:11" ht="12.75" x14ac:dyDescent="0.2">
      <c r="A205" s="13">
        <v>45792</v>
      </c>
      <c r="B205" s="14" t="s">
        <v>6</v>
      </c>
      <c r="C205" s="15"/>
      <c r="D205" s="16"/>
      <c r="E205" s="17"/>
      <c r="F205" s="17"/>
      <c r="H205" s="19">
        <f t="shared" si="11"/>
        <v>0</v>
      </c>
      <c r="I205" s="20">
        <f t="shared" si="1"/>
        <v>0</v>
      </c>
      <c r="J205" s="21">
        <f t="shared" si="10"/>
        <v>0</v>
      </c>
      <c r="K205" s="22">
        <f t="shared" si="2"/>
        <v>0</v>
      </c>
    </row>
    <row r="206" spans="1:11" ht="12.75" x14ac:dyDescent="0.2">
      <c r="A206" s="13">
        <v>45793</v>
      </c>
      <c r="B206" s="14" t="s">
        <v>7</v>
      </c>
      <c r="C206" s="15"/>
      <c r="D206" s="16"/>
      <c r="E206" s="17"/>
      <c r="F206" s="17"/>
      <c r="H206" s="19">
        <f t="shared" si="11"/>
        <v>0</v>
      </c>
      <c r="I206" s="20">
        <f t="shared" si="1"/>
        <v>0</v>
      </c>
      <c r="J206" s="21">
        <f t="shared" si="10"/>
        <v>0</v>
      </c>
      <c r="K206" s="22">
        <f t="shared" si="2"/>
        <v>0</v>
      </c>
    </row>
    <row r="207" spans="1:11" ht="12.75" x14ac:dyDescent="0.2">
      <c r="A207" s="13">
        <v>45796</v>
      </c>
      <c r="B207" s="14" t="s">
        <v>3</v>
      </c>
      <c r="C207" s="15"/>
      <c r="D207" s="16"/>
      <c r="E207" s="17"/>
      <c r="F207" s="17"/>
      <c r="H207" s="19">
        <f t="shared" si="11"/>
        <v>0</v>
      </c>
      <c r="I207" s="20">
        <f t="shared" si="1"/>
        <v>0</v>
      </c>
      <c r="J207" s="21">
        <f t="shared" si="10"/>
        <v>0</v>
      </c>
      <c r="K207" s="22">
        <f t="shared" si="2"/>
        <v>0</v>
      </c>
    </row>
    <row r="208" spans="1:11" ht="12.75" x14ac:dyDescent="0.2">
      <c r="A208" s="13">
        <v>45797</v>
      </c>
      <c r="B208" s="14" t="s">
        <v>4</v>
      </c>
      <c r="C208" s="15"/>
      <c r="D208" s="16"/>
      <c r="E208" s="17"/>
      <c r="F208" s="17"/>
      <c r="H208" s="19">
        <f t="shared" si="11"/>
        <v>0</v>
      </c>
      <c r="I208" s="20">
        <f t="shared" si="1"/>
        <v>0</v>
      </c>
      <c r="J208" s="21">
        <f t="shared" si="10"/>
        <v>0</v>
      </c>
      <c r="K208" s="22">
        <f t="shared" si="2"/>
        <v>0</v>
      </c>
    </row>
    <row r="209" spans="1:11" ht="12.75" x14ac:dyDescent="0.2">
      <c r="A209" s="13">
        <v>45798</v>
      </c>
      <c r="B209" s="14" t="s">
        <v>5</v>
      </c>
      <c r="C209" s="15"/>
      <c r="D209" s="16"/>
      <c r="E209" s="17"/>
      <c r="F209" s="17"/>
      <c r="H209" s="19">
        <f t="shared" si="11"/>
        <v>0</v>
      </c>
      <c r="I209" s="20">
        <f t="shared" si="1"/>
        <v>0</v>
      </c>
      <c r="J209" s="21">
        <f t="shared" si="10"/>
        <v>0</v>
      </c>
      <c r="K209" s="22">
        <f t="shared" si="2"/>
        <v>0</v>
      </c>
    </row>
    <row r="210" spans="1:11" ht="12.75" x14ac:dyDescent="0.2">
      <c r="A210" s="13">
        <v>45799</v>
      </c>
      <c r="B210" s="14" t="s">
        <v>6</v>
      </c>
      <c r="C210" s="15"/>
      <c r="D210" s="16"/>
      <c r="E210" s="17"/>
      <c r="F210" s="17"/>
      <c r="H210" s="19">
        <f t="shared" si="11"/>
        <v>0</v>
      </c>
      <c r="I210" s="20">
        <f t="shared" si="1"/>
        <v>0</v>
      </c>
      <c r="J210" s="21">
        <f t="shared" si="10"/>
        <v>0</v>
      </c>
      <c r="K210" s="22">
        <f t="shared" si="2"/>
        <v>0</v>
      </c>
    </row>
    <row r="211" spans="1:11" ht="12.75" x14ac:dyDescent="0.2">
      <c r="A211" s="13">
        <v>45800</v>
      </c>
      <c r="B211" s="14" t="s">
        <v>7</v>
      </c>
      <c r="C211" s="15"/>
      <c r="D211" s="16"/>
      <c r="E211" s="17"/>
      <c r="F211" s="17"/>
      <c r="H211" s="19">
        <f t="shared" si="11"/>
        <v>0</v>
      </c>
      <c r="I211" s="20">
        <f t="shared" si="1"/>
        <v>0</v>
      </c>
      <c r="J211" s="21">
        <f t="shared" si="10"/>
        <v>0</v>
      </c>
      <c r="K211" s="22">
        <f t="shared" si="2"/>
        <v>0</v>
      </c>
    </row>
    <row r="212" spans="1:11" ht="12.75" x14ac:dyDescent="0.2">
      <c r="A212" s="24">
        <v>45803</v>
      </c>
      <c r="B212" s="25" t="s">
        <v>3</v>
      </c>
      <c r="C212" s="26"/>
      <c r="D212" s="27"/>
      <c r="E212" s="28"/>
      <c r="F212" s="28"/>
      <c r="G212" s="29"/>
      <c r="H212" s="19">
        <f t="shared" si="11"/>
        <v>0</v>
      </c>
      <c r="I212" s="20">
        <f t="shared" si="1"/>
        <v>0</v>
      </c>
      <c r="J212" s="21">
        <f t="shared" si="10"/>
        <v>0</v>
      </c>
      <c r="K212" s="22">
        <f t="shared" si="2"/>
        <v>0</v>
      </c>
    </row>
    <row r="213" spans="1:11" ht="12.75" x14ac:dyDescent="0.2">
      <c r="A213" s="13">
        <v>45804</v>
      </c>
      <c r="B213" s="14" t="s">
        <v>4</v>
      </c>
      <c r="C213" s="15"/>
      <c r="D213" s="16"/>
      <c r="E213" s="17"/>
      <c r="F213" s="17"/>
      <c r="H213" s="19">
        <f t="shared" si="11"/>
        <v>0</v>
      </c>
      <c r="I213" s="20">
        <f t="shared" si="1"/>
        <v>0</v>
      </c>
      <c r="J213" s="21">
        <f t="shared" si="10"/>
        <v>0</v>
      </c>
      <c r="K213" s="22">
        <f t="shared" si="2"/>
        <v>0</v>
      </c>
    </row>
    <row r="214" spans="1:11" ht="12.75" x14ac:dyDescent="0.2">
      <c r="A214" s="13">
        <v>45805</v>
      </c>
      <c r="B214" s="14" t="s">
        <v>5</v>
      </c>
      <c r="C214" s="15"/>
      <c r="D214" s="16"/>
      <c r="E214" s="17"/>
      <c r="F214" s="17"/>
      <c r="H214" s="19">
        <f t="shared" si="11"/>
        <v>0</v>
      </c>
      <c r="I214" s="20">
        <f t="shared" si="1"/>
        <v>0</v>
      </c>
      <c r="J214" s="21">
        <f t="shared" si="10"/>
        <v>0</v>
      </c>
      <c r="K214" s="22">
        <f t="shared" si="2"/>
        <v>0</v>
      </c>
    </row>
    <row r="215" spans="1:11" ht="12.75" x14ac:dyDescent="0.2">
      <c r="A215" s="13">
        <v>45806</v>
      </c>
      <c r="B215" s="46" t="s">
        <v>6</v>
      </c>
      <c r="C215" s="15"/>
      <c r="D215" s="16"/>
      <c r="E215" s="17"/>
      <c r="F215" s="17"/>
      <c r="H215" s="19">
        <f t="shared" si="11"/>
        <v>0</v>
      </c>
      <c r="I215" s="20">
        <f t="shared" si="1"/>
        <v>0</v>
      </c>
      <c r="J215" s="21">
        <f t="shared" si="10"/>
        <v>0</v>
      </c>
      <c r="K215" s="22">
        <f t="shared" si="2"/>
        <v>0</v>
      </c>
    </row>
    <row r="216" spans="1:11" ht="12.75" hidden="1" x14ac:dyDescent="0.2">
      <c r="A216" s="16"/>
      <c r="B216" s="16"/>
      <c r="C216" s="15"/>
      <c r="D216" s="16"/>
      <c r="E216" s="17"/>
      <c r="F216" s="17"/>
      <c r="H216" s="19"/>
      <c r="I216" s="47"/>
      <c r="J216" s="48"/>
      <c r="K216" s="49"/>
    </row>
    <row r="217" spans="1:11" ht="12.75" hidden="1" x14ac:dyDescent="0.2">
      <c r="A217" s="16"/>
      <c r="B217" s="16"/>
      <c r="C217" s="15"/>
      <c r="D217" s="16"/>
      <c r="E217" s="17"/>
      <c r="F217" s="17"/>
      <c r="H217" s="19"/>
      <c r="I217" s="47"/>
      <c r="J217" s="48"/>
      <c r="K217" s="49"/>
    </row>
    <row r="218" spans="1:11" ht="12.75" hidden="1" x14ac:dyDescent="0.2">
      <c r="A218" s="16"/>
      <c r="B218" s="16"/>
      <c r="C218" s="15"/>
      <c r="D218" s="16"/>
      <c r="E218" s="17"/>
      <c r="F218" s="17"/>
      <c r="H218" s="19"/>
      <c r="I218" s="47"/>
      <c r="J218" s="48"/>
      <c r="K218" s="49"/>
    </row>
    <row r="219" spans="1:11" ht="12.75" hidden="1" x14ac:dyDescent="0.2">
      <c r="A219" s="16"/>
      <c r="B219" s="16"/>
      <c r="C219" s="15"/>
      <c r="D219" s="16"/>
      <c r="E219" s="17"/>
      <c r="F219" s="17"/>
      <c r="H219" s="19"/>
      <c r="I219" s="47"/>
      <c r="J219" s="48"/>
      <c r="K219" s="49"/>
    </row>
    <row r="220" spans="1:11" ht="12.75" hidden="1" x14ac:dyDescent="0.2">
      <c r="A220" s="16"/>
      <c r="B220" s="16"/>
      <c r="C220" s="15"/>
      <c r="D220" s="16"/>
      <c r="E220" s="17"/>
      <c r="F220" s="17"/>
      <c r="H220" s="19"/>
      <c r="I220" s="47"/>
      <c r="J220" s="48"/>
      <c r="K220" s="49"/>
    </row>
    <row r="221" spans="1:11" ht="12.75" hidden="1" x14ac:dyDescent="0.2">
      <c r="A221" s="16"/>
      <c r="B221" s="16"/>
      <c r="C221" s="15"/>
      <c r="D221" s="16"/>
      <c r="E221" s="17"/>
      <c r="F221" s="17"/>
      <c r="H221" s="19"/>
      <c r="I221" s="47"/>
      <c r="J221" s="48"/>
      <c r="K221" s="49"/>
    </row>
    <row r="222" spans="1:11" ht="12.75" hidden="1" x14ac:dyDescent="0.2">
      <c r="A222" s="16"/>
      <c r="B222" s="16"/>
      <c r="C222" s="15"/>
      <c r="D222" s="16"/>
      <c r="E222" s="17"/>
      <c r="F222" s="17"/>
      <c r="H222" s="19"/>
      <c r="I222" s="47"/>
      <c r="J222" s="48"/>
      <c r="K222" s="49"/>
    </row>
    <row r="223" spans="1:11" ht="12.75" hidden="1" x14ac:dyDescent="0.2">
      <c r="A223" s="16"/>
      <c r="B223" s="16"/>
      <c r="C223" s="15"/>
      <c r="D223" s="16"/>
      <c r="E223" s="17"/>
      <c r="F223" s="17"/>
      <c r="H223" s="19"/>
      <c r="I223" s="47"/>
      <c r="J223" s="48"/>
      <c r="K223" s="49"/>
    </row>
    <row r="224" spans="1:11" ht="12.75" hidden="1" x14ac:dyDescent="0.2">
      <c r="A224" s="16"/>
      <c r="B224" s="16"/>
      <c r="C224" s="15"/>
      <c r="D224" s="16"/>
      <c r="E224" s="17"/>
      <c r="F224" s="17"/>
      <c r="H224" s="19"/>
      <c r="I224" s="47"/>
      <c r="J224" s="48"/>
      <c r="K224" s="49"/>
    </row>
    <row r="225" spans="1:11" ht="12.75" hidden="1" x14ac:dyDescent="0.2">
      <c r="A225" s="16"/>
      <c r="B225" s="16"/>
      <c r="C225" s="15"/>
      <c r="D225" s="16"/>
      <c r="E225" s="17"/>
      <c r="F225" s="17"/>
      <c r="H225" s="19"/>
      <c r="I225" s="47"/>
      <c r="J225" s="48"/>
      <c r="K225" s="49"/>
    </row>
    <row r="226" spans="1:11" ht="12.75" hidden="1" x14ac:dyDescent="0.2">
      <c r="A226" s="16"/>
      <c r="B226" s="16"/>
      <c r="C226" s="15"/>
      <c r="D226" s="16"/>
      <c r="E226" s="17"/>
      <c r="F226" s="17"/>
      <c r="H226" s="19"/>
      <c r="I226" s="47"/>
      <c r="J226" s="48"/>
      <c r="K226" s="49"/>
    </row>
    <row r="227" spans="1:11" ht="12.75" hidden="1" x14ac:dyDescent="0.2">
      <c r="A227" s="16"/>
      <c r="B227" s="16"/>
      <c r="C227" s="15"/>
      <c r="D227" s="16"/>
      <c r="E227" s="17"/>
      <c r="F227" s="17"/>
      <c r="H227" s="19"/>
      <c r="I227" s="47"/>
      <c r="J227" s="48"/>
      <c r="K227" s="49"/>
    </row>
    <row r="228" spans="1:11" ht="12.75" hidden="1" x14ac:dyDescent="0.2">
      <c r="A228" s="16"/>
      <c r="B228" s="16"/>
      <c r="C228" s="15"/>
      <c r="D228" s="16"/>
      <c r="E228" s="17"/>
      <c r="F228" s="17"/>
      <c r="H228" s="19"/>
      <c r="I228" s="47"/>
      <c r="J228" s="48"/>
      <c r="K228" s="49"/>
    </row>
    <row r="229" spans="1:11" ht="12.75" hidden="1" x14ac:dyDescent="0.2">
      <c r="A229" s="16"/>
      <c r="B229" s="16"/>
      <c r="C229" s="15"/>
      <c r="D229" s="16"/>
      <c r="E229" s="17"/>
      <c r="F229" s="17"/>
      <c r="H229" s="19"/>
      <c r="I229" s="47"/>
      <c r="J229" s="48"/>
      <c r="K229" s="49"/>
    </row>
    <row r="230" spans="1:11" ht="12.75" hidden="1" x14ac:dyDescent="0.2">
      <c r="A230" s="16"/>
      <c r="B230" s="16"/>
      <c r="C230" s="15"/>
      <c r="D230" s="16"/>
      <c r="E230" s="17"/>
      <c r="F230" s="17"/>
      <c r="H230" s="19"/>
      <c r="I230" s="47"/>
      <c r="J230" s="48"/>
      <c r="K230" s="49"/>
    </row>
    <row r="231" spans="1:11" ht="12.75" hidden="1" x14ac:dyDescent="0.2">
      <c r="A231" s="16"/>
      <c r="B231" s="16"/>
      <c r="C231" s="15"/>
      <c r="D231" s="16"/>
      <c r="E231" s="17"/>
      <c r="F231" s="17"/>
      <c r="H231" s="19"/>
      <c r="I231" s="47"/>
      <c r="J231" s="48"/>
      <c r="K231" s="49"/>
    </row>
    <row r="232" spans="1:11" ht="12.75" hidden="1" x14ac:dyDescent="0.2">
      <c r="A232" s="16"/>
      <c r="B232" s="16"/>
      <c r="C232" s="15"/>
      <c r="D232" s="16"/>
      <c r="E232" s="17"/>
      <c r="F232" s="17"/>
      <c r="H232" s="19"/>
      <c r="I232" s="47"/>
      <c r="J232" s="48"/>
      <c r="K232" s="49"/>
    </row>
    <row r="233" spans="1:11" ht="12.75" hidden="1" x14ac:dyDescent="0.2">
      <c r="A233" s="16"/>
      <c r="B233" s="16"/>
      <c r="C233" s="15"/>
      <c r="D233" s="16"/>
      <c r="E233" s="17"/>
      <c r="F233" s="17"/>
      <c r="H233" s="19"/>
      <c r="I233" s="47"/>
      <c r="J233" s="48"/>
      <c r="K233" s="49"/>
    </row>
    <row r="234" spans="1:11" ht="12.75" hidden="1" x14ac:dyDescent="0.2">
      <c r="A234" s="16"/>
      <c r="B234" s="16"/>
      <c r="C234" s="15"/>
      <c r="D234" s="16"/>
      <c r="E234" s="17"/>
      <c r="F234" s="17"/>
      <c r="H234" s="19"/>
      <c r="I234" s="47"/>
      <c r="J234" s="48"/>
      <c r="K234" s="49"/>
    </row>
    <row r="235" spans="1:11" ht="12.75" hidden="1" x14ac:dyDescent="0.2">
      <c r="A235" s="16"/>
      <c r="B235" s="16"/>
      <c r="C235" s="15"/>
      <c r="D235" s="16"/>
      <c r="E235" s="17"/>
      <c r="F235" s="17"/>
      <c r="H235" s="19"/>
      <c r="I235" s="47"/>
      <c r="J235" s="48"/>
      <c r="K235" s="49"/>
    </row>
    <row r="236" spans="1:11" ht="12.75" hidden="1" x14ac:dyDescent="0.2">
      <c r="A236" s="16"/>
      <c r="B236" s="16"/>
      <c r="C236" s="15"/>
      <c r="D236" s="16"/>
      <c r="E236" s="17"/>
      <c r="F236" s="17"/>
      <c r="H236" s="19"/>
      <c r="I236" s="47"/>
      <c r="J236" s="48"/>
      <c r="K236" s="49"/>
    </row>
    <row r="237" spans="1:11" ht="12.75" hidden="1" x14ac:dyDescent="0.2">
      <c r="A237" s="16"/>
      <c r="B237" s="16"/>
      <c r="C237" s="15"/>
      <c r="D237" s="16"/>
      <c r="E237" s="17"/>
      <c r="F237" s="17"/>
      <c r="H237" s="19"/>
      <c r="I237" s="47"/>
      <c r="J237" s="48"/>
      <c r="K237" s="49"/>
    </row>
    <row r="238" spans="1:11" ht="12.75" hidden="1" x14ac:dyDescent="0.2">
      <c r="A238" s="16"/>
      <c r="B238" s="16"/>
      <c r="C238" s="15"/>
      <c r="D238" s="16"/>
      <c r="E238" s="17"/>
      <c r="F238" s="17"/>
      <c r="H238" s="19"/>
      <c r="I238" s="47"/>
      <c r="J238" s="48"/>
      <c r="K238" s="49"/>
    </row>
    <row r="239" spans="1:11" ht="12.75" hidden="1" x14ac:dyDescent="0.2">
      <c r="A239" s="16"/>
      <c r="B239" s="16"/>
      <c r="C239" s="15"/>
      <c r="D239" s="16"/>
      <c r="E239" s="17"/>
      <c r="F239" s="17"/>
      <c r="H239" s="19"/>
      <c r="I239" s="47"/>
      <c r="J239" s="48"/>
      <c r="K239" s="49"/>
    </row>
    <row r="240" spans="1:11" ht="12.75" hidden="1" x14ac:dyDescent="0.2">
      <c r="A240" s="16"/>
      <c r="B240" s="16"/>
      <c r="C240" s="15"/>
      <c r="D240" s="16"/>
      <c r="E240" s="17"/>
      <c r="F240" s="17"/>
      <c r="H240" s="19"/>
      <c r="I240" s="47"/>
      <c r="J240" s="48"/>
      <c r="K240" s="49"/>
    </row>
    <row r="241" spans="1:11" ht="12.75" hidden="1" x14ac:dyDescent="0.2">
      <c r="A241" s="16"/>
      <c r="B241" s="16"/>
      <c r="C241" s="15"/>
      <c r="D241" s="16"/>
      <c r="E241" s="17"/>
      <c r="F241" s="17"/>
      <c r="H241" s="19"/>
      <c r="I241" s="47"/>
      <c r="J241" s="48"/>
      <c r="K241" s="49"/>
    </row>
    <row r="242" spans="1:11" ht="12.75" hidden="1" x14ac:dyDescent="0.2">
      <c r="A242" s="16"/>
      <c r="B242" s="16"/>
      <c r="C242" s="15"/>
      <c r="D242" s="16"/>
      <c r="E242" s="17"/>
      <c r="F242" s="17"/>
      <c r="H242" s="19"/>
      <c r="I242" s="47"/>
      <c r="J242" s="48"/>
      <c r="K242" s="49"/>
    </row>
    <row r="243" spans="1:11" ht="12.75" hidden="1" x14ac:dyDescent="0.2">
      <c r="A243" s="16"/>
      <c r="B243" s="16"/>
      <c r="C243" s="15"/>
      <c r="D243" s="16"/>
      <c r="E243" s="17"/>
      <c r="F243" s="17"/>
      <c r="H243" s="19"/>
      <c r="I243" s="47"/>
      <c r="J243" s="48"/>
      <c r="K243" s="49"/>
    </row>
    <row r="244" spans="1:11" ht="12.75" hidden="1" x14ac:dyDescent="0.2">
      <c r="A244" s="16"/>
      <c r="B244" s="16"/>
      <c r="C244" s="15"/>
      <c r="D244" s="16"/>
      <c r="E244" s="17"/>
      <c r="F244" s="17"/>
      <c r="H244" s="19"/>
      <c r="I244" s="47"/>
      <c r="J244" s="48"/>
      <c r="K244" s="49"/>
    </row>
    <row r="245" spans="1:11" ht="12.75" hidden="1" x14ac:dyDescent="0.2">
      <c r="A245" s="16"/>
      <c r="B245" s="16"/>
      <c r="C245" s="15"/>
      <c r="D245" s="16"/>
      <c r="E245" s="17"/>
      <c r="F245" s="17"/>
      <c r="H245" s="19"/>
      <c r="I245" s="47"/>
      <c r="J245" s="48"/>
      <c r="K245" s="49"/>
    </row>
    <row r="246" spans="1:11" ht="12.75" hidden="1" x14ac:dyDescent="0.2">
      <c r="A246" s="16"/>
      <c r="B246" s="16"/>
      <c r="C246" s="15"/>
      <c r="D246" s="16"/>
      <c r="E246" s="17"/>
      <c r="F246" s="17"/>
      <c r="H246" s="19"/>
      <c r="I246" s="47"/>
      <c r="J246" s="48"/>
      <c r="K246" s="49"/>
    </row>
    <row r="247" spans="1:11" ht="12.75" hidden="1" x14ac:dyDescent="0.2">
      <c r="A247" s="16"/>
      <c r="B247" s="16"/>
      <c r="C247" s="15"/>
      <c r="D247" s="16"/>
      <c r="E247" s="17"/>
      <c r="F247" s="17"/>
      <c r="H247" s="19"/>
      <c r="I247" s="47"/>
      <c r="J247" s="48"/>
      <c r="K247" s="49"/>
    </row>
    <row r="248" spans="1:11" ht="12.75" hidden="1" x14ac:dyDescent="0.2">
      <c r="A248" s="16"/>
      <c r="B248" s="16"/>
      <c r="C248" s="15"/>
      <c r="D248" s="16"/>
      <c r="E248" s="17"/>
      <c r="F248" s="17"/>
      <c r="H248" s="19"/>
      <c r="I248" s="47"/>
      <c r="J248" s="48"/>
      <c r="K248" s="49"/>
    </row>
    <row r="249" spans="1:11" ht="12.75" hidden="1" x14ac:dyDescent="0.2">
      <c r="A249" s="16"/>
      <c r="B249" s="16"/>
      <c r="C249" s="15"/>
      <c r="D249" s="16"/>
      <c r="E249" s="17"/>
      <c r="F249" s="17"/>
      <c r="H249" s="19"/>
      <c r="I249" s="47"/>
      <c r="J249" s="48"/>
      <c r="K249" s="49"/>
    </row>
    <row r="250" spans="1:11" ht="12.75" hidden="1" x14ac:dyDescent="0.2">
      <c r="A250" s="16"/>
      <c r="B250" s="16"/>
      <c r="C250" s="15"/>
      <c r="D250" s="16"/>
      <c r="E250" s="17"/>
      <c r="F250" s="17"/>
      <c r="H250" s="19"/>
      <c r="I250" s="47"/>
      <c r="J250" s="48"/>
      <c r="K250" s="49"/>
    </row>
    <row r="251" spans="1:11" ht="12.75" hidden="1" x14ac:dyDescent="0.2">
      <c r="A251" s="16"/>
      <c r="B251" s="16"/>
      <c r="C251" s="15"/>
      <c r="D251" s="16"/>
      <c r="E251" s="17"/>
      <c r="F251" s="17"/>
      <c r="H251" s="19"/>
      <c r="I251" s="47"/>
      <c r="J251" s="48"/>
      <c r="K251" s="49"/>
    </row>
    <row r="252" spans="1:11" ht="12.75" hidden="1" x14ac:dyDescent="0.2">
      <c r="A252" s="16"/>
      <c r="B252" s="16"/>
      <c r="C252" s="15"/>
      <c r="D252" s="16"/>
      <c r="E252" s="17"/>
      <c r="F252" s="17"/>
      <c r="H252" s="19"/>
      <c r="I252" s="47"/>
      <c r="J252" s="48"/>
      <c r="K252" s="49"/>
    </row>
    <row r="253" spans="1:11" ht="12.75" hidden="1" x14ac:dyDescent="0.2">
      <c r="A253" s="16"/>
      <c r="B253" s="16"/>
      <c r="C253" s="15"/>
      <c r="D253" s="16"/>
      <c r="E253" s="17"/>
      <c r="F253" s="17"/>
      <c r="H253" s="19"/>
      <c r="I253" s="47"/>
      <c r="J253" s="48"/>
      <c r="K253" s="49"/>
    </row>
    <row r="254" spans="1:11" ht="12.75" hidden="1" x14ac:dyDescent="0.2">
      <c r="A254" s="16"/>
      <c r="B254" s="16"/>
      <c r="C254" s="15"/>
      <c r="D254" s="16"/>
      <c r="E254" s="17"/>
      <c r="F254" s="17"/>
      <c r="H254" s="19"/>
      <c r="I254" s="47"/>
      <c r="J254" s="48"/>
      <c r="K254" s="49"/>
    </row>
    <row r="255" spans="1:11" ht="12.75" hidden="1" x14ac:dyDescent="0.2">
      <c r="A255" s="16"/>
      <c r="B255" s="16"/>
      <c r="C255" s="15"/>
      <c r="D255" s="16"/>
      <c r="E255" s="17"/>
      <c r="F255" s="17"/>
      <c r="H255" s="19"/>
      <c r="I255" s="47"/>
      <c r="J255" s="48"/>
      <c r="K255" s="49"/>
    </row>
    <row r="256" spans="1:11" ht="12.75" hidden="1" x14ac:dyDescent="0.2">
      <c r="A256" s="16"/>
      <c r="B256" s="16"/>
      <c r="C256" s="15"/>
      <c r="D256" s="16"/>
      <c r="E256" s="17"/>
      <c r="F256" s="17"/>
      <c r="H256" s="19"/>
      <c r="I256" s="47"/>
      <c r="J256" s="48"/>
      <c r="K256" s="49"/>
    </row>
    <row r="257" spans="1:11" ht="12.75" hidden="1" x14ac:dyDescent="0.2">
      <c r="A257" s="16"/>
      <c r="B257" s="16"/>
      <c r="C257" s="15"/>
      <c r="D257" s="16"/>
      <c r="E257" s="17"/>
      <c r="F257" s="17"/>
      <c r="H257" s="19"/>
      <c r="I257" s="47"/>
      <c r="J257" s="48"/>
      <c r="K257" s="49"/>
    </row>
    <row r="258" spans="1:11" ht="12.75" hidden="1" x14ac:dyDescent="0.2">
      <c r="A258" s="16"/>
      <c r="B258" s="16"/>
      <c r="C258" s="15"/>
      <c r="D258" s="16"/>
      <c r="E258" s="17"/>
      <c r="F258" s="17"/>
      <c r="H258" s="19"/>
      <c r="I258" s="47"/>
      <c r="J258" s="48"/>
      <c r="K258" s="49"/>
    </row>
    <row r="259" spans="1:11" ht="12.75" hidden="1" x14ac:dyDescent="0.2">
      <c r="A259" s="16"/>
      <c r="B259" s="16"/>
      <c r="C259" s="15"/>
      <c r="D259" s="16"/>
      <c r="E259" s="17"/>
      <c r="F259" s="17"/>
      <c r="H259" s="19"/>
      <c r="I259" s="47"/>
      <c r="J259" s="48"/>
      <c r="K259" s="49"/>
    </row>
    <row r="260" spans="1:11" ht="12.75" hidden="1" x14ac:dyDescent="0.2">
      <c r="A260" s="16"/>
      <c r="B260" s="16"/>
      <c r="C260" s="15"/>
      <c r="D260" s="16"/>
      <c r="E260" s="17"/>
      <c r="F260" s="17"/>
      <c r="H260" s="19"/>
      <c r="I260" s="47"/>
      <c r="J260" s="48"/>
      <c r="K260" s="49"/>
    </row>
    <row r="261" spans="1:11" ht="12.75" hidden="1" x14ac:dyDescent="0.2">
      <c r="A261" s="16"/>
      <c r="B261" s="16"/>
      <c r="C261" s="15"/>
      <c r="D261" s="16"/>
      <c r="E261" s="17"/>
      <c r="F261" s="17"/>
      <c r="H261" s="19"/>
      <c r="I261" s="47"/>
      <c r="J261" s="48"/>
      <c r="K261" s="49"/>
    </row>
    <row r="262" spans="1:11" ht="12.75" hidden="1" x14ac:dyDescent="0.2">
      <c r="A262" s="16"/>
      <c r="B262" s="16"/>
      <c r="C262" s="15"/>
      <c r="D262" s="16"/>
      <c r="E262" s="17"/>
      <c r="F262" s="17"/>
      <c r="H262" s="19"/>
      <c r="I262" s="47"/>
      <c r="J262" s="48"/>
      <c r="K262" s="49"/>
    </row>
    <row r="263" spans="1:11" ht="12.75" hidden="1" x14ac:dyDescent="0.2">
      <c r="A263" s="16"/>
      <c r="B263" s="16"/>
      <c r="C263" s="15"/>
      <c r="D263" s="16"/>
      <c r="E263" s="17"/>
      <c r="F263" s="17"/>
      <c r="H263" s="19"/>
      <c r="I263" s="47"/>
      <c r="J263" s="48"/>
      <c r="K263" s="49"/>
    </row>
    <row r="264" spans="1:11" ht="12.75" hidden="1" x14ac:dyDescent="0.2">
      <c r="A264" s="16"/>
      <c r="B264" s="16"/>
      <c r="C264" s="15"/>
      <c r="D264" s="16"/>
      <c r="E264" s="17"/>
      <c r="F264" s="17"/>
      <c r="H264" s="19"/>
      <c r="I264" s="47"/>
      <c r="J264" s="48"/>
      <c r="K264" s="49"/>
    </row>
    <row r="265" spans="1:11" ht="12.75" hidden="1" x14ac:dyDescent="0.2">
      <c r="A265" s="16"/>
      <c r="B265" s="16"/>
      <c r="C265" s="15"/>
      <c r="D265" s="16"/>
      <c r="E265" s="17"/>
      <c r="F265" s="17"/>
      <c r="H265" s="19"/>
      <c r="I265" s="47"/>
      <c r="J265" s="48"/>
      <c r="K265" s="49"/>
    </row>
    <row r="266" spans="1:11" ht="12.75" hidden="1" x14ac:dyDescent="0.2">
      <c r="A266" s="16"/>
      <c r="B266" s="16"/>
      <c r="C266" s="15"/>
      <c r="D266" s="16"/>
      <c r="E266" s="17"/>
      <c r="F266" s="17"/>
      <c r="H266" s="19"/>
      <c r="I266" s="47"/>
      <c r="J266" s="48"/>
      <c r="K266" s="49"/>
    </row>
    <row r="267" spans="1:11" ht="12.75" hidden="1" x14ac:dyDescent="0.2">
      <c r="A267" s="16"/>
      <c r="B267" s="16"/>
      <c r="C267" s="15"/>
      <c r="D267" s="16"/>
      <c r="E267" s="17"/>
      <c r="F267" s="17"/>
      <c r="H267" s="19"/>
      <c r="I267" s="47"/>
      <c r="J267" s="48"/>
      <c r="K267" s="49"/>
    </row>
    <row r="268" spans="1:11" ht="12.75" hidden="1" x14ac:dyDescent="0.2">
      <c r="A268" s="16"/>
      <c r="B268" s="16"/>
      <c r="C268" s="15"/>
      <c r="D268" s="16"/>
      <c r="E268" s="17"/>
      <c r="F268" s="17"/>
      <c r="H268" s="19"/>
      <c r="I268" s="47"/>
      <c r="J268" s="48"/>
      <c r="K268" s="49"/>
    </row>
    <row r="269" spans="1:11" ht="12.75" hidden="1" x14ac:dyDescent="0.2">
      <c r="A269" s="16"/>
      <c r="B269" s="16"/>
      <c r="C269" s="15"/>
      <c r="D269" s="16"/>
      <c r="E269" s="17"/>
      <c r="F269" s="17"/>
      <c r="H269" s="19"/>
      <c r="I269" s="47"/>
      <c r="J269" s="48"/>
      <c r="K269" s="49"/>
    </row>
    <row r="270" spans="1:11" ht="12.75" hidden="1" x14ac:dyDescent="0.2">
      <c r="A270" s="16"/>
      <c r="B270" s="16"/>
      <c r="C270" s="15"/>
      <c r="D270" s="16"/>
      <c r="E270" s="17"/>
      <c r="F270" s="17"/>
      <c r="H270" s="19"/>
      <c r="I270" s="47"/>
      <c r="J270" s="48"/>
      <c r="K270" s="49"/>
    </row>
    <row r="271" spans="1:11" ht="12.75" hidden="1" x14ac:dyDescent="0.2">
      <c r="A271" s="16"/>
      <c r="B271" s="16"/>
      <c r="C271" s="15"/>
      <c r="D271" s="16"/>
      <c r="E271" s="17"/>
      <c r="F271" s="17"/>
      <c r="H271" s="19"/>
      <c r="I271" s="47"/>
      <c r="J271" s="48"/>
      <c r="K271" s="49"/>
    </row>
    <row r="272" spans="1:11" ht="12.75" hidden="1" x14ac:dyDescent="0.2">
      <c r="A272" s="16"/>
      <c r="B272" s="16"/>
      <c r="C272" s="15"/>
      <c r="D272" s="16"/>
      <c r="E272" s="17"/>
      <c r="F272" s="17"/>
      <c r="H272" s="19"/>
      <c r="I272" s="47"/>
      <c r="J272" s="48"/>
      <c r="K272" s="49"/>
    </row>
    <row r="273" spans="1:11" ht="12.75" hidden="1" x14ac:dyDescent="0.2">
      <c r="A273" s="16"/>
      <c r="B273" s="16"/>
      <c r="C273" s="15"/>
      <c r="D273" s="16"/>
      <c r="E273" s="17"/>
      <c r="F273" s="17"/>
      <c r="H273" s="19"/>
      <c r="I273" s="47"/>
      <c r="J273" s="48"/>
      <c r="K273" s="49"/>
    </row>
    <row r="274" spans="1:11" ht="12.75" hidden="1" x14ac:dyDescent="0.2">
      <c r="A274" s="16"/>
      <c r="B274" s="16"/>
      <c r="C274" s="15"/>
      <c r="D274" s="16"/>
      <c r="E274" s="17"/>
      <c r="F274" s="17"/>
      <c r="H274" s="19"/>
      <c r="I274" s="47"/>
      <c r="J274" s="48"/>
      <c r="K274" s="49"/>
    </row>
    <row r="275" spans="1:11" ht="12.75" hidden="1" x14ac:dyDescent="0.2">
      <c r="A275" s="16"/>
      <c r="B275" s="16"/>
      <c r="C275" s="15"/>
      <c r="D275" s="16"/>
      <c r="E275" s="17"/>
      <c r="F275" s="17"/>
      <c r="H275" s="19"/>
      <c r="I275" s="47"/>
      <c r="J275" s="48"/>
      <c r="K275" s="49"/>
    </row>
    <row r="276" spans="1:11" ht="12.75" hidden="1" x14ac:dyDescent="0.2">
      <c r="A276" s="16"/>
      <c r="B276" s="16"/>
      <c r="C276" s="15"/>
      <c r="D276" s="16"/>
      <c r="E276" s="17"/>
      <c r="F276" s="17"/>
      <c r="H276" s="19"/>
      <c r="I276" s="47"/>
      <c r="J276" s="48"/>
      <c r="K276" s="49"/>
    </row>
    <row r="277" spans="1:11" ht="12.75" hidden="1" x14ac:dyDescent="0.2">
      <c r="A277" s="16"/>
      <c r="B277" s="16"/>
      <c r="C277" s="15"/>
      <c r="D277" s="16"/>
      <c r="E277" s="17"/>
      <c r="F277" s="17"/>
      <c r="H277" s="19"/>
      <c r="I277" s="47"/>
      <c r="J277" s="48"/>
      <c r="K277" s="49"/>
    </row>
    <row r="278" spans="1:11" ht="12.75" hidden="1" x14ac:dyDescent="0.2">
      <c r="A278" s="16"/>
      <c r="B278" s="16"/>
      <c r="C278" s="15"/>
      <c r="D278" s="16"/>
      <c r="E278" s="17"/>
      <c r="F278" s="17"/>
      <c r="H278" s="19"/>
      <c r="I278" s="47"/>
      <c r="J278" s="48"/>
      <c r="K278" s="49"/>
    </row>
    <row r="279" spans="1:11" ht="12.75" hidden="1" x14ac:dyDescent="0.2">
      <c r="A279" s="16"/>
      <c r="B279" s="16"/>
      <c r="C279" s="15"/>
      <c r="D279" s="16"/>
      <c r="E279" s="17"/>
      <c r="F279" s="17"/>
      <c r="H279" s="19"/>
      <c r="I279" s="47"/>
      <c r="J279" s="48"/>
      <c r="K279" s="49"/>
    </row>
    <row r="280" spans="1:11" ht="12.75" hidden="1" x14ac:dyDescent="0.2">
      <c r="A280" s="16"/>
      <c r="B280" s="16"/>
      <c r="C280" s="15"/>
      <c r="D280" s="16"/>
      <c r="E280" s="17"/>
      <c r="F280" s="17"/>
      <c r="H280" s="19"/>
      <c r="I280" s="47"/>
      <c r="J280" s="48"/>
      <c r="K280" s="49"/>
    </row>
    <row r="281" spans="1:11" ht="12.75" hidden="1" x14ac:dyDescent="0.2">
      <c r="A281" s="16"/>
      <c r="B281" s="16"/>
      <c r="C281" s="15"/>
      <c r="D281" s="16"/>
      <c r="E281" s="17"/>
      <c r="F281" s="17"/>
      <c r="H281" s="19"/>
      <c r="I281" s="47"/>
      <c r="J281" s="48"/>
      <c r="K281" s="49"/>
    </row>
    <row r="282" spans="1:11" ht="12.75" hidden="1" x14ac:dyDescent="0.2">
      <c r="A282" s="16"/>
      <c r="B282" s="16"/>
      <c r="C282" s="15"/>
      <c r="D282" s="16"/>
      <c r="E282" s="17"/>
      <c r="F282" s="17"/>
      <c r="H282" s="19"/>
      <c r="I282" s="47"/>
      <c r="J282" s="48"/>
      <c r="K282" s="49"/>
    </row>
    <row r="283" spans="1:11" ht="12.75" hidden="1" x14ac:dyDescent="0.2">
      <c r="A283" s="16"/>
      <c r="B283" s="16"/>
      <c r="C283" s="15"/>
      <c r="D283" s="16"/>
      <c r="E283" s="17"/>
      <c r="F283" s="17"/>
      <c r="H283" s="19"/>
      <c r="I283" s="47"/>
      <c r="J283" s="48"/>
      <c r="K283" s="49"/>
    </row>
    <row r="284" spans="1:11" ht="12.75" hidden="1" x14ac:dyDescent="0.2">
      <c r="A284" s="16"/>
      <c r="B284" s="16"/>
      <c r="C284" s="15"/>
      <c r="D284" s="16"/>
      <c r="E284" s="17"/>
      <c r="F284" s="17"/>
      <c r="H284" s="19"/>
      <c r="I284" s="47"/>
      <c r="J284" s="48"/>
      <c r="K284" s="49"/>
    </row>
    <row r="285" spans="1:11" ht="12.75" hidden="1" x14ac:dyDescent="0.2">
      <c r="A285" s="16"/>
      <c r="B285" s="16"/>
      <c r="C285" s="15"/>
      <c r="D285" s="16"/>
      <c r="E285" s="17"/>
      <c r="F285" s="17"/>
      <c r="H285" s="19"/>
      <c r="I285" s="47"/>
      <c r="J285" s="48"/>
      <c r="K285" s="49"/>
    </row>
    <row r="286" spans="1:11" ht="12.75" hidden="1" x14ac:dyDescent="0.2">
      <c r="A286" s="16"/>
      <c r="B286" s="16"/>
      <c r="C286" s="15"/>
      <c r="D286" s="16"/>
      <c r="E286" s="17"/>
      <c r="F286" s="17"/>
      <c r="H286" s="19"/>
      <c r="I286" s="47"/>
      <c r="J286" s="48"/>
      <c r="K286" s="49"/>
    </row>
    <row r="287" spans="1:11" ht="12.75" hidden="1" x14ac:dyDescent="0.2">
      <c r="A287" s="16"/>
      <c r="B287" s="16"/>
      <c r="C287" s="15"/>
      <c r="D287" s="16"/>
      <c r="E287" s="17"/>
      <c r="F287" s="17"/>
      <c r="H287" s="19"/>
      <c r="I287" s="47"/>
      <c r="J287" s="48"/>
      <c r="K287" s="49"/>
    </row>
    <row r="288" spans="1:11" ht="12.75" hidden="1" x14ac:dyDescent="0.2">
      <c r="A288" s="16"/>
      <c r="B288" s="16"/>
      <c r="C288" s="15"/>
      <c r="D288" s="16"/>
      <c r="E288" s="17"/>
      <c r="F288" s="17"/>
      <c r="H288" s="19"/>
      <c r="I288" s="47"/>
      <c r="J288" s="48"/>
      <c r="K288" s="49"/>
    </row>
    <row r="289" spans="1:11" ht="12.75" hidden="1" x14ac:dyDescent="0.2">
      <c r="A289" s="16"/>
      <c r="B289" s="16"/>
      <c r="C289" s="15"/>
      <c r="D289" s="16"/>
      <c r="E289" s="17"/>
      <c r="F289" s="17"/>
      <c r="H289" s="19"/>
      <c r="I289" s="47"/>
      <c r="J289" s="48"/>
      <c r="K289" s="49"/>
    </row>
    <row r="290" spans="1:11" ht="12.75" hidden="1" x14ac:dyDescent="0.2">
      <c r="A290" s="16"/>
      <c r="B290" s="16"/>
      <c r="C290" s="15"/>
      <c r="D290" s="16"/>
      <c r="E290" s="17"/>
      <c r="F290" s="17"/>
      <c r="H290" s="19"/>
      <c r="I290" s="47"/>
      <c r="J290" s="48"/>
      <c r="K290" s="49"/>
    </row>
    <row r="291" spans="1:11" ht="12.75" hidden="1" x14ac:dyDescent="0.2">
      <c r="A291" s="16"/>
      <c r="B291" s="16"/>
      <c r="C291" s="15"/>
      <c r="D291" s="16"/>
      <c r="E291" s="17"/>
      <c r="F291" s="17"/>
      <c r="H291" s="19"/>
      <c r="I291" s="47"/>
      <c r="J291" s="48"/>
      <c r="K291" s="49"/>
    </row>
    <row r="292" spans="1:11" ht="12.75" hidden="1" x14ac:dyDescent="0.2">
      <c r="A292" s="16"/>
      <c r="B292" s="16"/>
      <c r="C292" s="15"/>
      <c r="D292" s="16"/>
      <c r="E292" s="17"/>
      <c r="F292" s="17"/>
      <c r="H292" s="19"/>
      <c r="I292" s="47"/>
      <c r="J292" s="48"/>
      <c r="K292" s="49"/>
    </row>
    <row r="293" spans="1:11" ht="12.75" hidden="1" x14ac:dyDescent="0.2">
      <c r="A293" s="16"/>
      <c r="B293" s="16"/>
      <c r="C293" s="15"/>
      <c r="D293" s="16"/>
      <c r="E293" s="17"/>
      <c r="F293" s="17"/>
      <c r="H293" s="19"/>
      <c r="I293" s="47"/>
      <c r="J293" s="48"/>
      <c r="K293" s="49"/>
    </row>
    <row r="294" spans="1:11" ht="12.75" hidden="1" x14ac:dyDescent="0.2">
      <c r="A294" s="16"/>
      <c r="B294" s="16"/>
      <c r="C294" s="15"/>
      <c r="D294" s="16"/>
      <c r="E294" s="17"/>
      <c r="F294" s="17"/>
      <c r="H294" s="19"/>
      <c r="I294" s="47"/>
      <c r="J294" s="48"/>
      <c r="K294" s="49"/>
    </row>
    <row r="295" spans="1:11" ht="12.75" hidden="1" x14ac:dyDescent="0.2">
      <c r="A295" s="16"/>
      <c r="B295" s="16"/>
      <c r="C295" s="15"/>
      <c r="D295" s="16"/>
      <c r="E295" s="17"/>
      <c r="F295" s="17"/>
      <c r="H295" s="19"/>
      <c r="I295" s="47"/>
      <c r="J295" s="48"/>
      <c r="K295" s="49"/>
    </row>
    <row r="296" spans="1:11" ht="12.75" hidden="1" x14ac:dyDescent="0.2">
      <c r="A296" s="16"/>
      <c r="B296" s="16"/>
      <c r="C296" s="15"/>
      <c r="D296" s="16"/>
      <c r="E296" s="17"/>
      <c r="F296" s="17"/>
      <c r="H296" s="19"/>
      <c r="I296" s="47"/>
      <c r="J296" s="48"/>
      <c r="K296" s="49"/>
    </row>
    <row r="297" spans="1:11" ht="12.75" hidden="1" x14ac:dyDescent="0.2">
      <c r="A297" s="16"/>
      <c r="B297" s="16"/>
      <c r="C297" s="15"/>
      <c r="D297" s="16"/>
      <c r="E297" s="17"/>
      <c r="F297" s="17"/>
      <c r="H297" s="19"/>
      <c r="I297" s="47"/>
      <c r="J297" s="48"/>
      <c r="K297" s="49"/>
    </row>
    <row r="298" spans="1:11" ht="12.75" hidden="1" x14ac:dyDescent="0.2">
      <c r="A298" s="16"/>
      <c r="B298" s="16"/>
      <c r="C298" s="15"/>
      <c r="D298" s="16"/>
      <c r="E298" s="17"/>
      <c r="F298" s="17"/>
      <c r="H298" s="19"/>
      <c r="I298" s="47"/>
      <c r="J298" s="48"/>
      <c r="K298" s="49"/>
    </row>
    <row r="299" spans="1:11" ht="12.75" hidden="1" x14ac:dyDescent="0.2">
      <c r="A299" s="16"/>
      <c r="B299" s="16"/>
      <c r="C299" s="15"/>
      <c r="D299" s="16"/>
      <c r="E299" s="17"/>
      <c r="F299" s="17"/>
      <c r="H299" s="19"/>
      <c r="I299" s="47"/>
      <c r="J299" s="48"/>
      <c r="K299" s="49"/>
    </row>
    <row r="300" spans="1:11" ht="12.75" hidden="1" x14ac:dyDescent="0.2">
      <c r="A300" s="16"/>
      <c r="B300" s="16"/>
      <c r="C300" s="15"/>
      <c r="D300" s="16"/>
      <c r="E300" s="17"/>
      <c r="F300" s="17"/>
      <c r="H300" s="19"/>
      <c r="I300" s="47"/>
      <c r="J300" s="48"/>
      <c r="K300" s="49"/>
    </row>
    <row r="301" spans="1:11" ht="12.75" hidden="1" x14ac:dyDescent="0.2">
      <c r="A301" s="16"/>
      <c r="B301" s="16"/>
      <c r="C301" s="15"/>
      <c r="D301" s="16"/>
      <c r="E301" s="17"/>
      <c r="F301" s="17"/>
      <c r="H301" s="19"/>
      <c r="I301" s="47"/>
      <c r="J301" s="48"/>
      <c r="K301" s="49"/>
    </row>
    <row r="302" spans="1:11" ht="12.75" hidden="1" x14ac:dyDescent="0.2">
      <c r="A302" s="16"/>
      <c r="B302" s="16"/>
      <c r="C302" s="15"/>
      <c r="D302" s="16"/>
      <c r="E302" s="17"/>
      <c r="F302" s="17"/>
      <c r="H302" s="19"/>
      <c r="I302" s="47"/>
      <c r="J302" s="48"/>
      <c r="K302" s="49"/>
    </row>
    <row r="303" spans="1:11" ht="12.75" hidden="1" x14ac:dyDescent="0.2">
      <c r="A303" s="16"/>
      <c r="B303" s="16"/>
      <c r="C303" s="15"/>
      <c r="D303" s="16"/>
      <c r="E303" s="17"/>
      <c r="F303" s="17"/>
      <c r="H303" s="19"/>
      <c r="I303" s="47"/>
      <c r="J303" s="48"/>
      <c r="K303" s="49"/>
    </row>
    <row r="304" spans="1:11" ht="12.75" hidden="1" x14ac:dyDescent="0.2">
      <c r="A304" s="16"/>
      <c r="B304" s="16"/>
      <c r="C304" s="15"/>
      <c r="D304" s="16"/>
      <c r="E304" s="17"/>
      <c r="F304" s="17"/>
      <c r="H304" s="19"/>
      <c r="I304" s="47"/>
      <c r="J304" s="48"/>
      <c r="K304" s="49"/>
    </row>
    <row r="305" spans="1:11" ht="12.75" hidden="1" x14ac:dyDescent="0.2">
      <c r="A305" s="16"/>
      <c r="B305" s="16"/>
      <c r="C305" s="15"/>
      <c r="D305" s="16"/>
      <c r="E305" s="17"/>
      <c r="F305" s="17"/>
      <c r="H305" s="19"/>
      <c r="I305" s="47"/>
      <c r="J305" s="48"/>
      <c r="K305" s="49"/>
    </row>
    <row r="306" spans="1:11" ht="12.75" hidden="1" x14ac:dyDescent="0.2">
      <c r="A306" s="16"/>
      <c r="B306" s="16"/>
      <c r="C306" s="15"/>
      <c r="D306" s="16"/>
      <c r="E306" s="17"/>
      <c r="F306" s="17"/>
      <c r="H306" s="19"/>
      <c r="I306" s="47"/>
      <c r="J306" s="48"/>
      <c r="K306" s="49"/>
    </row>
    <row r="307" spans="1:11" ht="12.75" hidden="1" x14ac:dyDescent="0.2">
      <c r="A307" s="16"/>
      <c r="B307" s="16"/>
      <c r="C307" s="15"/>
      <c r="D307" s="16"/>
      <c r="E307" s="17"/>
      <c r="F307" s="17"/>
      <c r="H307" s="19"/>
      <c r="I307" s="47"/>
      <c r="J307" s="48"/>
      <c r="K307" s="49"/>
    </row>
    <row r="308" spans="1:11" ht="12.75" hidden="1" x14ac:dyDescent="0.2">
      <c r="A308" s="16"/>
      <c r="B308" s="16"/>
      <c r="C308" s="15"/>
      <c r="D308" s="16"/>
      <c r="E308" s="17"/>
      <c r="F308" s="17"/>
      <c r="H308" s="19"/>
      <c r="I308" s="47"/>
      <c r="J308" s="48"/>
      <c r="K308" s="49"/>
    </row>
    <row r="309" spans="1:11" ht="12.75" hidden="1" x14ac:dyDescent="0.2">
      <c r="A309" s="16"/>
      <c r="B309" s="16"/>
      <c r="C309" s="15"/>
      <c r="D309" s="16"/>
      <c r="E309" s="17"/>
      <c r="F309" s="17"/>
      <c r="H309" s="19"/>
      <c r="I309" s="47"/>
      <c r="J309" s="48"/>
      <c r="K309" s="49"/>
    </row>
    <row r="310" spans="1:11" ht="12.75" hidden="1" x14ac:dyDescent="0.2">
      <c r="A310" s="16"/>
      <c r="B310" s="16"/>
      <c r="C310" s="15"/>
      <c r="D310" s="16"/>
      <c r="E310" s="17"/>
      <c r="F310" s="17"/>
      <c r="H310" s="19"/>
      <c r="I310" s="47"/>
      <c r="J310" s="48"/>
      <c r="K310" s="49"/>
    </row>
    <row r="311" spans="1:11" ht="12.75" hidden="1" x14ac:dyDescent="0.2">
      <c r="A311" s="16"/>
      <c r="B311" s="16"/>
      <c r="C311" s="15"/>
      <c r="D311" s="16"/>
      <c r="E311" s="17"/>
      <c r="F311" s="17"/>
      <c r="H311" s="19"/>
      <c r="I311" s="47"/>
      <c r="J311" s="48"/>
      <c r="K311" s="49"/>
    </row>
    <row r="312" spans="1:11" ht="12.75" hidden="1" x14ac:dyDescent="0.2">
      <c r="A312" s="16"/>
      <c r="B312" s="16"/>
      <c r="C312" s="15"/>
      <c r="D312" s="16"/>
      <c r="E312" s="17"/>
      <c r="F312" s="17"/>
      <c r="H312" s="19"/>
      <c r="I312" s="47"/>
      <c r="J312" s="48"/>
      <c r="K312" s="49"/>
    </row>
    <row r="313" spans="1:11" ht="12.75" hidden="1" x14ac:dyDescent="0.2">
      <c r="A313" s="16"/>
      <c r="B313" s="16"/>
      <c r="C313" s="15"/>
      <c r="D313" s="16"/>
      <c r="E313" s="17"/>
      <c r="F313" s="17"/>
      <c r="H313" s="19"/>
      <c r="I313" s="47"/>
      <c r="J313" s="48"/>
      <c r="K313" s="49"/>
    </row>
    <row r="314" spans="1:11" ht="12.75" hidden="1" x14ac:dyDescent="0.2">
      <c r="A314" s="16"/>
      <c r="B314" s="16"/>
      <c r="C314" s="15"/>
      <c r="D314" s="16"/>
      <c r="E314" s="17"/>
      <c r="F314" s="17"/>
      <c r="H314" s="19"/>
      <c r="I314" s="47"/>
      <c r="J314" s="48"/>
      <c r="K314" s="49"/>
    </row>
    <row r="315" spans="1:11" ht="12.75" hidden="1" x14ac:dyDescent="0.2">
      <c r="A315" s="16"/>
      <c r="B315" s="16"/>
      <c r="C315" s="15"/>
      <c r="D315" s="16"/>
      <c r="E315" s="17"/>
      <c r="F315" s="17"/>
      <c r="H315" s="19"/>
      <c r="I315" s="47"/>
      <c r="J315" s="48"/>
      <c r="K315" s="49"/>
    </row>
    <row r="316" spans="1:11" ht="12.75" hidden="1" x14ac:dyDescent="0.2">
      <c r="A316" s="16"/>
      <c r="B316" s="16"/>
      <c r="C316" s="15"/>
      <c r="D316" s="16"/>
      <c r="E316" s="17"/>
      <c r="F316" s="17"/>
      <c r="H316" s="19"/>
      <c r="I316" s="47"/>
      <c r="J316" s="48"/>
      <c r="K316" s="49"/>
    </row>
    <row r="317" spans="1:11" ht="12.75" hidden="1" x14ac:dyDescent="0.2">
      <c r="A317" s="16"/>
      <c r="B317" s="16"/>
      <c r="C317" s="15"/>
      <c r="D317" s="16"/>
      <c r="E317" s="17"/>
      <c r="F317" s="17"/>
      <c r="H317" s="19"/>
      <c r="I317" s="47"/>
      <c r="J317" s="48"/>
      <c r="K317" s="49"/>
    </row>
    <row r="318" spans="1:11" ht="12.75" hidden="1" x14ac:dyDescent="0.2">
      <c r="A318" s="16"/>
      <c r="B318" s="16"/>
      <c r="C318" s="15"/>
      <c r="D318" s="16"/>
      <c r="E318" s="17"/>
      <c r="F318" s="17"/>
      <c r="H318" s="19"/>
      <c r="I318" s="47"/>
      <c r="J318" s="48"/>
      <c r="K318" s="49"/>
    </row>
    <row r="319" spans="1:11" ht="12.75" hidden="1" x14ac:dyDescent="0.2">
      <c r="A319" s="16"/>
      <c r="B319" s="16"/>
      <c r="C319" s="15"/>
      <c r="D319" s="16"/>
      <c r="E319" s="17"/>
      <c r="F319" s="17"/>
      <c r="H319" s="19"/>
      <c r="I319" s="47"/>
      <c r="J319" s="48"/>
      <c r="K319" s="49"/>
    </row>
    <row r="320" spans="1:11" ht="12.75" hidden="1" x14ac:dyDescent="0.2">
      <c r="A320" s="16"/>
      <c r="B320" s="16"/>
      <c r="C320" s="15"/>
      <c r="D320" s="16"/>
      <c r="E320" s="17"/>
      <c r="F320" s="17"/>
      <c r="H320" s="19"/>
      <c r="I320" s="47"/>
      <c r="J320" s="48"/>
      <c r="K320" s="49"/>
    </row>
    <row r="321" spans="1:11" ht="12.75" hidden="1" x14ac:dyDescent="0.2">
      <c r="A321" s="16"/>
      <c r="B321" s="16"/>
      <c r="C321" s="15"/>
      <c r="D321" s="16"/>
      <c r="E321" s="17"/>
      <c r="F321" s="17"/>
      <c r="H321" s="19"/>
      <c r="I321" s="47"/>
      <c r="J321" s="48"/>
      <c r="K321" s="49"/>
    </row>
    <row r="322" spans="1:11" ht="12.75" hidden="1" x14ac:dyDescent="0.2">
      <c r="A322" s="16"/>
      <c r="B322" s="16"/>
      <c r="C322" s="15"/>
      <c r="D322" s="16"/>
      <c r="E322" s="17"/>
      <c r="F322" s="17"/>
      <c r="H322" s="19"/>
      <c r="I322" s="47"/>
      <c r="J322" s="48"/>
      <c r="K322" s="49"/>
    </row>
    <row r="323" spans="1:11" ht="12.75" hidden="1" x14ac:dyDescent="0.2">
      <c r="A323" s="16"/>
      <c r="B323" s="16"/>
      <c r="C323" s="15"/>
      <c r="D323" s="16"/>
      <c r="E323" s="17"/>
      <c r="F323" s="17"/>
      <c r="H323" s="19"/>
      <c r="I323" s="47"/>
      <c r="J323" s="48"/>
      <c r="K323" s="49"/>
    </row>
    <row r="324" spans="1:11" ht="12.75" hidden="1" x14ac:dyDescent="0.2">
      <c r="A324" s="16"/>
      <c r="B324" s="16"/>
      <c r="C324" s="15"/>
      <c r="D324" s="16"/>
      <c r="E324" s="17"/>
      <c r="F324" s="17"/>
      <c r="H324" s="19"/>
      <c r="I324" s="47"/>
      <c r="J324" s="48"/>
      <c r="K324" s="49"/>
    </row>
    <row r="325" spans="1:11" ht="12.75" hidden="1" x14ac:dyDescent="0.2">
      <c r="A325" s="16"/>
      <c r="B325" s="16"/>
      <c r="C325" s="15"/>
      <c r="D325" s="16"/>
      <c r="E325" s="17"/>
      <c r="F325" s="17"/>
      <c r="H325" s="19"/>
      <c r="I325" s="47"/>
      <c r="J325" s="48"/>
      <c r="K325" s="49"/>
    </row>
    <row r="326" spans="1:11" ht="12.75" hidden="1" x14ac:dyDescent="0.2">
      <c r="A326" s="16"/>
      <c r="B326" s="16"/>
      <c r="C326" s="15"/>
      <c r="D326" s="16"/>
      <c r="E326" s="17"/>
      <c r="F326" s="17"/>
      <c r="H326" s="19"/>
      <c r="I326" s="47"/>
      <c r="J326" s="48"/>
      <c r="K326" s="49"/>
    </row>
    <row r="327" spans="1:11" ht="12.75" hidden="1" x14ac:dyDescent="0.2">
      <c r="A327" s="16"/>
      <c r="B327" s="16"/>
      <c r="C327" s="15"/>
      <c r="D327" s="16"/>
      <c r="E327" s="17"/>
      <c r="F327" s="17"/>
      <c r="H327" s="19"/>
      <c r="I327" s="47"/>
      <c r="J327" s="48"/>
      <c r="K327" s="49"/>
    </row>
    <row r="328" spans="1:11" ht="12.75" hidden="1" x14ac:dyDescent="0.2">
      <c r="A328" s="16"/>
      <c r="B328" s="16"/>
      <c r="C328" s="15"/>
      <c r="D328" s="16"/>
      <c r="E328" s="17"/>
      <c r="F328" s="17"/>
      <c r="H328" s="19"/>
      <c r="I328" s="47"/>
      <c r="J328" s="48"/>
      <c r="K328" s="49"/>
    </row>
    <row r="329" spans="1:11" ht="12.75" hidden="1" x14ac:dyDescent="0.2">
      <c r="A329" s="16"/>
      <c r="B329" s="16"/>
      <c r="C329" s="15"/>
      <c r="D329" s="16"/>
      <c r="E329" s="17"/>
      <c r="F329" s="17"/>
      <c r="H329" s="19"/>
      <c r="I329" s="47"/>
      <c r="J329" s="48"/>
      <c r="K329" s="49"/>
    </row>
    <row r="330" spans="1:11" ht="12.75" hidden="1" x14ac:dyDescent="0.2">
      <c r="A330" s="16"/>
      <c r="B330" s="16"/>
      <c r="C330" s="15"/>
      <c r="D330" s="16"/>
      <c r="E330" s="17"/>
      <c r="F330" s="17"/>
      <c r="H330" s="19"/>
      <c r="I330" s="47"/>
      <c r="J330" s="48"/>
      <c r="K330" s="49"/>
    </row>
    <row r="331" spans="1:11" ht="12.75" hidden="1" x14ac:dyDescent="0.2">
      <c r="A331" s="16"/>
      <c r="B331" s="16"/>
      <c r="C331" s="15"/>
      <c r="D331" s="16"/>
      <c r="E331" s="17"/>
      <c r="F331" s="17"/>
      <c r="H331" s="19"/>
      <c r="I331" s="47"/>
      <c r="J331" s="48"/>
      <c r="K331" s="49"/>
    </row>
    <row r="332" spans="1:11" ht="12.75" hidden="1" x14ac:dyDescent="0.2">
      <c r="A332" s="16"/>
      <c r="B332" s="16"/>
      <c r="C332" s="15"/>
      <c r="D332" s="16"/>
      <c r="E332" s="17"/>
      <c r="F332" s="17"/>
      <c r="H332" s="19"/>
      <c r="I332" s="47"/>
      <c r="J332" s="48"/>
      <c r="K332" s="49"/>
    </row>
    <row r="333" spans="1:11" ht="12.75" hidden="1" x14ac:dyDescent="0.2">
      <c r="A333" s="16"/>
      <c r="B333" s="16"/>
      <c r="C333" s="15"/>
      <c r="D333" s="16"/>
      <c r="E333" s="17"/>
      <c r="F333" s="17"/>
      <c r="H333" s="19"/>
      <c r="I333" s="47"/>
      <c r="J333" s="48"/>
      <c r="K333" s="49"/>
    </row>
    <row r="334" spans="1:11" ht="12.75" hidden="1" x14ac:dyDescent="0.2">
      <c r="A334" s="16"/>
      <c r="B334" s="16"/>
      <c r="C334" s="15"/>
      <c r="D334" s="16"/>
      <c r="E334" s="17"/>
      <c r="F334" s="17"/>
      <c r="H334" s="19"/>
      <c r="I334" s="47"/>
      <c r="J334" s="48"/>
      <c r="K334" s="49"/>
    </row>
    <row r="335" spans="1:11" ht="12.75" hidden="1" x14ac:dyDescent="0.2">
      <c r="A335" s="16"/>
      <c r="B335" s="16"/>
      <c r="C335" s="15"/>
      <c r="D335" s="16"/>
      <c r="E335" s="17"/>
      <c r="F335" s="17"/>
      <c r="H335" s="19"/>
      <c r="I335" s="47"/>
      <c r="J335" s="48"/>
      <c r="K335" s="49"/>
    </row>
    <row r="336" spans="1:11" ht="12.75" hidden="1" x14ac:dyDescent="0.2">
      <c r="A336" s="16"/>
      <c r="B336" s="16"/>
      <c r="C336" s="15"/>
      <c r="D336" s="16"/>
      <c r="E336" s="17"/>
      <c r="F336" s="17"/>
      <c r="H336" s="19"/>
      <c r="I336" s="47"/>
      <c r="J336" s="48"/>
      <c r="K336" s="49"/>
    </row>
    <row r="337" spans="1:11" ht="12.75" hidden="1" x14ac:dyDescent="0.2">
      <c r="A337" s="16"/>
      <c r="B337" s="16"/>
      <c r="C337" s="15"/>
      <c r="D337" s="16"/>
      <c r="E337" s="17"/>
      <c r="F337" s="17"/>
      <c r="H337" s="19"/>
      <c r="I337" s="47"/>
      <c r="J337" s="48"/>
      <c r="K337" s="49"/>
    </row>
    <row r="338" spans="1:11" ht="12.75" hidden="1" x14ac:dyDescent="0.2">
      <c r="A338" s="16"/>
      <c r="B338" s="16"/>
      <c r="C338" s="15"/>
      <c r="D338" s="16"/>
      <c r="E338" s="17"/>
      <c r="F338" s="17"/>
      <c r="H338" s="19"/>
      <c r="I338" s="47"/>
      <c r="J338" s="48"/>
      <c r="K338" s="49"/>
    </row>
    <row r="339" spans="1:11" ht="12.75" hidden="1" x14ac:dyDescent="0.2">
      <c r="A339" s="16"/>
      <c r="B339" s="16"/>
      <c r="C339" s="15"/>
      <c r="D339" s="16"/>
      <c r="E339" s="17"/>
      <c r="F339" s="17"/>
      <c r="H339" s="19"/>
      <c r="I339" s="47"/>
      <c r="J339" s="48"/>
      <c r="K339" s="49"/>
    </row>
    <row r="340" spans="1:11" ht="12.75" hidden="1" x14ac:dyDescent="0.2">
      <c r="A340" s="16"/>
      <c r="B340" s="16"/>
      <c r="C340" s="15"/>
      <c r="D340" s="16"/>
      <c r="E340" s="17"/>
      <c r="F340" s="17"/>
      <c r="H340" s="19"/>
      <c r="I340" s="47"/>
      <c r="J340" s="48"/>
      <c r="K340" s="49"/>
    </row>
    <row r="341" spans="1:11" ht="12.75" hidden="1" x14ac:dyDescent="0.2">
      <c r="A341" s="16"/>
      <c r="B341" s="16"/>
      <c r="C341" s="15"/>
      <c r="D341" s="16"/>
      <c r="E341" s="17"/>
      <c r="F341" s="17"/>
      <c r="H341" s="19"/>
      <c r="I341" s="47"/>
      <c r="J341" s="48"/>
      <c r="K341" s="49"/>
    </row>
    <row r="342" spans="1:11" ht="12.75" hidden="1" x14ac:dyDescent="0.2">
      <c r="A342" s="16"/>
      <c r="B342" s="16"/>
      <c r="C342" s="15"/>
      <c r="D342" s="16"/>
      <c r="E342" s="17"/>
      <c r="F342" s="17"/>
      <c r="H342" s="19"/>
      <c r="I342" s="47"/>
      <c r="J342" s="48"/>
      <c r="K342" s="49"/>
    </row>
    <row r="343" spans="1:11" ht="12.75" hidden="1" x14ac:dyDescent="0.2">
      <c r="A343" s="16"/>
      <c r="B343" s="16"/>
      <c r="C343" s="15"/>
      <c r="D343" s="16"/>
      <c r="E343" s="17"/>
      <c r="F343" s="17"/>
      <c r="H343" s="19"/>
      <c r="I343" s="47"/>
      <c r="J343" s="48"/>
      <c r="K343" s="49"/>
    </row>
    <row r="344" spans="1:11" ht="12.75" hidden="1" x14ac:dyDescent="0.2">
      <c r="A344" s="16"/>
      <c r="B344" s="16"/>
      <c r="C344" s="15"/>
      <c r="D344" s="16"/>
      <c r="E344" s="17"/>
      <c r="F344" s="17"/>
      <c r="H344" s="19"/>
      <c r="I344" s="47"/>
      <c r="J344" s="48"/>
      <c r="K344" s="49"/>
    </row>
    <row r="345" spans="1:11" ht="12.75" hidden="1" x14ac:dyDescent="0.2">
      <c r="A345" s="16"/>
      <c r="B345" s="16"/>
      <c r="C345" s="15"/>
      <c r="D345" s="16"/>
      <c r="E345" s="17"/>
      <c r="F345" s="17"/>
      <c r="H345" s="19"/>
      <c r="I345" s="47"/>
      <c r="J345" s="48"/>
      <c r="K345" s="49"/>
    </row>
    <row r="346" spans="1:11" ht="12.75" hidden="1" x14ac:dyDescent="0.2">
      <c r="A346" s="16"/>
      <c r="B346" s="16"/>
      <c r="C346" s="15"/>
      <c r="D346" s="16"/>
      <c r="E346" s="17"/>
      <c r="F346" s="17"/>
      <c r="H346" s="19"/>
      <c r="I346" s="47"/>
      <c r="J346" s="48"/>
      <c r="K346" s="49"/>
    </row>
    <row r="347" spans="1:11" ht="12.75" hidden="1" x14ac:dyDescent="0.2">
      <c r="A347" s="16"/>
      <c r="B347" s="16"/>
      <c r="C347" s="15"/>
      <c r="D347" s="16"/>
      <c r="E347" s="17"/>
      <c r="F347" s="17"/>
      <c r="H347" s="19"/>
      <c r="I347" s="47"/>
      <c r="J347" s="48"/>
      <c r="K347" s="49"/>
    </row>
    <row r="348" spans="1:11" ht="12.75" hidden="1" x14ac:dyDescent="0.2">
      <c r="A348" s="16"/>
      <c r="B348" s="16"/>
      <c r="C348" s="15"/>
      <c r="D348" s="16"/>
      <c r="E348" s="17"/>
      <c r="F348" s="17"/>
      <c r="H348" s="19"/>
      <c r="I348" s="47"/>
      <c r="J348" s="48"/>
      <c r="K348" s="49"/>
    </row>
    <row r="349" spans="1:11" ht="12.75" hidden="1" x14ac:dyDescent="0.2">
      <c r="A349" s="16"/>
      <c r="B349" s="16"/>
      <c r="C349" s="15"/>
      <c r="D349" s="16"/>
      <c r="E349" s="17"/>
      <c r="F349" s="17"/>
      <c r="H349" s="19"/>
      <c r="I349" s="47"/>
      <c r="J349" s="48"/>
      <c r="K349" s="49"/>
    </row>
    <row r="350" spans="1:11" ht="12.75" hidden="1" x14ac:dyDescent="0.2">
      <c r="A350" s="16"/>
      <c r="B350" s="16"/>
      <c r="C350" s="15"/>
      <c r="D350" s="16"/>
      <c r="E350" s="17"/>
      <c r="F350" s="17"/>
      <c r="H350" s="19"/>
      <c r="I350" s="47"/>
      <c r="J350" s="48"/>
      <c r="K350" s="49"/>
    </row>
    <row r="351" spans="1:11" ht="12.75" hidden="1" x14ac:dyDescent="0.2">
      <c r="A351" s="16"/>
      <c r="B351" s="16"/>
      <c r="C351" s="15"/>
      <c r="D351" s="16"/>
      <c r="E351" s="17"/>
      <c r="F351" s="17"/>
      <c r="H351" s="19"/>
      <c r="I351" s="47"/>
      <c r="J351" s="48"/>
      <c r="K351" s="49"/>
    </row>
    <row r="352" spans="1:11" ht="12.75" hidden="1" x14ac:dyDescent="0.2">
      <c r="A352" s="16"/>
      <c r="B352" s="16"/>
      <c r="C352" s="15"/>
      <c r="D352" s="16"/>
      <c r="E352" s="17"/>
      <c r="F352" s="17"/>
      <c r="H352" s="19"/>
      <c r="I352" s="47"/>
      <c r="J352" s="48"/>
      <c r="K352" s="49"/>
    </row>
    <row r="353" spans="1:11" ht="12.75" hidden="1" x14ac:dyDescent="0.2">
      <c r="A353" s="16"/>
      <c r="B353" s="16"/>
      <c r="C353" s="15"/>
      <c r="D353" s="16"/>
      <c r="E353" s="17"/>
      <c r="F353" s="17"/>
      <c r="H353" s="19"/>
      <c r="I353" s="47"/>
      <c r="J353" s="48"/>
      <c r="K353" s="49"/>
    </row>
    <row r="354" spans="1:11" ht="12.75" hidden="1" x14ac:dyDescent="0.2">
      <c r="A354" s="16"/>
      <c r="B354" s="16"/>
      <c r="C354" s="15"/>
      <c r="D354" s="16"/>
      <c r="E354" s="17"/>
      <c r="F354" s="17"/>
      <c r="H354" s="19"/>
      <c r="I354" s="47"/>
      <c r="J354" s="48"/>
      <c r="K354" s="49"/>
    </row>
    <row r="355" spans="1:11" ht="12.75" hidden="1" x14ac:dyDescent="0.2">
      <c r="A355" s="16"/>
      <c r="B355" s="16"/>
      <c r="C355" s="15"/>
      <c r="D355" s="16"/>
      <c r="E355" s="17"/>
      <c r="F355" s="17"/>
      <c r="H355" s="19"/>
      <c r="I355" s="47"/>
      <c r="J355" s="48"/>
      <c r="K355" s="49"/>
    </row>
    <row r="356" spans="1:11" ht="12.75" hidden="1" x14ac:dyDescent="0.2">
      <c r="A356" s="16"/>
      <c r="B356" s="16"/>
      <c r="C356" s="15"/>
      <c r="D356" s="16"/>
      <c r="E356" s="17"/>
      <c r="F356" s="17"/>
      <c r="H356" s="19"/>
      <c r="I356" s="47"/>
      <c r="J356" s="48"/>
      <c r="K356" s="49"/>
    </row>
    <row r="357" spans="1:11" ht="12.75" hidden="1" x14ac:dyDescent="0.2">
      <c r="A357" s="16"/>
      <c r="B357" s="16"/>
      <c r="C357" s="15"/>
      <c r="D357" s="16"/>
      <c r="E357" s="17"/>
      <c r="F357" s="17"/>
      <c r="H357" s="19"/>
      <c r="I357" s="47"/>
      <c r="J357" s="48"/>
      <c r="K357" s="49"/>
    </row>
    <row r="358" spans="1:11" ht="12.75" hidden="1" x14ac:dyDescent="0.2">
      <c r="A358" s="16"/>
      <c r="B358" s="16"/>
      <c r="C358" s="15"/>
      <c r="D358" s="16"/>
      <c r="E358" s="17"/>
      <c r="F358" s="17"/>
      <c r="H358" s="19"/>
      <c r="I358" s="47"/>
      <c r="J358" s="48"/>
      <c r="K358" s="49"/>
    </row>
    <row r="359" spans="1:11" ht="12.75" hidden="1" x14ac:dyDescent="0.2">
      <c r="A359" s="16"/>
      <c r="B359" s="16"/>
      <c r="C359" s="15"/>
      <c r="D359" s="16"/>
      <c r="E359" s="17"/>
      <c r="F359" s="17"/>
      <c r="H359" s="19"/>
      <c r="I359" s="47"/>
      <c r="J359" s="48"/>
      <c r="K359" s="49"/>
    </row>
    <row r="360" spans="1:11" ht="12.75" hidden="1" x14ac:dyDescent="0.2">
      <c r="A360" s="16"/>
      <c r="B360" s="16"/>
      <c r="C360" s="15"/>
      <c r="D360" s="16"/>
      <c r="E360" s="17"/>
      <c r="F360" s="17"/>
      <c r="H360" s="19"/>
      <c r="I360" s="47"/>
      <c r="J360" s="48"/>
      <c r="K360" s="49"/>
    </row>
    <row r="361" spans="1:11" ht="12.75" hidden="1" x14ac:dyDescent="0.2">
      <c r="A361" s="16"/>
      <c r="B361" s="16"/>
      <c r="C361" s="15"/>
      <c r="D361" s="16"/>
      <c r="E361" s="17"/>
      <c r="F361" s="17"/>
      <c r="H361" s="19"/>
      <c r="I361" s="47"/>
      <c r="J361" s="48"/>
      <c r="K361" s="49"/>
    </row>
    <row r="362" spans="1:11" ht="12.75" hidden="1" x14ac:dyDescent="0.2">
      <c r="A362" s="16"/>
      <c r="B362" s="16"/>
      <c r="C362" s="15"/>
      <c r="D362" s="16"/>
      <c r="E362" s="17"/>
      <c r="F362" s="17"/>
      <c r="H362" s="19"/>
      <c r="I362" s="47"/>
      <c r="J362" s="48"/>
      <c r="K362" s="49"/>
    </row>
    <row r="363" spans="1:11" ht="12.75" hidden="1" x14ac:dyDescent="0.2">
      <c r="A363" s="16"/>
      <c r="B363" s="16"/>
      <c r="C363" s="15"/>
      <c r="D363" s="16"/>
      <c r="E363" s="17"/>
      <c r="F363" s="17"/>
      <c r="H363" s="19"/>
      <c r="I363" s="47"/>
      <c r="J363" s="48"/>
      <c r="K363" s="49"/>
    </row>
    <row r="364" spans="1:11" ht="12.75" hidden="1" x14ac:dyDescent="0.2">
      <c r="A364" s="16"/>
      <c r="B364" s="16"/>
      <c r="C364" s="15"/>
      <c r="D364" s="16"/>
      <c r="E364" s="17"/>
      <c r="F364" s="17"/>
      <c r="H364" s="19"/>
      <c r="I364" s="47"/>
      <c r="J364" s="48"/>
      <c r="K364" s="49"/>
    </row>
    <row r="365" spans="1:11" ht="12.75" hidden="1" x14ac:dyDescent="0.2">
      <c r="A365" s="16"/>
      <c r="B365" s="16"/>
      <c r="C365" s="15"/>
      <c r="D365" s="16"/>
      <c r="E365" s="17"/>
      <c r="F365" s="17"/>
      <c r="H365" s="19"/>
      <c r="I365" s="47"/>
      <c r="J365" s="48"/>
      <c r="K365" s="49"/>
    </row>
    <row r="366" spans="1:11" ht="12.75" hidden="1" x14ac:dyDescent="0.2">
      <c r="A366" s="16"/>
      <c r="B366" s="16"/>
      <c r="C366" s="15"/>
      <c r="D366" s="16"/>
      <c r="E366" s="17"/>
      <c r="F366" s="17"/>
      <c r="H366" s="19"/>
      <c r="I366" s="47"/>
      <c r="J366" s="48"/>
      <c r="K366" s="49"/>
    </row>
    <row r="367" spans="1:11" ht="12.75" hidden="1" x14ac:dyDescent="0.2">
      <c r="A367" s="16"/>
      <c r="B367" s="16"/>
      <c r="C367" s="15"/>
      <c r="D367" s="16"/>
      <c r="E367" s="17"/>
      <c r="F367" s="17"/>
      <c r="H367" s="19"/>
      <c r="I367" s="47"/>
      <c r="J367" s="48"/>
      <c r="K367" s="49"/>
    </row>
    <row r="368" spans="1:11" ht="12.75" hidden="1" x14ac:dyDescent="0.2">
      <c r="A368" s="16"/>
      <c r="B368" s="16"/>
      <c r="C368" s="15"/>
      <c r="D368" s="16"/>
      <c r="E368" s="17"/>
      <c r="F368" s="17"/>
      <c r="H368" s="19"/>
      <c r="I368" s="47"/>
      <c r="J368" s="48"/>
      <c r="K368" s="49"/>
    </row>
    <row r="369" spans="1:11" ht="12.75" hidden="1" x14ac:dyDescent="0.2">
      <c r="A369" s="16"/>
      <c r="B369" s="16"/>
      <c r="C369" s="15"/>
      <c r="D369" s="16"/>
      <c r="E369" s="17"/>
      <c r="F369" s="17"/>
      <c r="H369" s="19"/>
      <c r="I369" s="47"/>
      <c r="J369" s="48"/>
      <c r="K369" s="49"/>
    </row>
    <row r="370" spans="1:11" ht="12.75" hidden="1" x14ac:dyDescent="0.2">
      <c r="A370" s="16"/>
      <c r="B370" s="16"/>
      <c r="C370" s="15"/>
      <c r="D370" s="16"/>
      <c r="E370" s="17"/>
      <c r="F370" s="17"/>
      <c r="H370" s="19"/>
      <c r="I370" s="47"/>
      <c r="J370" s="48"/>
      <c r="K370" s="49"/>
    </row>
    <row r="371" spans="1:11" ht="12.75" hidden="1" x14ac:dyDescent="0.2">
      <c r="A371" s="16"/>
      <c r="B371" s="16"/>
      <c r="C371" s="15"/>
      <c r="D371" s="16"/>
      <c r="E371" s="17"/>
      <c r="F371" s="17"/>
      <c r="H371" s="19"/>
      <c r="I371" s="47"/>
      <c r="J371" s="48"/>
      <c r="K371" s="49"/>
    </row>
    <row r="372" spans="1:11" ht="12.75" hidden="1" x14ac:dyDescent="0.2">
      <c r="A372" s="16"/>
      <c r="B372" s="16"/>
      <c r="C372" s="15"/>
      <c r="D372" s="16"/>
      <c r="E372" s="17"/>
      <c r="F372" s="17"/>
      <c r="H372" s="19"/>
      <c r="I372" s="47"/>
      <c r="J372" s="48"/>
      <c r="K372" s="49"/>
    </row>
    <row r="373" spans="1:11" ht="12.75" hidden="1" x14ac:dyDescent="0.2">
      <c r="A373" s="16"/>
      <c r="B373" s="16"/>
      <c r="C373" s="15"/>
      <c r="D373" s="16"/>
      <c r="E373" s="17"/>
      <c r="F373" s="17"/>
      <c r="H373" s="19"/>
      <c r="I373" s="47"/>
      <c r="J373" s="48"/>
      <c r="K373" s="49"/>
    </row>
    <row r="374" spans="1:11" ht="12.75" hidden="1" x14ac:dyDescent="0.2">
      <c r="A374" s="16"/>
      <c r="B374" s="16"/>
      <c r="C374" s="15"/>
      <c r="D374" s="16"/>
      <c r="E374" s="17"/>
      <c r="F374" s="17"/>
      <c r="H374" s="19"/>
      <c r="I374" s="47"/>
      <c r="J374" s="48"/>
      <c r="K374" s="49"/>
    </row>
    <row r="375" spans="1:11" ht="12.75" hidden="1" x14ac:dyDescent="0.2">
      <c r="A375" s="16"/>
      <c r="B375" s="16"/>
      <c r="C375" s="15"/>
      <c r="D375" s="16"/>
      <c r="E375" s="17"/>
      <c r="F375" s="17"/>
      <c r="H375" s="19"/>
      <c r="I375" s="47"/>
      <c r="J375" s="48"/>
      <c r="K375" s="49"/>
    </row>
    <row r="376" spans="1:11" ht="12.75" hidden="1" x14ac:dyDescent="0.2">
      <c r="A376" s="16"/>
      <c r="B376" s="16"/>
      <c r="C376" s="15"/>
      <c r="D376" s="16"/>
      <c r="E376" s="17"/>
      <c r="F376" s="17"/>
      <c r="H376" s="19"/>
      <c r="I376" s="47"/>
      <c r="J376" s="48"/>
      <c r="K376" s="49"/>
    </row>
    <row r="377" spans="1:11" ht="12.75" hidden="1" x14ac:dyDescent="0.2">
      <c r="A377" s="16"/>
      <c r="B377" s="16"/>
      <c r="C377" s="15"/>
      <c r="D377" s="16"/>
      <c r="E377" s="17"/>
      <c r="F377" s="17"/>
      <c r="H377" s="19"/>
      <c r="I377" s="47"/>
      <c r="J377" s="48"/>
      <c r="K377" s="49"/>
    </row>
    <row r="378" spans="1:11" ht="12.75" hidden="1" x14ac:dyDescent="0.2">
      <c r="A378" s="16"/>
      <c r="B378" s="16"/>
      <c r="C378" s="15"/>
      <c r="D378" s="16"/>
      <c r="E378" s="17"/>
      <c r="F378" s="17"/>
      <c r="H378" s="19"/>
      <c r="I378" s="47"/>
      <c r="J378" s="48"/>
      <c r="K378" s="49"/>
    </row>
    <row r="379" spans="1:11" ht="12.75" hidden="1" x14ac:dyDescent="0.2">
      <c r="A379" s="16"/>
      <c r="B379" s="16"/>
      <c r="C379" s="15"/>
      <c r="D379" s="16"/>
      <c r="E379" s="17"/>
      <c r="F379" s="17"/>
      <c r="H379" s="19"/>
      <c r="I379" s="47"/>
      <c r="J379" s="48"/>
      <c r="K379" s="49"/>
    </row>
    <row r="380" spans="1:11" ht="12.75" hidden="1" x14ac:dyDescent="0.2">
      <c r="A380" s="16"/>
      <c r="B380" s="16"/>
      <c r="C380" s="15"/>
      <c r="D380" s="16"/>
      <c r="E380" s="17"/>
      <c r="F380" s="17"/>
      <c r="H380" s="19"/>
      <c r="I380" s="47"/>
      <c r="J380" s="48"/>
      <c r="K380" s="49"/>
    </row>
    <row r="381" spans="1:11" ht="12.75" hidden="1" x14ac:dyDescent="0.2">
      <c r="A381" s="16"/>
      <c r="B381" s="16"/>
      <c r="C381" s="15"/>
      <c r="D381" s="16"/>
      <c r="E381" s="17"/>
      <c r="F381" s="17"/>
      <c r="H381" s="19"/>
      <c r="I381" s="47"/>
      <c r="J381" s="48"/>
      <c r="K381" s="49"/>
    </row>
    <row r="382" spans="1:11" ht="12.75" hidden="1" x14ac:dyDescent="0.2">
      <c r="A382" s="16"/>
      <c r="B382" s="16"/>
      <c r="C382" s="15"/>
      <c r="D382" s="16"/>
      <c r="E382" s="17"/>
      <c r="F382" s="17"/>
      <c r="H382" s="19"/>
      <c r="I382" s="47"/>
      <c r="J382" s="48"/>
      <c r="K382" s="49"/>
    </row>
    <row r="383" spans="1:11" ht="12.75" hidden="1" x14ac:dyDescent="0.2">
      <c r="A383" s="16"/>
      <c r="B383" s="16"/>
      <c r="C383" s="15"/>
      <c r="D383" s="16"/>
      <c r="E383" s="17"/>
      <c r="F383" s="17"/>
      <c r="H383" s="19"/>
      <c r="I383" s="47"/>
      <c r="J383" s="48"/>
      <c r="K383" s="49"/>
    </row>
    <row r="384" spans="1:11" ht="12.75" hidden="1" x14ac:dyDescent="0.2">
      <c r="A384" s="16"/>
      <c r="B384" s="16"/>
      <c r="C384" s="15"/>
      <c r="D384" s="16"/>
      <c r="E384" s="17"/>
      <c r="F384" s="17"/>
      <c r="H384" s="19"/>
      <c r="I384" s="47"/>
      <c r="J384" s="48"/>
      <c r="K384" s="49"/>
    </row>
    <row r="385" spans="1:11" ht="12.75" hidden="1" x14ac:dyDescent="0.2">
      <c r="A385" s="16"/>
      <c r="B385" s="16"/>
      <c r="C385" s="15"/>
      <c r="D385" s="16"/>
      <c r="E385" s="17"/>
      <c r="F385" s="17"/>
      <c r="H385" s="19"/>
      <c r="I385" s="47"/>
      <c r="J385" s="48"/>
      <c r="K385" s="49"/>
    </row>
    <row r="386" spans="1:11" ht="12.75" hidden="1" x14ac:dyDescent="0.2">
      <c r="A386" s="16"/>
      <c r="B386" s="16"/>
      <c r="C386" s="15"/>
      <c r="D386" s="16"/>
      <c r="E386" s="17"/>
      <c r="F386" s="17"/>
      <c r="H386" s="19"/>
      <c r="I386" s="47"/>
      <c r="J386" s="48"/>
      <c r="K386" s="49"/>
    </row>
    <row r="387" spans="1:11" ht="12.75" hidden="1" x14ac:dyDescent="0.2">
      <c r="A387" s="16"/>
      <c r="B387" s="16"/>
      <c r="C387" s="15"/>
      <c r="D387" s="16"/>
      <c r="E387" s="17"/>
      <c r="F387" s="17"/>
      <c r="H387" s="19"/>
      <c r="I387" s="47"/>
      <c r="J387" s="48"/>
      <c r="K387" s="49"/>
    </row>
    <row r="388" spans="1:11" ht="12.75" hidden="1" x14ac:dyDescent="0.2">
      <c r="A388" s="16"/>
      <c r="B388" s="16"/>
      <c r="C388" s="15"/>
      <c r="D388" s="16"/>
      <c r="E388" s="17"/>
      <c r="F388" s="17"/>
      <c r="H388" s="19"/>
      <c r="I388" s="47"/>
      <c r="J388" s="48"/>
      <c r="K388" s="49"/>
    </row>
    <row r="389" spans="1:11" ht="12.75" hidden="1" x14ac:dyDescent="0.2">
      <c r="A389" s="16"/>
      <c r="B389" s="16"/>
      <c r="C389" s="15"/>
      <c r="D389" s="16"/>
      <c r="E389" s="17"/>
      <c r="F389" s="17"/>
      <c r="H389" s="19"/>
      <c r="I389" s="47"/>
      <c r="J389" s="48"/>
      <c r="K389" s="49"/>
    </row>
    <row r="390" spans="1:11" ht="12.75" hidden="1" x14ac:dyDescent="0.2">
      <c r="A390" s="16"/>
      <c r="B390" s="16"/>
      <c r="C390" s="15"/>
      <c r="D390" s="16"/>
      <c r="E390" s="17"/>
      <c r="F390" s="17"/>
      <c r="H390" s="19"/>
      <c r="I390" s="47"/>
      <c r="J390" s="48"/>
      <c r="K390" s="49"/>
    </row>
    <row r="391" spans="1:11" ht="12.75" hidden="1" x14ac:dyDescent="0.2">
      <c r="A391" s="16"/>
      <c r="B391" s="16"/>
      <c r="C391" s="15"/>
      <c r="D391" s="16"/>
      <c r="E391" s="17"/>
      <c r="F391" s="17"/>
      <c r="H391" s="19"/>
      <c r="I391" s="47"/>
      <c r="J391" s="48"/>
      <c r="K391" s="49"/>
    </row>
    <row r="392" spans="1:11" ht="12.75" hidden="1" x14ac:dyDescent="0.2">
      <c r="A392" s="16"/>
      <c r="B392" s="16"/>
      <c r="C392" s="15"/>
      <c r="D392" s="16"/>
      <c r="E392" s="17"/>
      <c r="F392" s="17"/>
      <c r="H392" s="19"/>
      <c r="I392" s="47"/>
      <c r="J392" s="48"/>
      <c r="K392" s="49"/>
    </row>
    <row r="393" spans="1:11" ht="12.75" hidden="1" x14ac:dyDescent="0.2">
      <c r="A393" s="16"/>
      <c r="B393" s="16"/>
      <c r="C393" s="15"/>
      <c r="D393" s="16"/>
      <c r="E393" s="17"/>
      <c r="F393" s="17"/>
      <c r="H393" s="19"/>
      <c r="I393" s="47"/>
      <c r="J393" s="48"/>
      <c r="K393" s="49"/>
    </row>
    <row r="394" spans="1:11" ht="12.75" hidden="1" x14ac:dyDescent="0.2">
      <c r="A394" s="16"/>
      <c r="B394" s="16"/>
      <c r="C394" s="15"/>
      <c r="D394" s="16"/>
      <c r="E394" s="17"/>
      <c r="F394" s="17"/>
      <c r="H394" s="19"/>
      <c r="I394" s="47"/>
      <c r="J394" s="48"/>
      <c r="K394" s="49"/>
    </row>
    <row r="395" spans="1:11" ht="12.75" hidden="1" x14ac:dyDescent="0.2">
      <c r="A395" s="16"/>
      <c r="B395" s="16"/>
      <c r="C395" s="15"/>
      <c r="D395" s="16"/>
      <c r="E395" s="17"/>
      <c r="F395" s="17"/>
      <c r="H395" s="19"/>
      <c r="I395" s="47"/>
      <c r="J395" s="48"/>
      <c r="K395" s="49"/>
    </row>
    <row r="396" spans="1:11" ht="12.75" hidden="1" x14ac:dyDescent="0.2">
      <c r="A396" s="16"/>
      <c r="B396" s="16"/>
      <c r="C396" s="15"/>
      <c r="D396" s="16"/>
      <c r="E396" s="17"/>
      <c r="F396" s="17"/>
      <c r="H396" s="19"/>
      <c r="I396" s="47"/>
      <c r="J396" s="48"/>
      <c r="K396" s="49"/>
    </row>
    <row r="397" spans="1:11" ht="12.75" hidden="1" x14ac:dyDescent="0.2">
      <c r="A397" s="16"/>
      <c r="B397" s="16"/>
      <c r="C397" s="15"/>
      <c r="D397" s="16"/>
      <c r="E397" s="17"/>
      <c r="F397" s="17"/>
      <c r="H397" s="19"/>
      <c r="I397" s="47"/>
      <c r="J397" s="48"/>
      <c r="K397" s="49"/>
    </row>
    <row r="398" spans="1:11" ht="12.75" hidden="1" x14ac:dyDescent="0.2">
      <c r="A398" s="16"/>
      <c r="B398" s="16"/>
      <c r="C398" s="15"/>
      <c r="D398" s="16"/>
      <c r="E398" s="17"/>
      <c r="F398" s="17"/>
      <c r="H398" s="19"/>
      <c r="I398" s="47"/>
      <c r="J398" s="48"/>
      <c r="K398" s="49"/>
    </row>
    <row r="399" spans="1:11" ht="12.75" hidden="1" x14ac:dyDescent="0.2">
      <c r="A399" s="16"/>
      <c r="B399" s="16"/>
      <c r="C399" s="15"/>
      <c r="D399" s="16"/>
      <c r="E399" s="17"/>
      <c r="F399" s="17"/>
      <c r="H399" s="19"/>
      <c r="I399" s="47"/>
      <c r="J399" s="48"/>
      <c r="K399" s="49"/>
    </row>
    <row r="400" spans="1:11" ht="12.75" hidden="1" x14ac:dyDescent="0.2">
      <c r="A400" s="16"/>
      <c r="B400" s="16"/>
      <c r="C400" s="15"/>
      <c r="D400" s="16"/>
      <c r="E400" s="17"/>
      <c r="F400" s="17"/>
      <c r="H400" s="19"/>
      <c r="I400" s="47"/>
      <c r="J400" s="48"/>
      <c r="K400" s="49"/>
    </row>
    <row r="401" spans="1:11" ht="12.75" hidden="1" x14ac:dyDescent="0.2">
      <c r="A401" s="16"/>
      <c r="B401" s="16"/>
      <c r="C401" s="15"/>
      <c r="D401" s="16"/>
      <c r="E401" s="17"/>
      <c r="F401" s="17"/>
      <c r="H401" s="19"/>
      <c r="I401" s="47"/>
      <c r="J401" s="48"/>
      <c r="K401" s="49"/>
    </row>
    <row r="402" spans="1:11" ht="12.75" hidden="1" x14ac:dyDescent="0.2">
      <c r="A402" s="16"/>
      <c r="B402" s="16"/>
      <c r="C402" s="15"/>
      <c r="D402" s="16"/>
      <c r="E402" s="17"/>
      <c r="F402" s="17"/>
      <c r="H402" s="19"/>
      <c r="I402" s="47"/>
      <c r="J402" s="48"/>
      <c r="K402" s="49"/>
    </row>
    <row r="403" spans="1:11" ht="12.75" hidden="1" x14ac:dyDescent="0.2">
      <c r="A403" s="16"/>
      <c r="B403" s="16"/>
      <c r="C403" s="15"/>
      <c r="D403" s="16"/>
      <c r="E403" s="17"/>
      <c r="F403" s="17"/>
      <c r="H403" s="19"/>
      <c r="I403" s="47"/>
      <c r="J403" s="48"/>
      <c r="K403" s="49"/>
    </row>
    <row r="404" spans="1:11" ht="12.75" hidden="1" x14ac:dyDescent="0.2">
      <c r="A404" s="16"/>
      <c r="B404" s="16"/>
      <c r="C404" s="15"/>
      <c r="D404" s="16"/>
      <c r="E404" s="17"/>
      <c r="F404" s="17"/>
      <c r="H404" s="19"/>
      <c r="I404" s="47"/>
      <c r="J404" s="48"/>
      <c r="K404" s="49"/>
    </row>
    <row r="405" spans="1:11" ht="12.75" hidden="1" x14ac:dyDescent="0.2">
      <c r="A405" s="16"/>
      <c r="B405" s="16"/>
      <c r="C405" s="15"/>
      <c r="D405" s="16"/>
      <c r="E405" s="17"/>
      <c r="F405" s="17"/>
      <c r="H405" s="19"/>
      <c r="I405" s="47"/>
      <c r="J405" s="48"/>
      <c r="K405" s="49"/>
    </row>
    <row r="406" spans="1:11" ht="12.75" hidden="1" x14ac:dyDescent="0.2">
      <c r="A406" s="16"/>
      <c r="B406" s="16"/>
      <c r="C406" s="15"/>
      <c r="D406" s="16"/>
      <c r="E406" s="17"/>
      <c r="F406" s="17"/>
      <c r="H406" s="19"/>
      <c r="I406" s="47"/>
      <c r="J406" s="48"/>
      <c r="K406" s="49"/>
    </row>
    <row r="407" spans="1:11" ht="12.75" hidden="1" x14ac:dyDescent="0.2">
      <c r="A407" s="16"/>
      <c r="B407" s="16"/>
      <c r="C407" s="15"/>
      <c r="D407" s="16"/>
      <c r="E407" s="17"/>
      <c r="F407" s="17"/>
      <c r="H407" s="19"/>
      <c r="I407" s="47"/>
      <c r="J407" s="48"/>
      <c r="K407" s="49"/>
    </row>
    <row r="408" spans="1:11" ht="12.75" hidden="1" x14ac:dyDescent="0.2">
      <c r="A408" s="16"/>
      <c r="B408" s="16"/>
      <c r="C408" s="15"/>
      <c r="D408" s="16"/>
      <c r="E408" s="17"/>
      <c r="F408" s="17"/>
      <c r="H408" s="19"/>
      <c r="I408" s="47"/>
      <c r="J408" s="48"/>
      <c r="K408" s="49"/>
    </row>
    <row r="409" spans="1:11" ht="12.75" hidden="1" x14ac:dyDescent="0.2">
      <c r="A409" s="16"/>
      <c r="B409" s="16"/>
      <c r="C409" s="15"/>
      <c r="D409" s="16"/>
      <c r="E409" s="17"/>
      <c r="F409" s="17"/>
      <c r="H409" s="19"/>
      <c r="I409" s="47"/>
      <c r="J409" s="48"/>
      <c r="K409" s="49"/>
    </row>
    <row r="410" spans="1:11" ht="12.75" hidden="1" x14ac:dyDescent="0.2">
      <c r="A410" s="16"/>
      <c r="B410" s="16"/>
      <c r="C410" s="15"/>
      <c r="D410" s="16"/>
      <c r="E410" s="17"/>
      <c r="F410" s="17"/>
      <c r="H410" s="19"/>
      <c r="I410" s="47"/>
      <c r="J410" s="48"/>
      <c r="K410" s="49"/>
    </row>
    <row r="411" spans="1:11" ht="12.75" hidden="1" x14ac:dyDescent="0.2">
      <c r="A411" s="16"/>
      <c r="B411" s="16"/>
      <c r="C411" s="15"/>
      <c r="D411" s="16"/>
      <c r="E411" s="17"/>
      <c r="F411" s="17"/>
      <c r="H411" s="19"/>
      <c r="I411" s="47"/>
      <c r="J411" s="48"/>
      <c r="K411" s="49"/>
    </row>
    <row r="412" spans="1:11" ht="12.75" hidden="1" x14ac:dyDescent="0.2">
      <c r="A412" s="16"/>
      <c r="B412" s="16"/>
      <c r="C412" s="15"/>
      <c r="D412" s="16"/>
      <c r="E412" s="17"/>
      <c r="F412" s="17"/>
      <c r="H412" s="19"/>
      <c r="I412" s="47"/>
      <c r="J412" s="48"/>
      <c r="K412" s="49"/>
    </row>
    <row r="413" spans="1:11" ht="12.75" hidden="1" x14ac:dyDescent="0.2">
      <c r="A413" s="16"/>
      <c r="B413" s="16"/>
      <c r="C413" s="15"/>
      <c r="D413" s="16"/>
      <c r="E413" s="17"/>
      <c r="F413" s="17"/>
      <c r="H413" s="19"/>
      <c r="I413" s="47"/>
      <c r="J413" s="48"/>
      <c r="K413" s="49"/>
    </row>
    <row r="414" spans="1:11" ht="12.75" hidden="1" x14ac:dyDescent="0.2">
      <c r="A414" s="16"/>
      <c r="B414" s="16"/>
      <c r="C414" s="15"/>
      <c r="D414" s="16"/>
      <c r="E414" s="17"/>
      <c r="F414" s="17"/>
      <c r="H414" s="19"/>
      <c r="I414" s="47"/>
      <c r="J414" s="48"/>
      <c r="K414" s="49"/>
    </row>
    <row r="415" spans="1:11" ht="12.75" hidden="1" x14ac:dyDescent="0.2">
      <c r="A415" s="16"/>
      <c r="B415" s="16"/>
      <c r="C415" s="15"/>
      <c r="D415" s="16"/>
      <c r="E415" s="17"/>
      <c r="F415" s="17"/>
      <c r="H415" s="19"/>
      <c r="I415" s="47"/>
      <c r="J415" s="48"/>
      <c r="K415" s="49"/>
    </row>
    <row r="416" spans="1:11" ht="12.75" hidden="1" x14ac:dyDescent="0.2">
      <c r="A416" s="16"/>
      <c r="B416" s="16"/>
      <c r="C416" s="15"/>
      <c r="D416" s="16"/>
      <c r="E416" s="17"/>
      <c r="F416" s="17"/>
      <c r="H416" s="19"/>
      <c r="I416" s="47"/>
      <c r="J416" s="48"/>
      <c r="K416" s="49"/>
    </row>
    <row r="417" spans="1:11" ht="12.75" hidden="1" x14ac:dyDescent="0.2">
      <c r="A417" s="16"/>
      <c r="B417" s="16"/>
      <c r="C417" s="15"/>
      <c r="D417" s="16"/>
      <c r="E417" s="17"/>
      <c r="F417" s="17"/>
      <c r="H417" s="19"/>
      <c r="I417" s="47"/>
      <c r="J417" s="48"/>
      <c r="K417" s="49"/>
    </row>
    <row r="418" spans="1:11" ht="12.75" hidden="1" x14ac:dyDescent="0.2">
      <c r="A418" s="16"/>
      <c r="B418" s="16"/>
      <c r="C418" s="15"/>
      <c r="D418" s="16"/>
      <c r="E418" s="17"/>
      <c r="F418" s="17"/>
      <c r="H418" s="19"/>
      <c r="I418" s="47"/>
      <c r="J418" s="48"/>
      <c r="K418" s="49"/>
    </row>
    <row r="419" spans="1:11" ht="12.75" hidden="1" x14ac:dyDescent="0.2">
      <c r="A419" s="16"/>
      <c r="B419" s="16"/>
      <c r="C419" s="15"/>
      <c r="D419" s="16"/>
      <c r="E419" s="17"/>
      <c r="F419" s="17"/>
      <c r="H419" s="19"/>
      <c r="I419" s="47"/>
      <c r="J419" s="48"/>
      <c r="K419" s="49"/>
    </row>
    <row r="420" spans="1:11" ht="12.75" hidden="1" x14ac:dyDescent="0.2">
      <c r="A420" s="16"/>
      <c r="B420" s="16"/>
      <c r="C420" s="15"/>
      <c r="D420" s="16"/>
      <c r="E420" s="17"/>
      <c r="F420" s="17"/>
      <c r="H420" s="19"/>
      <c r="I420" s="47"/>
      <c r="J420" s="48"/>
      <c r="K420" s="49"/>
    </row>
    <row r="421" spans="1:11" ht="12.75" hidden="1" x14ac:dyDescent="0.2">
      <c r="A421" s="16"/>
      <c r="B421" s="16"/>
      <c r="C421" s="15"/>
      <c r="D421" s="16"/>
      <c r="E421" s="17"/>
      <c r="F421" s="17"/>
      <c r="H421" s="19"/>
      <c r="I421" s="47"/>
      <c r="J421" s="48"/>
      <c r="K421" s="49"/>
    </row>
    <row r="422" spans="1:11" ht="12.75" hidden="1" x14ac:dyDescent="0.2">
      <c r="A422" s="16"/>
      <c r="B422" s="16"/>
      <c r="C422" s="15"/>
      <c r="D422" s="16"/>
      <c r="E422" s="17"/>
      <c r="F422" s="17"/>
      <c r="H422" s="19"/>
      <c r="I422" s="47"/>
      <c r="J422" s="48"/>
      <c r="K422" s="49"/>
    </row>
    <row r="423" spans="1:11" ht="12.75" hidden="1" x14ac:dyDescent="0.2">
      <c r="A423" s="16"/>
      <c r="B423" s="16"/>
      <c r="C423" s="15"/>
      <c r="D423" s="16"/>
      <c r="E423" s="17"/>
      <c r="F423" s="17"/>
      <c r="H423" s="19"/>
      <c r="I423" s="47"/>
      <c r="J423" s="48"/>
      <c r="K423" s="49"/>
    </row>
    <row r="424" spans="1:11" ht="12.75" hidden="1" x14ac:dyDescent="0.2">
      <c r="A424" s="16"/>
      <c r="B424" s="16"/>
      <c r="C424" s="15"/>
      <c r="D424" s="16"/>
      <c r="E424" s="17"/>
      <c r="F424" s="17"/>
      <c r="H424" s="19"/>
      <c r="I424" s="47"/>
      <c r="J424" s="48"/>
      <c r="K424" s="49"/>
    </row>
    <row r="425" spans="1:11" ht="12.75" hidden="1" x14ac:dyDescent="0.2">
      <c r="A425" s="16"/>
      <c r="B425" s="16"/>
      <c r="C425" s="15"/>
      <c r="D425" s="16"/>
      <c r="E425" s="17"/>
      <c r="F425" s="17"/>
      <c r="H425" s="19"/>
      <c r="I425" s="47"/>
      <c r="J425" s="48"/>
      <c r="K425" s="49"/>
    </row>
    <row r="426" spans="1:11" ht="12.75" hidden="1" x14ac:dyDescent="0.2">
      <c r="A426" s="16"/>
      <c r="B426" s="16"/>
      <c r="C426" s="15"/>
      <c r="D426" s="16"/>
      <c r="E426" s="17"/>
      <c r="F426" s="17"/>
      <c r="H426" s="19"/>
      <c r="I426" s="47"/>
      <c r="J426" s="48"/>
      <c r="K426" s="49"/>
    </row>
    <row r="427" spans="1:11" ht="12.75" hidden="1" x14ac:dyDescent="0.2">
      <c r="A427" s="16"/>
      <c r="B427" s="16"/>
      <c r="C427" s="15"/>
      <c r="D427" s="16"/>
      <c r="E427" s="17"/>
      <c r="F427" s="17"/>
      <c r="H427" s="19"/>
      <c r="I427" s="47"/>
      <c r="J427" s="48"/>
      <c r="K427" s="49"/>
    </row>
    <row r="428" spans="1:11" ht="12.75" hidden="1" x14ac:dyDescent="0.2">
      <c r="A428" s="16"/>
      <c r="B428" s="16"/>
      <c r="C428" s="15"/>
      <c r="D428" s="16"/>
      <c r="E428" s="17"/>
      <c r="F428" s="17"/>
      <c r="H428" s="19"/>
      <c r="I428" s="47"/>
      <c r="J428" s="48"/>
      <c r="K428" s="49"/>
    </row>
    <row r="429" spans="1:11" ht="12.75" hidden="1" x14ac:dyDescent="0.2">
      <c r="A429" s="16"/>
      <c r="B429" s="16"/>
      <c r="C429" s="15"/>
      <c r="D429" s="16"/>
      <c r="E429" s="17"/>
      <c r="F429" s="17"/>
      <c r="H429" s="19"/>
      <c r="I429" s="47"/>
      <c r="J429" s="48"/>
      <c r="K429" s="49"/>
    </row>
    <row r="430" spans="1:11" ht="12.75" hidden="1" x14ac:dyDescent="0.2">
      <c r="A430" s="16"/>
      <c r="B430" s="16"/>
      <c r="C430" s="15"/>
      <c r="D430" s="16"/>
      <c r="E430" s="17"/>
      <c r="F430" s="17"/>
      <c r="H430" s="19"/>
      <c r="I430" s="47"/>
      <c r="J430" s="48"/>
      <c r="K430" s="49"/>
    </row>
    <row r="431" spans="1:11" ht="12.75" hidden="1" x14ac:dyDescent="0.2">
      <c r="A431" s="16"/>
      <c r="B431" s="16"/>
      <c r="C431" s="15"/>
      <c r="D431" s="16"/>
      <c r="E431" s="17"/>
      <c r="F431" s="17"/>
      <c r="H431" s="19"/>
      <c r="I431" s="47"/>
      <c r="J431" s="48"/>
      <c r="K431" s="49"/>
    </row>
    <row r="432" spans="1:11" ht="12.75" hidden="1" x14ac:dyDescent="0.2">
      <c r="A432" s="16"/>
      <c r="B432" s="16"/>
      <c r="C432" s="15"/>
      <c r="D432" s="16"/>
      <c r="E432" s="17"/>
      <c r="F432" s="17"/>
      <c r="H432" s="19"/>
      <c r="I432" s="47"/>
      <c r="J432" s="48"/>
      <c r="K432" s="49"/>
    </row>
    <row r="433" spans="1:11" ht="12.75" hidden="1" x14ac:dyDescent="0.2">
      <c r="A433" s="16"/>
      <c r="B433" s="16"/>
      <c r="C433" s="15"/>
      <c r="D433" s="16"/>
      <c r="E433" s="17"/>
      <c r="F433" s="17"/>
      <c r="H433" s="19"/>
      <c r="I433" s="47"/>
      <c r="J433" s="48"/>
      <c r="K433" s="49"/>
    </row>
    <row r="434" spans="1:11" ht="12.75" hidden="1" x14ac:dyDescent="0.2">
      <c r="A434" s="16"/>
      <c r="B434" s="16"/>
      <c r="C434" s="15"/>
      <c r="D434" s="16"/>
      <c r="E434" s="17"/>
      <c r="F434" s="17"/>
      <c r="H434" s="19"/>
      <c r="I434" s="47"/>
      <c r="J434" s="48"/>
      <c r="K434" s="49"/>
    </row>
    <row r="435" spans="1:11" ht="12.75" hidden="1" x14ac:dyDescent="0.2">
      <c r="A435" s="16"/>
      <c r="B435" s="16"/>
      <c r="C435" s="15"/>
      <c r="D435" s="16"/>
      <c r="E435" s="17"/>
      <c r="F435" s="17"/>
      <c r="H435" s="19"/>
      <c r="I435" s="47"/>
      <c r="J435" s="48"/>
      <c r="K435" s="49"/>
    </row>
    <row r="436" spans="1:11" ht="12.75" hidden="1" x14ac:dyDescent="0.2">
      <c r="A436" s="16"/>
      <c r="B436" s="16"/>
      <c r="C436" s="15"/>
      <c r="D436" s="16"/>
      <c r="E436" s="17"/>
      <c r="F436" s="17"/>
      <c r="H436" s="19"/>
      <c r="I436" s="47"/>
      <c r="J436" s="48"/>
      <c r="K436" s="49"/>
    </row>
    <row r="437" spans="1:11" ht="12.75" hidden="1" x14ac:dyDescent="0.2">
      <c r="A437" s="16"/>
      <c r="B437" s="16"/>
      <c r="C437" s="15"/>
      <c r="D437" s="16"/>
      <c r="E437" s="17"/>
      <c r="F437" s="17"/>
      <c r="H437" s="19"/>
      <c r="I437" s="47"/>
      <c r="J437" s="48"/>
      <c r="K437" s="49"/>
    </row>
    <row r="438" spans="1:11" ht="12.75" hidden="1" x14ac:dyDescent="0.2">
      <c r="A438" s="16"/>
      <c r="B438" s="16"/>
      <c r="C438" s="15"/>
      <c r="D438" s="16"/>
      <c r="E438" s="17"/>
      <c r="F438" s="17"/>
      <c r="H438" s="19"/>
      <c r="I438" s="47"/>
      <c r="J438" s="48"/>
      <c r="K438" s="49"/>
    </row>
    <row r="439" spans="1:11" ht="12.75" hidden="1" x14ac:dyDescent="0.2">
      <c r="A439" s="16"/>
      <c r="B439" s="16"/>
      <c r="C439" s="15"/>
      <c r="D439" s="16"/>
      <c r="E439" s="17"/>
      <c r="F439" s="17"/>
      <c r="H439" s="19"/>
      <c r="I439" s="47"/>
      <c r="J439" s="48"/>
      <c r="K439" s="49"/>
    </row>
    <row r="440" spans="1:11" ht="12.75" hidden="1" x14ac:dyDescent="0.2">
      <c r="A440" s="16"/>
      <c r="B440" s="16"/>
      <c r="C440" s="15"/>
      <c r="D440" s="16"/>
      <c r="E440" s="17"/>
      <c r="F440" s="17"/>
      <c r="H440" s="19"/>
      <c r="I440" s="47"/>
      <c r="J440" s="48"/>
      <c r="K440" s="49"/>
    </row>
    <row r="441" spans="1:11" ht="12.75" hidden="1" x14ac:dyDescent="0.2">
      <c r="A441" s="16"/>
      <c r="B441" s="16"/>
      <c r="C441" s="15"/>
      <c r="D441" s="16"/>
      <c r="E441" s="17"/>
      <c r="F441" s="17"/>
      <c r="H441" s="19"/>
      <c r="I441" s="47"/>
      <c r="J441" s="48"/>
      <c r="K441" s="49"/>
    </row>
    <row r="442" spans="1:11" ht="12.75" hidden="1" x14ac:dyDescent="0.2">
      <c r="A442" s="16"/>
      <c r="B442" s="16"/>
      <c r="C442" s="15"/>
      <c r="D442" s="16"/>
      <c r="E442" s="17"/>
      <c r="F442" s="17"/>
      <c r="H442" s="19"/>
      <c r="I442" s="47"/>
      <c r="J442" s="48"/>
      <c r="K442" s="49"/>
    </row>
    <row r="443" spans="1:11" ht="12.75" hidden="1" x14ac:dyDescent="0.2">
      <c r="A443" s="16"/>
      <c r="B443" s="16"/>
      <c r="C443" s="15"/>
      <c r="D443" s="16"/>
      <c r="E443" s="17"/>
      <c r="F443" s="17"/>
      <c r="H443" s="19"/>
      <c r="I443" s="47"/>
      <c r="J443" s="48"/>
      <c r="K443" s="49"/>
    </row>
    <row r="444" spans="1:11" ht="12.75" hidden="1" x14ac:dyDescent="0.2">
      <c r="A444" s="16"/>
      <c r="B444" s="16"/>
      <c r="C444" s="15"/>
      <c r="D444" s="16"/>
      <c r="E444" s="17"/>
      <c r="F444" s="17"/>
      <c r="H444" s="19"/>
      <c r="I444" s="47"/>
      <c r="J444" s="48"/>
      <c r="K444" s="49"/>
    </row>
    <row r="445" spans="1:11" ht="12.75" hidden="1" x14ac:dyDescent="0.2">
      <c r="A445" s="16"/>
      <c r="B445" s="16"/>
      <c r="C445" s="15"/>
      <c r="D445" s="16"/>
      <c r="E445" s="17"/>
      <c r="F445" s="17"/>
      <c r="H445" s="19"/>
      <c r="I445" s="47"/>
      <c r="J445" s="48"/>
      <c r="K445" s="49"/>
    </row>
    <row r="446" spans="1:11" ht="12.75" hidden="1" x14ac:dyDescent="0.2">
      <c r="A446" s="16"/>
      <c r="B446" s="16"/>
      <c r="C446" s="15"/>
      <c r="D446" s="16"/>
      <c r="E446" s="17"/>
      <c r="F446" s="17"/>
      <c r="H446" s="19"/>
      <c r="I446" s="47"/>
      <c r="J446" s="48"/>
      <c r="K446" s="49"/>
    </row>
    <row r="447" spans="1:11" ht="12.75" hidden="1" x14ac:dyDescent="0.2">
      <c r="A447" s="16"/>
      <c r="B447" s="16"/>
      <c r="C447" s="15"/>
      <c r="D447" s="16"/>
      <c r="E447" s="17"/>
      <c r="F447" s="17"/>
      <c r="H447" s="19"/>
      <c r="I447" s="47"/>
      <c r="J447" s="48"/>
      <c r="K447" s="49"/>
    </row>
    <row r="448" spans="1:11" ht="12.75" hidden="1" x14ac:dyDescent="0.2">
      <c r="A448" s="16"/>
      <c r="B448" s="16"/>
      <c r="C448" s="15"/>
      <c r="D448" s="16"/>
      <c r="E448" s="17"/>
      <c r="F448" s="17"/>
      <c r="H448" s="19"/>
      <c r="I448" s="47"/>
      <c r="J448" s="48"/>
      <c r="K448" s="49"/>
    </row>
    <row r="449" spans="1:11" ht="12.75" hidden="1" x14ac:dyDescent="0.2">
      <c r="A449" s="16"/>
      <c r="B449" s="16"/>
      <c r="C449" s="15"/>
      <c r="D449" s="16"/>
      <c r="E449" s="17"/>
      <c r="F449" s="17"/>
      <c r="H449" s="19"/>
      <c r="I449" s="47"/>
      <c r="J449" s="48"/>
      <c r="K449" s="49"/>
    </row>
    <row r="450" spans="1:11" ht="12.75" hidden="1" x14ac:dyDescent="0.2">
      <c r="A450" s="16"/>
      <c r="B450" s="16"/>
      <c r="C450" s="15"/>
      <c r="D450" s="16"/>
      <c r="E450" s="17"/>
      <c r="F450" s="17"/>
      <c r="H450" s="19"/>
      <c r="I450" s="47"/>
      <c r="J450" s="48"/>
      <c r="K450" s="49"/>
    </row>
    <row r="451" spans="1:11" ht="12.75" hidden="1" x14ac:dyDescent="0.2">
      <c r="A451" s="16"/>
      <c r="B451" s="16"/>
      <c r="C451" s="15"/>
      <c r="D451" s="16"/>
      <c r="E451" s="17"/>
      <c r="F451" s="17"/>
      <c r="H451" s="19"/>
      <c r="I451" s="47"/>
      <c r="J451" s="48"/>
      <c r="K451" s="49"/>
    </row>
    <row r="452" spans="1:11" ht="12.75" hidden="1" x14ac:dyDescent="0.2">
      <c r="A452" s="16"/>
      <c r="B452" s="16"/>
      <c r="C452" s="15"/>
      <c r="D452" s="16"/>
      <c r="E452" s="17"/>
      <c r="F452" s="17"/>
      <c r="H452" s="19"/>
      <c r="I452" s="47"/>
      <c r="J452" s="48"/>
      <c r="K452" s="49"/>
    </row>
    <row r="453" spans="1:11" ht="12.75" hidden="1" x14ac:dyDescent="0.2">
      <c r="A453" s="16"/>
      <c r="B453" s="16"/>
      <c r="C453" s="15"/>
      <c r="D453" s="16"/>
      <c r="E453" s="17"/>
      <c r="F453" s="17"/>
      <c r="H453" s="19"/>
      <c r="I453" s="47"/>
      <c r="J453" s="48"/>
      <c r="K453" s="49"/>
    </row>
    <row r="454" spans="1:11" ht="12.75" hidden="1" x14ac:dyDescent="0.2">
      <c r="A454" s="16"/>
      <c r="B454" s="16"/>
      <c r="C454" s="15"/>
      <c r="D454" s="16"/>
      <c r="E454" s="17"/>
      <c r="F454" s="17"/>
      <c r="H454" s="19"/>
      <c r="I454" s="47"/>
      <c r="J454" s="48"/>
      <c r="K454" s="49"/>
    </row>
    <row r="455" spans="1:11" ht="12.75" hidden="1" x14ac:dyDescent="0.2">
      <c r="A455" s="16"/>
      <c r="B455" s="16"/>
      <c r="C455" s="15"/>
      <c r="D455" s="16"/>
      <c r="E455" s="17"/>
      <c r="F455" s="17"/>
      <c r="H455" s="19"/>
      <c r="I455" s="47"/>
      <c r="J455" s="48"/>
      <c r="K455" s="49"/>
    </row>
    <row r="456" spans="1:11" ht="12.75" hidden="1" x14ac:dyDescent="0.2">
      <c r="A456" s="16"/>
      <c r="B456" s="16"/>
      <c r="C456" s="15"/>
      <c r="D456" s="16"/>
      <c r="E456" s="17"/>
      <c r="F456" s="17"/>
      <c r="H456" s="19"/>
      <c r="I456" s="47"/>
      <c r="J456" s="48"/>
      <c r="K456" s="49"/>
    </row>
    <row r="457" spans="1:11" ht="12.75" hidden="1" x14ac:dyDescent="0.2">
      <c r="A457" s="16"/>
      <c r="B457" s="16"/>
      <c r="C457" s="15"/>
      <c r="D457" s="16"/>
      <c r="E457" s="17"/>
      <c r="F457" s="17"/>
      <c r="H457" s="19"/>
      <c r="I457" s="47"/>
      <c r="J457" s="48"/>
      <c r="K457" s="49"/>
    </row>
    <row r="458" spans="1:11" ht="12.75" hidden="1" x14ac:dyDescent="0.2">
      <c r="A458" s="16"/>
      <c r="B458" s="16"/>
      <c r="C458" s="15"/>
      <c r="D458" s="16"/>
      <c r="E458" s="17"/>
      <c r="F458" s="17"/>
      <c r="H458" s="19"/>
      <c r="I458" s="47"/>
      <c r="J458" s="48"/>
      <c r="K458" s="49"/>
    </row>
    <row r="459" spans="1:11" ht="12.75" hidden="1" x14ac:dyDescent="0.2">
      <c r="A459" s="16"/>
      <c r="B459" s="16"/>
      <c r="C459" s="15"/>
      <c r="D459" s="16"/>
      <c r="E459" s="17"/>
      <c r="F459" s="17"/>
      <c r="H459" s="19"/>
      <c r="I459" s="47"/>
      <c r="J459" s="48"/>
      <c r="K459" s="49"/>
    </row>
    <row r="460" spans="1:11" ht="12.75" hidden="1" x14ac:dyDescent="0.2">
      <c r="A460" s="16"/>
      <c r="B460" s="16"/>
      <c r="C460" s="15"/>
      <c r="D460" s="16"/>
      <c r="E460" s="17"/>
      <c r="F460" s="17"/>
      <c r="H460" s="19"/>
      <c r="I460" s="47"/>
      <c r="J460" s="48"/>
      <c r="K460" s="49"/>
    </row>
    <row r="461" spans="1:11" ht="12.75" hidden="1" x14ac:dyDescent="0.2">
      <c r="A461" s="16"/>
      <c r="B461" s="16"/>
      <c r="C461" s="15"/>
      <c r="D461" s="16"/>
      <c r="E461" s="17"/>
      <c r="F461" s="17"/>
      <c r="H461" s="19"/>
      <c r="I461" s="47"/>
      <c r="J461" s="48"/>
      <c r="K461" s="49"/>
    </row>
    <row r="462" spans="1:11" ht="12.75" hidden="1" x14ac:dyDescent="0.2">
      <c r="A462" s="16"/>
      <c r="B462" s="16"/>
      <c r="C462" s="15"/>
      <c r="D462" s="16"/>
      <c r="E462" s="17"/>
      <c r="F462" s="17"/>
      <c r="H462" s="19"/>
      <c r="I462" s="47"/>
      <c r="J462" s="48"/>
      <c r="K462" s="49"/>
    </row>
    <row r="463" spans="1:11" ht="12.75" hidden="1" x14ac:dyDescent="0.2">
      <c r="A463" s="16"/>
      <c r="B463" s="16"/>
      <c r="C463" s="15"/>
      <c r="D463" s="16"/>
      <c r="E463" s="17"/>
      <c r="F463" s="17"/>
      <c r="H463" s="19"/>
      <c r="I463" s="47"/>
      <c r="J463" s="48"/>
      <c r="K463" s="49"/>
    </row>
    <row r="464" spans="1:11" ht="12.75" hidden="1" x14ac:dyDescent="0.2">
      <c r="A464" s="16"/>
      <c r="B464" s="16"/>
      <c r="C464" s="15"/>
      <c r="D464" s="16"/>
      <c r="E464" s="17"/>
      <c r="F464" s="17"/>
      <c r="H464" s="19"/>
      <c r="I464" s="47"/>
      <c r="J464" s="48"/>
      <c r="K464" s="49"/>
    </row>
    <row r="465" spans="1:11" ht="12.75" hidden="1" x14ac:dyDescent="0.2">
      <c r="A465" s="16"/>
      <c r="B465" s="16"/>
      <c r="C465" s="15"/>
      <c r="D465" s="16"/>
      <c r="E465" s="17"/>
      <c r="F465" s="17"/>
      <c r="H465" s="19"/>
      <c r="I465" s="47"/>
      <c r="J465" s="48"/>
      <c r="K465" s="49"/>
    </row>
    <row r="466" spans="1:11" ht="12.75" hidden="1" x14ac:dyDescent="0.2">
      <c r="A466" s="16"/>
      <c r="B466" s="16"/>
      <c r="C466" s="15"/>
      <c r="D466" s="16"/>
      <c r="E466" s="17"/>
      <c r="F466" s="17"/>
      <c r="H466" s="19"/>
      <c r="I466" s="47"/>
      <c r="J466" s="48"/>
      <c r="K466" s="49"/>
    </row>
    <row r="467" spans="1:11" ht="12.75" hidden="1" x14ac:dyDescent="0.2">
      <c r="A467" s="16"/>
      <c r="B467" s="16"/>
      <c r="C467" s="15"/>
      <c r="D467" s="16"/>
      <c r="E467" s="17"/>
      <c r="F467" s="17"/>
      <c r="H467" s="19"/>
      <c r="I467" s="47"/>
      <c r="J467" s="48"/>
      <c r="K467" s="49"/>
    </row>
    <row r="468" spans="1:11" ht="12.75" hidden="1" x14ac:dyDescent="0.2">
      <c r="A468" s="16"/>
      <c r="B468" s="16"/>
      <c r="C468" s="15"/>
      <c r="D468" s="16"/>
      <c r="E468" s="17"/>
      <c r="F468" s="17"/>
      <c r="H468" s="19"/>
      <c r="I468" s="47"/>
      <c r="J468" s="48"/>
      <c r="K468" s="49"/>
    </row>
    <row r="469" spans="1:11" ht="12.75" hidden="1" x14ac:dyDescent="0.2">
      <c r="A469" s="16"/>
      <c r="B469" s="16"/>
      <c r="C469" s="15"/>
      <c r="D469" s="16"/>
      <c r="E469" s="17"/>
      <c r="F469" s="17"/>
      <c r="H469" s="19"/>
      <c r="I469" s="47"/>
      <c r="J469" s="48"/>
      <c r="K469" s="49"/>
    </row>
    <row r="470" spans="1:11" ht="12.75" hidden="1" x14ac:dyDescent="0.2">
      <c r="A470" s="16"/>
      <c r="B470" s="16"/>
      <c r="C470" s="15"/>
      <c r="D470" s="16"/>
      <c r="E470" s="17"/>
      <c r="F470" s="17"/>
      <c r="H470" s="19"/>
      <c r="I470" s="47"/>
      <c r="J470" s="48"/>
      <c r="K470" s="49"/>
    </row>
    <row r="471" spans="1:11" ht="12.75" hidden="1" x14ac:dyDescent="0.2">
      <c r="A471" s="16"/>
      <c r="B471" s="16"/>
      <c r="C471" s="15"/>
      <c r="D471" s="16"/>
      <c r="E471" s="17"/>
      <c r="F471" s="17"/>
      <c r="H471" s="19"/>
      <c r="I471" s="47"/>
      <c r="J471" s="48"/>
      <c r="K471" s="49"/>
    </row>
    <row r="472" spans="1:11" ht="12.75" hidden="1" x14ac:dyDescent="0.2">
      <c r="A472" s="16"/>
      <c r="B472" s="16"/>
      <c r="C472" s="15"/>
      <c r="D472" s="16"/>
      <c r="E472" s="17"/>
      <c r="F472" s="17"/>
      <c r="H472" s="19"/>
      <c r="I472" s="47"/>
      <c r="J472" s="48"/>
      <c r="K472" s="49"/>
    </row>
    <row r="473" spans="1:11" ht="12.75" hidden="1" x14ac:dyDescent="0.2">
      <c r="A473" s="16"/>
      <c r="B473" s="16"/>
      <c r="C473" s="15"/>
      <c r="D473" s="16"/>
      <c r="E473" s="17"/>
      <c r="F473" s="17"/>
      <c r="H473" s="19"/>
      <c r="I473" s="47"/>
      <c r="J473" s="48"/>
      <c r="K473" s="49"/>
    </row>
    <row r="474" spans="1:11" ht="12.75" hidden="1" x14ac:dyDescent="0.2">
      <c r="A474" s="16"/>
      <c r="B474" s="16"/>
      <c r="C474" s="15"/>
      <c r="D474" s="16"/>
      <c r="E474" s="17"/>
      <c r="F474" s="17"/>
      <c r="H474" s="19"/>
      <c r="I474" s="47"/>
      <c r="J474" s="48"/>
      <c r="K474" s="49"/>
    </row>
    <row r="475" spans="1:11" ht="12.75" hidden="1" x14ac:dyDescent="0.2">
      <c r="A475" s="16"/>
      <c r="B475" s="16"/>
      <c r="C475" s="15"/>
      <c r="D475" s="16"/>
      <c r="E475" s="17"/>
      <c r="F475" s="17"/>
      <c r="H475" s="19"/>
      <c r="I475" s="47"/>
      <c r="J475" s="48"/>
      <c r="K475" s="49"/>
    </row>
    <row r="476" spans="1:11" ht="12.75" hidden="1" x14ac:dyDescent="0.2">
      <c r="A476" s="16"/>
      <c r="B476" s="16"/>
      <c r="C476" s="15"/>
      <c r="D476" s="16"/>
      <c r="E476" s="17"/>
      <c r="F476" s="17"/>
      <c r="H476" s="19"/>
      <c r="I476" s="47"/>
      <c r="J476" s="48"/>
      <c r="K476" s="49"/>
    </row>
    <row r="477" spans="1:11" ht="12.75" hidden="1" x14ac:dyDescent="0.2">
      <c r="A477" s="16"/>
      <c r="B477" s="16"/>
      <c r="C477" s="15"/>
      <c r="D477" s="16"/>
      <c r="E477" s="17"/>
      <c r="F477" s="17"/>
      <c r="H477" s="19"/>
      <c r="I477" s="47"/>
      <c r="J477" s="48"/>
      <c r="K477" s="49"/>
    </row>
    <row r="478" spans="1:11" ht="12.75" hidden="1" x14ac:dyDescent="0.2">
      <c r="A478" s="16"/>
      <c r="B478" s="16"/>
      <c r="C478" s="15"/>
      <c r="D478" s="16"/>
      <c r="E478" s="17"/>
      <c r="F478" s="17"/>
      <c r="H478" s="19"/>
      <c r="I478" s="47"/>
      <c r="J478" s="48"/>
      <c r="K478" s="49"/>
    </row>
    <row r="479" spans="1:11" ht="12.75" hidden="1" x14ac:dyDescent="0.2">
      <c r="A479" s="16"/>
      <c r="B479" s="16"/>
      <c r="C479" s="15"/>
      <c r="D479" s="16"/>
      <c r="E479" s="17"/>
      <c r="F479" s="17"/>
      <c r="H479" s="19"/>
      <c r="I479" s="47"/>
      <c r="J479" s="48"/>
      <c r="K479" s="49"/>
    </row>
    <row r="480" spans="1:11" ht="12.75" hidden="1" x14ac:dyDescent="0.2">
      <c r="A480" s="16"/>
      <c r="B480" s="16"/>
      <c r="C480" s="15"/>
      <c r="D480" s="16"/>
      <c r="E480" s="17"/>
      <c r="F480" s="17"/>
      <c r="H480" s="19"/>
      <c r="I480" s="47"/>
      <c r="J480" s="48"/>
      <c r="K480" s="49"/>
    </row>
    <row r="481" spans="1:11" ht="12.75" hidden="1" x14ac:dyDescent="0.2">
      <c r="A481" s="16"/>
      <c r="B481" s="16"/>
      <c r="C481" s="15"/>
      <c r="D481" s="16"/>
      <c r="E481" s="17"/>
      <c r="F481" s="17"/>
      <c r="H481" s="19"/>
      <c r="I481" s="47"/>
      <c r="J481" s="48"/>
      <c r="K481" s="49"/>
    </row>
    <row r="482" spans="1:11" ht="12.75" hidden="1" x14ac:dyDescent="0.2">
      <c r="A482" s="16"/>
      <c r="B482" s="16"/>
      <c r="C482" s="15"/>
      <c r="D482" s="16"/>
      <c r="E482" s="17"/>
      <c r="F482" s="17"/>
      <c r="H482" s="19"/>
      <c r="I482" s="47"/>
      <c r="J482" s="48"/>
      <c r="K482" s="49"/>
    </row>
    <row r="483" spans="1:11" ht="12.75" hidden="1" x14ac:dyDescent="0.2">
      <c r="A483" s="16"/>
      <c r="B483" s="16"/>
      <c r="C483" s="15"/>
      <c r="D483" s="16"/>
      <c r="E483" s="17"/>
      <c r="F483" s="17"/>
      <c r="H483" s="19"/>
      <c r="I483" s="47"/>
      <c r="J483" s="48"/>
      <c r="K483" s="49"/>
    </row>
    <row r="484" spans="1:11" ht="12.75" hidden="1" x14ac:dyDescent="0.2">
      <c r="A484" s="16"/>
      <c r="B484" s="16"/>
      <c r="C484" s="15"/>
      <c r="D484" s="16"/>
      <c r="E484" s="17"/>
      <c r="F484" s="17"/>
      <c r="H484" s="19"/>
      <c r="I484" s="47"/>
      <c r="J484" s="48"/>
      <c r="K484" s="49"/>
    </row>
    <row r="485" spans="1:11" ht="12.75" hidden="1" x14ac:dyDescent="0.2">
      <c r="A485" s="16"/>
      <c r="B485" s="16"/>
      <c r="C485" s="15"/>
      <c r="D485" s="16"/>
      <c r="E485" s="17"/>
      <c r="F485" s="17"/>
      <c r="H485" s="19"/>
      <c r="I485" s="47"/>
      <c r="J485" s="48"/>
      <c r="K485" s="49"/>
    </row>
    <row r="486" spans="1:11" ht="12.75" hidden="1" x14ac:dyDescent="0.2">
      <c r="A486" s="16"/>
      <c r="B486" s="16"/>
      <c r="C486" s="15"/>
      <c r="D486" s="16"/>
      <c r="E486" s="17"/>
      <c r="F486" s="17"/>
      <c r="H486" s="19"/>
      <c r="I486" s="47"/>
      <c r="J486" s="48"/>
      <c r="K486" s="49"/>
    </row>
    <row r="487" spans="1:11" ht="12.75" hidden="1" x14ac:dyDescent="0.2">
      <c r="A487" s="16"/>
      <c r="B487" s="16"/>
      <c r="C487" s="15"/>
      <c r="D487" s="16"/>
      <c r="E487" s="17"/>
      <c r="F487" s="17"/>
      <c r="H487" s="19"/>
      <c r="I487" s="47"/>
      <c r="J487" s="48"/>
      <c r="K487" s="49"/>
    </row>
    <row r="488" spans="1:11" ht="12.75" hidden="1" x14ac:dyDescent="0.2">
      <c r="A488" s="16"/>
      <c r="B488" s="16"/>
      <c r="C488" s="15"/>
      <c r="D488" s="16"/>
      <c r="E488" s="17"/>
      <c r="F488" s="17"/>
      <c r="H488" s="19"/>
      <c r="I488" s="47"/>
      <c r="J488" s="48"/>
      <c r="K488" s="49"/>
    </row>
    <row r="489" spans="1:11" ht="12.75" hidden="1" x14ac:dyDescent="0.2">
      <c r="A489" s="16"/>
      <c r="B489" s="16"/>
      <c r="C489" s="15"/>
      <c r="D489" s="16"/>
      <c r="E489" s="17"/>
      <c r="F489" s="17"/>
      <c r="H489" s="19"/>
      <c r="I489" s="47"/>
      <c r="J489" s="48"/>
      <c r="K489" s="49"/>
    </row>
    <row r="490" spans="1:11" ht="12.75" hidden="1" x14ac:dyDescent="0.2">
      <c r="A490" s="16"/>
      <c r="B490" s="16"/>
      <c r="C490" s="15"/>
      <c r="D490" s="16"/>
      <c r="E490" s="17"/>
      <c r="F490" s="17"/>
      <c r="H490" s="19"/>
      <c r="I490" s="47"/>
      <c r="J490" s="48"/>
      <c r="K490" s="49"/>
    </row>
    <row r="491" spans="1:11" ht="12.75" hidden="1" x14ac:dyDescent="0.2">
      <c r="A491" s="16"/>
      <c r="B491" s="16"/>
      <c r="C491" s="15"/>
      <c r="D491" s="16"/>
      <c r="E491" s="17"/>
      <c r="F491" s="17"/>
      <c r="H491" s="19"/>
      <c r="I491" s="47"/>
      <c r="J491" s="48"/>
      <c r="K491" s="49"/>
    </row>
    <row r="492" spans="1:11" ht="12.75" hidden="1" x14ac:dyDescent="0.2">
      <c r="A492" s="16"/>
      <c r="B492" s="16"/>
      <c r="C492" s="15"/>
      <c r="D492" s="16"/>
      <c r="E492" s="17"/>
      <c r="F492" s="17"/>
      <c r="H492" s="19"/>
      <c r="I492" s="47"/>
      <c r="J492" s="48"/>
      <c r="K492" s="49"/>
    </row>
    <row r="493" spans="1:11" ht="12.75" hidden="1" x14ac:dyDescent="0.2">
      <c r="A493" s="16"/>
      <c r="B493" s="16"/>
      <c r="C493" s="15"/>
      <c r="D493" s="16"/>
      <c r="E493" s="17"/>
      <c r="F493" s="17"/>
      <c r="H493" s="19"/>
      <c r="I493" s="47"/>
      <c r="J493" s="48"/>
      <c r="K493" s="49"/>
    </row>
    <row r="494" spans="1:11" ht="12.75" hidden="1" x14ac:dyDescent="0.2">
      <c r="A494" s="16"/>
      <c r="B494" s="16"/>
      <c r="C494" s="15"/>
      <c r="D494" s="16"/>
      <c r="E494" s="17"/>
      <c r="F494" s="17"/>
      <c r="H494" s="19"/>
      <c r="I494" s="47"/>
      <c r="J494" s="48"/>
      <c r="K494" s="49"/>
    </row>
    <row r="495" spans="1:11" ht="12.75" hidden="1" x14ac:dyDescent="0.2">
      <c r="A495" s="16"/>
      <c r="B495" s="16"/>
      <c r="C495" s="15"/>
      <c r="D495" s="16"/>
      <c r="E495" s="17"/>
      <c r="F495" s="17"/>
      <c r="H495" s="19"/>
      <c r="I495" s="47"/>
      <c r="J495" s="48"/>
      <c r="K495" s="49"/>
    </row>
    <row r="496" spans="1:11" ht="12.75" hidden="1" x14ac:dyDescent="0.2">
      <c r="A496" s="16"/>
      <c r="B496" s="16"/>
      <c r="C496" s="15"/>
      <c r="D496" s="16"/>
      <c r="E496" s="17"/>
      <c r="F496" s="17"/>
      <c r="H496" s="19"/>
      <c r="I496" s="47"/>
      <c r="J496" s="48"/>
      <c r="K496" s="49"/>
    </row>
    <row r="497" spans="1:11" ht="12.75" hidden="1" x14ac:dyDescent="0.2">
      <c r="A497" s="16"/>
      <c r="B497" s="16"/>
      <c r="C497" s="15"/>
      <c r="D497" s="16"/>
      <c r="E497" s="17"/>
      <c r="F497" s="17"/>
      <c r="H497" s="19"/>
      <c r="I497" s="47"/>
      <c r="J497" s="48"/>
      <c r="K497" s="49"/>
    </row>
    <row r="498" spans="1:11" ht="12.75" hidden="1" x14ac:dyDescent="0.2">
      <c r="A498" s="16"/>
      <c r="B498" s="16"/>
      <c r="C498" s="15"/>
      <c r="D498" s="16"/>
      <c r="E498" s="17"/>
      <c r="F498" s="17"/>
      <c r="H498" s="19"/>
      <c r="I498" s="47"/>
      <c r="J498" s="48"/>
      <c r="K498" s="49"/>
    </row>
    <row r="499" spans="1:11" ht="12.75" hidden="1" x14ac:dyDescent="0.2">
      <c r="A499" s="16"/>
      <c r="B499" s="16"/>
      <c r="C499" s="15"/>
      <c r="D499" s="16"/>
      <c r="E499" s="17"/>
      <c r="F499" s="17"/>
      <c r="H499" s="19"/>
      <c r="I499" s="47"/>
      <c r="J499" s="48"/>
      <c r="K499" s="49"/>
    </row>
    <row r="500" spans="1:11" ht="12.75" hidden="1" x14ac:dyDescent="0.2">
      <c r="A500" s="16"/>
      <c r="B500" s="16"/>
      <c r="C500" s="15"/>
      <c r="D500" s="16"/>
      <c r="E500" s="17"/>
      <c r="F500" s="17"/>
      <c r="H500" s="19"/>
      <c r="I500" s="47"/>
      <c r="J500" s="48"/>
      <c r="K500" s="49"/>
    </row>
    <row r="501" spans="1:11" ht="12.75" hidden="1" x14ac:dyDescent="0.2">
      <c r="A501" s="16"/>
      <c r="B501" s="16"/>
      <c r="C501" s="15"/>
      <c r="D501" s="16"/>
      <c r="E501" s="17"/>
      <c r="F501" s="17"/>
      <c r="H501" s="19"/>
      <c r="I501" s="47"/>
      <c r="J501" s="48"/>
      <c r="K501" s="49"/>
    </row>
    <row r="502" spans="1:11" ht="12.75" hidden="1" x14ac:dyDescent="0.2">
      <c r="A502" s="16"/>
      <c r="B502" s="16"/>
      <c r="C502" s="15"/>
      <c r="D502" s="16"/>
      <c r="E502" s="17"/>
      <c r="F502" s="17"/>
      <c r="H502" s="19"/>
      <c r="I502" s="47"/>
      <c r="J502" s="48"/>
      <c r="K502" s="49"/>
    </row>
    <row r="503" spans="1:11" ht="12.75" hidden="1" x14ac:dyDescent="0.2">
      <c r="A503" s="16"/>
      <c r="B503" s="16"/>
      <c r="C503" s="15"/>
      <c r="D503" s="16"/>
      <c r="E503" s="17"/>
      <c r="F503" s="17"/>
      <c r="H503" s="19"/>
      <c r="I503" s="47"/>
      <c r="J503" s="48"/>
      <c r="K503" s="49"/>
    </row>
    <row r="504" spans="1:11" ht="12.75" hidden="1" x14ac:dyDescent="0.2">
      <c r="A504" s="16"/>
      <c r="B504" s="16"/>
      <c r="C504" s="15"/>
      <c r="D504" s="16"/>
      <c r="E504" s="17"/>
      <c r="F504" s="17"/>
      <c r="H504" s="19"/>
      <c r="I504" s="47"/>
      <c r="J504" s="48"/>
      <c r="K504" s="49"/>
    </row>
    <row r="505" spans="1:11" ht="12.75" hidden="1" x14ac:dyDescent="0.2">
      <c r="A505" s="16"/>
      <c r="B505" s="16"/>
      <c r="C505" s="15"/>
      <c r="D505" s="16"/>
      <c r="E505" s="17"/>
      <c r="F505" s="17"/>
      <c r="H505" s="19"/>
      <c r="I505" s="47"/>
      <c r="J505" s="48"/>
      <c r="K505" s="49"/>
    </row>
    <row r="506" spans="1:11" ht="12.75" hidden="1" x14ac:dyDescent="0.2">
      <c r="A506" s="16"/>
      <c r="B506" s="16"/>
      <c r="C506" s="15"/>
      <c r="D506" s="16"/>
      <c r="E506" s="17"/>
      <c r="F506" s="17"/>
      <c r="H506" s="19"/>
      <c r="I506" s="47"/>
      <c r="J506" s="48"/>
      <c r="K506" s="49"/>
    </row>
    <row r="507" spans="1:11" ht="12.75" hidden="1" x14ac:dyDescent="0.2">
      <c r="A507" s="16"/>
      <c r="B507" s="16"/>
      <c r="C507" s="15"/>
      <c r="D507" s="16"/>
      <c r="E507" s="17"/>
      <c r="F507" s="17"/>
      <c r="H507" s="19"/>
      <c r="I507" s="47"/>
      <c r="J507" s="48"/>
      <c r="K507" s="49"/>
    </row>
    <row r="508" spans="1:11" ht="12.75" hidden="1" x14ac:dyDescent="0.2">
      <c r="A508" s="16"/>
      <c r="B508" s="16"/>
      <c r="C508" s="15"/>
      <c r="D508" s="16"/>
      <c r="E508" s="17"/>
      <c r="F508" s="17"/>
      <c r="H508" s="19"/>
      <c r="I508" s="47"/>
      <c r="J508" s="48"/>
      <c r="K508" s="49"/>
    </row>
    <row r="509" spans="1:11" ht="12.75" hidden="1" x14ac:dyDescent="0.2">
      <c r="A509" s="16"/>
      <c r="B509" s="16"/>
      <c r="C509" s="15"/>
      <c r="D509" s="16"/>
      <c r="E509" s="17"/>
      <c r="F509" s="17"/>
      <c r="H509" s="19"/>
      <c r="I509" s="47"/>
      <c r="J509" s="48"/>
      <c r="K509" s="49"/>
    </row>
    <row r="510" spans="1:11" ht="12.75" hidden="1" x14ac:dyDescent="0.2">
      <c r="A510" s="16"/>
      <c r="B510" s="16"/>
      <c r="C510" s="15"/>
      <c r="D510" s="16"/>
      <c r="E510" s="17"/>
      <c r="F510" s="17"/>
      <c r="H510" s="19"/>
      <c r="I510" s="47"/>
      <c r="J510" s="48"/>
      <c r="K510" s="49"/>
    </row>
    <row r="511" spans="1:11" ht="12.75" hidden="1" x14ac:dyDescent="0.2">
      <c r="A511" s="16"/>
      <c r="B511" s="16"/>
      <c r="C511" s="15"/>
      <c r="D511" s="16"/>
      <c r="E511" s="17"/>
      <c r="F511" s="17"/>
      <c r="H511" s="19"/>
      <c r="I511" s="47"/>
      <c r="J511" s="48"/>
      <c r="K511" s="49"/>
    </row>
    <row r="512" spans="1:11" ht="12.75" hidden="1" x14ac:dyDescent="0.2">
      <c r="A512" s="16"/>
      <c r="B512" s="16"/>
      <c r="C512" s="15"/>
      <c r="D512" s="16"/>
      <c r="E512" s="17"/>
      <c r="F512" s="17"/>
      <c r="H512" s="19"/>
      <c r="I512" s="47"/>
      <c r="J512" s="48"/>
      <c r="K512" s="49"/>
    </row>
    <row r="513" spans="1:11" ht="12.75" hidden="1" x14ac:dyDescent="0.2">
      <c r="A513" s="16"/>
      <c r="B513" s="16"/>
      <c r="C513" s="15"/>
      <c r="D513" s="16"/>
      <c r="E513" s="17"/>
      <c r="F513" s="17"/>
      <c r="H513" s="19"/>
      <c r="I513" s="47"/>
      <c r="J513" s="48"/>
      <c r="K513" s="49"/>
    </row>
    <row r="514" spans="1:11" ht="12.75" hidden="1" x14ac:dyDescent="0.2">
      <c r="A514" s="16"/>
      <c r="B514" s="16"/>
      <c r="C514" s="15"/>
      <c r="D514" s="16"/>
      <c r="E514" s="17"/>
      <c r="F514" s="17"/>
      <c r="H514" s="19"/>
      <c r="I514" s="47"/>
      <c r="J514" s="48"/>
      <c r="K514" s="49"/>
    </row>
    <row r="515" spans="1:11" ht="12.75" hidden="1" x14ac:dyDescent="0.2">
      <c r="A515" s="16"/>
      <c r="B515" s="16"/>
      <c r="C515" s="15"/>
      <c r="D515" s="16"/>
      <c r="E515" s="17"/>
      <c r="F515" s="17"/>
      <c r="H515" s="19"/>
      <c r="I515" s="47"/>
      <c r="J515" s="48"/>
      <c r="K515" s="49"/>
    </row>
    <row r="516" spans="1:11" ht="12.75" hidden="1" x14ac:dyDescent="0.2">
      <c r="A516" s="16"/>
      <c r="B516" s="16"/>
      <c r="C516" s="15"/>
      <c r="D516" s="16"/>
      <c r="E516" s="17"/>
      <c r="F516" s="17"/>
      <c r="H516" s="19"/>
      <c r="I516" s="47"/>
      <c r="J516" s="48"/>
      <c r="K516" s="49"/>
    </row>
    <row r="517" spans="1:11" ht="12.75" hidden="1" x14ac:dyDescent="0.2">
      <c r="A517" s="16"/>
      <c r="B517" s="16"/>
      <c r="C517" s="15"/>
      <c r="D517" s="16"/>
      <c r="E517" s="17"/>
      <c r="F517" s="17"/>
      <c r="H517" s="19"/>
      <c r="I517" s="47"/>
      <c r="J517" s="48"/>
      <c r="K517" s="49"/>
    </row>
    <row r="518" spans="1:11" ht="12.75" hidden="1" x14ac:dyDescent="0.2">
      <c r="A518" s="16"/>
      <c r="B518" s="16"/>
      <c r="C518" s="15"/>
      <c r="D518" s="16"/>
      <c r="E518" s="17"/>
      <c r="F518" s="17"/>
      <c r="H518" s="19"/>
      <c r="I518" s="47"/>
      <c r="J518" s="48"/>
      <c r="K518" s="49"/>
    </row>
    <row r="519" spans="1:11" ht="12.75" hidden="1" x14ac:dyDescent="0.2">
      <c r="A519" s="16"/>
      <c r="B519" s="16"/>
      <c r="C519" s="15"/>
      <c r="D519" s="16"/>
      <c r="E519" s="17"/>
      <c r="F519" s="17"/>
      <c r="H519" s="19"/>
      <c r="I519" s="47"/>
      <c r="J519" s="48"/>
      <c r="K519" s="49"/>
    </row>
    <row r="520" spans="1:11" ht="12.75" hidden="1" x14ac:dyDescent="0.2">
      <c r="A520" s="16"/>
      <c r="B520" s="16"/>
      <c r="C520" s="15"/>
      <c r="D520" s="16"/>
      <c r="E520" s="17"/>
      <c r="F520" s="17"/>
      <c r="H520" s="19"/>
      <c r="I520" s="47"/>
      <c r="J520" s="48"/>
      <c r="K520" s="49"/>
    </row>
    <row r="521" spans="1:11" ht="12.75" hidden="1" x14ac:dyDescent="0.2">
      <c r="A521" s="16"/>
      <c r="B521" s="16"/>
      <c r="C521" s="15"/>
      <c r="D521" s="16"/>
      <c r="E521" s="17"/>
      <c r="F521" s="17"/>
      <c r="H521" s="19"/>
      <c r="I521" s="47"/>
      <c r="J521" s="48"/>
      <c r="K521" s="49"/>
    </row>
    <row r="522" spans="1:11" ht="12.75" hidden="1" x14ac:dyDescent="0.2">
      <c r="A522" s="16"/>
      <c r="B522" s="16"/>
      <c r="C522" s="15"/>
      <c r="D522" s="16"/>
      <c r="E522" s="17"/>
      <c r="F522" s="17"/>
      <c r="H522" s="19"/>
      <c r="I522" s="47"/>
      <c r="J522" s="48"/>
      <c r="K522" s="49"/>
    </row>
    <row r="523" spans="1:11" ht="12.75" hidden="1" x14ac:dyDescent="0.2">
      <c r="A523" s="16"/>
      <c r="B523" s="16"/>
      <c r="C523" s="15"/>
      <c r="D523" s="16"/>
      <c r="E523" s="17"/>
      <c r="F523" s="17"/>
      <c r="H523" s="19"/>
      <c r="I523" s="47"/>
      <c r="J523" s="48"/>
      <c r="K523" s="49"/>
    </row>
    <row r="524" spans="1:11" ht="12.75" hidden="1" x14ac:dyDescent="0.2">
      <c r="A524" s="16"/>
      <c r="B524" s="16"/>
      <c r="C524" s="15"/>
      <c r="D524" s="16"/>
      <c r="E524" s="17"/>
      <c r="F524" s="17"/>
      <c r="H524" s="19"/>
      <c r="I524" s="47"/>
      <c r="J524" s="48"/>
      <c r="K524" s="49"/>
    </row>
    <row r="525" spans="1:11" ht="12.75" hidden="1" x14ac:dyDescent="0.2">
      <c r="A525" s="16"/>
      <c r="B525" s="16"/>
      <c r="C525" s="15"/>
      <c r="D525" s="16"/>
      <c r="E525" s="17"/>
      <c r="F525" s="17"/>
      <c r="H525" s="19"/>
      <c r="I525" s="47"/>
      <c r="J525" s="48"/>
      <c r="K525" s="49"/>
    </row>
    <row r="526" spans="1:11" ht="12.75" hidden="1" x14ac:dyDescent="0.2">
      <c r="A526" s="16"/>
      <c r="B526" s="16"/>
      <c r="C526" s="15"/>
      <c r="D526" s="16"/>
      <c r="E526" s="17"/>
      <c r="F526" s="17"/>
      <c r="H526" s="19"/>
      <c r="I526" s="47"/>
      <c r="J526" s="48"/>
      <c r="K526" s="49"/>
    </row>
    <row r="527" spans="1:11" ht="12.75" hidden="1" x14ac:dyDescent="0.2">
      <c r="A527" s="16"/>
      <c r="B527" s="16"/>
      <c r="C527" s="15"/>
      <c r="D527" s="16"/>
      <c r="E527" s="17"/>
      <c r="F527" s="17"/>
      <c r="H527" s="19"/>
      <c r="I527" s="47"/>
      <c r="J527" s="48"/>
      <c r="K527" s="49"/>
    </row>
    <row r="528" spans="1:11" ht="12.75" hidden="1" x14ac:dyDescent="0.2">
      <c r="A528" s="16"/>
      <c r="B528" s="16"/>
      <c r="C528" s="15"/>
      <c r="D528" s="16"/>
      <c r="E528" s="17"/>
      <c r="F528" s="17"/>
      <c r="H528" s="19"/>
      <c r="I528" s="47"/>
      <c r="J528" s="48"/>
      <c r="K528" s="49"/>
    </row>
    <row r="529" spans="1:11" ht="12.75" hidden="1" x14ac:dyDescent="0.2">
      <c r="A529" s="16"/>
      <c r="B529" s="16"/>
      <c r="C529" s="15"/>
      <c r="D529" s="16"/>
      <c r="E529" s="17"/>
      <c r="F529" s="17"/>
      <c r="H529" s="19"/>
      <c r="I529" s="47"/>
      <c r="J529" s="48"/>
      <c r="K529" s="49"/>
    </row>
    <row r="530" spans="1:11" ht="12.75" hidden="1" x14ac:dyDescent="0.2">
      <c r="A530" s="16"/>
      <c r="B530" s="16"/>
      <c r="C530" s="15"/>
      <c r="D530" s="16"/>
      <c r="E530" s="17"/>
      <c r="F530" s="17"/>
      <c r="H530" s="19"/>
      <c r="I530" s="47"/>
      <c r="J530" s="48"/>
      <c r="K530" s="49"/>
    </row>
    <row r="531" spans="1:11" ht="12.75" hidden="1" x14ac:dyDescent="0.2">
      <c r="A531" s="16"/>
      <c r="B531" s="16"/>
      <c r="C531" s="15"/>
      <c r="D531" s="16"/>
      <c r="E531" s="17"/>
      <c r="F531" s="17"/>
      <c r="H531" s="19"/>
      <c r="I531" s="47"/>
      <c r="J531" s="48"/>
      <c r="K531" s="49"/>
    </row>
    <row r="532" spans="1:11" ht="12.75" hidden="1" x14ac:dyDescent="0.2">
      <c r="A532" s="16"/>
      <c r="B532" s="16"/>
      <c r="C532" s="15"/>
      <c r="D532" s="16"/>
      <c r="E532" s="17"/>
      <c r="F532" s="17"/>
      <c r="H532" s="19"/>
      <c r="I532" s="47"/>
      <c r="J532" s="48"/>
      <c r="K532" s="49"/>
    </row>
    <row r="533" spans="1:11" ht="12.75" hidden="1" x14ac:dyDescent="0.2">
      <c r="A533" s="16"/>
      <c r="B533" s="16"/>
      <c r="C533" s="15"/>
      <c r="D533" s="16"/>
      <c r="E533" s="17"/>
      <c r="F533" s="17"/>
      <c r="H533" s="19"/>
      <c r="I533" s="47"/>
      <c r="J533" s="48"/>
      <c r="K533" s="49"/>
    </row>
    <row r="534" spans="1:11" ht="12.75" hidden="1" x14ac:dyDescent="0.2">
      <c r="A534" s="16"/>
      <c r="B534" s="16"/>
      <c r="C534" s="15"/>
      <c r="D534" s="16"/>
      <c r="E534" s="17"/>
      <c r="F534" s="17"/>
      <c r="H534" s="19"/>
      <c r="I534" s="47"/>
      <c r="J534" s="48"/>
      <c r="K534" s="49"/>
    </row>
    <row r="535" spans="1:11" ht="12.75" hidden="1" x14ac:dyDescent="0.2">
      <c r="A535" s="16"/>
      <c r="B535" s="16"/>
      <c r="C535" s="15"/>
      <c r="D535" s="16"/>
      <c r="E535" s="17"/>
      <c r="F535" s="17"/>
      <c r="H535" s="19"/>
      <c r="I535" s="47"/>
      <c r="J535" s="48"/>
      <c r="K535" s="49"/>
    </row>
    <row r="536" spans="1:11" ht="12.75" hidden="1" x14ac:dyDescent="0.2">
      <c r="A536" s="16"/>
      <c r="B536" s="16"/>
      <c r="C536" s="15"/>
      <c r="D536" s="16"/>
      <c r="E536" s="17"/>
      <c r="F536" s="17"/>
      <c r="H536" s="19"/>
      <c r="I536" s="47"/>
      <c r="J536" s="48"/>
      <c r="K536" s="49"/>
    </row>
    <row r="537" spans="1:11" ht="12.75" hidden="1" x14ac:dyDescent="0.2">
      <c r="A537" s="16"/>
      <c r="B537" s="16"/>
      <c r="C537" s="15"/>
      <c r="D537" s="16"/>
      <c r="E537" s="17"/>
      <c r="F537" s="17"/>
      <c r="H537" s="19"/>
      <c r="I537" s="47"/>
      <c r="J537" s="48"/>
      <c r="K537" s="49"/>
    </row>
    <row r="538" spans="1:11" ht="12.75" hidden="1" x14ac:dyDescent="0.2">
      <c r="A538" s="16"/>
      <c r="B538" s="16"/>
      <c r="C538" s="15"/>
      <c r="D538" s="16"/>
      <c r="E538" s="17"/>
      <c r="F538" s="17"/>
      <c r="H538" s="19"/>
      <c r="I538" s="47"/>
      <c r="J538" s="48"/>
      <c r="K538" s="49"/>
    </row>
    <row r="539" spans="1:11" ht="12.75" hidden="1" x14ac:dyDescent="0.2">
      <c r="A539" s="16"/>
      <c r="B539" s="16"/>
      <c r="C539" s="15"/>
      <c r="D539" s="16"/>
      <c r="E539" s="17"/>
      <c r="F539" s="17"/>
      <c r="H539" s="19"/>
      <c r="I539" s="47"/>
      <c r="J539" s="48"/>
      <c r="K539" s="49"/>
    </row>
    <row r="540" spans="1:11" ht="12.75" hidden="1" x14ac:dyDescent="0.2">
      <c r="A540" s="16"/>
      <c r="B540" s="16"/>
      <c r="C540" s="15"/>
      <c r="D540" s="16"/>
      <c r="E540" s="17"/>
      <c r="F540" s="17"/>
      <c r="H540" s="19"/>
      <c r="I540" s="47"/>
      <c r="J540" s="48"/>
      <c r="K540" s="49"/>
    </row>
    <row r="541" spans="1:11" ht="12.75" hidden="1" x14ac:dyDescent="0.2">
      <c r="A541" s="16"/>
      <c r="B541" s="16"/>
      <c r="C541" s="15"/>
      <c r="D541" s="16"/>
      <c r="E541" s="17"/>
      <c r="F541" s="17"/>
      <c r="H541" s="19"/>
      <c r="I541" s="47"/>
      <c r="J541" s="48"/>
      <c r="K541" s="49"/>
    </row>
    <row r="542" spans="1:11" ht="12.75" hidden="1" x14ac:dyDescent="0.2">
      <c r="A542" s="16"/>
      <c r="B542" s="16"/>
      <c r="C542" s="15"/>
      <c r="D542" s="16"/>
      <c r="E542" s="17"/>
      <c r="F542" s="17"/>
      <c r="H542" s="19"/>
      <c r="I542" s="47"/>
      <c r="J542" s="48"/>
      <c r="K542" s="49"/>
    </row>
    <row r="543" spans="1:11" ht="12.75" hidden="1" x14ac:dyDescent="0.2">
      <c r="A543" s="16"/>
      <c r="B543" s="16"/>
      <c r="C543" s="15"/>
      <c r="D543" s="16"/>
      <c r="E543" s="17"/>
      <c r="F543" s="17"/>
      <c r="H543" s="19"/>
      <c r="I543" s="47"/>
      <c r="J543" s="48"/>
      <c r="K543" s="49"/>
    </row>
    <row r="544" spans="1:11" ht="12.75" hidden="1" x14ac:dyDescent="0.2">
      <c r="A544" s="16"/>
      <c r="B544" s="16"/>
      <c r="C544" s="15"/>
      <c r="D544" s="16"/>
      <c r="E544" s="17"/>
      <c r="F544" s="17"/>
      <c r="H544" s="19"/>
      <c r="I544" s="47"/>
      <c r="J544" s="48"/>
      <c r="K544" s="49"/>
    </row>
    <row r="545" spans="1:11" ht="12.75" hidden="1" x14ac:dyDescent="0.2">
      <c r="A545" s="16"/>
      <c r="B545" s="16"/>
      <c r="C545" s="15"/>
      <c r="D545" s="16"/>
      <c r="E545" s="17"/>
      <c r="F545" s="17"/>
      <c r="H545" s="19"/>
      <c r="I545" s="47"/>
      <c r="J545" s="48"/>
      <c r="K545" s="49"/>
    </row>
    <row r="546" spans="1:11" ht="12.75" hidden="1" x14ac:dyDescent="0.2">
      <c r="A546" s="16"/>
      <c r="B546" s="16"/>
      <c r="C546" s="15"/>
      <c r="D546" s="16"/>
      <c r="E546" s="17"/>
      <c r="F546" s="17"/>
      <c r="H546" s="19"/>
      <c r="I546" s="47"/>
      <c r="J546" s="48"/>
      <c r="K546" s="49"/>
    </row>
    <row r="547" spans="1:11" ht="12.75" hidden="1" x14ac:dyDescent="0.2">
      <c r="A547" s="16"/>
      <c r="B547" s="16"/>
      <c r="C547" s="15"/>
      <c r="D547" s="16"/>
      <c r="E547" s="17"/>
      <c r="F547" s="17"/>
      <c r="H547" s="19"/>
      <c r="I547" s="47"/>
      <c r="J547" s="48"/>
      <c r="K547" s="49"/>
    </row>
    <row r="548" spans="1:11" ht="12.75" hidden="1" x14ac:dyDescent="0.2">
      <c r="A548" s="16"/>
      <c r="B548" s="16"/>
      <c r="C548" s="15"/>
      <c r="D548" s="16"/>
      <c r="E548" s="17"/>
      <c r="F548" s="17"/>
      <c r="H548" s="19"/>
      <c r="I548" s="47"/>
      <c r="J548" s="48"/>
      <c r="K548" s="49"/>
    </row>
    <row r="549" spans="1:11" ht="12.75" hidden="1" x14ac:dyDescent="0.2">
      <c r="A549" s="16"/>
      <c r="B549" s="16"/>
      <c r="C549" s="15"/>
      <c r="D549" s="16"/>
      <c r="E549" s="17"/>
      <c r="F549" s="17"/>
      <c r="H549" s="19"/>
      <c r="I549" s="47"/>
      <c r="J549" s="48"/>
      <c r="K549" s="49"/>
    </row>
    <row r="550" spans="1:11" ht="12.75" hidden="1" x14ac:dyDescent="0.2">
      <c r="A550" s="16"/>
      <c r="B550" s="16"/>
      <c r="C550" s="15"/>
      <c r="D550" s="16"/>
      <c r="E550" s="17"/>
      <c r="F550" s="17"/>
      <c r="H550" s="19"/>
      <c r="I550" s="47"/>
      <c r="J550" s="48"/>
      <c r="K550" s="49"/>
    </row>
    <row r="551" spans="1:11" ht="12.75" hidden="1" x14ac:dyDescent="0.2">
      <c r="A551" s="16"/>
      <c r="B551" s="16"/>
      <c r="C551" s="15"/>
      <c r="D551" s="16"/>
      <c r="E551" s="17"/>
      <c r="F551" s="17"/>
      <c r="H551" s="19"/>
      <c r="I551" s="47"/>
      <c r="J551" s="48"/>
      <c r="K551" s="49"/>
    </row>
    <row r="552" spans="1:11" ht="12.75" hidden="1" x14ac:dyDescent="0.2">
      <c r="A552" s="16"/>
      <c r="B552" s="16"/>
      <c r="C552" s="15"/>
      <c r="D552" s="16"/>
      <c r="E552" s="17"/>
      <c r="F552" s="17"/>
      <c r="H552" s="19"/>
      <c r="I552" s="47"/>
      <c r="J552" s="48"/>
      <c r="K552" s="49"/>
    </row>
    <row r="553" spans="1:11" ht="12.75" hidden="1" x14ac:dyDescent="0.2">
      <c r="A553" s="16"/>
      <c r="B553" s="16"/>
      <c r="C553" s="15"/>
      <c r="D553" s="16"/>
      <c r="E553" s="17"/>
      <c r="F553" s="17"/>
      <c r="H553" s="19"/>
      <c r="I553" s="47"/>
      <c r="J553" s="48"/>
      <c r="K553" s="49"/>
    </row>
    <row r="554" spans="1:11" ht="12.75" hidden="1" x14ac:dyDescent="0.2">
      <c r="A554" s="16"/>
      <c r="B554" s="16"/>
      <c r="C554" s="15"/>
      <c r="D554" s="16"/>
      <c r="E554" s="17"/>
      <c r="F554" s="17"/>
      <c r="H554" s="19"/>
      <c r="I554" s="47"/>
      <c r="J554" s="48"/>
      <c r="K554" s="49"/>
    </row>
    <row r="555" spans="1:11" ht="12.75" hidden="1" x14ac:dyDescent="0.2">
      <c r="A555" s="16"/>
      <c r="B555" s="16"/>
      <c r="C555" s="15"/>
      <c r="D555" s="16"/>
      <c r="E555" s="17"/>
      <c r="F555" s="17"/>
      <c r="H555" s="19"/>
      <c r="I555" s="47"/>
      <c r="J555" s="48"/>
      <c r="K555" s="49"/>
    </row>
    <row r="556" spans="1:11" ht="12.75" hidden="1" x14ac:dyDescent="0.2">
      <c r="A556" s="16"/>
      <c r="B556" s="16"/>
      <c r="C556" s="15"/>
      <c r="D556" s="16"/>
      <c r="E556" s="17"/>
      <c r="F556" s="17"/>
      <c r="H556" s="19"/>
      <c r="I556" s="47"/>
      <c r="J556" s="48"/>
      <c r="K556" s="49"/>
    </row>
    <row r="557" spans="1:11" ht="12.75" hidden="1" x14ac:dyDescent="0.2">
      <c r="A557" s="16"/>
      <c r="B557" s="16"/>
      <c r="C557" s="15"/>
      <c r="D557" s="16"/>
      <c r="E557" s="17"/>
      <c r="F557" s="17"/>
      <c r="H557" s="19"/>
      <c r="I557" s="47"/>
      <c r="J557" s="48"/>
      <c r="K557" s="49"/>
    </row>
    <row r="558" spans="1:11" ht="12.75" hidden="1" x14ac:dyDescent="0.2">
      <c r="A558" s="16"/>
      <c r="B558" s="16"/>
      <c r="C558" s="15"/>
      <c r="D558" s="16"/>
      <c r="E558" s="17"/>
      <c r="F558" s="17"/>
      <c r="H558" s="19"/>
      <c r="I558" s="47"/>
      <c r="J558" s="48"/>
      <c r="K558" s="49"/>
    </row>
    <row r="559" spans="1:11" ht="12.75" hidden="1" x14ac:dyDescent="0.2">
      <c r="A559" s="16"/>
      <c r="B559" s="16"/>
      <c r="C559" s="15"/>
      <c r="D559" s="16"/>
      <c r="E559" s="17"/>
      <c r="F559" s="17"/>
      <c r="H559" s="19"/>
      <c r="I559" s="47"/>
      <c r="J559" s="48"/>
      <c r="K559" s="49"/>
    </row>
    <row r="560" spans="1:11" ht="12.75" hidden="1" x14ac:dyDescent="0.2">
      <c r="A560" s="16"/>
      <c r="B560" s="16"/>
      <c r="C560" s="15"/>
      <c r="D560" s="16"/>
      <c r="E560" s="17"/>
      <c r="F560" s="17"/>
      <c r="H560" s="19"/>
      <c r="I560" s="47"/>
      <c r="J560" s="48"/>
      <c r="K560" s="49"/>
    </row>
    <row r="561" spans="1:11" ht="12.75" hidden="1" x14ac:dyDescent="0.2">
      <c r="A561" s="16"/>
      <c r="B561" s="16"/>
      <c r="C561" s="15"/>
      <c r="D561" s="16"/>
      <c r="E561" s="17"/>
      <c r="F561" s="17"/>
      <c r="H561" s="19"/>
      <c r="I561" s="47"/>
      <c r="J561" s="48"/>
      <c r="K561" s="49"/>
    </row>
    <row r="562" spans="1:11" ht="12.75" hidden="1" x14ac:dyDescent="0.2">
      <c r="A562" s="16"/>
      <c r="B562" s="16"/>
      <c r="C562" s="15"/>
      <c r="D562" s="16"/>
      <c r="E562" s="17"/>
      <c r="F562" s="17"/>
      <c r="H562" s="19"/>
      <c r="I562" s="47"/>
      <c r="J562" s="48"/>
      <c r="K562" s="49"/>
    </row>
    <row r="563" spans="1:11" ht="12.75" hidden="1" x14ac:dyDescent="0.2">
      <c r="A563" s="16"/>
      <c r="B563" s="16"/>
      <c r="C563" s="15"/>
      <c r="D563" s="16"/>
      <c r="E563" s="17"/>
      <c r="F563" s="17"/>
      <c r="H563" s="19"/>
      <c r="I563" s="47"/>
      <c r="J563" s="48"/>
      <c r="K563" s="49"/>
    </row>
    <row r="564" spans="1:11" ht="12.75" hidden="1" x14ac:dyDescent="0.2">
      <c r="A564" s="16"/>
      <c r="B564" s="16"/>
      <c r="C564" s="15"/>
      <c r="D564" s="16"/>
      <c r="E564" s="17"/>
      <c r="F564" s="17"/>
      <c r="H564" s="19"/>
      <c r="I564" s="47"/>
      <c r="J564" s="48"/>
      <c r="K564" s="49"/>
    </row>
    <row r="565" spans="1:11" ht="12.75" hidden="1" x14ac:dyDescent="0.2">
      <c r="A565" s="16"/>
      <c r="B565" s="16"/>
      <c r="C565" s="15"/>
      <c r="D565" s="16"/>
      <c r="E565" s="17"/>
      <c r="F565" s="17"/>
      <c r="H565" s="19"/>
      <c r="I565" s="47"/>
      <c r="J565" s="48"/>
      <c r="K565" s="49"/>
    </row>
    <row r="566" spans="1:11" ht="12.75" hidden="1" x14ac:dyDescent="0.2">
      <c r="A566" s="16"/>
      <c r="B566" s="16"/>
      <c r="C566" s="15"/>
      <c r="D566" s="16"/>
      <c r="E566" s="17"/>
      <c r="F566" s="17"/>
      <c r="H566" s="19"/>
      <c r="I566" s="47"/>
      <c r="J566" s="48"/>
      <c r="K566" s="49"/>
    </row>
    <row r="567" spans="1:11" ht="12.75" hidden="1" x14ac:dyDescent="0.2">
      <c r="A567" s="16"/>
      <c r="B567" s="16"/>
      <c r="C567" s="15"/>
      <c r="D567" s="16"/>
      <c r="E567" s="17"/>
      <c r="F567" s="17"/>
      <c r="H567" s="19"/>
      <c r="I567" s="47"/>
      <c r="J567" s="48"/>
      <c r="K567" s="49"/>
    </row>
    <row r="568" spans="1:11" ht="12.75" hidden="1" x14ac:dyDescent="0.2">
      <c r="A568" s="16"/>
      <c r="B568" s="16"/>
      <c r="C568" s="15"/>
      <c r="D568" s="16"/>
      <c r="E568" s="17"/>
      <c r="F568" s="17"/>
      <c r="H568" s="19"/>
      <c r="I568" s="47"/>
      <c r="J568" s="48"/>
      <c r="K568" s="49"/>
    </row>
    <row r="569" spans="1:11" ht="12.75" hidden="1" x14ac:dyDescent="0.2">
      <c r="A569" s="16"/>
      <c r="B569" s="16"/>
      <c r="C569" s="15"/>
      <c r="D569" s="16"/>
      <c r="E569" s="17"/>
      <c r="F569" s="17"/>
      <c r="H569" s="19"/>
      <c r="I569" s="47"/>
      <c r="J569" s="48"/>
      <c r="K569" s="49"/>
    </row>
    <row r="570" spans="1:11" ht="12.75" hidden="1" x14ac:dyDescent="0.2">
      <c r="A570" s="16"/>
      <c r="B570" s="16"/>
      <c r="C570" s="15"/>
      <c r="D570" s="16"/>
      <c r="E570" s="17"/>
      <c r="F570" s="17"/>
      <c r="H570" s="19"/>
      <c r="I570" s="47"/>
      <c r="J570" s="48"/>
      <c r="K570" s="49"/>
    </row>
    <row r="571" spans="1:11" ht="12.75" hidden="1" x14ac:dyDescent="0.2">
      <c r="A571" s="16"/>
      <c r="B571" s="16"/>
      <c r="C571" s="15"/>
      <c r="D571" s="16"/>
      <c r="E571" s="17"/>
      <c r="F571" s="17"/>
      <c r="H571" s="19"/>
      <c r="I571" s="47"/>
      <c r="J571" s="48"/>
      <c r="K571" s="49"/>
    </row>
    <row r="572" spans="1:11" ht="12.75" hidden="1" x14ac:dyDescent="0.2">
      <c r="A572" s="16"/>
      <c r="B572" s="16"/>
      <c r="C572" s="15"/>
      <c r="D572" s="16"/>
      <c r="E572" s="17"/>
      <c r="F572" s="17"/>
      <c r="H572" s="19"/>
      <c r="I572" s="47"/>
      <c r="J572" s="48"/>
      <c r="K572" s="49"/>
    </row>
    <row r="573" spans="1:11" ht="12.75" hidden="1" x14ac:dyDescent="0.2">
      <c r="A573" s="16"/>
      <c r="B573" s="16"/>
      <c r="C573" s="15"/>
      <c r="D573" s="16"/>
      <c r="E573" s="17"/>
      <c r="F573" s="17"/>
      <c r="H573" s="19"/>
      <c r="I573" s="47"/>
      <c r="J573" s="48"/>
      <c r="K573" s="49"/>
    </row>
    <row r="574" spans="1:11" ht="12.75" hidden="1" x14ac:dyDescent="0.2">
      <c r="A574" s="16"/>
      <c r="B574" s="16"/>
      <c r="C574" s="15"/>
      <c r="D574" s="16"/>
      <c r="E574" s="17"/>
      <c r="F574" s="17"/>
      <c r="H574" s="19"/>
      <c r="I574" s="47"/>
      <c r="J574" s="48"/>
      <c r="K574" s="49"/>
    </row>
    <row r="575" spans="1:11" ht="12.75" hidden="1" x14ac:dyDescent="0.2">
      <c r="A575" s="16"/>
      <c r="B575" s="16"/>
      <c r="C575" s="15"/>
      <c r="D575" s="16"/>
      <c r="E575" s="17"/>
      <c r="F575" s="17"/>
      <c r="H575" s="19"/>
      <c r="I575" s="47"/>
      <c r="J575" s="48"/>
      <c r="K575" s="49"/>
    </row>
    <row r="576" spans="1:11" ht="12.75" hidden="1" x14ac:dyDescent="0.2">
      <c r="A576" s="16"/>
      <c r="B576" s="16"/>
      <c r="C576" s="15"/>
      <c r="D576" s="16"/>
      <c r="E576" s="17"/>
      <c r="F576" s="17"/>
      <c r="H576" s="19"/>
      <c r="I576" s="47"/>
      <c r="J576" s="48"/>
      <c r="K576" s="49"/>
    </row>
    <row r="577" spans="1:11" ht="12.75" hidden="1" x14ac:dyDescent="0.2">
      <c r="A577" s="16"/>
      <c r="B577" s="16"/>
      <c r="C577" s="15"/>
      <c r="D577" s="16"/>
      <c r="E577" s="17"/>
      <c r="F577" s="17"/>
      <c r="H577" s="19"/>
      <c r="I577" s="47"/>
      <c r="J577" s="48"/>
      <c r="K577" s="49"/>
    </row>
    <row r="578" spans="1:11" ht="12.75" hidden="1" x14ac:dyDescent="0.2">
      <c r="A578" s="16"/>
      <c r="B578" s="16"/>
      <c r="C578" s="15"/>
      <c r="D578" s="16"/>
      <c r="E578" s="17"/>
      <c r="F578" s="17"/>
      <c r="H578" s="19"/>
      <c r="I578" s="47"/>
      <c r="J578" s="48"/>
      <c r="K578" s="49"/>
    </row>
    <row r="579" spans="1:11" ht="12.75" hidden="1" x14ac:dyDescent="0.2">
      <c r="A579" s="16"/>
      <c r="B579" s="16"/>
      <c r="C579" s="15"/>
      <c r="D579" s="16"/>
      <c r="E579" s="17"/>
      <c r="F579" s="17"/>
      <c r="H579" s="19"/>
      <c r="I579" s="47"/>
      <c r="J579" s="48"/>
      <c r="K579" s="49"/>
    </row>
    <row r="580" spans="1:11" ht="12.75" hidden="1" x14ac:dyDescent="0.2">
      <c r="A580" s="16"/>
      <c r="B580" s="16"/>
      <c r="C580" s="15"/>
      <c r="D580" s="16"/>
      <c r="E580" s="17"/>
      <c r="F580" s="17"/>
      <c r="H580" s="19"/>
      <c r="I580" s="47"/>
      <c r="J580" s="48"/>
      <c r="K580" s="49"/>
    </row>
    <row r="581" spans="1:11" ht="12.75" hidden="1" x14ac:dyDescent="0.2">
      <c r="A581" s="16"/>
      <c r="B581" s="16"/>
      <c r="C581" s="15"/>
      <c r="D581" s="16"/>
      <c r="E581" s="17"/>
      <c r="F581" s="17"/>
      <c r="H581" s="19"/>
      <c r="I581" s="47"/>
      <c r="J581" s="48"/>
      <c r="K581" s="49"/>
    </row>
    <row r="582" spans="1:11" ht="12.75" hidden="1" x14ac:dyDescent="0.2">
      <c r="A582" s="16"/>
      <c r="B582" s="16"/>
      <c r="C582" s="15"/>
      <c r="D582" s="16"/>
      <c r="E582" s="17"/>
      <c r="F582" s="17"/>
      <c r="H582" s="19"/>
      <c r="I582" s="47"/>
      <c r="J582" s="48"/>
      <c r="K582" s="49"/>
    </row>
    <row r="583" spans="1:11" ht="12.75" hidden="1" x14ac:dyDescent="0.2">
      <c r="A583" s="16"/>
      <c r="B583" s="16"/>
      <c r="C583" s="15"/>
      <c r="D583" s="16"/>
      <c r="E583" s="17"/>
      <c r="F583" s="17"/>
      <c r="H583" s="19"/>
      <c r="I583" s="47"/>
      <c r="J583" s="48"/>
      <c r="K583" s="49"/>
    </row>
    <row r="584" spans="1:11" ht="12.75" hidden="1" x14ac:dyDescent="0.2">
      <c r="A584" s="16"/>
      <c r="B584" s="16"/>
      <c r="C584" s="15"/>
      <c r="D584" s="16"/>
      <c r="E584" s="17"/>
      <c r="F584" s="17"/>
      <c r="H584" s="19"/>
      <c r="I584" s="47"/>
      <c r="J584" s="48"/>
      <c r="K584" s="49"/>
    </row>
    <row r="585" spans="1:11" ht="12.75" hidden="1" x14ac:dyDescent="0.2">
      <c r="A585" s="16"/>
      <c r="B585" s="16"/>
      <c r="C585" s="15"/>
      <c r="D585" s="16"/>
      <c r="E585" s="17"/>
      <c r="F585" s="17"/>
      <c r="H585" s="19"/>
      <c r="I585" s="47"/>
      <c r="J585" s="48"/>
      <c r="K585" s="49"/>
    </row>
    <row r="586" spans="1:11" ht="12.75" hidden="1" x14ac:dyDescent="0.2">
      <c r="A586" s="16"/>
      <c r="B586" s="16"/>
      <c r="C586" s="15"/>
      <c r="D586" s="16"/>
      <c r="E586" s="17"/>
      <c r="F586" s="17"/>
      <c r="H586" s="19"/>
      <c r="I586" s="47"/>
      <c r="J586" s="48"/>
      <c r="K586" s="49"/>
    </row>
    <row r="587" spans="1:11" ht="12.75" hidden="1" x14ac:dyDescent="0.2">
      <c r="A587" s="16"/>
      <c r="B587" s="16"/>
      <c r="C587" s="15"/>
      <c r="D587" s="16"/>
      <c r="E587" s="17"/>
      <c r="F587" s="17"/>
      <c r="H587" s="19"/>
      <c r="I587" s="47"/>
      <c r="J587" s="48"/>
      <c r="K587" s="49"/>
    </row>
    <row r="588" spans="1:11" ht="12.75" hidden="1" x14ac:dyDescent="0.2">
      <c r="A588" s="16"/>
      <c r="B588" s="16"/>
      <c r="C588" s="15"/>
      <c r="D588" s="16"/>
      <c r="E588" s="17"/>
      <c r="F588" s="17"/>
      <c r="H588" s="19"/>
      <c r="I588" s="47"/>
      <c r="J588" s="48"/>
      <c r="K588" s="49"/>
    </row>
    <row r="589" spans="1:11" ht="12.75" hidden="1" x14ac:dyDescent="0.2">
      <c r="A589" s="16"/>
      <c r="B589" s="16"/>
      <c r="C589" s="15"/>
      <c r="D589" s="16"/>
      <c r="E589" s="17"/>
      <c r="F589" s="17"/>
      <c r="H589" s="19"/>
      <c r="I589" s="47"/>
      <c r="J589" s="48"/>
      <c r="K589" s="49"/>
    </row>
    <row r="590" spans="1:11" ht="12.75" hidden="1" x14ac:dyDescent="0.2">
      <c r="A590" s="16"/>
      <c r="B590" s="16"/>
      <c r="C590" s="15"/>
      <c r="D590" s="16"/>
      <c r="E590" s="17"/>
      <c r="F590" s="17"/>
      <c r="H590" s="19"/>
      <c r="I590" s="47"/>
      <c r="J590" s="48"/>
      <c r="K590" s="49"/>
    </row>
    <row r="591" spans="1:11" ht="12.75" hidden="1" x14ac:dyDescent="0.2">
      <c r="A591" s="16"/>
      <c r="B591" s="16"/>
      <c r="C591" s="15"/>
      <c r="D591" s="16"/>
      <c r="E591" s="17"/>
      <c r="F591" s="17"/>
      <c r="H591" s="19"/>
      <c r="I591" s="47"/>
      <c r="J591" s="48"/>
      <c r="K591" s="49"/>
    </row>
    <row r="592" spans="1:11" ht="12.75" hidden="1" x14ac:dyDescent="0.2">
      <c r="A592" s="16"/>
      <c r="B592" s="16"/>
      <c r="C592" s="15"/>
      <c r="D592" s="16"/>
      <c r="E592" s="17"/>
      <c r="F592" s="17"/>
      <c r="H592" s="19"/>
      <c r="I592" s="47"/>
      <c r="J592" s="48"/>
      <c r="K592" s="49"/>
    </row>
    <row r="593" spans="1:11" ht="12.75" hidden="1" x14ac:dyDescent="0.2">
      <c r="A593" s="16"/>
      <c r="B593" s="16"/>
      <c r="C593" s="15"/>
      <c r="D593" s="16"/>
      <c r="E593" s="17"/>
      <c r="F593" s="17"/>
      <c r="H593" s="19"/>
      <c r="I593" s="47"/>
      <c r="J593" s="48"/>
      <c r="K593" s="49"/>
    </row>
    <row r="594" spans="1:11" ht="12.75" hidden="1" x14ac:dyDescent="0.2">
      <c r="A594" s="16"/>
      <c r="B594" s="16"/>
      <c r="C594" s="15"/>
      <c r="D594" s="16"/>
      <c r="E594" s="17"/>
      <c r="F594" s="17"/>
      <c r="H594" s="19"/>
      <c r="I594" s="47"/>
      <c r="J594" s="48"/>
      <c r="K594" s="49"/>
    </row>
    <row r="595" spans="1:11" ht="12.75" hidden="1" x14ac:dyDescent="0.2">
      <c r="A595" s="16"/>
      <c r="B595" s="16"/>
      <c r="C595" s="15"/>
      <c r="D595" s="16"/>
      <c r="E595" s="17"/>
      <c r="F595" s="17"/>
      <c r="H595" s="19"/>
      <c r="I595" s="47"/>
      <c r="J595" s="48"/>
      <c r="K595" s="49"/>
    </row>
    <row r="596" spans="1:11" ht="12.75" hidden="1" x14ac:dyDescent="0.2">
      <c r="A596" s="16"/>
      <c r="B596" s="16"/>
      <c r="C596" s="15"/>
      <c r="D596" s="16"/>
      <c r="E596" s="17"/>
      <c r="F596" s="17"/>
      <c r="H596" s="19"/>
      <c r="I596" s="47"/>
      <c r="J596" s="48"/>
      <c r="K596" s="49"/>
    </row>
    <row r="597" spans="1:11" ht="12.75" hidden="1" x14ac:dyDescent="0.2">
      <c r="A597" s="16"/>
      <c r="B597" s="16"/>
      <c r="C597" s="15"/>
      <c r="D597" s="16"/>
      <c r="E597" s="17"/>
      <c r="F597" s="17"/>
      <c r="H597" s="19"/>
      <c r="I597" s="47"/>
      <c r="J597" s="48"/>
      <c r="K597" s="49"/>
    </row>
    <row r="598" spans="1:11" ht="12.75" hidden="1" x14ac:dyDescent="0.2">
      <c r="A598" s="16"/>
      <c r="B598" s="16"/>
      <c r="C598" s="15"/>
      <c r="D598" s="16"/>
      <c r="E598" s="17"/>
      <c r="F598" s="17"/>
      <c r="H598" s="19"/>
      <c r="I598" s="47"/>
      <c r="J598" s="48"/>
      <c r="K598" s="49"/>
    </row>
    <row r="599" spans="1:11" ht="12.75" hidden="1" x14ac:dyDescent="0.2">
      <c r="A599" s="16"/>
      <c r="B599" s="16"/>
      <c r="C599" s="15"/>
      <c r="D599" s="16"/>
      <c r="E599" s="17"/>
      <c r="F599" s="17"/>
      <c r="H599" s="19"/>
      <c r="I599" s="47"/>
      <c r="J599" s="48"/>
      <c r="K599" s="49"/>
    </row>
    <row r="600" spans="1:11" ht="12.75" hidden="1" x14ac:dyDescent="0.2">
      <c r="A600" s="16"/>
      <c r="B600" s="16"/>
      <c r="C600" s="15"/>
      <c r="D600" s="16"/>
      <c r="E600" s="17"/>
      <c r="F600" s="17"/>
      <c r="H600" s="19"/>
      <c r="I600" s="47"/>
      <c r="J600" s="48"/>
      <c r="K600" s="49"/>
    </row>
    <row r="601" spans="1:11" ht="12.75" hidden="1" x14ac:dyDescent="0.2">
      <c r="A601" s="16"/>
      <c r="B601" s="16"/>
      <c r="C601" s="15"/>
      <c r="D601" s="16"/>
      <c r="E601" s="17"/>
      <c r="F601" s="17"/>
      <c r="H601" s="19"/>
      <c r="I601" s="47"/>
      <c r="J601" s="48"/>
      <c r="K601" s="49"/>
    </row>
    <row r="602" spans="1:11" ht="12.75" hidden="1" x14ac:dyDescent="0.2">
      <c r="A602" s="16"/>
      <c r="B602" s="16"/>
      <c r="C602" s="15"/>
      <c r="D602" s="16"/>
      <c r="E602" s="17"/>
      <c r="F602" s="17"/>
      <c r="H602" s="19"/>
      <c r="I602" s="47"/>
      <c r="J602" s="48"/>
      <c r="K602" s="49"/>
    </row>
    <row r="603" spans="1:11" ht="12.75" hidden="1" x14ac:dyDescent="0.2">
      <c r="A603" s="16"/>
      <c r="B603" s="16"/>
      <c r="C603" s="15"/>
      <c r="D603" s="16"/>
      <c r="E603" s="17"/>
      <c r="F603" s="17"/>
      <c r="H603" s="19"/>
      <c r="I603" s="47"/>
      <c r="J603" s="48"/>
      <c r="K603" s="49"/>
    </row>
    <row r="604" spans="1:11" ht="12.75" hidden="1" x14ac:dyDescent="0.2">
      <c r="A604" s="16"/>
      <c r="B604" s="16"/>
      <c r="C604" s="15"/>
      <c r="D604" s="16"/>
      <c r="E604" s="17"/>
      <c r="F604" s="17"/>
      <c r="H604" s="19"/>
      <c r="I604" s="47"/>
      <c r="J604" s="48"/>
      <c r="K604" s="49"/>
    </row>
    <row r="605" spans="1:11" ht="12.75" hidden="1" x14ac:dyDescent="0.2">
      <c r="A605" s="16"/>
      <c r="B605" s="16"/>
      <c r="C605" s="15"/>
      <c r="D605" s="16"/>
      <c r="E605" s="17"/>
      <c r="F605" s="17"/>
      <c r="H605" s="19"/>
      <c r="I605" s="47"/>
      <c r="J605" s="48"/>
      <c r="K605" s="49"/>
    </row>
    <row r="606" spans="1:11" ht="12.75" hidden="1" x14ac:dyDescent="0.2">
      <c r="A606" s="16"/>
      <c r="B606" s="16"/>
      <c r="C606" s="15"/>
      <c r="D606" s="16"/>
      <c r="E606" s="17"/>
      <c r="F606" s="17"/>
      <c r="H606" s="19"/>
      <c r="I606" s="47"/>
      <c r="J606" s="48"/>
      <c r="K606" s="49"/>
    </row>
    <row r="607" spans="1:11" ht="12.75" hidden="1" x14ac:dyDescent="0.2">
      <c r="A607" s="16"/>
      <c r="B607" s="16"/>
      <c r="C607" s="15"/>
      <c r="D607" s="16"/>
      <c r="E607" s="17"/>
      <c r="F607" s="17"/>
      <c r="H607" s="19"/>
      <c r="I607" s="47"/>
      <c r="J607" s="48"/>
      <c r="K607" s="49"/>
    </row>
    <row r="608" spans="1:11" ht="12.75" hidden="1" x14ac:dyDescent="0.2">
      <c r="A608" s="16"/>
      <c r="B608" s="16"/>
      <c r="C608" s="15"/>
      <c r="D608" s="16"/>
      <c r="E608" s="17"/>
      <c r="F608" s="17"/>
      <c r="H608" s="19"/>
      <c r="I608" s="47"/>
      <c r="J608" s="48"/>
      <c r="K608" s="49"/>
    </row>
    <row r="609" spans="1:11" ht="12.75" hidden="1" x14ac:dyDescent="0.2">
      <c r="A609" s="16"/>
      <c r="B609" s="16"/>
      <c r="C609" s="15"/>
      <c r="D609" s="16"/>
      <c r="E609" s="17"/>
      <c r="F609" s="17"/>
      <c r="H609" s="19"/>
      <c r="I609" s="47"/>
      <c r="J609" s="48"/>
      <c r="K609" s="49"/>
    </row>
    <row r="610" spans="1:11" ht="12.75" hidden="1" x14ac:dyDescent="0.2">
      <c r="A610" s="16"/>
      <c r="B610" s="16"/>
      <c r="C610" s="15"/>
      <c r="D610" s="16"/>
      <c r="E610" s="17"/>
      <c r="F610" s="17"/>
      <c r="H610" s="19"/>
      <c r="I610" s="47"/>
      <c r="J610" s="48"/>
      <c r="K610" s="49"/>
    </row>
    <row r="611" spans="1:11" ht="12.75" hidden="1" x14ac:dyDescent="0.2">
      <c r="A611" s="16"/>
      <c r="B611" s="16"/>
      <c r="C611" s="15"/>
      <c r="D611" s="16"/>
      <c r="E611" s="17"/>
      <c r="F611" s="17"/>
      <c r="H611" s="19"/>
      <c r="I611" s="47"/>
      <c r="J611" s="48"/>
      <c r="K611" s="49"/>
    </row>
    <row r="612" spans="1:11" ht="12.75" hidden="1" x14ac:dyDescent="0.2">
      <c r="A612" s="16"/>
      <c r="B612" s="16"/>
      <c r="C612" s="15"/>
      <c r="D612" s="16"/>
      <c r="E612" s="17"/>
      <c r="F612" s="17"/>
      <c r="H612" s="19"/>
      <c r="I612" s="47"/>
      <c r="J612" s="48"/>
      <c r="K612" s="49"/>
    </row>
    <row r="613" spans="1:11" ht="12.75" hidden="1" x14ac:dyDescent="0.2">
      <c r="A613" s="16"/>
      <c r="B613" s="16"/>
      <c r="C613" s="15"/>
      <c r="D613" s="16"/>
      <c r="E613" s="17"/>
      <c r="F613" s="17"/>
      <c r="H613" s="19"/>
      <c r="I613" s="47"/>
      <c r="J613" s="48"/>
      <c r="K613" s="49"/>
    </row>
    <row r="614" spans="1:11" ht="12.75" hidden="1" x14ac:dyDescent="0.2">
      <c r="A614" s="16"/>
      <c r="B614" s="16"/>
      <c r="C614" s="15"/>
      <c r="D614" s="16"/>
      <c r="E614" s="17"/>
      <c r="F614" s="17"/>
      <c r="H614" s="19"/>
      <c r="I614" s="47"/>
      <c r="J614" s="48"/>
      <c r="K614" s="49"/>
    </row>
    <row r="615" spans="1:11" ht="12.75" hidden="1" x14ac:dyDescent="0.2">
      <c r="A615" s="16"/>
      <c r="B615" s="16"/>
      <c r="C615" s="15"/>
      <c r="D615" s="16"/>
      <c r="E615" s="17"/>
      <c r="F615" s="17"/>
      <c r="H615" s="19"/>
      <c r="I615" s="47"/>
      <c r="J615" s="48"/>
      <c r="K615" s="49"/>
    </row>
    <row r="616" spans="1:11" ht="12.75" hidden="1" x14ac:dyDescent="0.2">
      <c r="A616" s="16"/>
      <c r="B616" s="16"/>
      <c r="C616" s="15"/>
      <c r="D616" s="16"/>
      <c r="E616" s="17"/>
      <c r="F616" s="17"/>
      <c r="H616" s="19"/>
      <c r="I616" s="47"/>
      <c r="J616" s="48"/>
      <c r="K616" s="49"/>
    </row>
    <row r="617" spans="1:11" ht="12.75" hidden="1" x14ac:dyDescent="0.2">
      <c r="A617" s="16"/>
      <c r="B617" s="16"/>
      <c r="C617" s="15"/>
      <c r="D617" s="16"/>
      <c r="E617" s="17"/>
      <c r="F617" s="17"/>
      <c r="H617" s="19"/>
      <c r="I617" s="47"/>
      <c r="J617" s="48"/>
      <c r="K617" s="49"/>
    </row>
    <row r="618" spans="1:11" ht="12.75" hidden="1" x14ac:dyDescent="0.2">
      <c r="A618" s="16"/>
      <c r="B618" s="16"/>
      <c r="C618" s="15"/>
      <c r="D618" s="16"/>
      <c r="E618" s="17"/>
      <c r="F618" s="17"/>
      <c r="H618" s="19"/>
      <c r="I618" s="47"/>
      <c r="J618" s="48"/>
      <c r="K618" s="49"/>
    </row>
    <row r="619" spans="1:11" ht="12.75" hidden="1" x14ac:dyDescent="0.2">
      <c r="A619" s="16"/>
      <c r="B619" s="16"/>
      <c r="C619" s="15"/>
      <c r="D619" s="16"/>
      <c r="E619" s="17"/>
      <c r="F619" s="17"/>
      <c r="H619" s="19"/>
      <c r="I619" s="47"/>
      <c r="J619" s="48"/>
      <c r="K619" s="49"/>
    </row>
    <row r="620" spans="1:11" ht="12.75" hidden="1" x14ac:dyDescent="0.2">
      <c r="A620" s="16"/>
      <c r="B620" s="16"/>
      <c r="C620" s="15"/>
      <c r="D620" s="16"/>
      <c r="E620" s="17"/>
      <c r="F620" s="17"/>
      <c r="H620" s="19"/>
      <c r="I620" s="47"/>
      <c r="J620" s="48"/>
      <c r="K620" s="49"/>
    </row>
    <row r="621" spans="1:11" ht="12.75" hidden="1" x14ac:dyDescent="0.2">
      <c r="A621" s="16"/>
      <c r="B621" s="16"/>
      <c r="C621" s="15"/>
      <c r="D621" s="16"/>
      <c r="E621" s="17"/>
      <c r="F621" s="17"/>
      <c r="H621" s="19"/>
      <c r="I621" s="47"/>
      <c r="J621" s="48"/>
      <c r="K621" s="49"/>
    </row>
    <row r="622" spans="1:11" ht="12.75" hidden="1" x14ac:dyDescent="0.2">
      <c r="A622" s="16"/>
      <c r="B622" s="16"/>
      <c r="C622" s="15"/>
      <c r="D622" s="16"/>
      <c r="E622" s="17"/>
      <c r="F622" s="17"/>
      <c r="H622" s="19"/>
      <c r="I622" s="47"/>
      <c r="J622" s="48"/>
      <c r="K622" s="49"/>
    </row>
    <row r="623" spans="1:11" ht="12.75" hidden="1" x14ac:dyDescent="0.2">
      <c r="A623" s="16"/>
      <c r="B623" s="16"/>
      <c r="C623" s="15"/>
      <c r="D623" s="16"/>
      <c r="E623" s="17"/>
      <c r="F623" s="17"/>
      <c r="H623" s="19"/>
      <c r="I623" s="47"/>
      <c r="J623" s="48"/>
      <c r="K623" s="49"/>
    </row>
    <row r="624" spans="1:11" ht="12.75" hidden="1" x14ac:dyDescent="0.2">
      <c r="A624" s="16"/>
      <c r="B624" s="16"/>
      <c r="C624" s="15"/>
      <c r="D624" s="16"/>
      <c r="E624" s="17"/>
      <c r="F624" s="17"/>
      <c r="H624" s="19"/>
      <c r="I624" s="47"/>
      <c r="J624" s="48"/>
      <c r="K624" s="49"/>
    </row>
    <row r="625" spans="1:11" ht="12.75" hidden="1" x14ac:dyDescent="0.2">
      <c r="A625" s="16"/>
      <c r="B625" s="16"/>
      <c r="C625" s="15"/>
      <c r="D625" s="16"/>
      <c r="E625" s="17"/>
      <c r="F625" s="17"/>
      <c r="H625" s="19"/>
      <c r="I625" s="47"/>
      <c r="J625" s="48"/>
      <c r="K625" s="49"/>
    </row>
    <row r="626" spans="1:11" ht="12.75" hidden="1" x14ac:dyDescent="0.2">
      <c r="A626" s="16"/>
      <c r="B626" s="16"/>
      <c r="C626" s="15"/>
      <c r="D626" s="16"/>
      <c r="E626" s="17"/>
      <c r="F626" s="17"/>
      <c r="H626" s="19"/>
      <c r="I626" s="47"/>
      <c r="J626" s="48"/>
      <c r="K626" s="49"/>
    </row>
    <row r="627" spans="1:11" ht="12.75" hidden="1" x14ac:dyDescent="0.2">
      <c r="A627" s="16"/>
      <c r="B627" s="16"/>
      <c r="C627" s="15"/>
      <c r="D627" s="16"/>
      <c r="E627" s="17"/>
      <c r="F627" s="17"/>
      <c r="H627" s="19"/>
      <c r="I627" s="47"/>
      <c r="J627" s="48"/>
      <c r="K627" s="49"/>
    </row>
    <row r="628" spans="1:11" ht="12.75" hidden="1" x14ac:dyDescent="0.2">
      <c r="A628" s="16"/>
      <c r="B628" s="16"/>
      <c r="C628" s="15"/>
      <c r="D628" s="16"/>
      <c r="E628" s="17"/>
      <c r="F628" s="17"/>
      <c r="H628" s="19"/>
      <c r="I628" s="47"/>
      <c r="J628" s="48"/>
      <c r="K628" s="49"/>
    </row>
    <row r="629" spans="1:11" ht="12.75" hidden="1" x14ac:dyDescent="0.2">
      <c r="A629" s="16"/>
      <c r="B629" s="16"/>
      <c r="C629" s="15"/>
      <c r="D629" s="16"/>
      <c r="E629" s="17"/>
      <c r="F629" s="17"/>
      <c r="H629" s="19"/>
      <c r="I629" s="47"/>
      <c r="J629" s="48"/>
      <c r="K629" s="49"/>
    </row>
    <row r="630" spans="1:11" ht="12.75" hidden="1" x14ac:dyDescent="0.2">
      <c r="A630" s="16"/>
      <c r="B630" s="16"/>
      <c r="C630" s="15"/>
      <c r="D630" s="16"/>
      <c r="E630" s="17"/>
      <c r="F630" s="17"/>
      <c r="H630" s="19"/>
      <c r="I630" s="47"/>
      <c r="J630" s="48"/>
      <c r="K630" s="49"/>
    </row>
    <row r="631" spans="1:11" ht="12.75" hidden="1" x14ac:dyDescent="0.2">
      <c r="A631" s="16"/>
      <c r="B631" s="16"/>
      <c r="C631" s="15"/>
      <c r="D631" s="16"/>
      <c r="E631" s="17"/>
      <c r="F631" s="17"/>
      <c r="H631" s="19"/>
      <c r="I631" s="47"/>
      <c r="J631" s="48"/>
      <c r="K631" s="49"/>
    </row>
    <row r="632" spans="1:11" ht="12.75" hidden="1" x14ac:dyDescent="0.2">
      <c r="A632" s="16"/>
      <c r="B632" s="16"/>
      <c r="C632" s="15"/>
      <c r="D632" s="16"/>
      <c r="E632" s="17"/>
      <c r="F632" s="17"/>
      <c r="H632" s="19"/>
      <c r="I632" s="47"/>
      <c r="J632" s="48"/>
      <c r="K632" s="49"/>
    </row>
    <row r="633" spans="1:11" ht="12.75" hidden="1" x14ac:dyDescent="0.2">
      <c r="A633" s="16"/>
      <c r="B633" s="16"/>
      <c r="C633" s="15"/>
      <c r="D633" s="16"/>
      <c r="E633" s="17"/>
      <c r="F633" s="17"/>
      <c r="H633" s="19"/>
      <c r="I633" s="47"/>
      <c r="J633" s="48"/>
      <c r="K633" s="49"/>
    </row>
    <row r="634" spans="1:11" ht="12.75" hidden="1" x14ac:dyDescent="0.2">
      <c r="A634" s="16"/>
      <c r="B634" s="16"/>
      <c r="C634" s="15"/>
      <c r="D634" s="16"/>
      <c r="E634" s="17"/>
      <c r="F634" s="17"/>
      <c r="H634" s="19"/>
      <c r="I634" s="47"/>
      <c r="J634" s="48"/>
      <c r="K634" s="49"/>
    </row>
    <row r="635" spans="1:11" ht="12.75" hidden="1" x14ac:dyDescent="0.2">
      <c r="A635" s="16"/>
      <c r="B635" s="16"/>
      <c r="C635" s="15"/>
      <c r="D635" s="16"/>
      <c r="E635" s="17"/>
      <c r="F635" s="17"/>
      <c r="H635" s="19"/>
      <c r="I635" s="47"/>
      <c r="J635" s="48"/>
      <c r="K635" s="49"/>
    </row>
    <row r="636" spans="1:11" ht="12.75" hidden="1" x14ac:dyDescent="0.2">
      <c r="A636" s="16"/>
      <c r="B636" s="16"/>
      <c r="C636" s="15"/>
      <c r="D636" s="16"/>
      <c r="E636" s="17"/>
      <c r="F636" s="17"/>
      <c r="H636" s="19"/>
      <c r="I636" s="47"/>
      <c r="J636" s="48"/>
      <c r="K636" s="49"/>
    </row>
    <row r="637" spans="1:11" ht="12.75" hidden="1" x14ac:dyDescent="0.2">
      <c r="A637" s="16"/>
      <c r="B637" s="16"/>
      <c r="C637" s="15"/>
      <c r="D637" s="16"/>
      <c r="E637" s="17"/>
      <c r="F637" s="17"/>
      <c r="H637" s="19"/>
      <c r="I637" s="47"/>
      <c r="J637" s="48"/>
      <c r="K637" s="49"/>
    </row>
    <row r="638" spans="1:11" ht="12.75" hidden="1" x14ac:dyDescent="0.2">
      <c r="A638" s="16"/>
      <c r="B638" s="16"/>
      <c r="C638" s="15"/>
      <c r="D638" s="16"/>
      <c r="E638" s="17"/>
      <c r="F638" s="17"/>
      <c r="H638" s="19"/>
      <c r="I638" s="47"/>
      <c r="J638" s="48"/>
      <c r="K638" s="49"/>
    </row>
    <row r="639" spans="1:11" ht="12.75" hidden="1" x14ac:dyDescent="0.2">
      <c r="A639" s="16"/>
      <c r="B639" s="16"/>
      <c r="C639" s="15"/>
      <c r="D639" s="16"/>
      <c r="E639" s="17"/>
      <c r="F639" s="17"/>
      <c r="H639" s="19"/>
      <c r="I639" s="47"/>
      <c r="J639" s="48"/>
      <c r="K639" s="49"/>
    </row>
    <row r="640" spans="1:11" ht="12.75" hidden="1" x14ac:dyDescent="0.2">
      <c r="A640" s="16"/>
      <c r="B640" s="16"/>
      <c r="C640" s="15"/>
      <c r="D640" s="16"/>
      <c r="E640" s="17"/>
      <c r="F640" s="17"/>
      <c r="H640" s="19"/>
      <c r="I640" s="47"/>
      <c r="J640" s="48"/>
      <c r="K640" s="49"/>
    </row>
    <row r="641" spans="1:11" ht="12.75" hidden="1" x14ac:dyDescent="0.2">
      <c r="A641" s="16"/>
      <c r="B641" s="16"/>
      <c r="C641" s="15"/>
      <c r="D641" s="16"/>
      <c r="E641" s="17"/>
      <c r="F641" s="17"/>
      <c r="H641" s="19"/>
      <c r="I641" s="47"/>
      <c r="J641" s="48"/>
      <c r="K641" s="49"/>
    </row>
    <row r="642" spans="1:11" ht="12.75" hidden="1" x14ac:dyDescent="0.2">
      <c r="A642" s="16"/>
      <c r="B642" s="16"/>
      <c r="C642" s="15"/>
      <c r="D642" s="16"/>
      <c r="E642" s="17"/>
      <c r="F642" s="17"/>
      <c r="H642" s="19"/>
      <c r="I642" s="47"/>
      <c r="J642" s="48"/>
      <c r="K642" s="49"/>
    </row>
    <row r="643" spans="1:11" ht="12.75" hidden="1" x14ac:dyDescent="0.2">
      <c r="A643" s="16"/>
      <c r="B643" s="16"/>
      <c r="C643" s="15"/>
      <c r="D643" s="16"/>
      <c r="E643" s="17"/>
      <c r="F643" s="17"/>
      <c r="H643" s="19"/>
      <c r="I643" s="47"/>
      <c r="J643" s="48"/>
      <c r="K643" s="49"/>
    </row>
    <row r="644" spans="1:11" ht="12.75" hidden="1" x14ac:dyDescent="0.2">
      <c r="A644" s="16"/>
      <c r="B644" s="16"/>
      <c r="C644" s="15"/>
      <c r="D644" s="16"/>
      <c r="E644" s="17"/>
      <c r="F644" s="17"/>
      <c r="H644" s="19"/>
      <c r="I644" s="47"/>
      <c r="J644" s="48"/>
      <c r="K644" s="49"/>
    </row>
    <row r="645" spans="1:11" ht="12.75" hidden="1" x14ac:dyDescent="0.2">
      <c r="A645" s="16"/>
      <c r="B645" s="16"/>
      <c r="C645" s="15"/>
      <c r="D645" s="16"/>
      <c r="E645" s="17"/>
      <c r="F645" s="17"/>
      <c r="H645" s="19"/>
      <c r="I645" s="47"/>
      <c r="J645" s="48"/>
      <c r="K645" s="49"/>
    </row>
    <row r="646" spans="1:11" ht="12.75" hidden="1" x14ac:dyDescent="0.2">
      <c r="A646" s="16"/>
      <c r="B646" s="16"/>
      <c r="C646" s="15"/>
      <c r="D646" s="16"/>
      <c r="E646" s="17"/>
      <c r="F646" s="17"/>
      <c r="H646" s="19"/>
      <c r="I646" s="47"/>
      <c r="J646" s="48"/>
      <c r="K646" s="49"/>
    </row>
    <row r="647" spans="1:11" ht="12.75" hidden="1" x14ac:dyDescent="0.2">
      <c r="A647" s="16"/>
      <c r="B647" s="16"/>
      <c r="C647" s="15"/>
      <c r="D647" s="16"/>
      <c r="E647" s="17"/>
      <c r="F647" s="17"/>
      <c r="H647" s="19"/>
      <c r="I647" s="47"/>
      <c r="J647" s="48"/>
      <c r="K647" s="49"/>
    </row>
    <row r="648" spans="1:11" ht="12.75" hidden="1" x14ac:dyDescent="0.2">
      <c r="A648" s="16"/>
      <c r="B648" s="16"/>
      <c r="C648" s="15"/>
      <c r="D648" s="16"/>
      <c r="E648" s="17"/>
      <c r="F648" s="17"/>
      <c r="H648" s="19"/>
      <c r="I648" s="47"/>
      <c r="J648" s="48"/>
      <c r="K648" s="49"/>
    </row>
    <row r="649" spans="1:11" ht="12.75" hidden="1" x14ac:dyDescent="0.2">
      <c r="A649" s="16"/>
      <c r="B649" s="16"/>
      <c r="C649" s="15"/>
      <c r="D649" s="16"/>
      <c r="E649" s="17"/>
      <c r="F649" s="17"/>
      <c r="H649" s="19"/>
      <c r="I649" s="47"/>
      <c r="J649" s="48"/>
      <c r="K649" s="49"/>
    </row>
    <row r="650" spans="1:11" ht="12.75" hidden="1" x14ac:dyDescent="0.2">
      <c r="A650" s="16"/>
      <c r="B650" s="16"/>
      <c r="C650" s="15"/>
      <c r="D650" s="16"/>
      <c r="E650" s="17"/>
      <c r="F650" s="17"/>
      <c r="H650" s="19"/>
      <c r="I650" s="47"/>
      <c r="J650" s="48"/>
      <c r="K650" s="49"/>
    </row>
    <row r="651" spans="1:11" ht="12.75" hidden="1" x14ac:dyDescent="0.2">
      <c r="A651" s="16"/>
      <c r="B651" s="16"/>
      <c r="C651" s="15"/>
      <c r="D651" s="16"/>
      <c r="E651" s="17"/>
      <c r="F651" s="17"/>
      <c r="H651" s="19"/>
      <c r="I651" s="47"/>
      <c r="J651" s="48"/>
      <c r="K651" s="49"/>
    </row>
    <row r="652" spans="1:11" ht="12.75" hidden="1" x14ac:dyDescent="0.2">
      <c r="A652" s="16"/>
      <c r="B652" s="16"/>
      <c r="C652" s="15"/>
      <c r="D652" s="16"/>
      <c r="E652" s="17"/>
      <c r="F652" s="17"/>
      <c r="H652" s="19"/>
      <c r="I652" s="47"/>
      <c r="J652" s="48"/>
      <c r="K652" s="49"/>
    </row>
    <row r="653" spans="1:11" ht="12.75" hidden="1" x14ac:dyDescent="0.2">
      <c r="A653" s="16"/>
      <c r="B653" s="16"/>
      <c r="C653" s="15"/>
      <c r="D653" s="16"/>
      <c r="E653" s="17"/>
      <c r="F653" s="17"/>
      <c r="H653" s="19"/>
      <c r="I653" s="47"/>
      <c r="J653" s="48"/>
      <c r="K653" s="49"/>
    </row>
    <row r="654" spans="1:11" ht="12.75" hidden="1" x14ac:dyDescent="0.2">
      <c r="A654" s="16"/>
      <c r="B654" s="16"/>
      <c r="C654" s="15"/>
      <c r="D654" s="16"/>
      <c r="E654" s="17"/>
      <c r="F654" s="17"/>
      <c r="H654" s="19"/>
      <c r="I654" s="47"/>
      <c r="J654" s="48"/>
      <c r="K654" s="49"/>
    </row>
    <row r="655" spans="1:11" ht="12.75" hidden="1" x14ac:dyDescent="0.2">
      <c r="A655" s="16"/>
      <c r="B655" s="16"/>
      <c r="C655" s="15"/>
      <c r="D655" s="16"/>
      <c r="E655" s="17"/>
      <c r="F655" s="17"/>
      <c r="H655" s="19"/>
      <c r="I655" s="47"/>
      <c r="J655" s="48"/>
      <c r="K655" s="49"/>
    </row>
    <row r="656" spans="1:11" ht="12.75" hidden="1" x14ac:dyDescent="0.2">
      <c r="A656" s="16"/>
      <c r="B656" s="16"/>
      <c r="C656" s="15"/>
      <c r="D656" s="16"/>
      <c r="E656" s="17"/>
      <c r="F656" s="17"/>
      <c r="H656" s="19"/>
      <c r="I656" s="47"/>
      <c r="J656" s="48"/>
      <c r="K656" s="49"/>
    </row>
    <row r="657" spans="1:11" ht="12.75" hidden="1" x14ac:dyDescent="0.2">
      <c r="A657" s="16"/>
      <c r="B657" s="16"/>
      <c r="C657" s="15"/>
      <c r="D657" s="16"/>
      <c r="E657" s="17"/>
      <c r="F657" s="17"/>
      <c r="H657" s="19"/>
      <c r="I657" s="47"/>
      <c r="J657" s="48"/>
      <c r="K657" s="49"/>
    </row>
    <row r="658" spans="1:11" ht="12.75" hidden="1" x14ac:dyDescent="0.2">
      <c r="A658" s="16"/>
      <c r="B658" s="16"/>
      <c r="C658" s="15"/>
      <c r="D658" s="16"/>
      <c r="E658" s="17"/>
      <c r="F658" s="17"/>
      <c r="H658" s="19"/>
      <c r="I658" s="47"/>
      <c r="J658" s="48"/>
      <c r="K658" s="49"/>
    </row>
    <row r="659" spans="1:11" ht="12.75" hidden="1" x14ac:dyDescent="0.2">
      <c r="A659" s="16"/>
      <c r="B659" s="16"/>
      <c r="C659" s="15"/>
      <c r="D659" s="16"/>
      <c r="E659" s="17"/>
      <c r="F659" s="17"/>
      <c r="H659" s="19"/>
      <c r="I659" s="47"/>
      <c r="J659" s="48"/>
      <c r="K659" s="49"/>
    </row>
    <row r="660" spans="1:11" ht="12.75" hidden="1" x14ac:dyDescent="0.2">
      <c r="A660" s="16"/>
      <c r="B660" s="16"/>
      <c r="C660" s="15"/>
      <c r="D660" s="16"/>
      <c r="E660" s="17"/>
      <c r="F660" s="17"/>
      <c r="H660" s="19"/>
      <c r="I660" s="47"/>
      <c r="J660" s="48"/>
      <c r="K660" s="49"/>
    </row>
    <row r="661" spans="1:11" ht="12.75" hidden="1" x14ac:dyDescent="0.2">
      <c r="A661" s="16"/>
      <c r="B661" s="16"/>
      <c r="C661" s="15"/>
      <c r="D661" s="16"/>
      <c r="E661" s="17"/>
      <c r="F661" s="17"/>
      <c r="H661" s="19"/>
      <c r="I661" s="47"/>
      <c r="J661" s="48"/>
      <c r="K661" s="49"/>
    </row>
    <row r="662" spans="1:11" ht="12.75" hidden="1" x14ac:dyDescent="0.2">
      <c r="A662" s="16"/>
      <c r="B662" s="16"/>
      <c r="C662" s="15"/>
      <c r="D662" s="16"/>
      <c r="E662" s="17"/>
      <c r="F662" s="17"/>
      <c r="H662" s="19"/>
      <c r="I662" s="47"/>
      <c r="J662" s="48"/>
      <c r="K662" s="49"/>
    </row>
    <row r="663" spans="1:11" ht="12.75" hidden="1" x14ac:dyDescent="0.2">
      <c r="A663" s="16"/>
      <c r="B663" s="16"/>
      <c r="C663" s="15"/>
      <c r="D663" s="16"/>
      <c r="E663" s="17"/>
      <c r="F663" s="17"/>
      <c r="H663" s="19"/>
      <c r="I663" s="47"/>
      <c r="J663" s="48"/>
      <c r="K663" s="49"/>
    </row>
    <row r="664" spans="1:11" ht="12.75" hidden="1" x14ac:dyDescent="0.2">
      <c r="A664" s="16"/>
      <c r="B664" s="16"/>
      <c r="C664" s="15"/>
      <c r="D664" s="16"/>
      <c r="E664" s="17"/>
      <c r="F664" s="17"/>
      <c r="H664" s="19"/>
      <c r="I664" s="47"/>
      <c r="J664" s="48"/>
      <c r="K664" s="49"/>
    </row>
    <row r="665" spans="1:11" ht="12.75" hidden="1" x14ac:dyDescent="0.2">
      <c r="A665" s="16"/>
      <c r="B665" s="16"/>
      <c r="C665" s="15"/>
      <c r="D665" s="16"/>
      <c r="E665" s="17"/>
      <c r="F665" s="17"/>
      <c r="H665" s="19"/>
      <c r="I665" s="47"/>
      <c r="J665" s="48"/>
      <c r="K665" s="49"/>
    </row>
    <row r="666" spans="1:11" ht="12.75" hidden="1" x14ac:dyDescent="0.2">
      <c r="A666" s="16"/>
      <c r="B666" s="16"/>
      <c r="C666" s="15"/>
      <c r="D666" s="16"/>
      <c r="E666" s="17"/>
      <c r="F666" s="17"/>
      <c r="H666" s="19"/>
      <c r="I666" s="47"/>
      <c r="J666" s="48"/>
      <c r="K666" s="49"/>
    </row>
    <row r="667" spans="1:11" ht="12.75" hidden="1" x14ac:dyDescent="0.2">
      <c r="A667" s="16"/>
      <c r="B667" s="16"/>
      <c r="C667" s="15"/>
      <c r="D667" s="16"/>
      <c r="E667" s="17"/>
      <c r="F667" s="17"/>
      <c r="H667" s="19"/>
      <c r="I667" s="47"/>
      <c r="J667" s="48"/>
      <c r="K667" s="49"/>
    </row>
    <row r="668" spans="1:11" ht="12.75" hidden="1" x14ac:dyDescent="0.2">
      <c r="A668" s="16"/>
      <c r="B668" s="16"/>
      <c r="C668" s="15"/>
      <c r="D668" s="16"/>
      <c r="E668" s="17"/>
      <c r="F668" s="17"/>
      <c r="H668" s="19"/>
      <c r="I668" s="47"/>
      <c r="J668" s="48"/>
      <c r="K668" s="49"/>
    </row>
    <row r="669" spans="1:11" ht="12.75" hidden="1" x14ac:dyDescent="0.2">
      <c r="A669" s="16"/>
      <c r="B669" s="16"/>
      <c r="C669" s="15"/>
      <c r="D669" s="16"/>
      <c r="E669" s="17"/>
      <c r="F669" s="17"/>
      <c r="H669" s="19"/>
      <c r="I669" s="47"/>
      <c r="J669" s="48"/>
      <c r="K669" s="49"/>
    </row>
    <row r="670" spans="1:11" ht="12.75" hidden="1" x14ac:dyDescent="0.2">
      <c r="A670" s="16"/>
      <c r="B670" s="16"/>
      <c r="C670" s="15"/>
      <c r="D670" s="16"/>
      <c r="E670" s="17"/>
      <c r="F670" s="17"/>
      <c r="H670" s="19"/>
      <c r="I670" s="47"/>
      <c r="J670" s="48"/>
      <c r="K670" s="49"/>
    </row>
    <row r="671" spans="1:11" ht="12.75" hidden="1" x14ac:dyDescent="0.2">
      <c r="A671" s="16"/>
      <c r="B671" s="16"/>
      <c r="C671" s="15"/>
      <c r="D671" s="16"/>
      <c r="E671" s="17"/>
      <c r="F671" s="17"/>
      <c r="H671" s="19"/>
      <c r="I671" s="47"/>
      <c r="J671" s="48"/>
      <c r="K671" s="49"/>
    </row>
    <row r="672" spans="1:11" ht="12.75" hidden="1" x14ac:dyDescent="0.2">
      <c r="A672" s="16"/>
      <c r="B672" s="16"/>
      <c r="C672" s="15"/>
      <c r="D672" s="16"/>
      <c r="E672" s="17"/>
      <c r="F672" s="17"/>
      <c r="H672" s="19"/>
      <c r="I672" s="47"/>
      <c r="J672" s="48"/>
      <c r="K672" s="49"/>
    </row>
    <row r="673" spans="1:11" ht="12.75" hidden="1" x14ac:dyDescent="0.2">
      <c r="A673" s="16"/>
      <c r="B673" s="16"/>
      <c r="C673" s="15"/>
      <c r="D673" s="16"/>
      <c r="E673" s="17"/>
      <c r="F673" s="17"/>
      <c r="H673" s="19"/>
      <c r="I673" s="47"/>
      <c r="J673" s="48"/>
      <c r="K673" s="49"/>
    </row>
    <row r="674" spans="1:11" ht="12.75" hidden="1" x14ac:dyDescent="0.2">
      <c r="A674" s="16"/>
      <c r="B674" s="16"/>
      <c r="C674" s="15"/>
      <c r="D674" s="16"/>
      <c r="E674" s="17"/>
      <c r="F674" s="17"/>
      <c r="H674" s="19"/>
      <c r="I674" s="47"/>
      <c r="J674" s="48"/>
      <c r="K674" s="49"/>
    </row>
    <row r="675" spans="1:11" ht="12.75" hidden="1" x14ac:dyDescent="0.2">
      <c r="A675" s="16"/>
      <c r="B675" s="16"/>
      <c r="C675" s="15"/>
      <c r="D675" s="16"/>
      <c r="E675" s="17"/>
      <c r="F675" s="17"/>
      <c r="H675" s="19"/>
      <c r="I675" s="47"/>
      <c r="J675" s="48"/>
      <c r="K675" s="49"/>
    </row>
    <row r="676" spans="1:11" ht="12.75" hidden="1" x14ac:dyDescent="0.2">
      <c r="A676" s="16"/>
      <c r="B676" s="16"/>
      <c r="C676" s="15"/>
      <c r="D676" s="16"/>
      <c r="E676" s="17"/>
      <c r="F676" s="17"/>
      <c r="H676" s="19"/>
      <c r="I676" s="47"/>
      <c r="J676" s="48"/>
      <c r="K676" s="49"/>
    </row>
    <row r="677" spans="1:11" ht="12.75" hidden="1" x14ac:dyDescent="0.2">
      <c r="A677" s="16"/>
      <c r="B677" s="16"/>
      <c r="C677" s="15"/>
      <c r="D677" s="16"/>
      <c r="E677" s="17"/>
      <c r="F677" s="17"/>
      <c r="H677" s="19"/>
      <c r="I677" s="47"/>
      <c r="J677" s="48"/>
      <c r="K677" s="49"/>
    </row>
    <row r="678" spans="1:11" ht="12.75" hidden="1" x14ac:dyDescent="0.2">
      <c r="A678" s="16"/>
      <c r="B678" s="16"/>
      <c r="C678" s="15"/>
      <c r="D678" s="16"/>
      <c r="E678" s="17"/>
      <c r="F678" s="17"/>
      <c r="H678" s="19"/>
      <c r="I678" s="47"/>
      <c r="J678" s="48"/>
      <c r="K678" s="49"/>
    </row>
    <row r="679" spans="1:11" ht="12.75" hidden="1" x14ac:dyDescent="0.2">
      <c r="A679" s="16"/>
      <c r="B679" s="16"/>
      <c r="C679" s="15"/>
      <c r="D679" s="16"/>
      <c r="E679" s="17"/>
      <c r="F679" s="17"/>
      <c r="H679" s="19"/>
      <c r="I679" s="47"/>
      <c r="J679" s="48"/>
      <c r="K679" s="49"/>
    </row>
    <row r="680" spans="1:11" ht="12.75" hidden="1" x14ac:dyDescent="0.2">
      <c r="A680" s="16"/>
      <c r="B680" s="16"/>
      <c r="C680" s="15"/>
      <c r="D680" s="16"/>
      <c r="E680" s="17"/>
      <c r="F680" s="17"/>
      <c r="H680" s="19"/>
      <c r="I680" s="47"/>
      <c r="J680" s="48"/>
      <c r="K680" s="49"/>
    </row>
    <row r="681" spans="1:11" ht="12.75" hidden="1" x14ac:dyDescent="0.2">
      <c r="A681" s="16"/>
      <c r="B681" s="16"/>
      <c r="C681" s="15"/>
      <c r="D681" s="16"/>
      <c r="E681" s="17"/>
      <c r="F681" s="17"/>
      <c r="H681" s="19"/>
      <c r="I681" s="47"/>
      <c r="J681" s="48"/>
      <c r="K681" s="49"/>
    </row>
    <row r="682" spans="1:11" ht="12.75" hidden="1" x14ac:dyDescent="0.2">
      <c r="A682" s="16"/>
      <c r="B682" s="16"/>
      <c r="C682" s="15"/>
      <c r="D682" s="16"/>
      <c r="E682" s="17"/>
      <c r="F682" s="17"/>
      <c r="H682" s="19"/>
      <c r="I682" s="47"/>
      <c r="J682" s="48"/>
      <c r="K682" s="49"/>
    </row>
    <row r="683" spans="1:11" ht="12.75" hidden="1" x14ac:dyDescent="0.2">
      <c r="A683" s="16"/>
      <c r="B683" s="16"/>
      <c r="C683" s="15"/>
      <c r="D683" s="16"/>
      <c r="E683" s="17"/>
      <c r="F683" s="17"/>
      <c r="H683" s="19"/>
      <c r="I683" s="47"/>
      <c r="J683" s="48"/>
      <c r="K683" s="49"/>
    </row>
    <row r="684" spans="1:11" ht="12.75" hidden="1" x14ac:dyDescent="0.2">
      <c r="A684" s="16"/>
      <c r="B684" s="16"/>
      <c r="C684" s="15"/>
      <c r="D684" s="16"/>
      <c r="E684" s="17"/>
      <c r="F684" s="17"/>
      <c r="H684" s="19"/>
      <c r="I684" s="47"/>
      <c r="J684" s="48"/>
      <c r="K684" s="49"/>
    </row>
    <row r="685" spans="1:11" ht="12.75" hidden="1" x14ac:dyDescent="0.2">
      <c r="A685" s="16"/>
      <c r="B685" s="16"/>
      <c r="C685" s="15"/>
      <c r="D685" s="16"/>
      <c r="E685" s="17"/>
      <c r="F685" s="17"/>
      <c r="H685" s="19"/>
      <c r="I685" s="47"/>
      <c r="J685" s="48"/>
      <c r="K685" s="49"/>
    </row>
    <row r="686" spans="1:11" ht="12.75" hidden="1" x14ac:dyDescent="0.2">
      <c r="A686" s="16"/>
      <c r="B686" s="16"/>
      <c r="C686" s="15"/>
      <c r="D686" s="16"/>
      <c r="E686" s="17"/>
      <c r="F686" s="17"/>
      <c r="H686" s="19"/>
      <c r="I686" s="47"/>
      <c r="J686" s="48"/>
      <c r="K686" s="49"/>
    </row>
    <row r="687" spans="1:11" ht="12.75" hidden="1" x14ac:dyDescent="0.2">
      <c r="A687" s="16"/>
      <c r="B687" s="16"/>
      <c r="C687" s="15"/>
      <c r="D687" s="16"/>
      <c r="E687" s="17"/>
      <c r="F687" s="17"/>
      <c r="H687" s="19"/>
      <c r="I687" s="47"/>
      <c r="J687" s="48"/>
      <c r="K687" s="49"/>
    </row>
    <row r="688" spans="1:11" ht="12.75" hidden="1" x14ac:dyDescent="0.2">
      <c r="A688" s="16"/>
      <c r="B688" s="16"/>
      <c r="C688" s="15"/>
      <c r="D688" s="16"/>
      <c r="E688" s="17"/>
      <c r="F688" s="17"/>
      <c r="H688" s="19"/>
      <c r="I688" s="47"/>
      <c r="J688" s="48"/>
      <c r="K688" s="49"/>
    </row>
    <row r="689" spans="1:11" ht="12.75" hidden="1" x14ac:dyDescent="0.2">
      <c r="A689" s="16"/>
      <c r="B689" s="16"/>
      <c r="C689" s="15"/>
      <c r="D689" s="16"/>
      <c r="E689" s="17"/>
      <c r="F689" s="17"/>
      <c r="H689" s="19"/>
      <c r="I689" s="47"/>
      <c r="J689" s="48"/>
      <c r="K689" s="49"/>
    </row>
    <row r="690" spans="1:11" ht="12.75" hidden="1" x14ac:dyDescent="0.2">
      <c r="A690" s="16"/>
      <c r="B690" s="16"/>
      <c r="C690" s="15"/>
      <c r="D690" s="16"/>
      <c r="E690" s="17"/>
      <c r="F690" s="17"/>
      <c r="H690" s="19"/>
      <c r="I690" s="47"/>
      <c r="J690" s="48"/>
      <c r="K690" s="49"/>
    </row>
    <row r="691" spans="1:11" ht="12.75" hidden="1" x14ac:dyDescent="0.2">
      <c r="A691" s="16"/>
      <c r="B691" s="16"/>
      <c r="C691" s="15"/>
      <c r="D691" s="16"/>
      <c r="E691" s="17"/>
      <c r="F691" s="17"/>
      <c r="H691" s="19"/>
      <c r="I691" s="47"/>
      <c r="J691" s="48"/>
      <c r="K691" s="49"/>
    </row>
    <row r="692" spans="1:11" ht="12.75" hidden="1" x14ac:dyDescent="0.2">
      <c r="A692" s="16"/>
      <c r="B692" s="16"/>
      <c r="C692" s="15"/>
      <c r="D692" s="16"/>
      <c r="E692" s="17"/>
      <c r="F692" s="17"/>
      <c r="H692" s="19"/>
      <c r="I692" s="47"/>
      <c r="J692" s="48"/>
      <c r="K692" s="49"/>
    </row>
    <row r="693" spans="1:11" ht="12.75" hidden="1" x14ac:dyDescent="0.2">
      <c r="A693" s="16"/>
      <c r="B693" s="16"/>
      <c r="C693" s="15"/>
      <c r="D693" s="16"/>
      <c r="E693" s="17"/>
      <c r="F693" s="17"/>
      <c r="H693" s="19"/>
      <c r="I693" s="47"/>
      <c r="J693" s="48"/>
      <c r="K693" s="49"/>
    </row>
    <row r="694" spans="1:11" ht="12.75" hidden="1" x14ac:dyDescent="0.2">
      <c r="A694" s="16"/>
      <c r="B694" s="16"/>
      <c r="C694" s="15"/>
      <c r="D694" s="16"/>
      <c r="E694" s="17"/>
      <c r="F694" s="17"/>
      <c r="H694" s="19"/>
      <c r="I694" s="47"/>
      <c r="J694" s="48"/>
      <c r="K694" s="49"/>
    </row>
    <row r="695" spans="1:11" ht="12.75" hidden="1" x14ac:dyDescent="0.2">
      <c r="A695" s="16"/>
      <c r="B695" s="16"/>
      <c r="C695" s="15"/>
      <c r="D695" s="16"/>
      <c r="E695" s="17"/>
      <c r="F695" s="17"/>
      <c r="H695" s="19"/>
      <c r="I695" s="47"/>
      <c r="J695" s="48"/>
      <c r="K695" s="49"/>
    </row>
    <row r="696" spans="1:11" ht="12.75" hidden="1" x14ac:dyDescent="0.2">
      <c r="A696" s="16"/>
      <c r="B696" s="16"/>
      <c r="C696" s="15"/>
      <c r="D696" s="16"/>
      <c r="E696" s="17"/>
      <c r="F696" s="17"/>
      <c r="H696" s="19"/>
      <c r="I696" s="47"/>
      <c r="J696" s="48"/>
      <c r="K696" s="49"/>
    </row>
    <row r="697" spans="1:11" ht="12.75" hidden="1" x14ac:dyDescent="0.2">
      <c r="A697" s="16"/>
      <c r="B697" s="16"/>
      <c r="C697" s="15"/>
      <c r="D697" s="16"/>
      <c r="E697" s="17"/>
      <c r="F697" s="17"/>
      <c r="H697" s="19"/>
      <c r="I697" s="47"/>
      <c r="J697" s="48"/>
      <c r="K697" s="49"/>
    </row>
    <row r="698" spans="1:11" ht="12.75" hidden="1" x14ac:dyDescent="0.2">
      <c r="A698" s="16"/>
      <c r="B698" s="16"/>
      <c r="C698" s="15"/>
      <c r="D698" s="16"/>
      <c r="E698" s="17"/>
      <c r="F698" s="17"/>
      <c r="H698" s="19"/>
      <c r="I698" s="47"/>
      <c r="J698" s="48"/>
      <c r="K698" s="49"/>
    </row>
    <row r="699" spans="1:11" ht="12.75" hidden="1" x14ac:dyDescent="0.2">
      <c r="A699" s="16"/>
      <c r="B699" s="16"/>
      <c r="C699" s="15"/>
      <c r="D699" s="16"/>
      <c r="E699" s="17"/>
      <c r="F699" s="17"/>
      <c r="H699" s="19"/>
      <c r="I699" s="47"/>
      <c r="J699" s="48"/>
      <c r="K699" s="49"/>
    </row>
    <row r="700" spans="1:11" ht="12.75" hidden="1" x14ac:dyDescent="0.2">
      <c r="A700" s="16"/>
      <c r="B700" s="16"/>
      <c r="C700" s="15"/>
      <c r="D700" s="16"/>
      <c r="E700" s="17"/>
      <c r="F700" s="17"/>
      <c r="H700" s="19"/>
      <c r="I700" s="47"/>
      <c r="J700" s="48"/>
      <c r="K700" s="49"/>
    </row>
    <row r="701" spans="1:11" ht="12.75" hidden="1" x14ac:dyDescent="0.2">
      <c r="A701" s="16"/>
      <c r="B701" s="16"/>
      <c r="C701" s="15"/>
      <c r="D701" s="16"/>
      <c r="E701" s="17"/>
      <c r="F701" s="17"/>
      <c r="H701" s="19"/>
      <c r="I701" s="47"/>
      <c r="J701" s="48"/>
      <c r="K701" s="49"/>
    </row>
    <row r="702" spans="1:11" ht="12.75" hidden="1" x14ac:dyDescent="0.2">
      <c r="A702" s="16"/>
      <c r="B702" s="16"/>
      <c r="C702" s="15"/>
      <c r="D702" s="16"/>
      <c r="E702" s="17"/>
      <c r="F702" s="17"/>
      <c r="H702" s="19"/>
      <c r="I702" s="47"/>
      <c r="J702" s="48"/>
      <c r="K702" s="49"/>
    </row>
    <row r="703" spans="1:11" ht="12.75" hidden="1" x14ac:dyDescent="0.2">
      <c r="A703" s="16"/>
      <c r="B703" s="16"/>
      <c r="C703" s="15"/>
      <c r="D703" s="16"/>
      <c r="E703" s="17"/>
      <c r="F703" s="17"/>
      <c r="H703" s="19"/>
      <c r="I703" s="47"/>
      <c r="J703" s="48"/>
      <c r="K703" s="49"/>
    </row>
    <row r="704" spans="1:11" ht="12.75" hidden="1" x14ac:dyDescent="0.2">
      <c r="A704" s="16"/>
      <c r="B704" s="16"/>
      <c r="C704" s="15"/>
      <c r="D704" s="16"/>
      <c r="E704" s="17"/>
      <c r="F704" s="17"/>
      <c r="H704" s="19"/>
      <c r="I704" s="47"/>
      <c r="J704" s="48"/>
      <c r="K704" s="49"/>
    </row>
    <row r="705" spans="1:11" ht="12.75" hidden="1" x14ac:dyDescent="0.2">
      <c r="A705" s="16"/>
      <c r="B705" s="16"/>
      <c r="C705" s="15"/>
      <c r="D705" s="16"/>
      <c r="E705" s="17"/>
      <c r="F705" s="17"/>
      <c r="H705" s="19"/>
      <c r="I705" s="47"/>
      <c r="J705" s="48"/>
      <c r="K705" s="49"/>
    </row>
    <row r="706" spans="1:11" ht="12.75" hidden="1" x14ac:dyDescent="0.2">
      <c r="A706" s="16"/>
      <c r="B706" s="16"/>
      <c r="C706" s="15"/>
      <c r="D706" s="16"/>
      <c r="E706" s="17"/>
      <c r="F706" s="17"/>
      <c r="H706" s="19"/>
      <c r="I706" s="47"/>
      <c r="J706" s="48"/>
      <c r="K706" s="49"/>
    </row>
    <row r="707" spans="1:11" ht="12.75" hidden="1" x14ac:dyDescent="0.2">
      <c r="A707" s="16"/>
      <c r="B707" s="16"/>
      <c r="C707" s="15"/>
      <c r="D707" s="16"/>
      <c r="E707" s="17"/>
      <c r="F707" s="17"/>
      <c r="H707" s="19"/>
      <c r="I707" s="47"/>
      <c r="J707" s="48"/>
      <c r="K707" s="49"/>
    </row>
    <row r="708" spans="1:11" ht="12.75" hidden="1" x14ac:dyDescent="0.2">
      <c r="A708" s="16"/>
      <c r="B708" s="16"/>
      <c r="C708" s="15"/>
      <c r="D708" s="16"/>
      <c r="E708" s="17"/>
      <c r="F708" s="17"/>
      <c r="H708" s="19"/>
      <c r="I708" s="47"/>
      <c r="J708" s="48"/>
      <c r="K708" s="49"/>
    </row>
    <row r="709" spans="1:11" ht="12.75" hidden="1" x14ac:dyDescent="0.2">
      <c r="A709" s="16"/>
      <c r="B709" s="16"/>
      <c r="C709" s="15"/>
      <c r="D709" s="16"/>
      <c r="E709" s="17"/>
      <c r="F709" s="17"/>
      <c r="H709" s="19"/>
      <c r="I709" s="47"/>
      <c r="J709" s="48"/>
      <c r="K709" s="49"/>
    </row>
    <row r="710" spans="1:11" ht="12.75" hidden="1" x14ac:dyDescent="0.2">
      <c r="A710" s="16"/>
      <c r="B710" s="16"/>
      <c r="C710" s="15"/>
      <c r="D710" s="16"/>
      <c r="E710" s="17"/>
      <c r="F710" s="17"/>
      <c r="H710" s="19"/>
      <c r="I710" s="47"/>
      <c r="J710" s="48"/>
      <c r="K710" s="49"/>
    </row>
    <row r="711" spans="1:11" ht="12.75" hidden="1" x14ac:dyDescent="0.2">
      <c r="A711" s="16"/>
      <c r="B711" s="16"/>
      <c r="C711" s="15"/>
      <c r="D711" s="16"/>
      <c r="E711" s="17"/>
      <c r="F711" s="17"/>
      <c r="H711" s="19"/>
      <c r="I711" s="47"/>
      <c r="J711" s="48"/>
      <c r="K711" s="49"/>
    </row>
    <row r="712" spans="1:11" ht="12.75" hidden="1" x14ac:dyDescent="0.2">
      <c r="A712" s="16"/>
      <c r="B712" s="16"/>
      <c r="C712" s="15"/>
      <c r="D712" s="16"/>
      <c r="E712" s="17"/>
      <c r="F712" s="17"/>
      <c r="H712" s="19"/>
      <c r="I712" s="47"/>
      <c r="J712" s="48"/>
      <c r="K712" s="49"/>
    </row>
    <row r="713" spans="1:11" ht="12.75" hidden="1" x14ac:dyDescent="0.2">
      <c r="A713" s="16"/>
      <c r="B713" s="16"/>
      <c r="C713" s="15"/>
      <c r="D713" s="16"/>
      <c r="E713" s="17"/>
      <c r="F713" s="17"/>
      <c r="H713" s="19"/>
      <c r="I713" s="47"/>
      <c r="J713" s="48"/>
      <c r="K713" s="49"/>
    </row>
    <row r="714" spans="1:11" ht="12.75" hidden="1" x14ac:dyDescent="0.2">
      <c r="A714" s="16"/>
      <c r="B714" s="16"/>
      <c r="C714" s="15"/>
      <c r="D714" s="16"/>
      <c r="E714" s="17"/>
      <c r="F714" s="17"/>
      <c r="H714" s="19"/>
      <c r="I714" s="47"/>
      <c r="J714" s="48"/>
      <c r="K714" s="49"/>
    </row>
    <row r="715" spans="1:11" ht="12.75" hidden="1" x14ac:dyDescent="0.2">
      <c r="A715" s="16"/>
      <c r="B715" s="16"/>
      <c r="C715" s="15"/>
      <c r="D715" s="16"/>
      <c r="E715" s="17"/>
      <c r="F715" s="17"/>
      <c r="H715" s="19"/>
      <c r="I715" s="47"/>
      <c r="J715" s="48"/>
      <c r="K715" s="49"/>
    </row>
    <row r="716" spans="1:11" ht="12.75" hidden="1" x14ac:dyDescent="0.2">
      <c r="A716" s="16"/>
      <c r="B716" s="16"/>
      <c r="C716" s="15"/>
      <c r="D716" s="16"/>
      <c r="E716" s="17"/>
      <c r="F716" s="17"/>
      <c r="H716" s="19"/>
      <c r="I716" s="47"/>
      <c r="J716" s="48"/>
      <c r="K716" s="49"/>
    </row>
    <row r="717" spans="1:11" ht="12.75" hidden="1" x14ac:dyDescent="0.2">
      <c r="A717" s="16"/>
      <c r="B717" s="16"/>
      <c r="C717" s="15"/>
      <c r="D717" s="16"/>
      <c r="E717" s="17"/>
      <c r="F717" s="17"/>
      <c r="H717" s="19"/>
      <c r="I717" s="47"/>
      <c r="J717" s="48"/>
      <c r="K717" s="49"/>
    </row>
    <row r="718" spans="1:11" ht="12.75" hidden="1" x14ac:dyDescent="0.2">
      <c r="A718" s="16"/>
      <c r="B718" s="16"/>
      <c r="C718" s="15"/>
      <c r="D718" s="16"/>
      <c r="E718" s="17"/>
      <c r="F718" s="17"/>
      <c r="H718" s="19"/>
      <c r="I718" s="47"/>
      <c r="J718" s="48"/>
      <c r="K718" s="49"/>
    </row>
    <row r="719" spans="1:11" ht="12.75" hidden="1" x14ac:dyDescent="0.2">
      <c r="A719" s="16"/>
      <c r="B719" s="16"/>
      <c r="C719" s="15"/>
      <c r="D719" s="16"/>
      <c r="E719" s="17"/>
      <c r="F719" s="17"/>
      <c r="H719" s="19"/>
      <c r="I719" s="47"/>
      <c r="J719" s="48"/>
      <c r="K719" s="49"/>
    </row>
    <row r="720" spans="1:11" ht="12.75" hidden="1" x14ac:dyDescent="0.2">
      <c r="A720" s="16"/>
      <c r="B720" s="16"/>
      <c r="C720" s="15"/>
      <c r="D720" s="16"/>
      <c r="E720" s="17"/>
      <c r="F720" s="17"/>
      <c r="H720" s="19"/>
      <c r="I720" s="47"/>
      <c r="J720" s="48"/>
      <c r="K720" s="49"/>
    </row>
    <row r="721" spans="1:11" ht="12.75" hidden="1" x14ac:dyDescent="0.2">
      <c r="A721" s="16"/>
      <c r="B721" s="16"/>
      <c r="C721" s="15"/>
      <c r="D721" s="16"/>
      <c r="E721" s="17"/>
      <c r="F721" s="17"/>
      <c r="H721" s="19"/>
      <c r="I721" s="47"/>
      <c r="J721" s="48"/>
      <c r="K721" s="49"/>
    </row>
    <row r="722" spans="1:11" ht="12.75" hidden="1" x14ac:dyDescent="0.2">
      <c r="A722" s="16"/>
      <c r="B722" s="16"/>
      <c r="C722" s="15"/>
      <c r="D722" s="16"/>
      <c r="E722" s="17"/>
      <c r="F722" s="17"/>
      <c r="H722" s="19"/>
      <c r="I722" s="47"/>
      <c r="J722" s="48"/>
      <c r="K722" s="49"/>
    </row>
    <row r="723" spans="1:11" ht="12.75" hidden="1" x14ac:dyDescent="0.2">
      <c r="A723" s="16"/>
      <c r="B723" s="16"/>
      <c r="C723" s="15"/>
      <c r="D723" s="16"/>
      <c r="E723" s="17"/>
      <c r="F723" s="17"/>
      <c r="H723" s="19"/>
      <c r="I723" s="47"/>
      <c r="J723" s="48"/>
      <c r="K723" s="49"/>
    </row>
    <row r="724" spans="1:11" ht="12.75" hidden="1" x14ac:dyDescent="0.2">
      <c r="A724" s="16"/>
      <c r="B724" s="16"/>
      <c r="C724" s="15"/>
      <c r="D724" s="16"/>
      <c r="E724" s="17"/>
      <c r="F724" s="17"/>
      <c r="H724" s="19"/>
      <c r="I724" s="47"/>
      <c r="J724" s="48"/>
      <c r="K724" s="49"/>
    </row>
    <row r="725" spans="1:11" ht="12.75" hidden="1" x14ac:dyDescent="0.2">
      <c r="A725" s="16"/>
      <c r="B725" s="16"/>
      <c r="C725" s="15"/>
      <c r="D725" s="16"/>
      <c r="E725" s="17"/>
      <c r="F725" s="17"/>
      <c r="H725" s="19"/>
      <c r="I725" s="47"/>
      <c r="J725" s="48"/>
      <c r="K725" s="49"/>
    </row>
    <row r="726" spans="1:11" ht="12.75" hidden="1" x14ac:dyDescent="0.2">
      <c r="A726" s="16"/>
      <c r="B726" s="16"/>
      <c r="C726" s="15"/>
      <c r="D726" s="16"/>
      <c r="E726" s="17"/>
      <c r="F726" s="17"/>
      <c r="H726" s="19"/>
      <c r="I726" s="47"/>
      <c r="J726" s="48"/>
      <c r="K726" s="49"/>
    </row>
    <row r="727" spans="1:11" ht="12.75" hidden="1" x14ac:dyDescent="0.2">
      <c r="A727" s="16"/>
      <c r="B727" s="16"/>
      <c r="C727" s="15"/>
      <c r="D727" s="16"/>
      <c r="E727" s="17"/>
      <c r="F727" s="17"/>
      <c r="H727" s="19"/>
      <c r="I727" s="47"/>
      <c r="J727" s="48"/>
      <c r="K727" s="49"/>
    </row>
    <row r="728" spans="1:11" ht="12.75" hidden="1" x14ac:dyDescent="0.2">
      <c r="A728" s="16"/>
      <c r="B728" s="16"/>
      <c r="C728" s="15"/>
      <c r="D728" s="16"/>
      <c r="E728" s="17"/>
      <c r="F728" s="17"/>
      <c r="H728" s="19"/>
      <c r="I728" s="47"/>
      <c r="J728" s="48"/>
      <c r="K728" s="49"/>
    </row>
    <row r="729" spans="1:11" ht="12.75" hidden="1" x14ac:dyDescent="0.2">
      <c r="A729" s="16"/>
      <c r="B729" s="16"/>
      <c r="C729" s="15"/>
      <c r="D729" s="16"/>
      <c r="E729" s="17"/>
      <c r="F729" s="17"/>
      <c r="H729" s="19"/>
      <c r="I729" s="47"/>
      <c r="J729" s="48"/>
      <c r="K729" s="49"/>
    </row>
    <row r="730" spans="1:11" ht="12.75" hidden="1" x14ac:dyDescent="0.2">
      <c r="A730" s="16"/>
      <c r="B730" s="16"/>
      <c r="C730" s="15"/>
      <c r="D730" s="16"/>
      <c r="E730" s="17"/>
      <c r="F730" s="17"/>
      <c r="H730" s="19"/>
      <c r="I730" s="47"/>
      <c r="J730" s="48"/>
      <c r="K730" s="49"/>
    </row>
    <row r="731" spans="1:11" ht="12.75" hidden="1" x14ac:dyDescent="0.2">
      <c r="A731" s="16"/>
      <c r="B731" s="16"/>
      <c r="C731" s="15"/>
      <c r="D731" s="16"/>
      <c r="E731" s="17"/>
      <c r="F731" s="17"/>
      <c r="H731" s="19"/>
      <c r="I731" s="47"/>
      <c r="J731" s="48"/>
      <c r="K731" s="49"/>
    </row>
    <row r="732" spans="1:11" ht="12.75" hidden="1" x14ac:dyDescent="0.2">
      <c r="A732" s="16"/>
      <c r="B732" s="16"/>
      <c r="C732" s="15"/>
      <c r="D732" s="16"/>
      <c r="E732" s="17"/>
      <c r="F732" s="17"/>
      <c r="H732" s="19"/>
      <c r="I732" s="47"/>
      <c r="J732" s="48"/>
      <c r="K732" s="49"/>
    </row>
    <row r="733" spans="1:11" ht="12.75" hidden="1" x14ac:dyDescent="0.2">
      <c r="A733" s="16"/>
      <c r="B733" s="16"/>
      <c r="C733" s="15"/>
      <c r="D733" s="16"/>
      <c r="E733" s="17"/>
      <c r="F733" s="17"/>
      <c r="H733" s="19"/>
      <c r="I733" s="47"/>
      <c r="J733" s="48"/>
      <c r="K733" s="49"/>
    </row>
    <row r="734" spans="1:11" ht="12.75" hidden="1" x14ac:dyDescent="0.2">
      <c r="A734" s="16"/>
      <c r="B734" s="16"/>
      <c r="C734" s="15"/>
      <c r="D734" s="16"/>
      <c r="E734" s="17"/>
      <c r="F734" s="17"/>
      <c r="H734" s="19"/>
      <c r="I734" s="47"/>
      <c r="J734" s="48"/>
      <c r="K734" s="49"/>
    </row>
    <row r="735" spans="1:11" ht="12.75" hidden="1" x14ac:dyDescent="0.2">
      <c r="A735" s="16"/>
      <c r="B735" s="16"/>
      <c r="C735" s="15"/>
      <c r="D735" s="16"/>
      <c r="E735" s="17"/>
      <c r="F735" s="17"/>
      <c r="H735" s="19"/>
      <c r="I735" s="47"/>
      <c r="J735" s="48"/>
      <c r="K735" s="49"/>
    </row>
    <row r="736" spans="1:11" ht="12.75" hidden="1" x14ac:dyDescent="0.2">
      <c r="A736" s="16"/>
      <c r="B736" s="16"/>
      <c r="C736" s="15"/>
      <c r="D736" s="16"/>
      <c r="E736" s="17"/>
      <c r="F736" s="17"/>
      <c r="H736" s="19"/>
      <c r="I736" s="47"/>
      <c r="J736" s="48"/>
      <c r="K736" s="49"/>
    </row>
    <row r="737" spans="1:11" ht="12.75" hidden="1" x14ac:dyDescent="0.2">
      <c r="A737" s="16"/>
      <c r="B737" s="16"/>
      <c r="C737" s="15"/>
      <c r="D737" s="16"/>
      <c r="E737" s="17"/>
      <c r="F737" s="17"/>
      <c r="H737" s="19"/>
      <c r="I737" s="47"/>
      <c r="J737" s="48"/>
      <c r="K737" s="49"/>
    </row>
    <row r="738" spans="1:11" ht="12.75" hidden="1" x14ac:dyDescent="0.2">
      <c r="A738" s="16"/>
      <c r="B738" s="16"/>
      <c r="C738" s="15"/>
      <c r="D738" s="16"/>
      <c r="E738" s="17"/>
      <c r="F738" s="17"/>
      <c r="H738" s="19"/>
      <c r="I738" s="47"/>
      <c r="J738" s="48"/>
      <c r="K738" s="49"/>
    </row>
    <row r="739" spans="1:11" ht="12.75" hidden="1" x14ac:dyDescent="0.2">
      <c r="A739" s="16"/>
      <c r="B739" s="16"/>
      <c r="C739" s="15"/>
      <c r="D739" s="16"/>
      <c r="E739" s="17"/>
      <c r="F739" s="17"/>
      <c r="H739" s="19"/>
      <c r="I739" s="47"/>
      <c r="J739" s="48"/>
      <c r="K739" s="49"/>
    </row>
    <row r="740" spans="1:11" ht="12.75" hidden="1" x14ac:dyDescent="0.2">
      <c r="A740" s="16"/>
      <c r="B740" s="16"/>
      <c r="C740" s="15"/>
      <c r="D740" s="16"/>
      <c r="E740" s="17"/>
      <c r="F740" s="17"/>
      <c r="H740" s="19"/>
      <c r="I740" s="47"/>
      <c r="J740" s="48"/>
      <c r="K740" s="49"/>
    </row>
    <row r="741" spans="1:11" ht="12.75" hidden="1" x14ac:dyDescent="0.2">
      <c r="A741" s="16"/>
      <c r="B741" s="16"/>
      <c r="C741" s="15"/>
      <c r="D741" s="16"/>
      <c r="E741" s="17"/>
      <c r="F741" s="17"/>
      <c r="H741" s="19"/>
      <c r="I741" s="47"/>
      <c r="J741" s="48"/>
      <c r="K741" s="49"/>
    </row>
    <row r="742" spans="1:11" ht="12.75" hidden="1" x14ac:dyDescent="0.2">
      <c r="A742" s="16"/>
      <c r="B742" s="16"/>
      <c r="C742" s="15"/>
      <c r="D742" s="16"/>
      <c r="E742" s="17"/>
      <c r="F742" s="17"/>
      <c r="H742" s="19"/>
      <c r="I742" s="47"/>
      <c r="J742" s="48"/>
      <c r="K742" s="49"/>
    </row>
    <row r="743" spans="1:11" ht="12.75" hidden="1" x14ac:dyDescent="0.2">
      <c r="A743" s="16"/>
      <c r="B743" s="16"/>
      <c r="C743" s="15"/>
      <c r="D743" s="16"/>
      <c r="E743" s="17"/>
      <c r="F743" s="17"/>
      <c r="H743" s="19"/>
      <c r="I743" s="47"/>
      <c r="J743" s="48"/>
      <c r="K743" s="49"/>
    </row>
    <row r="744" spans="1:11" ht="12.75" hidden="1" x14ac:dyDescent="0.2">
      <c r="A744" s="16"/>
      <c r="B744" s="16"/>
      <c r="C744" s="15"/>
      <c r="D744" s="16"/>
      <c r="E744" s="17"/>
      <c r="F744" s="17"/>
      <c r="H744" s="19"/>
      <c r="I744" s="47"/>
      <c r="J744" s="48"/>
      <c r="K744" s="49"/>
    </row>
    <row r="745" spans="1:11" ht="12.75" hidden="1" x14ac:dyDescent="0.2">
      <c r="A745" s="16"/>
      <c r="B745" s="16"/>
      <c r="C745" s="15"/>
      <c r="D745" s="16"/>
      <c r="E745" s="17"/>
      <c r="F745" s="17"/>
      <c r="H745" s="19"/>
      <c r="I745" s="47"/>
      <c r="J745" s="48"/>
      <c r="K745" s="49"/>
    </row>
    <row r="746" spans="1:11" ht="12.75" hidden="1" x14ac:dyDescent="0.2">
      <c r="A746" s="16"/>
      <c r="B746" s="16"/>
      <c r="C746" s="15"/>
      <c r="D746" s="16"/>
      <c r="E746" s="17"/>
      <c r="F746" s="17"/>
      <c r="H746" s="19"/>
      <c r="I746" s="47"/>
      <c r="J746" s="48"/>
      <c r="K746" s="49"/>
    </row>
    <row r="747" spans="1:11" ht="12.75" hidden="1" x14ac:dyDescent="0.2">
      <c r="A747" s="16"/>
      <c r="B747" s="16"/>
      <c r="C747" s="15"/>
      <c r="D747" s="16"/>
      <c r="E747" s="17"/>
      <c r="F747" s="17"/>
      <c r="H747" s="19"/>
      <c r="I747" s="47"/>
      <c r="J747" s="48"/>
      <c r="K747" s="49"/>
    </row>
    <row r="748" spans="1:11" ht="12.75" hidden="1" x14ac:dyDescent="0.2">
      <c r="A748" s="16"/>
      <c r="B748" s="16"/>
      <c r="C748" s="15"/>
      <c r="D748" s="16"/>
      <c r="E748" s="17"/>
      <c r="F748" s="17"/>
      <c r="H748" s="19"/>
      <c r="I748" s="47"/>
      <c r="J748" s="48"/>
      <c r="K748" s="49"/>
    </row>
    <row r="749" spans="1:11" ht="12.75" hidden="1" x14ac:dyDescent="0.2">
      <c r="A749" s="16"/>
      <c r="B749" s="16"/>
      <c r="C749" s="15"/>
      <c r="D749" s="16"/>
      <c r="E749" s="17"/>
      <c r="F749" s="17"/>
      <c r="H749" s="19"/>
      <c r="I749" s="47"/>
      <c r="J749" s="48"/>
      <c r="K749" s="49"/>
    </row>
    <row r="750" spans="1:11" ht="12.75" hidden="1" x14ac:dyDescent="0.2">
      <c r="A750" s="16"/>
      <c r="B750" s="16"/>
      <c r="C750" s="15"/>
      <c r="D750" s="16"/>
      <c r="E750" s="17"/>
      <c r="F750" s="17"/>
      <c r="H750" s="19"/>
      <c r="I750" s="47"/>
      <c r="J750" s="48"/>
      <c r="K750" s="49"/>
    </row>
    <row r="751" spans="1:11" ht="12.75" hidden="1" x14ac:dyDescent="0.2">
      <c r="A751" s="16"/>
      <c r="B751" s="16"/>
      <c r="C751" s="15"/>
      <c r="D751" s="16"/>
      <c r="E751" s="17"/>
      <c r="F751" s="17"/>
      <c r="H751" s="19"/>
      <c r="I751" s="47"/>
      <c r="J751" s="48"/>
      <c r="K751" s="49"/>
    </row>
    <row r="752" spans="1:11" ht="12.75" hidden="1" x14ac:dyDescent="0.2">
      <c r="A752" s="16"/>
      <c r="B752" s="16"/>
      <c r="C752" s="15"/>
      <c r="D752" s="16"/>
      <c r="E752" s="17"/>
      <c r="F752" s="17"/>
      <c r="H752" s="19"/>
      <c r="I752" s="47"/>
      <c r="J752" s="48"/>
      <c r="K752" s="49"/>
    </row>
    <row r="753" spans="1:11" ht="12.75" hidden="1" x14ac:dyDescent="0.2">
      <c r="A753" s="16"/>
      <c r="B753" s="16"/>
      <c r="C753" s="15"/>
      <c r="D753" s="16"/>
      <c r="E753" s="17"/>
      <c r="F753" s="17"/>
      <c r="H753" s="19"/>
      <c r="I753" s="47"/>
      <c r="J753" s="48"/>
      <c r="K753" s="49"/>
    </row>
    <row r="754" spans="1:11" ht="12.75" hidden="1" x14ac:dyDescent="0.2">
      <c r="A754" s="16"/>
      <c r="B754" s="16"/>
      <c r="C754" s="15"/>
      <c r="D754" s="16"/>
      <c r="E754" s="17"/>
      <c r="F754" s="17"/>
      <c r="H754" s="19"/>
      <c r="I754" s="47"/>
      <c r="J754" s="48"/>
      <c r="K754" s="49"/>
    </row>
    <row r="755" spans="1:11" ht="12.75" hidden="1" x14ac:dyDescent="0.2">
      <c r="A755" s="16"/>
      <c r="B755" s="16"/>
      <c r="C755" s="15"/>
      <c r="D755" s="16"/>
      <c r="E755" s="17"/>
      <c r="F755" s="17"/>
      <c r="H755" s="19"/>
      <c r="I755" s="47"/>
      <c r="J755" s="48"/>
      <c r="K755" s="49"/>
    </row>
    <row r="756" spans="1:11" ht="12.75" hidden="1" x14ac:dyDescent="0.2">
      <c r="A756" s="16"/>
      <c r="B756" s="16"/>
      <c r="C756" s="15"/>
      <c r="D756" s="16"/>
      <c r="E756" s="17"/>
      <c r="F756" s="17"/>
      <c r="H756" s="19"/>
      <c r="I756" s="47"/>
      <c r="J756" s="48"/>
      <c r="K756" s="49"/>
    </row>
    <row r="757" spans="1:11" ht="12.75" hidden="1" x14ac:dyDescent="0.2">
      <c r="A757" s="16"/>
      <c r="B757" s="16"/>
      <c r="C757" s="15"/>
      <c r="D757" s="16"/>
      <c r="E757" s="17"/>
      <c r="F757" s="17"/>
      <c r="H757" s="19"/>
      <c r="I757" s="47"/>
      <c r="J757" s="48"/>
      <c r="K757" s="49"/>
    </row>
    <row r="758" spans="1:11" ht="12.75" hidden="1" x14ac:dyDescent="0.2">
      <c r="A758" s="16"/>
      <c r="B758" s="16"/>
      <c r="C758" s="15"/>
      <c r="D758" s="16"/>
      <c r="E758" s="17"/>
      <c r="F758" s="17"/>
      <c r="H758" s="19"/>
      <c r="I758" s="47"/>
      <c r="J758" s="48"/>
      <c r="K758" s="49"/>
    </row>
    <row r="759" spans="1:11" ht="12.75" hidden="1" x14ac:dyDescent="0.2">
      <c r="A759" s="16"/>
      <c r="B759" s="16"/>
      <c r="C759" s="15"/>
      <c r="D759" s="16"/>
      <c r="E759" s="17"/>
      <c r="F759" s="17"/>
      <c r="H759" s="19"/>
      <c r="I759" s="47"/>
      <c r="J759" s="48"/>
      <c r="K759" s="49"/>
    </row>
    <row r="760" spans="1:11" ht="12.75" hidden="1" x14ac:dyDescent="0.2">
      <c r="A760" s="16"/>
      <c r="B760" s="16"/>
      <c r="C760" s="15"/>
      <c r="D760" s="16"/>
      <c r="E760" s="17"/>
      <c r="F760" s="17"/>
      <c r="H760" s="19"/>
      <c r="I760" s="47"/>
      <c r="J760" s="48"/>
      <c r="K760" s="49"/>
    </row>
    <row r="761" spans="1:11" ht="12.75" hidden="1" x14ac:dyDescent="0.2">
      <c r="A761" s="16"/>
      <c r="B761" s="16"/>
      <c r="C761" s="15"/>
      <c r="D761" s="16"/>
      <c r="E761" s="17"/>
      <c r="F761" s="17"/>
      <c r="H761" s="19"/>
      <c r="I761" s="47"/>
      <c r="J761" s="48"/>
      <c r="K761" s="49"/>
    </row>
    <row r="762" spans="1:11" ht="12.75" hidden="1" x14ac:dyDescent="0.2">
      <c r="A762" s="16"/>
      <c r="B762" s="16"/>
      <c r="C762" s="15"/>
      <c r="D762" s="16"/>
      <c r="E762" s="17"/>
      <c r="F762" s="17"/>
      <c r="H762" s="19"/>
      <c r="I762" s="47"/>
      <c r="J762" s="48"/>
      <c r="K762" s="49"/>
    </row>
    <row r="763" spans="1:11" ht="12.75" hidden="1" x14ac:dyDescent="0.2">
      <c r="A763" s="16"/>
      <c r="B763" s="16"/>
      <c r="C763" s="15"/>
      <c r="D763" s="16"/>
      <c r="E763" s="17"/>
      <c r="F763" s="17"/>
      <c r="H763" s="19"/>
      <c r="I763" s="47"/>
      <c r="J763" s="48"/>
      <c r="K763" s="49"/>
    </row>
    <row r="764" spans="1:11" ht="12.75" hidden="1" x14ac:dyDescent="0.2">
      <c r="A764" s="16"/>
      <c r="B764" s="16"/>
      <c r="C764" s="15"/>
      <c r="D764" s="16"/>
      <c r="E764" s="17"/>
      <c r="F764" s="17"/>
      <c r="H764" s="19"/>
      <c r="I764" s="47"/>
      <c r="J764" s="48"/>
      <c r="K764" s="49"/>
    </row>
    <row r="765" spans="1:11" ht="12.75" hidden="1" x14ac:dyDescent="0.2">
      <c r="A765" s="16"/>
      <c r="B765" s="16"/>
      <c r="C765" s="15"/>
      <c r="D765" s="16"/>
      <c r="E765" s="17"/>
      <c r="F765" s="17"/>
      <c r="H765" s="19"/>
      <c r="I765" s="47"/>
      <c r="J765" s="48"/>
      <c r="K765" s="49"/>
    </row>
    <row r="766" spans="1:11" ht="12.75" hidden="1" x14ac:dyDescent="0.2">
      <c r="A766" s="16"/>
      <c r="B766" s="16"/>
      <c r="C766" s="15"/>
      <c r="D766" s="16"/>
      <c r="E766" s="17"/>
      <c r="F766" s="17"/>
      <c r="H766" s="19"/>
      <c r="I766" s="47"/>
      <c r="J766" s="48"/>
      <c r="K766" s="49"/>
    </row>
    <row r="767" spans="1:11" ht="12.75" hidden="1" x14ac:dyDescent="0.2">
      <c r="A767" s="16"/>
      <c r="B767" s="16"/>
      <c r="C767" s="15"/>
      <c r="D767" s="16"/>
      <c r="E767" s="17"/>
      <c r="F767" s="17"/>
      <c r="H767" s="19"/>
      <c r="I767" s="47"/>
      <c r="J767" s="48"/>
      <c r="K767" s="49"/>
    </row>
    <row r="768" spans="1:11" ht="12.75" hidden="1" x14ac:dyDescent="0.2">
      <c r="A768" s="16"/>
      <c r="B768" s="16"/>
      <c r="C768" s="15"/>
      <c r="D768" s="16"/>
      <c r="E768" s="17"/>
      <c r="F768" s="17"/>
      <c r="H768" s="19"/>
      <c r="I768" s="47"/>
      <c r="J768" s="48"/>
      <c r="K768" s="49"/>
    </row>
    <row r="769" spans="1:11" ht="12.75" hidden="1" x14ac:dyDescent="0.2">
      <c r="A769" s="16"/>
      <c r="B769" s="16"/>
      <c r="C769" s="15"/>
      <c r="D769" s="16"/>
      <c r="E769" s="17"/>
      <c r="F769" s="17"/>
      <c r="H769" s="19"/>
      <c r="I769" s="47"/>
      <c r="J769" s="48"/>
      <c r="K769" s="49"/>
    </row>
    <row r="770" spans="1:11" ht="12.75" hidden="1" x14ac:dyDescent="0.2">
      <c r="A770" s="16"/>
      <c r="B770" s="16"/>
      <c r="C770" s="15"/>
      <c r="D770" s="16"/>
      <c r="E770" s="17"/>
      <c r="F770" s="17"/>
      <c r="H770" s="19"/>
      <c r="I770" s="47"/>
      <c r="J770" s="48"/>
      <c r="K770" s="49"/>
    </row>
    <row r="771" spans="1:11" ht="12.75" hidden="1" x14ac:dyDescent="0.2">
      <c r="A771" s="16"/>
      <c r="B771" s="16"/>
      <c r="C771" s="15"/>
      <c r="D771" s="16"/>
      <c r="E771" s="17"/>
      <c r="F771" s="17"/>
      <c r="H771" s="19"/>
      <c r="I771" s="47"/>
      <c r="J771" s="48"/>
      <c r="K771" s="49"/>
    </row>
    <row r="772" spans="1:11" ht="12.75" hidden="1" x14ac:dyDescent="0.2">
      <c r="A772" s="16"/>
      <c r="B772" s="16"/>
      <c r="C772" s="15"/>
      <c r="D772" s="16"/>
      <c r="E772" s="17"/>
      <c r="F772" s="17"/>
      <c r="H772" s="19"/>
      <c r="I772" s="47"/>
      <c r="J772" s="48"/>
      <c r="K772" s="49"/>
    </row>
    <row r="773" spans="1:11" ht="12.75" hidden="1" x14ac:dyDescent="0.2">
      <c r="A773" s="16"/>
      <c r="B773" s="16"/>
      <c r="C773" s="15"/>
      <c r="D773" s="16"/>
      <c r="E773" s="17"/>
      <c r="F773" s="17"/>
      <c r="H773" s="19"/>
      <c r="I773" s="47"/>
      <c r="J773" s="48"/>
      <c r="K773" s="49"/>
    </row>
    <row r="774" spans="1:11" ht="12.75" hidden="1" x14ac:dyDescent="0.2">
      <c r="A774" s="16"/>
      <c r="B774" s="16"/>
      <c r="C774" s="15"/>
      <c r="D774" s="16"/>
      <c r="E774" s="17"/>
      <c r="F774" s="17"/>
      <c r="H774" s="19"/>
      <c r="I774" s="47"/>
      <c r="J774" s="48"/>
      <c r="K774" s="49"/>
    </row>
    <row r="775" spans="1:11" ht="12.75" hidden="1" x14ac:dyDescent="0.2">
      <c r="A775" s="16"/>
      <c r="B775" s="16"/>
      <c r="C775" s="15"/>
      <c r="D775" s="16"/>
      <c r="E775" s="17"/>
      <c r="F775" s="17"/>
      <c r="H775" s="19"/>
      <c r="I775" s="47"/>
      <c r="J775" s="48"/>
      <c r="K775" s="49"/>
    </row>
    <row r="776" spans="1:11" ht="12.75" hidden="1" x14ac:dyDescent="0.2">
      <c r="A776" s="16"/>
      <c r="B776" s="16"/>
      <c r="C776" s="15"/>
      <c r="D776" s="16"/>
      <c r="E776" s="17"/>
      <c r="F776" s="17"/>
      <c r="H776" s="19"/>
      <c r="I776" s="47"/>
      <c r="J776" s="48"/>
      <c r="K776" s="49"/>
    </row>
    <row r="777" spans="1:11" ht="12.75" hidden="1" x14ac:dyDescent="0.2">
      <c r="A777" s="16"/>
      <c r="B777" s="16"/>
      <c r="C777" s="15"/>
      <c r="D777" s="16"/>
      <c r="E777" s="17"/>
      <c r="F777" s="17"/>
      <c r="H777" s="19"/>
      <c r="I777" s="47"/>
      <c r="J777" s="48"/>
      <c r="K777" s="49"/>
    </row>
    <row r="778" spans="1:11" ht="12.75" hidden="1" x14ac:dyDescent="0.2">
      <c r="A778" s="16"/>
      <c r="B778" s="16"/>
      <c r="C778" s="15"/>
      <c r="D778" s="16"/>
      <c r="E778" s="17"/>
      <c r="F778" s="17"/>
      <c r="H778" s="19"/>
      <c r="I778" s="47"/>
      <c r="J778" s="48"/>
      <c r="K778" s="49"/>
    </row>
    <row r="779" spans="1:11" ht="12.75" hidden="1" x14ac:dyDescent="0.2">
      <c r="A779" s="16"/>
      <c r="B779" s="16"/>
      <c r="C779" s="15"/>
      <c r="D779" s="16"/>
      <c r="E779" s="17"/>
      <c r="F779" s="17"/>
      <c r="H779" s="19"/>
      <c r="I779" s="47"/>
      <c r="J779" s="48"/>
      <c r="K779" s="49"/>
    </row>
    <row r="780" spans="1:11" ht="12.75" hidden="1" x14ac:dyDescent="0.2">
      <c r="A780" s="16"/>
      <c r="B780" s="16"/>
      <c r="C780" s="15"/>
      <c r="D780" s="16"/>
      <c r="E780" s="17"/>
      <c r="F780" s="17"/>
      <c r="H780" s="19"/>
      <c r="I780" s="47"/>
      <c r="J780" s="48"/>
      <c r="K780" s="49"/>
    </row>
    <row r="781" spans="1:11" ht="12.75" hidden="1" x14ac:dyDescent="0.2">
      <c r="A781" s="16"/>
      <c r="B781" s="16"/>
      <c r="C781" s="15"/>
      <c r="D781" s="16"/>
      <c r="E781" s="17"/>
      <c r="F781" s="17"/>
      <c r="H781" s="19"/>
      <c r="I781" s="47"/>
      <c r="J781" s="48"/>
      <c r="K781" s="49"/>
    </row>
    <row r="782" spans="1:11" ht="12.75" hidden="1" x14ac:dyDescent="0.2">
      <c r="A782" s="16"/>
      <c r="B782" s="16"/>
      <c r="C782" s="15"/>
      <c r="D782" s="16"/>
      <c r="E782" s="17"/>
      <c r="F782" s="17"/>
      <c r="H782" s="19"/>
      <c r="I782" s="47"/>
      <c r="J782" s="48"/>
      <c r="K782" s="49"/>
    </row>
    <row r="783" spans="1:11" ht="12.75" hidden="1" x14ac:dyDescent="0.2">
      <c r="A783" s="16"/>
      <c r="B783" s="16"/>
      <c r="C783" s="15"/>
      <c r="D783" s="16"/>
      <c r="E783" s="17"/>
      <c r="F783" s="17"/>
      <c r="H783" s="19"/>
      <c r="I783" s="47"/>
      <c r="J783" s="48"/>
      <c r="K783" s="49"/>
    </row>
    <row r="784" spans="1:11" ht="12.75" hidden="1" x14ac:dyDescent="0.2">
      <c r="A784" s="16"/>
      <c r="B784" s="16"/>
      <c r="C784" s="15"/>
      <c r="D784" s="16"/>
      <c r="E784" s="17"/>
      <c r="F784" s="17"/>
      <c r="H784" s="19"/>
      <c r="I784" s="47"/>
      <c r="J784" s="48"/>
      <c r="K784" s="49"/>
    </row>
    <row r="785" spans="1:11" ht="12.75" hidden="1" x14ac:dyDescent="0.2">
      <c r="A785" s="16"/>
      <c r="B785" s="16"/>
      <c r="C785" s="15"/>
      <c r="D785" s="16"/>
      <c r="E785" s="17"/>
      <c r="F785" s="17"/>
      <c r="H785" s="19"/>
      <c r="I785" s="47"/>
      <c r="J785" s="48"/>
      <c r="K785" s="49"/>
    </row>
    <row r="786" spans="1:11" ht="12.75" hidden="1" x14ac:dyDescent="0.2">
      <c r="A786" s="16"/>
      <c r="B786" s="16"/>
      <c r="C786" s="15"/>
      <c r="D786" s="16"/>
      <c r="E786" s="17"/>
      <c r="F786" s="17"/>
      <c r="H786" s="19"/>
      <c r="I786" s="47"/>
      <c r="J786" s="48"/>
      <c r="K786" s="49"/>
    </row>
    <row r="787" spans="1:11" ht="12.75" hidden="1" x14ac:dyDescent="0.2">
      <c r="A787" s="16"/>
      <c r="B787" s="16"/>
      <c r="C787" s="15"/>
      <c r="D787" s="16"/>
      <c r="E787" s="17"/>
      <c r="F787" s="17"/>
      <c r="H787" s="19"/>
      <c r="I787" s="47"/>
      <c r="J787" s="48"/>
      <c r="K787" s="49"/>
    </row>
    <row r="788" spans="1:11" ht="12.75" hidden="1" x14ac:dyDescent="0.2">
      <c r="A788" s="16"/>
      <c r="B788" s="16"/>
      <c r="C788" s="15"/>
      <c r="D788" s="16"/>
      <c r="E788" s="17"/>
      <c r="F788" s="17"/>
      <c r="H788" s="19"/>
      <c r="I788" s="47"/>
      <c r="J788" s="48"/>
      <c r="K788" s="49"/>
    </row>
    <row r="789" spans="1:11" ht="12.75" hidden="1" x14ac:dyDescent="0.2">
      <c r="A789" s="16"/>
      <c r="B789" s="16"/>
      <c r="C789" s="15"/>
      <c r="D789" s="16"/>
      <c r="E789" s="17"/>
      <c r="F789" s="17"/>
      <c r="H789" s="19"/>
      <c r="I789" s="47"/>
      <c r="J789" s="48"/>
      <c r="K789" s="49"/>
    </row>
    <row r="790" spans="1:11" ht="12.75" hidden="1" x14ac:dyDescent="0.2">
      <c r="A790" s="16"/>
      <c r="B790" s="16"/>
      <c r="C790" s="15"/>
      <c r="D790" s="16"/>
      <c r="E790" s="17"/>
      <c r="F790" s="17"/>
      <c r="H790" s="19"/>
      <c r="I790" s="47"/>
      <c r="J790" s="48"/>
      <c r="K790" s="49"/>
    </row>
    <row r="791" spans="1:11" ht="12.75" hidden="1" x14ac:dyDescent="0.2">
      <c r="A791" s="16"/>
      <c r="B791" s="16"/>
      <c r="C791" s="15"/>
      <c r="D791" s="16"/>
      <c r="E791" s="17"/>
      <c r="F791" s="17"/>
      <c r="H791" s="19"/>
      <c r="I791" s="47"/>
      <c r="J791" s="48"/>
      <c r="K791" s="49"/>
    </row>
    <row r="792" spans="1:11" ht="12.75" hidden="1" x14ac:dyDescent="0.2">
      <c r="A792" s="16"/>
      <c r="B792" s="16"/>
      <c r="C792" s="15"/>
      <c r="D792" s="16"/>
      <c r="E792" s="17"/>
      <c r="F792" s="17"/>
      <c r="H792" s="19"/>
      <c r="I792" s="47"/>
      <c r="J792" s="48"/>
      <c r="K792" s="49"/>
    </row>
    <row r="793" spans="1:11" ht="12.75" hidden="1" x14ac:dyDescent="0.2">
      <c r="A793" s="16"/>
      <c r="B793" s="16"/>
      <c r="C793" s="15"/>
      <c r="D793" s="16"/>
      <c r="E793" s="17"/>
      <c r="F793" s="17"/>
      <c r="H793" s="19"/>
      <c r="I793" s="47"/>
      <c r="J793" s="48"/>
      <c r="K793" s="49"/>
    </row>
    <row r="794" spans="1:11" ht="12.75" hidden="1" x14ac:dyDescent="0.2">
      <c r="A794" s="16"/>
      <c r="B794" s="16"/>
      <c r="C794" s="15"/>
      <c r="D794" s="16"/>
      <c r="E794" s="17"/>
      <c r="F794" s="17"/>
      <c r="H794" s="19"/>
      <c r="I794" s="47"/>
      <c r="J794" s="48"/>
      <c r="K794" s="49"/>
    </row>
    <row r="795" spans="1:11" ht="12.75" hidden="1" x14ac:dyDescent="0.2">
      <c r="A795" s="16"/>
      <c r="B795" s="16"/>
      <c r="C795" s="15"/>
      <c r="D795" s="16"/>
      <c r="E795" s="17"/>
      <c r="F795" s="17"/>
      <c r="H795" s="19"/>
      <c r="I795" s="47"/>
      <c r="J795" s="48"/>
      <c r="K795" s="49"/>
    </row>
    <row r="796" spans="1:11" ht="12.75" hidden="1" x14ac:dyDescent="0.2">
      <c r="A796" s="16"/>
      <c r="B796" s="16"/>
      <c r="C796" s="15"/>
      <c r="D796" s="16"/>
      <c r="E796" s="17"/>
      <c r="F796" s="17"/>
      <c r="H796" s="19"/>
      <c r="I796" s="47"/>
      <c r="J796" s="48"/>
      <c r="K796" s="49"/>
    </row>
    <row r="797" spans="1:11" ht="12.75" hidden="1" x14ac:dyDescent="0.2">
      <c r="A797" s="16"/>
      <c r="B797" s="16"/>
      <c r="C797" s="15"/>
      <c r="D797" s="16"/>
      <c r="E797" s="17"/>
      <c r="F797" s="17"/>
      <c r="H797" s="19"/>
      <c r="I797" s="47"/>
      <c r="J797" s="48"/>
      <c r="K797" s="49"/>
    </row>
    <row r="798" spans="1:11" ht="12.75" hidden="1" x14ac:dyDescent="0.2">
      <c r="A798" s="16"/>
      <c r="B798" s="16"/>
      <c r="C798" s="15"/>
      <c r="D798" s="16"/>
      <c r="E798" s="17"/>
      <c r="F798" s="17"/>
      <c r="H798" s="19"/>
      <c r="I798" s="47"/>
      <c r="J798" s="48"/>
      <c r="K798" s="49"/>
    </row>
    <row r="799" spans="1:11" ht="12.75" hidden="1" x14ac:dyDescent="0.2">
      <c r="A799" s="16"/>
      <c r="B799" s="16"/>
      <c r="C799" s="15"/>
      <c r="D799" s="16"/>
      <c r="E799" s="17"/>
      <c r="F799" s="17"/>
      <c r="H799" s="19"/>
      <c r="I799" s="47"/>
      <c r="J799" s="48"/>
      <c r="K799" s="49"/>
    </row>
    <row r="800" spans="1:11" ht="12.75" hidden="1" x14ac:dyDescent="0.2">
      <c r="A800" s="16"/>
      <c r="B800" s="16"/>
      <c r="C800" s="15"/>
      <c r="D800" s="16"/>
      <c r="E800" s="17"/>
      <c r="F800" s="17"/>
      <c r="H800" s="19"/>
      <c r="I800" s="47"/>
      <c r="J800" s="48"/>
      <c r="K800" s="49"/>
    </row>
    <row r="801" spans="1:11" ht="12.75" hidden="1" x14ac:dyDescent="0.2">
      <c r="A801" s="16"/>
      <c r="B801" s="16"/>
      <c r="C801" s="15"/>
      <c r="D801" s="16"/>
      <c r="E801" s="17"/>
      <c r="F801" s="17"/>
      <c r="H801" s="19"/>
      <c r="I801" s="47"/>
      <c r="J801" s="48"/>
      <c r="K801" s="49"/>
    </row>
    <row r="802" spans="1:11" ht="12.75" hidden="1" x14ac:dyDescent="0.2">
      <c r="A802" s="16"/>
      <c r="B802" s="16"/>
      <c r="C802" s="15"/>
      <c r="D802" s="16"/>
      <c r="E802" s="17"/>
      <c r="F802" s="17"/>
      <c r="H802" s="19"/>
      <c r="I802" s="47"/>
      <c r="J802" s="48"/>
      <c r="K802" s="49"/>
    </row>
    <row r="803" spans="1:11" ht="12.75" hidden="1" x14ac:dyDescent="0.2">
      <c r="A803" s="16"/>
      <c r="B803" s="16"/>
      <c r="C803" s="15"/>
      <c r="D803" s="16"/>
      <c r="E803" s="17"/>
      <c r="F803" s="17"/>
      <c r="H803" s="19"/>
      <c r="I803" s="47"/>
      <c r="J803" s="48"/>
      <c r="K803" s="49"/>
    </row>
    <row r="804" spans="1:11" ht="12.75" hidden="1" x14ac:dyDescent="0.2">
      <c r="A804" s="16"/>
      <c r="B804" s="16"/>
      <c r="C804" s="15"/>
      <c r="D804" s="16"/>
      <c r="E804" s="17"/>
      <c r="F804" s="17"/>
      <c r="H804" s="19"/>
      <c r="I804" s="47"/>
      <c r="J804" s="48"/>
      <c r="K804" s="49"/>
    </row>
    <row r="805" spans="1:11" ht="12.75" hidden="1" x14ac:dyDescent="0.2">
      <c r="A805" s="16"/>
      <c r="B805" s="16"/>
      <c r="C805" s="15"/>
      <c r="D805" s="16"/>
      <c r="E805" s="17"/>
      <c r="F805" s="17"/>
      <c r="H805" s="19"/>
      <c r="I805" s="47"/>
      <c r="J805" s="48"/>
      <c r="K805" s="49"/>
    </row>
    <row r="806" spans="1:11" ht="12.75" hidden="1" x14ac:dyDescent="0.2">
      <c r="A806" s="16"/>
      <c r="B806" s="16"/>
      <c r="C806" s="15"/>
      <c r="D806" s="16"/>
      <c r="E806" s="17"/>
      <c r="F806" s="17"/>
      <c r="H806" s="19"/>
      <c r="I806" s="47"/>
      <c r="J806" s="48"/>
      <c r="K806" s="49"/>
    </row>
    <row r="807" spans="1:11" ht="12.75" hidden="1" x14ac:dyDescent="0.2">
      <c r="A807" s="16"/>
      <c r="B807" s="16"/>
      <c r="C807" s="15"/>
      <c r="D807" s="16"/>
      <c r="E807" s="17"/>
      <c r="F807" s="17"/>
      <c r="H807" s="19"/>
      <c r="I807" s="47"/>
      <c r="J807" s="48"/>
      <c r="K807" s="49"/>
    </row>
    <row r="808" spans="1:11" ht="12.75" hidden="1" x14ac:dyDescent="0.2">
      <c r="A808" s="16"/>
      <c r="B808" s="16"/>
      <c r="C808" s="15"/>
      <c r="D808" s="16"/>
      <c r="E808" s="17"/>
      <c r="F808" s="17"/>
      <c r="H808" s="19"/>
      <c r="I808" s="47"/>
      <c r="J808" s="48"/>
      <c r="K808" s="49"/>
    </row>
    <row r="809" spans="1:11" ht="12.75" hidden="1" x14ac:dyDescent="0.2">
      <c r="A809" s="16"/>
      <c r="B809" s="16"/>
      <c r="C809" s="15"/>
      <c r="D809" s="16"/>
      <c r="E809" s="17"/>
      <c r="F809" s="17"/>
      <c r="H809" s="19"/>
      <c r="I809" s="47"/>
      <c r="J809" s="48"/>
      <c r="K809" s="49"/>
    </row>
    <row r="810" spans="1:11" ht="12.75" hidden="1" x14ac:dyDescent="0.2">
      <c r="A810" s="16"/>
      <c r="B810" s="16"/>
      <c r="C810" s="15"/>
      <c r="D810" s="16"/>
      <c r="E810" s="17"/>
      <c r="F810" s="17"/>
      <c r="H810" s="19"/>
      <c r="I810" s="47"/>
      <c r="J810" s="48"/>
      <c r="K810" s="49"/>
    </row>
    <row r="811" spans="1:11" ht="12.75" hidden="1" x14ac:dyDescent="0.2">
      <c r="A811" s="16"/>
      <c r="B811" s="16"/>
      <c r="C811" s="15"/>
      <c r="D811" s="16"/>
      <c r="E811" s="17"/>
      <c r="F811" s="17"/>
      <c r="H811" s="19"/>
      <c r="I811" s="47"/>
      <c r="J811" s="48"/>
      <c r="K811" s="49"/>
    </row>
    <row r="812" spans="1:11" ht="12.75" hidden="1" x14ac:dyDescent="0.2">
      <c r="A812" s="16"/>
      <c r="B812" s="16"/>
      <c r="C812" s="15"/>
      <c r="D812" s="16"/>
      <c r="E812" s="17"/>
      <c r="F812" s="17"/>
      <c r="H812" s="19"/>
      <c r="I812" s="47"/>
      <c r="J812" s="48"/>
      <c r="K812" s="49"/>
    </row>
    <row r="813" spans="1:11" ht="12.75" hidden="1" x14ac:dyDescent="0.2">
      <c r="A813" s="16"/>
      <c r="B813" s="16"/>
      <c r="C813" s="15"/>
      <c r="D813" s="16"/>
      <c r="E813" s="17"/>
      <c r="F813" s="17"/>
      <c r="H813" s="19"/>
      <c r="I813" s="47"/>
      <c r="J813" s="48"/>
      <c r="K813" s="49"/>
    </row>
    <row r="814" spans="1:11" ht="12.75" hidden="1" x14ac:dyDescent="0.2">
      <c r="A814" s="16"/>
      <c r="B814" s="16"/>
      <c r="C814" s="15"/>
      <c r="D814" s="16"/>
      <c r="E814" s="17"/>
      <c r="F814" s="17"/>
      <c r="H814" s="19"/>
      <c r="I814" s="47"/>
      <c r="J814" s="48"/>
      <c r="K814" s="49"/>
    </row>
    <row r="815" spans="1:11" ht="12.75" hidden="1" x14ac:dyDescent="0.2">
      <c r="A815" s="16"/>
      <c r="B815" s="16"/>
      <c r="C815" s="15"/>
      <c r="D815" s="16"/>
      <c r="E815" s="17"/>
      <c r="F815" s="17"/>
      <c r="H815" s="19"/>
      <c r="I815" s="47"/>
      <c r="J815" s="48"/>
      <c r="K815" s="49"/>
    </row>
    <row r="816" spans="1:11" ht="12.75" hidden="1" x14ac:dyDescent="0.2">
      <c r="A816" s="16"/>
      <c r="B816" s="16"/>
      <c r="C816" s="15"/>
      <c r="D816" s="16"/>
      <c r="E816" s="17"/>
      <c r="F816" s="17"/>
      <c r="H816" s="19"/>
      <c r="I816" s="47"/>
      <c r="J816" s="48"/>
      <c r="K816" s="49"/>
    </row>
    <row r="817" spans="1:11" ht="12.75" hidden="1" x14ac:dyDescent="0.2">
      <c r="A817" s="16"/>
      <c r="B817" s="16"/>
      <c r="C817" s="15"/>
      <c r="D817" s="16"/>
      <c r="E817" s="17"/>
      <c r="F817" s="17"/>
      <c r="H817" s="19"/>
      <c r="I817" s="47"/>
      <c r="J817" s="48"/>
      <c r="K817" s="49"/>
    </row>
    <row r="818" spans="1:11" ht="12.75" hidden="1" x14ac:dyDescent="0.2">
      <c r="A818" s="16"/>
      <c r="B818" s="16"/>
      <c r="C818" s="15"/>
      <c r="D818" s="16"/>
      <c r="E818" s="17"/>
      <c r="F818" s="17"/>
      <c r="H818" s="19"/>
      <c r="I818" s="47"/>
      <c r="J818" s="48"/>
      <c r="K818" s="49"/>
    </row>
    <row r="819" spans="1:11" ht="12.75" hidden="1" x14ac:dyDescent="0.2">
      <c r="A819" s="16"/>
      <c r="B819" s="16"/>
      <c r="C819" s="15"/>
      <c r="D819" s="16"/>
      <c r="E819" s="17"/>
      <c r="F819" s="17"/>
      <c r="H819" s="19"/>
      <c r="I819" s="47"/>
      <c r="J819" s="48"/>
      <c r="K819" s="49"/>
    </row>
    <row r="820" spans="1:11" ht="12.75" hidden="1" x14ac:dyDescent="0.2">
      <c r="A820" s="16"/>
      <c r="B820" s="16"/>
      <c r="C820" s="15"/>
      <c r="D820" s="16"/>
      <c r="E820" s="17"/>
      <c r="F820" s="17"/>
      <c r="H820" s="19"/>
      <c r="I820" s="47"/>
      <c r="J820" s="48"/>
      <c r="K820" s="49"/>
    </row>
    <row r="821" spans="1:11" ht="12.75" hidden="1" x14ac:dyDescent="0.2">
      <c r="A821" s="16"/>
      <c r="B821" s="16"/>
      <c r="C821" s="15"/>
      <c r="D821" s="16"/>
      <c r="E821" s="17"/>
      <c r="F821" s="17"/>
      <c r="H821" s="19"/>
      <c r="I821" s="47"/>
      <c r="J821" s="48"/>
      <c r="K821" s="49"/>
    </row>
    <row r="822" spans="1:11" ht="12.75" hidden="1" x14ac:dyDescent="0.2">
      <c r="A822" s="16"/>
      <c r="B822" s="16"/>
      <c r="C822" s="15"/>
      <c r="D822" s="16"/>
      <c r="E822" s="17"/>
      <c r="F822" s="17"/>
      <c r="H822" s="19"/>
      <c r="I822" s="47"/>
      <c r="J822" s="48"/>
      <c r="K822" s="49"/>
    </row>
    <row r="823" spans="1:11" ht="12.75" hidden="1" x14ac:dyDescent="0.2">
      <c r="A823" s="16"/>
      <c r="B823" s="16"/>
      <c r="C823" s="15"/>
      <c r="D823" s="16"/>
      <c r="E823" s="17"/>
      <c r="F823" s="17"/>
      <c r="H823" s="19"/>
      <c r="I823" s="47"/>
      <c r="J823" s="48"/>
      <c r="K823" s="49"/>
    </row>
    <row r="824" spans="1:11" ht="12.75" hidden="1" x14ac:dyDescent="0.2">
      <c r="A824" s="16"/>
      <c r="B824" s="16"/>
      <c r="C824" s="15"/>
      <c r="D824" s="16"/>
      <c r="E824" s="17"/>
      <c r="F824" s="17"/>
      <c r="H824" s="19"/>
      <c r="I824" s="47"/>
      <c r="J824" s="48"/>
      <c r="K824" s="49"/>
    </row>
    <row r="825" spans="1:11" ht="12.75" hidden="1" x14ac:dyDescent="0.2">
      <c r="A825" s="16"/>
      <c r="B825" s="16"/>
      <c r="C825" s="15"/>
      <c r="D825" s="16"/>
      <c r="E825" s="17"/>
      <c r="F825" s="17"/>
      <c r="H825" s="19"/>
      <c r="I825" s="47"/>
      <c r="J825" s="48"/>
      <c r="K825" s="49"/>
    </row>
    <row r="826" spans="1:11" ht="12.75" hidden="1" x14ac:dyDescent="0.2">
      <c r="A826" s="16"/>
      <c r="B826" s="16"/>
      <c r="C826" s="15"/>
      <c r="D826" s="16"/>
      <c r="E826" s="17"/>
      <c r="F826" s="17"/>
      <c r="H826" s="19"/>
      <c r="I826" s="47"/>
      <c r="J826" s="48"/>
      <c r="K826" s="49"/>
    </row>
    <row r="827" spans="1:11" ht="12.75" hidden="1" x14ac:dyDescent="0.2">
      <c r="A827" s="16"/>
      <c r="B827" s="16"/>
      <c r="C827" s="15"/>
      <c r="D827" s="16"/>
      <c r="E827" s="17"/>
      <c r="F827" s="17"/>
      <c r="H827" s="19"/>
      <c r="I827" s="47"/>
      <c r="J827" s="48"/>
      <c r="K827" s="49"/>
    </row>
    <row r="828" spans="1:11" ht="12.75" hidden="1" x14ac:dyDescent="0.2">
      <c r="A828" s="16"/>
      <c r="B828" s="16"/>
      <c r="C828" s="15"/>
      <c r="D828" s="16"/>
      <c r="E828" s="17"/>
      <c r="F828" s="17"/>
      <c r="H828" s="19"/>
      <c r="I828" s="47"/>
      <c r="J828" s="48"/>
      <c r="K828" s="49"/>
    </row>
    <row r="829" spans="1:11" ht="12.75" hidden="1" x14ac:dyDescent="0.2">
      <c r="A829" s="16"/>
      <c r="B829" s="16"/>
      <c r="C829" s="15"/>
      <c r="D829" s="16"/>
      <c r="E829" s="17"/>
      <c r="F829" s="17"/>
      <c r="H829" s="19"/>
      <c r="I829" s="47"/>
      <c r="J829" s="48"/>
      <c r="K829" s="49"/>
    </row>
    <row r="830" spans="1:11" ht="12.75" hidden="1" x14ac:dyDescent="0.2">
      <c r="A830" s="16"/>
      <c r="B830" s="16"/>
      <c r="C830" s="15"/>
      <c r="D830" s="16"/>
      <c r="E830" s="17"/>
      <c r="F830" s="17"/>
      <c r="H830" s="19"/>
      <c r="I830" s="47"/>
      <c r="J830" s="48"/>
      <c r="K830" s="49"/>
    </row>
    <row r="831" spans="1:11" ht="12.75" hidden="1" x14ac:dyDescent="0.2">
      <c r="A831" s="16"/>
      <c r="B831" s="16"/>
      <c r="C831" s="15"/>
      <c r="D831" s="16"/>
      <c r="E831" s="17"/>
      <c r="F831" s="17"/>
      <c r="H831" s="19"/>
      <c r="I831" s="47"/>
      <c r="J831" s="48"/>
      <c r="K831" s="49"/>
    </row>
    <row r="832" spans="1:11" ht="12.75" hidden="1" x14ac:dyDescent="0.2">
      <c r="A832" s="16"/>
      <c r="B832" s="16"/>
      <c r="C832" s="15"/>
      <c r="D832" s="16"/>
      <c r="E832" s="17"/>
      <c r="F832" s="17"/>
      <c r="H832" s="19"/>
      <c r="I832" s="47"/>
      <c r="J832" s="48"/>
      <c r="K832" s="49"/>
    </row>
    <row r="833" spans="1:11" ht="12.75" hidden="1" x14ac:dyDescent="0.2">
      <c r="A833" s="16"/>
      <c r="B833" s="16"/>
      <c r="C833" s="15"/>
      <c r="D833" s="16"/>
      <c r="E833" s="17"/>
      <c r="F833" s="17"/>
      <c r="H833" s="19"/>
      <c r="I833" s="47"/>
      <c r="J833" s="48"/>
      <c r="K833" s="49"/>
    </row>
    <row r="834" spans="1:11" ht="12.75" hidden="1" x14ac:dyDescent="0.2">
      <c r="A834" s="16"/>
      <c r="B834" s="16"/>
      <c r="C834" s="15"/>
      <c r="D834" s="16"/>
      <c r="E834" s="17"/>
      <c r="F834" s="17"/>
      <c r="H834" s="19"/>
      <c r="I834" s="47"/>
      <c r="J834" s="48"/>
      <c r="K834" s="49"/>
    </row>
    <row r="835" spans="1:11" ht="12.75" hidden="1" x14ac:dyDescent="0.2">
      <c r="A835" s="16"/>
      <c r="B835" s="16"/>
      <c r="C835" s="15"/>
      <c r="D835" s="16"/>
      <c r="E835" s="17"/>
      <c r="F835" s="17"/>
      <c r="H835" s="19"/>
      <c r="I835" s="47"/>
      <c r="J835" s="48"/>
      <c r="K835" s="49"/>
    </row>
    <row r="836" spans="1:11" ht="12.75" hidden="1" x14ac:dyDescent="0.2">
      <c r="A836" s="16"/>
      <c r="B836" s="16"/>
      <c r="C836" s="15"/>
      <c r="D836" s="16"/>
      <c r="E836" s="17"/>
      <c r="F836" s="17"/>
      <c r="H836" s="19"/>
      <c r="I836" s="47"/>
      <c r="J836" s="48"/>
      <c r="K836" s="49"/>
    </row>
    <row r="837" spans="1:11" ht="12.75" hidden="1" x14ac:dyDescent="0.2">
      <c r="A837" s="16"/>
      <c r="B837" s="16"/>
      <c r="C837" s="15"/>
      <c r="D837" s="16"/>
      <c r="E837" s="17"/>
      <c r="F837" s="17"/>
      <c r="H837" s="19"/>
      <c r="I837" s="47"/>
      <c r="J837" s="48"/>
      <c r="K837" s="49"/>
    </row>
    <row r="838" spans="1:11" ht="12.75" hidden="1" x14ac:dyDescent="0.2">
      <c r="A838" s="16"/>
      <c r="B838" s="16"/>
      <c r="C838" s="15"/>
      <c r="D838" s="16"/>
      <c r="E838" s="17"/>
      <c r="F838" s="17"/>
      <c r="H838" s="19"/>
      <c r="I838" s="47"/>
      <c r="J838" s="48"/>
      <c r="K838" s="49"/>
    </row>
    <row r="839" spans="1:11" ht="12.75" hidden="1" x14ac:dyDescent="0.2">
      <c r="A839" s="16"/>
      <c r="B839" s="16"/>
      <c r="C839" s="15"/>
      <c r="D839" s="16"/>
      <c r="E839" s="17"/>
      <c r="F839" s="17"/>
      <c r="H839" s="19"/>
      <c r="I839" s="47"/>
      <c r="J839" s="48"/>
      <c r="K839" s="49"/>
    </row>
    <row r="840" spans="1:11" ht="12.75" hidden="1" x14ac:dyDescent="0.2">
      <c r="A840" s="16"/>
      <c r="B840" s="16"/>
      <c r="C840" s="15"/>
      <c r="D840" s="16"/>
      <c r="E840" s="17"/>
      <c r="F840" s="17"/>
      <c r="H840" s="19"/>
      <c r="I840" s="47"/>
      <c r="J840" s="48"/>
      <c r="K840" s="49"/>
    </row>
    <row r="841" spans="1:11" ht="12.75" hidden="1" x14ac:dyDescent="0.2">
      <c r="A841" s="16"/>
      <c r="B841" s="16"/>
      <c r="C841" s="15"/>
      <c r="D841" s="16"/>
      <c r="E841" s="17"/>
      <c r="F841" s="17"/>
      <c r="H841" s="19"/>
      <c r="I841" s="47"/>
      <c r="J841" s="48"/>
      <c r="K841" s="49"/>
    </row>
    <row r="842" spans="1:11" ht="12.75" hidden="1" x14ac:dyDescent="0.2">
      <c r="A842" s="16"/>
      <c r="B842" s="16"/>
      <c r="C842" s="15"/>
      <c r="D842" s="16"/>
      <c r="E842" s="17"/>
      <c r="F842" s="17"/>
      <c r="H842" s="19"/>
      <c r="I842" s="47"/>
      <c r="J842" s="48"/>
      <c r="K842" s="49"/>
    </row>
    <row r="843" spans="1:11" ht="12.75" hidden="1" x14ac:dyDescent="0.2">
      <c r="A843" s="16"/>
      <c r="B843" s="16"/>
      <c r="C843" s="15"/>
      <c r="D843" s="16"/>
      <c r="E843" s="17"/>
      <c r="F843" s="17"/>
      <c r="H843" s="19"/>
      <c r="I843" s="47"/>
      <c r="J843" s="48"/>
      <c r="K843" s="49"/>
    </row>
    <row r="844" spans="1:11" ht="12.75" hidden="1" x14ac:dyDescent="0.2">
      <c r="A844" s="16"/>
      <c r="B844" s="16"/>
      <c r="C844" s="15"/>
      <c r="D844" s="16"/>
      <c r="E844" s="17"/>
      <c r="F844" s="17"/>
      <c r="H844" s="19"/>
      <c r="I844" s="47"/>
      <c r="J844" s="48"/>
      <c r="K844" s="49"/>
    </row>
    <row r="845" spans="1:11" ht="12.75" hidden="1" x14ac:dyDescent="0.2">
      <c r="A845" s="16"/>
      <c r="B845" s="16"/>
      <c r="C845" s="15"/>
      <c r="D845" s="16"/>
      <c r="E845" s="17"/>
      <c r="F845" s="17"/>
      <c r="H845" s="19"/>
      <c r="I845" s="47"/>
      <c r="J845" s="48"/>
      <c r="K845" s="49"/>
    </row>
    <row r="846" spans="1:11" ht="12.75" hidden="1" x14ac:dyDescent="0.2">
      <c r="A846" s="16"/>
      <c r="B846" s="16"/>
      <c r="C846" s="15"/>
      <c r="D846" s="16"/>
      <c r="E846" s="17"/>
      <c r="F846" s="17"/>
      <c r="H846" s="19"/>
      <c r="I846" s="47"/>
      <c r="J846" s="48"/>
      <c r="K846" s="49"/>
    </row>
    <row r="847" spans="1:11" ht="12.75" hidden="1" x14ac:dyDescent="0.2">
      <c r="A847" s="16"/>
      <c r="B847" s="16"/>
      <c r="C847" s="15"/>
      <c r="D847" s="16"/>
      <c r="E847" s="17"/>
      <c r="F847" s="17"/>
      <c r="H847" s="19"/>
      <c r="I847" s="47"/>
      <c r="J847" s="48"/>
      <c r="K847" s="49"/>
    </row>
    <row r="848" spans="1:11" ht="12.75" hidden="1" x14ac:dyDescent="0.2">
      <c r="A848" s="16"/>
      <c r="B848" s="16"/>
      <c r="C848" s="15"/>
      <c r="D848" s="16"/>
      <c r="E848" s="17"/>
      <c r="F848" s="17"/>
      <c r="H848" s="19"/>
      <c r="I848" s="47"/>
      <c r="J848" s="48"/>
      <c r="K848" s="49"/>
    </row>
    <row r="849" spans="1:11" ht="12.75" hidden="1" x14ac:dyDescent="0.2">
      <c r="A849" s="16"/>
      <c r="B849" s="16"/>
      <c r="C849" s="15"/>
      <c r="D849" s="16"/>
      <c r="E849" s="17"/>
      <c r="F849" s="17"/>
      <c r="H849" s="19"/>
      <c r="I849" s="47"/>
      <c r="J849" s="48"/>
      <c r="K849" s="49"/>
    </row>
    <row r="850" spans="1:11" ht="12.75" hidden="1" x14ac:dyDescent="0.2">
      <c r="A850" s="16"/>
      <c r="B850" s="16"/>
      <c r="C850" s="15"/>
      <c r="D850" s="16"/>
      <c r="E850" s="17"/>
      <c r="F850" s="17"/>
      <c r="H850" s="19"/>
      <c r="I850" s="47"/>
      <c r="J850" s="48"/>
      <c r="K850" s="49"/>
    </row>
    <row r="851" spans="1:11" ht="12.75" hidden="1" x14ac:dyDescent="0.2">
      <c r="A851" s="16"/>
      <c r="B851" s="16"/>
      <c r="C851" s="15"/>
      <c r="D851" s="16"/>
      <c r="E851" s="17"/>
      <c r="F851" s="17"/>
      <c r="H851" s="19"/>
      <c r="I851" s="47"/>
      <c r="J851" s="48"/>
      <c r="K851" s="49"/>
    </row>
    <row r="852" spans="1:11" ht="12.75" hidden="1" x14ac:dyDescent="0.2">
      <c r="A852" s="16"/>
      <c r="B852" s="16"/>
      <c r="C852" s="15"/>
      <c r="D852" s="16"/>
      <c r="E852" s="17"/>
      <c r="F852" s="17"/>
      <c r="H852" s="19"/>
      <c r="I852" s="47"/>
      <c r="J852" s="48"/>
      <c r="K852" s="49"/>
    </row>
    <row r="853" spans="1:11" ht="12.75" hidden="1" x14ac:dyDescent="0.2">
      <c r="A853" s="16"/>
      <c r="B853" s="16"/>
      <c r="C853" s="15"/>
      <c r="D853" s="16"/>
      <c r="E853" s="17"/>
      <c r="F853" s="17"/>
      <c r="H853" s="50"/>
      <c r="I853" s="51"/>
      <c r="J853" s="52"/>
      <c r="K853" s="53"/>
    </row>
  </sheetData>
  <autoFilter ref="A6:I215" xr:uid="{00000000-0009-0000-0000-000006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1 C7:C215">
    <cfRule type="cellIs" dxfId="33" priority="1" operator="lessThan">
      <formula>"90%"</formula>
    </cfRule>
    <cfRule type="cellIs" dxfId="32" priority="2" operator="lessThan">
      <formula>"94%"</formula>
    </cfRule>
  </conditionalFormatting>
  <conditionalFormatting sqref="C6:C853">
    <cfRule type="cellIs" dxfId="31" priority="4" operator="lessThan">
      <formula>"92%"</formula>
    </cfRule>
  </conditionalFormatting>
  <conditionalFormatting sqref="K1:K853">
    <cfRule type="cellIs" dxfId="30" priority="3" operator="lessThan">
      <formula>0</formula>
    </cfRule>
  </conditionalFormatting>
  <dataValidations count="1">
    <dataValidation type="list" allowBlank="1" sqref="E7:E215" xr:uid="{00000000-0002-0000-0600-000000000000}">
      <formula1>"Weather,Health,Safety,Other"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FF"/>
    <outlinePr summaryBelow="0" summaryRight="0"/>
    <pageSetUpPr fitToPage="1"/>
  </sheetPr>
  <dimension ref="A1:K853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15.85546875" customWidth="1"/>
    <col min="6" max="6" width="16.7109375" customWidth="1"/>
    <col min="7" max="7" width="12.42578125" customWidth="1"/>
    <col min="8" max="10" width="16.28515625" customWidth="1"/>
    <col min="11" max="11" width="17.42578125" customWidth="1"/>
  </cols>
  <sheetData>
    <row r="1" spans="1:11" ht="26.25" x14ac:dyDescent="0.35">
      <c r="A1" s="1" t="s">
        <v>94</v>
      </c>
      <c r="B1" s="1"/>
      <c r="C1" s="1"/>
      <c r="D1" s="1"/>
      <c r="E1" s="1"/>
      <c r="F1" s="1"/>
      <c r="G1" s="1"/>
      <c r="H1" s="2"/>
      <c r="I1" s="2"/>
      <c r="J1" s="3"/>
      <c r="K1" s="56" t="e">
        <f>SUM(K7:K215)</f>
        <v>#REF!</v>
      </c>
    </row>
    <row r="2" spans="1:11" x14ac:dyDescent="0.25">
      <c r="A2" s="122" t="s">
        <v>95</v>
      </c>
      <c r="B2" s="119"/>
      <c r="C2" s="119"/>
      <c r="D2" s="119"/>
      <c r="E2" s="119"/>
      <c r="F2" s="119"/>
      <c r="G2" s="119"/>
      <c r="H2" s="123" t="s">
        <v>0</v>
      </c>
      <c r="I2" s="124"/>
      <c r="J2" s="5" t="s">
        <v>9</v>
      </c>
      <c r="K2" s="125" t="s">
        <v>96</v>
      </c>
    </row>
    <row r="3" spans="1:11" ht="23.25" x14ac:dyDescent="0.3">
      <c r="A3" s="119"/>
      <c r="B3" s="119"/>
      <c r="C3" s="119"/>
      <c r="D3" s="119"/>
      <c r="E3" s="119"/>
      <c r="F3" s="119"/>
      <c r="G3" s="119"/>
      <c r="H3" s="126">
        <f>SUM(I7:I128)</f>
        <v>127930.14850000001</v>
      </c>
      <c r="I3" s="124"/>
      <c r="J3" s="127">
        <v>0.95</v>
      </c>
      <c r="K3" s="124"/>
    </row>
    <row r="4" spans="1:11" ht="12.75" x14ac:dyDescent="0.2">
      <c r="A4" s="119"/>
      <c r="B4" s="119"/>
      <c r="C4" s="119"/>
      <c r="D4" s="119"/>
      <c r="E4" s="119"/>
      <c r="F4" s="119"/>
      <c r="G4" s="119"/>
      <c r="H4" s="129" t="s">
        <v>11</v>
      </c>
      <c r="I4" s="119"/>
      <c r="J4" s="128"/>
      <c r="K4" s="124"/>
    </row>
    <row r="5" spans="1:11" ht="15" x14ac:dyDescent="0.35">
      <c r="A5" s="119"/>
      <c r="B5" s="119"/>
      <c r="C5" s="119"/>
      <c r="D5" s="119"/>
      <c r="E5" s="119"/>
      <c r="F5" s="119"/>
      <c r="G5" s="119"/>
      <c r="H5" s="130">
        <v>55</v>
      </c>
      <c r="I5" s="119"/>
      <c r="J5" s="128"/>
      <c r="K5" s="124"/>
    </row>
    <row r="6" spans="1:11" ht="24" x14ac:dyDescent="0.2">
      <c r="A6" s="6" t="s">
        <v>12</v>
      </c>
      <c r="B6" s="7" t="s">
        <v>13</v>
      </c>
      <c r="C6" s="8" t="s">
        <v>14</v>
      </c>
      <c r="D6" s="7" t="s">
        <v>15</v>
      </c>
      <c r="E6" s="9" t="s">
        <v>16</v>
      </c>
      <c r="F6" s="7" t="s">
        <v>17</v>
      </c>
      <c r="G6" s="7" t="s">
        <v>18</v>
      </c>
      <c r="H6" s="10" t="s">
        <v>19</v>
      </c>
      <c r="I6" s="11" t="s">
        <v>20</v>
      </c>
      <c r="J6" s="12" t="s">
        <v>21</v>
      </c>
      <c r="K6" s="124"/>
    </row>
    <row r="7" spans="1:11" ht="12.75" x14ac:dyDescent="0.2">
      <c r="A7" s="13">
        <v>45516</v>
      </c>
      <c r="B7" s="14" t="s">
        <v>3</v>
      </c>
      <c r="C7" s="15">
        <v>1</v>
      </c>
      <c r="D7" s="16" t="s">
        <v>79</v>
      </c>
      <c r="E7" s="17"/>
      <c r="F7" s="17"/>
      <c r="G7" s="18">
        <v>486</v>
      </c>
      <c r="H7" s="19">
        <f t="shared" ref="H7:H132" si="0">G7-(C7*G7)</f>
        <v>0</v>
      </c>
      <c r="I7" s="20">
        <f t="shared" ref="I7:I215" si="1">H7*$H$5</f>
        <v>0</v>
      </c>
      <c r="J7" s="21">
        <v>0</v>
      </c>
      <c r="K7" s="22">
        <f t="shared" ref="K7:K215" si="2">J7-H7</f>
        <v>0</v>
      </c>
    </row>
    <row r="8" spans="1:11" ht="12.75" x14ac:dyDescent="0.2">
      <c r="A8" s="13">
        <v>45517</v>
      </c>
      <c r="B8" s="14" t="s">
        <v>4</v>
      </c>
      <c r="C8" s="15">
        <v>0.998</v>
      </c>
      <c r="D8" s="16" t="s">
        <v>79</v>
      </c>
      <c r="E8" s="17"/>
      <c r="F8" s="17"/>
      <c r="G8" s="18">
        <v>501</v>
      </c>
      <c r="H8" s="19">
        <f t="shared" si="0"/>
        <v>1.0020000000000095</v>
      </c>
      <c r="I8" s="20">
        <f t="shared" si="1"/>
        <v>55.110000000000525</v>
      </c>
      <c r="J8" s="21">
        <f t="shared" ref="J8:J132" si="3">G8-(G8*J$3)</f>
        <v>25.050000000000011</v>
      </c>
      <c r="K8" s="22">
        <f t="shared" si="2"/>
        <v>24.048000000000002</v>
      </c>
    </row>
    <row r="9" spans="1:11" ht="12.75" x14ac:dyDescent="0.2">
      <c r="A9" s="13">
        <v>45518</v>
      </c>
      <c r="B9" s="14" t="s">
        <v>5</v>
      </c>
      <c r="C9" s="15">
        <v>0.99419999999999997</v>
      </c>
      <c r="D9" s="16" t="s">
        <v>23</v>
      </c>
      <c r="E9" s="17"/>
      <c r="F9" s="17"/>
      <c r="G9" s="18">
        <v>514</v>
      </c>
      <c r="H9" s="19">
        <f t="shared" si="0"/>
        <v>2.9812000000000012</v>
      </c>
      <c r="I9" s="20">
        <f t="shared" si="1"/>
        <v>163.96600000000007</v>
      </c>
      <c r="J9" s="21">
        <f t="shared" si="3"/>
        <v>25.700000000000045</v>
      </c>
      <c r="K9" s="22">
        <f t="shared" si="2"/>
        <v>22.718800000000044</v>
      </c>
    </row>
    <row r="10" spans="1:11" ht="25.5" x14ac:dyDescent="0.2">
      <c r="A10" s="24">
        <v>45519</v>
      </c>
      <c r="B10" s="25" t="s">
        <v>6</v>
      </c>
      <c r="C10" s="26"/>
      <c r="D10" s="27"/>
      <c r="E10" s="28"/>
      <c r="F10" s="28" t="s">
        <v>97</v>
      </c>
      <c r="G10" s="29"/>
      <c r="H10" s="19">
        <f t="shared" si="0"/>
        <v>0</v>
      </c>
      <c r="I10" s="20">
        <f t="shared" si="1"/>
        <v>0</v>
      </c>
      <c r="J10" s="21">
        <f t="shared" si="3"/>
        <v>0</v>
      </c>
      <c r="K10" s="22">
        <f t="shared" si="2"/>
        <v>0</v>
      </c>
    </row>
    <row r="11" spans="1:11" ht="12.75" x14ac:dyDescent="0.2">
      <c r="A11" s="13">
        <v>45520</v>
      </c>
      <c r="B11" s="14" t="s">
        <v>7</v>
      </c>
      <c r="C11" s="15">
        <v>0.97109999999999996</v>
      </c>
      <c r="D11" s="16" t="s">
        <v>79</v>
      </c>
      <c r="E11" s="17"/>
      <c r="F11" s="17"/>
      <c r="G11" s="18">
        <v>519</v>
      </c>
      <c r="H11" s="19">
        <f t="shared" si="0"/>
        <v>14.999099999999999</v>
      </c>
      <c r="I11" s="20">
        <f t="shared" si="1"/>
        <v>824.95049999999992</v>
      </c>
      <c r="J11" s="21">
        <f t="shared" si="3"/>
        <v>25.950000000000045</v>
      </c>
      <c r="K11" s="22">
        <f t="shared" si="2"/>
        <v>10.950900000000047</v>
      </c>
    </row>
    <row r="12" spans="1:11" ht="12.75" x14ac:dyDescent="0.2">
      <c r="A12" s="13">
        <v>45523</v>
      </c>
      <c r="B12" s="14" t="s">
        <v>3</v>
      </c>
      <c r="C12" s="15">
        <v>0.97709999999999997</v>
      </c>
      <c r="D12" s="16" t="s">
        <v>79</v>
      </c>
      <c r="E12" s="17"/>
      <c r="F12" s="17"/>
      <c r="G12" s="18">
        <v>524</v>
      </c>
      <c r="H12" s="19">
        <f t="shared" si="0"/>
        <v>11.999599999999987</v>
      </c>
      <c r="I12" s="20">
        <f t="shared" si="1"/>
        <v>659.97799999999927</v>
      </c>
      <c r="J12" s="21">
        <f t="shared" si="3"/>
        <v>26.200000000000045</v>
      </c>
      <c r="K12" s="22">
        <f t="shared" si="2"/>
        <v>14.200400000000059</v>
      </c>
    </row>
    <row r="13" spans="1:11" ht="12.75" x14ac:dyDescent="0.2">
      <c r="A13" s="13">
        <v>45524</v>
      </c>
      <c r="B13" s="14" t="s">
        <v>4</v>
      </c>
      <c r="C13" s="15">
        <v>0.97160000000000002</v>
      </c>
      <c r="D13" s="16" t="s">
        <v>79</v>
      </c>
      <c r="E13" s="17"/>
      <c r="F13" s="17"/>
      <c r="G13" s="18">
        <v>529</v>
      </c>
      <c r="H13" s="19">
        <f t="shared" si="0"/>
        <v>15.023599999999988</v>
      </c>
      <c r="I13" s="20">
        <f t="shared" si="1"/>
        <v>826.29799999999932</v>
      </c>
      <c r="J13" s="21">
        <f t="shared" si="3"/>
        <v>26.450000000000045</v>
      </c>
      <c r="K13" s="22">
        <f t="shared" si="2"/>
        <v>11.426400000000058</v>
      </c>
    </row>
    <row r="14" spans="1:11" ht="12.75" x14ac:dyDescent="0.2">
      <c r="A14" s="13">
        <v>45525</v>
      </c>
      <c r="B14" s="14" t="s">
        <v>5</v>
      </c>
      <c r="C14" s="15">
        <v>0.96599999999999997</v>
      </c>
      <c r="D14" s="16" t="s">
        <v>79</v>
      </c>
      <c r="E14" s="17"/>
      <c r="F14" s="17"/>
      <c r="G14" s="18">
        <v>530</v>
      </c>
      <c r="H14" s="19">
        <f t="shared" si="0"/>
        <v>18.020000000000039</v>
      </c>
      <c r="I14" s="20">
        <f t="shared" si="1"/>
        <v>991.10000000000218</v>
      </c>
      <c r="J14" s="21">
        <f t="shared" si="3"/>
        <v>26.5</v>
      </c>
      <c r="K14" s="22">
        <f t="shared" si="2"/>
        <v>8.4799999999999613</v>
      </c>
    </row>
    <row r="15" spans="1:11" ht="12.75" x14ac:dyDescent="0.2">
      <c r="A15" s="13">
        <v>45526</v>
      </c>
      <c r="B15" s="14" t="s">
        <v>6</v>
      </c>
      <c r="C15" s="15">
        <v>0.9718</v>
      </c>
      <c r="D15" s="16" t="s">
        <v>79</v>
      </c>
      <c r="E15" s="17"/>
      <c r="F15" s="17"/>
      <c r="G15" s="18">
        <v>531</v>
      </c>
      <c r="H15" s="19">
        <f t="shared" si="0"/>
        <v>14.974199999999996</v>
      </c>
      <c r="I15" s="20">
        <f t="shared" si="1"/>
        <v>823.58099999999979</v>
      </c>
      <c r="J15" s="21">
        <f t="shared" si="3"/>
        <v>26.550000000000011</v>
      </c>
      <c r="K15" s="22">
        <f t="shared" si="2"/>
        <v>11.575800000000015</v>
      </c>
    </row>
    <row r="16" spans="1:11" ht="12.75" x14ac:dyDescent="0.2">
      <c r="A16" s="13">
        <v>45527</v>
      </c>
      <c r="B16" s="14" t="s">
        <v>7</v>
      </c>
      <c r="C16" s="15">
        <v>0.94550000000000001</v>
      </c>
      <c r="D16" s="16" t="s">
        <v>79</v>
      </c>
      <c r="E16" s="17"/>
      <c r="F16" s="17"/>
      <c r="G16" s="18">
        <v>532</v>
      </c>
      <c r="H16" s="19">
        <f t="shared" si="0"/>
        <v>28.993999999999971</v>
      </c>
      <c r="I16" s="20">
        <f t="shared" si="1"/>
        <v>1594.6699999999985</v>
      </c>
      <c r="J16" s="21">
        <f t="shared" si="3"/>
        <v>26.600000000000023</v>
      </c>
      <c r="K16" s="22">
        <f t="shared" si="2"/>
        <v>-2.3939999999999486</v>
      </c>
    </row>
    <row r="17" spans="1:11" ht="12.75" x14ac:dyDescent="0.2">
      <c r="A17" s="13">
        <v>45530</v>
      </c>
      <c r="B17" s="14" t="s">
        <v>3</v>
      </c>
      <c r="C17" s="15">
        <v>0.93459999999999999</v>
      </c>
      <c r="D17" s="16" t="s">
        <v>79</v>
      </c>
      <c r="E17" s="17"/>
      <c r="F17" s="17"/>
      <c r="G17" s="18">
        <v>535</v>
      </c>
      <c r="H17" s="19">
        <f t="shared" si="0"/>
        <v>34.989000000000033</v>
      </c>
      <c r="I17" s="20">
        <f t="shared" si="1"/>
        <v>1924.3950000000018</v>
      </c>
      <c r="J17" s="21">
        <f t="shared" si="3"/>
        <v>26.75</v>
      </c>
      <c r="K17" s="22">
        <f t="shared" si="2"/>
        <v>-8.2390000000000327</v>
      </c>
    </row>
    <row r="18" spans="1:11" ht="12.75" x14ac:dyDescent="0.2">
      <c r="A18" s="13">
        <v>45531</v>
      </c>
      <c r="B18" s="14" t="s">
        <v>4</v>
      </c>
      <c r="C18" s="15">
        <v>0.95330000000000004</v>
      </c>
      <c r="D18" s="16" t="s">
        <v>79</v>
      </c>
      <c r="E18" s="17"/>
      <c r="F18" s="17"/>
      <c r="G18" s="18">
        <v>535</v>
      </c>
      <c r="H18" s="19">
        <f t="shared" si="0"/>
        <v>24.984499999999969</v>
      </c>
      <c r="I18" s="20">
        <f t="shared" si="1"/>
        <v>1374.1474999999982</v>
      </c>
      <c r="J18" s="21">
        <f t="shared" si="3"/>
        <v>26.75</v>
      </c>
      <c r="K18" s="22">
        <f t="shared" si="2"/>
        <v>1.7655000000000314</v>
      </c>
    </row>
    <row r="19" spans="1:11" ht="12.75" x14ac:dyDescent="0.2">
      <c r="A19" s="13">
        <v>45532</v>
      </c>
      <c r="B19" s="14" t="s">
        <v>5</v>
      </c>
      <c r="C19" s="15">
        <v>0.95720000000000005</v>
      </c>
      <c r="D19" s="16" t="s">
        <v>79</v>
      </c>
      <c r="E19" s="17"/>
      <c r="F19" s="23"/>
      <c r="G19" s="18">
        <v>538</v>
      </c>
      <c r="H19" s="19">
        <f t="shared" si="0"/>
        <v>23.026399999999967</v>
      </c>
      <c r="I19" s="20">
        <f t="shared" si="1"/>
        <v>1266.4519999999982</v>
      </c>
      <c r="J19" s="21">
        <f t="shared" si="3"/>
        <v>26.900000000000034</v>
      </c>
      <c r="K19" s="22">
        <f t="shared" si="2"/>
        <v>3.8736000000000672</v>
      </c>
    </row>
    <row r="20" spans="1:11" ht="12.75" x14ac:dyDescent="0.2">
      <c r="A20" s="13">
        <v>45533</v>
      </c>
      <c r="B20" s="14" t="s">
        <v>6</v>
      </c>
      <c r="C20" s="15">
        <v>0.95530000000000004</v>
      </c>
      <c r="D20" s="16" t="s">
        <v>79</v>
      </c>
      <c r="E20" s="17"/>
      <c r="F20" s="17"/>
      <c r="G20" s="18">
        <v>537</v>
      </c>
      <c r="H20" s="19">
        <f t="shared" si="0"/>
        <v>24.003899999999931</v>
      </c>
      <c r="I20" s="20">
        <f t="shared" si="1"/>
        <v>1320.2144999999962</v>
      </c>
      <c r="J20" s="21">
        <f t="shared" si="3"/>
        <v>26.850000000000023</v>
      </c>
      <c r="K20" s="22">
        <f t="shared" si="2"/>
        <v>2.8461000000000922</v>
      </c>
    </row>
    <row r="21" spans="1:11" ht="12.75" x14ac:dyDescent="0.2">
      <c r="A21" s="13">
        <v>45534</v>
      </c>
      <c r="B21" s="14" t="s">
        <v>7</v>
      </c>
      <c r="C21" s="15">
        <v>0.94589999999999996</v>
      </c>
      <c r="D21" s="16" t="s">
        <v>79</v>
      </c>
      <c r="E21" s="17"/>
      <c r="F21" s="17"/>
      <c r="G21" s="18">
        <v>536</v>
      </c>
      <c r="H21" s="19">
        <f t="shared" si="0"/>
        <v>28.997600000000034</v>
      </c>
      <c r="I21" s="20">
        <f t="shared" si="1"/>
        <v>1594.8680000000018</v>
      </c>
      <c r="J21" s="21">
        <f t="shared" si="3"/>
        <v>26.800000000000011</v>
      </c>
      <c r="K21" s="22">
        <f t="shared" si="2"/>
        <v>-2.1976000000000226</v>
      </c>
    </row>
    <row r="22" spans="1:11" ht="12.75" x14ac:dyDescent="0.2">
      <c r="A22" s="24">
        <v>45537</v>
      </c>
      <c r="B22" s="25" t="s">
        <v>3</v>
      </c>
      <c r="C22" s="26"/>
      <c r="D22" s="27"/>
      <c r="E22" s="28"/>
      <c r="F22" s="28"/>
      <c r="G22" s="29"/>
      <c r="H22" s="19">
        <f t="shared" si="0"/>
        <v>0</v>
      </c>
      <c r="I22" s="20">
        <f t="shared" si="1"/>
        <v>0</v>
      </c>
      <c r="J22" s="21">
        <f t="shared" si="3"/>
        <v>0</v>
      </c>
      <c r="K22" s="22">
        <f t="shared" si="2"/>
        <v>0</v>
      </c>
    </row>
    <row r="23" spans="1:11" ht="12.75" x14ac:dyDescent="0.2">
      <c r="A23" s="13">
        <v>45538</v>
      </c>
      <c r="B23" s="14" t="s">
        <v>4</v>
      </c>
      <c r="C23" s="15">
        <v>0.94930000000000003</v>
      </c>
      <c r="D23" s="16" t="s">
        <v>79</v>
      </c>
      <c r="E23" s="17"/>
      <c r="F23" s="17"/>
      <c r="G23" s="18">
        <v>533</v>
      </c>
      <c r="H23" s="19">
        <f t="shared" si="0"/>
        <v>27.023099999999999</v>
      </c>
      <c r="I23" s="20">
        <f t="shared" si="1"/>
        <v>1486.2705000000001</v>
      </c>
      <c r="J23" s="21">
        <f t="shared" si="3"/>
        <v>26.650000000000034</v>
      </c>
      <c r="K23" s="22">
        <f t="shared" si="2"/>
        <v>-0.37309999999996535</v>
      </c>
    </row>
    <row r="24" spans="1:11" ht="12.75" x14ac:dyDescent="0.2">
      <c r="A24" s="13">
        <v>45539</v>
      </c>
      <c r="B24" s="14" t="s">
        <v>5</v>
      </c>
      <c r="C24" s="15">
        <v>0.96050000000000002</v>
      </c>
      <c r="D24" s="16" t="s">
        <v>79</v>
      </c>
      <c r="E24" s="17"/>
      <c r="F24" s="17"/>
      <c r="G24" s="18">
        <v>532</v>
      </c>
      <c r="H24" s="19">
        <f t="shared" si="0"/>
        <v>21.01400000000001</v>
      </c>
      <c r="I24" s="20">
        <f t="shared" si="1"/>
        <v>1155.7700000000004</v>
      </c>
      <c r="J24" s="21">
        <f t="shared" si="3"/>
        <v>26.600000000000023</v>
      </c>
      <c r="K24" s="22">
        <f t="shared" si="2"/>
        <v>5.5860000000000127</v>
      </c>
    </row>
    <row r="25" spans="1:11" ht="12.75" x14ac:dyDescent="0.2">
      <c r="A25" s="13">
        <v>45540</v>
      </c>
      <c r="B25" s="14" t="s">
        <v>6</v>
      </c>
      <c r="C25" s="15">
        <v>0.95860000000000001</v>
      </c>
      <c r="D25" s="16" t="s">
        <v>79</v>
      </c>
      <c r="E25" s="17"/>
      <c r="F25" s="17"/>
      <c r="G25" s="18">
        <v>532</v>
      </c>
      <c r="H25" s="19">
        <f t="shared" si="0"/>
        <v>22.024799999999971</v>
      </c>
      <c r="I25" s="20">
        <f t="shared" si="1"/>
        <v>1211.3639999999984</v>
      </c>
      <c r="J25" s="21">
        <f t="shared" si="3"/>
        <v>26.600000000000023</v>
      </c>
      <c r="K25" s="22">
        <f t="shared" si="2"/>
        <v>4.5752000000000521</v>
      </c>
    </row>
    <row r="26" spans="1:11" ht="12.75" x14ac:dyDescent="0.2">
      <c r="A26" s="13">
        <v>45541</v>
      </c>
      <c r="B26" s="14" t="s">
        <v>7</v>
      </c>
      <c r="C26" s="15">
        <v>0.91930000000000001</v>
      </c>
      <c r="D26" s="16" t="s">
        <v>79</v>
      </c>
      <c r="E26" s="17"/>
      <c r="F26" s="17"/>
      <c r="G26" s="18">
        <v>533</v>
      </c>
      <c r="H26" s="19">
        <f t="shared" si="0"/>
        <v>43.013100000000009</v>
      </c>
      <c r="I26" s="20">
        <f t="shared" si="1"/>
        <v>2365.7205000000004</v>
      </c>
      <c r="J26" s="21">
        <f t="shared" si="3"/>
        <v>26.650000000000034</v>
      </c>
      <c r="K26" s="22">
        <f t="shared" si="2"/>
        <v>-16.363099999999974</v>
      </c>
    </row>
    <row r="27" spans="1:11" ht="12.75" x14ac:dyDescent="0.2">
      <c r="A27" s="13">
        <v>45544</v>
      </c>
      <c r="B27" s="14" t="s">
        <v>3</v>
      </c>
      <c r="C27" s="15">
        <v>0.96060000000000001</v>
      </c>
      <c r="D27" s="16" t="s">
        <v>79</v>
      </c>
      <c r="E27" s="17"/>
      <c r="F27" s="17"/>
      <c r="G27" s="18">
        <v>533</v>
      </c>
      <c r="H27" s="19">
        <f t="shared" si="0"/>
        <v>21.000200000000007</v>
      </c>
      <c r="I27" s="20">
        <f t="shared" si="1"/>
        <v>1155.0110000000004</v>
      </c>
      <c r="J27" s="21">
        <f t="shared" si="3"/>
        <v>26.650000000000034</v>
      </c>
      <c r="K27" s="22">
        <f t="shared" si="2"/>
        <v>5.6498000000000275</v>
      </c>
    </row>
    <row r="28" spans="1:11" ht="12.75" x14ac:dyDescent="0.2">
      <c r="A28" s="13">
        <v>45545</v>
      </c>
      <c r="B28" s="14" t="s">
        <v>4</v>
      </c>
      <c r="C28" s="15">
        <v>0.96060000000000001</v>
      </c>
      <c r="D28" s="16" t="s">
        <v>79</v>
      </c>
      <c r="E28" s="17"/>
      <c r="F28" s="17"/>
      <c r="G28" s="18">
        <v>533</v>
      </c>
      <c r="H28" s="19">
        <f t="shared" si="0"/>
        <v>21.000200000000007</v>
      </c>
      <c r="I28" s="20">
        <f t="shared" si="1"/>
        <v>1155.0110000000004</v>
      </c>
      <c r="J28" s="21">
        <f t="shared" si="3"/>
        <v>26.650000000000034</v>
      </c>
      <c r="K28" s="22">
        <f t="shared" si="2"/>
        <v>5.6498000000000275</v>
      </c>
    </row>
    <row r="29" spans="1:11" ht="12.75" x14ac:dyDescent="0.2">
      <c r="A29" s="13">
        <v>45546</v>
      </c>
      <c r="B29" s="14" t="s">
        <v>5</v>
      </c>
      <c r="C29" s="15">
        <v>0.9607</v>
      </c>
      <c r="D29" s="16" t="s">
        <v>79</v>
      </c>
      <c r="E29" s="17"/>
      <c r="F29" s="17"/>
      <c r="G29" s="18">
        <v>534</v>
      </c>
      <c r="H29" s="19">
        <f t="shared" si="0"/>
        <v>20.986200000000053</v>
      </c>
      <c r="I29" s="20">
        <f t="shared" si="1"/>
        <v>1154.2410000000029</v>
      </c>
      <c r="J29" s="21">
        <f t="shared" si="3"/>
        <v>26.700000000000045</v>
      </c>
      <c r="K29" s="22">
        <f t="shared" si="2"/>
        <v>5.713799999999992</v>
      </c>
    </row>
    <row r="30" spans="1:11" ht="12.75" x14ac:dyDescent="0.2">
      <c r="A30" s="13">
        <v>45547</v>
      </c>
      <c r="B30" s="14" t="s">
        <v>6</v>
      </c>
      <c r="C30" s="15">
        <v>0.96630000000000005</v>
      </c>
      <c r="D30" s="16" t="s">
        <v>79</v>
      </c>
      <c r="E30" s="17"/>
      <c r="F30" s="17"/>
      <c r="G30" s="18">
        <v>534</v>
      </c>
      <c r="H30" s="19">
        <f t="shared" si="0"/>
        <v>17.995800000000031</v>
      </c>
      <c r="I30" s="20">
        <f t="shared" si="1"/>
        <v>989.76900000000171</v>
      </c>
      <c r="J30" s="21">
        <f t="shared" si="3"/>
        <v>26.700000000000045</v>
      </c>
      <c r="K30" s="22">
        <f t="shared" si="2"/>
        <v>8.7042000000000144</v>
      </c>
    </row>
    <row r="31" spans="1:11" ht="12.75" x14ac:dyDescent="0.2">
      <c r="A31" s="13">
        <v>45548</v>
      </c>
      <c r="B31" s="14" t="s">
        <v>7</v>
      </c>
      <c r="C31" s="15">
        <v>0.94379999999999997</v>
      </c>
      <c r="D31" s="16" t="s">
        <v>79</v>
      </c>
      <c r="E31" s="17"/>
      <c r="F31" s="17"/>
      <c r="G31" s="18">
        <v>534</v>
      </c>
      <c r="H31" s="19">
        <f t="shared" si="0"/>
        <v>30.010800000000017</v>
      </c>
      <c r="I31" s="20">
        <f t="shared" si="1"/>
        <v>1650.594000000001</v>
      </c>
      <c r="J31" s="21">
        <f t="shared" si="3"/>
        <v>26.700000000000045</v>
      </c>
      <c r="K31" s="22">
        <f t="shared" si="2"/>
        <v>-3.310799999999972</v>
      </c>
    </row>
    <row r="32" spans="1:11" ht="12.75" x14ac:dyDescent="0.2">
      <c r="A32" s="30">
        <v>45551</v>
      </c>
      <c r="B32" s="31" t="s">
        <v>3</v>
      </c>
      <c r="C32" s="32"/>
      <c r="D32" s="33"/>
      <c r="E32" s="34"/>
      <c r="F32" s="34"/>
      <c r="G32" s="35"/>
      <c r="H32" s="19">
        <f t="shared" si="0"/>
        <v>0</v>
      </c>
      <c r="I32" s="20">
        <f t="shared" si="1"/>
        <v>0</v>
      </c>
      <c r="J32" s="21">
        <f t="shared" si="3"/>
        <v>0</v>
      </c>
      <c r="K32" s="22">
        <f t="shared" si="2"/>
        <v>0</v>
      </c>
    </row>
    <row r="33" spans="1:11" ht="12.75" x14ac:dyDescent="0.2">
      <c r="A33" s="13">
        <v>45552</v>
      </c>
      <c r="B33" s="14" t="s">
        <v>4</v>
      </c>
      <c r="C33" s="15">
        <v>0.9627</v>
      </c>
      <c r="D33" s="16" t="s">
        <v>79</v>
      </c>
      <c r="E33" s="17"/>
      <c r="F33" s="17"/>
      <c r="G33" s="18">
        <v>536</v>
      </c>
      <c r="H33" s="19">
        <f t="shared" si="0"/>
        <v>19.992799999999988</v>
      </c>
      <c r="I33" s="20">
        <f t="shared" si="1"/>
        <v>1099.6039999999994</v>
      </c>
      <c r="J33" s="21">
        <f t="shared" si="3"/>
        <v>26.800000000000011</v>
      </c>
      <c r="K33" s="22">
        <f t="shared" si="2"/>
        <v>6.807200000000023</v>
      </c>
    </row>
    <row r="34" spans="1:11" ht="12.75" x14ac:dyDescent="0.2">
      <c r="A34" s="13">
        <v>45553</v>
      </c>
      <c r="B34" s="14" t="s">
        <v>5</v>
      </c>
      <c r="C34" s="15">
        <v>0.97570000000000001</v>
      </c>
      <c r="D34" s="16" t="s">
        <v>79</v>
      </c>
      <c r="E34" s="17"/>
      <c r="F34" s="17"/>
      <c r="G34" s="18">
        <v>536</v>
      </c>
      <c r="H34" s="19">
        <f t="shared" si="0"/>
        <v>13.024800000000027</v>
      </c>
      <c r="I34" s="20">
        <f t="shared" si="1"/>
        <v>716.36400000000151</v>
      </c>
      <c r="J34" s="21">
        <f t="shared" si="3"/>
        <v>26.800000000000011</v>
      </c>
      <c r="K34" s="22">
        <f t="shared" si="2"/>
        <v>13.775199999999984</v>
      </c>
    </row>
    <row r="35" spans="1:11" ht="12.75" x14ac:dyDescent="0.2">
      <c r="A35" s="13">
        <v>45554</v>
      </c>
      <c r="B35" s="14" t="s">
        <v>6</v>
      </c>
      <c r="C35" s="15">
        <v>0.96830000000000005</v>
      </c>
      <c r="D35" s="16" t="s">
        <v>79</v>
      </c>
      <c r="E35" s="17"/>
      <c r="F35" s="17"/>
      <c r="G35" s="18">
        <v>536</v>
      </c>
      <c r="H35" s="19">
        <f t="shared" si="0"/>
        <v>16.991199999999935</v>
      </c>
      <c r="I35" s="20">
        <f t="shared" si="1"/>
        <v>934.51599999999644</v>
      </c>
      <c r="J35" s="21">
        <f t="shared" si="3"/>
        <v>26.800000000000011</v>
      </c>
      <c r="K35" s="22">
        <f t="shared" si="2"/>
        <v>9.8088000000000761</v>
      </c>
    </row>
    <row r="36" spans="1:11" ht="12.75" x14ac:dyDescent="0.2">
      <c r="A36" s="13">
        <v>45555</v>
      </c>
      <c r="B36" s="14" t="s">
        <v>7</v>
      </c>
      <c r="C36" s="15">
        <v>0.93659999999999999</v>
      </c>
      <c r="D36" s="16" t="s">
        <v>79</v>
      </c>
      <c r="E36" s="17"/>
      <c r="F36" s="17"/>
      <c r="G36" s="18">
        <v>536</v>
      </c>
      <c r="H36" s="19">
        <f t="shared" si="0"/>
        <v>33.982399999999984</v>
      </c>
      <c r="I36" s="20">
        <f t="shared" si="1"/>
        <v>1869.0319999999992</v>
      </c>
      <c r="J36" s="21">
        <f t="shared" si="3"/>
        <v>26.800000000000011</v>
      </c>
      <c r="K36" s="22">
        <f t="shared" si="2"/>
        <v>-7.1823999999999728</v>
      </c>
    </row>
    <row r="37" spans="1:11" ht="12.75" x14ac:dyDescent="0.2">
      <c r="A37" s="13">
        <v>45558</v>
      </c>
      <c r="B37" s="14" t="s">
        <v>3</v>
      </c>
      <c r="C37" s="15">
        <v>0.94969999999999999</v>
      </c>
      <c r="D37" s="16" t="s">
        <v>79</v>
      </c>
      <c r="E37" s="17"/>
      <c r="F37" s="17"/>
      <c r="G37" s="18">
        <v>537</v>
      </c>
      <c r="H37" s="19">
        <f t="shared" si="0"/>
        <v>27.011099999999999</v>
      </c>
      <c r="I37" s="20">
        <f t="shared" si="1"/>
        <v>1485.6105</v>
      </c>
      <c r="J37" s="21">
        <f t="shared" si="3"/>
        <v>26.850000000000023</v>
      </c>
      <c r="K37" s="22">
        <f t="shared" si="2"/>
        <v>-0.16109999999997626</v>
      </c>
    </row>
    <row r="38" spans="1:11" ht="12.75" x14ac:dyDescent="0.2">
      <c r="A38" s="13">
        <v>45559</v>
      </c>
      <c r="B38" s="14" t="s">
        <v>4</v>
      </c>
      <c r="C38" s="15">
        <v>0.9516</v>
      </c>
      <c r="D38" s="16" t="s">
        <v>79</v>
      </c>
      <c r="E38" s="17"/>
      <c r="F38" s="17"/>
      <c r="G38" s="18">
        <v>537</v>
      </c>
      <c r="H38" s="19">
        <f t="shared" si="0"/>
        <v>25.990799999999979</v>
      </c>
      <c r="I38" s="20">
        <f t="shared" si="1"/>
        <v>1429.4939999999988</v>
      </c>
      <c r="J38" s="21">
        <f t="shared" si="3"/>
        <v>26.850000000000023</v>
      </c>
      <c r="K38" s="22">
        <f t="shared" si="2"/>
        <v>0.85920000000004393</v>
      </c>
    </row>
    <row r="39" spans="1:11" ht="12.75" x14ac:dyDescent="0.2">
      <c r="A39" s="13">
        <v>45560</v>
      </c>
      <c r="B39" s="14" t="s">
        <v>5</v>
      </c>
      <c r="C39" s="15">
        <v>0.97770000000000001</v>
      </c>
      <c r="D39" s="16" t="s">
        <v>79</v>
      </c>
      <c r="E39" s="17"/>
      <c r="F39" s="17"/>
      <c r="G39" s="18">
        <v>537</v>
      </c>
      <c r="H39" s="19">
        <f t="shared" si="0"/>
        <v>11.975099999999998</v>
      </c>
      <c r="I39" s="20">
        <f t="shared" si="1"/>
        <v>658.63049999999987</v>
      </c>
      <c r="J39" s="21">
        <f t="shared" si="3"/>
        <v>26.850000000000023</v>
      </c>
      <c r="K39" s="22">
        <f t="shared" si="2"/>
        <v>14.874900000000025</v>
      </c>
    </row>
    <row r="40" spans="1:11" ht="12.75" x14ac:dyDescent="0.2">
      <c r="A40" s="13">
        <v>45561</v>
      </c>
      <c r="B40" s="14" t="s">
        <v>6</v>
      </c>
      <c r="C40" s="15">
        <v>0.97019999999999995</v>
      </c>
      <c r="D40" s="16" t="s">
        <v>79</v>
      </c>
      <c r="E40" s="17"/>
      <c r="F40" s="17"/>
      <c r="G40" s="18">
        <v>537</v>
      </c>
      <c r="H40" s="19">
        <f t="shared" si="0"/>
        <v>16.002600000000029</v>
      </c>
      <c r="I40" s="20">
        <f t="shared" si="1"/>
        <v>880.14300000000162</v>
      </c>
      <c r="J40" s="21">
        <f t="shared" si="3"/>
        <v>26.850000000000023</v>
      </c>
      <c r="K40" s="22">
        <f t="shared" si="2"/>
        <v>10.847399999999993</v>
      </c>
    </row>
    <row r="41" spans="1:11" ht="12.75" x14ac:dyDescent="0.2">
      <c r="A41" s="13">
        <v>45562</v>
      </c>
      <c r="B41" s="14" t="s">
        <v>7</v>
      </c>
      <c r="C41" s="15">
        <v>0.93669999999999998</v>
      </c>
      <c r="D41" s="16" t="s">
        <v>79</v>
      </c>
      <c r="E41" s="17"/>
      <c r="F41" s="17"/>
      <c r="G41" s="18">
        <v>537</v>
      </c>
      <c r="H41" s="19">
        <f t="shared" si="0"/>
        <v>33.992099999999994</v>
      </c>
      <c r="I41" s="20">
        <f t="shared" si="1"/>
        <v>1869.5654999999997</v>
      </c>
      <c r="J41" s="21">
        <f t="shared" si="3"/>
        <v>26.850000000000023</v>
      </c>
      <c r="K41" s="22">
        <f t="shared" si="2"/>
        <v>-7.1420999999999708</v>
      </c>
    </row>
    <row r="42" spans="1:11" ht="12.75" x14ac:dyDescent="0.2">
      <c r="A42" s="13">
        <v>45565</v>
      </c>
      <c r="B42" s="14" t="s">
        <v>3</v>
      </c>
      <c r="C42" s="15">
        <v>0.94810000000000005</v>
      </c>
      <c r="D42" s="16" t="s">
        <v>79</v>
      </c>
      <c r="E42" s="17"/>
      <c r="F42" s="17"/>
      <c r="G42" s="18">
        <v>539</v>
      </c>
      <c r="H42" s="19">
        <f t="shared" si="0"/>
        <v>27.974099999999964</v>
      </c>
      <c r="I42" s="20">
        <f t="shared" si="1"/>
        <v>1538.5754999999981</v>
      </c>
      <c r="J42" s="21">
        <f t="shared" si="3"/>
        <v>26.950000000000045</v>
      </c>
      <c r="K42" s="22">
        <f t="shared" si="2"/>
        <v>-1.024099999999919</v>
      </c>
    </row>
    <row r="43" spans="1:11" ht="12.75" x14ac:dyDescent="0.2">
      <c r="A43" s="13">
        <v>45566</v>
      </c>
      <c r="B43" s="14" t="s">
        <v>4</v>
      </c>
      <c r="C43" s="15">
        <v>0.97219999999999995</v>
      </c>
      <c r="D43" s="16" t="s">
        <v>79</v>
      </c>
      <c r="E43" s="17"/>
      <c r="F43" s="17"/>
      <c r="G43" s="18">
        <v>539</v>
      </c>
      <c r="H43" s="19">
        <f t="shared" si="0"/>
        <v>14.984199999999987</v>
      </c>
      <c r="I43" s="20">
        <f t="shared" si="1"/>
        <v>824.13099999999929</v>
      </c>
      <c r="J43" s="21">
        <f t="shared" si="3"/>
        <v>26.950000000000045</v>
      </c>
      <c r="K43" s="22">
        <f t="shared" si="2"/>
        <v>11.965800000000058</v>
      </c>
    </row>
    <row r="44" spans="1:11" ht="12.75" x14ac:dyDescent="0.2">
      <c r="A44" s="13">
        <v>45567</v>
      </c>
      <c r="B44" s="14" t="s">
        <v>5</v>
      </c>
      <c r="C44" s="15">
        <v>0.97030000000000005</v>
      </c>
      <c r="D44" s="16" t="s">
        <v>79</v>
      </c>
      <c r="E44" s="17"/>
      <c r="F44" s="17"/>
      <c r="G44" s="18">
        <v>539</v>
      </c>
      <c r="H44" s="19">
        <f t="shared" si="0"/>
        <v>16.008299999999963</v>
      </c>
      <c r="I44" s="20">
        <f t="shared" si="1"/>
        <v>880.45649999999796</v>
      </c>
      <c r="J44" s="21">
        <f t="shared" si="3"/>
        <v>26.950000000000045</v>
      </c>
      <c r="K44" s="22">
        <f t="shared" si="2"/>
        <v>10.941700000000083</v>
      </c>
    </row>
    <row r="45" spans="1:11" ht="12.75" x14ac:dyDescent="0.2">
      <c r="A45" s="13">
        <v>45568</v>
      </c>
      <c r="B45" s="14" t="s">
        <v>6</v>
      </c>
      <c r="C45" s="15">
        <v>0.96660000000000001</v>
      </c>
      <c r="D45" s="16" t="s">
        <v>79</v>
      </c>
      <c r="E45" s="17"/>
      <c r="F45" s="17"/>
      <c r="G45" s="18">
        <v>539</v>
      </c>
      <c r="H45" s="19">
        <f t="shared" si="0"/>
        <v>18.002600000000029</v>
      </c>
      <c r="I45" s="20">
        <f t="shared" si="1"/>
        <v>990.14300000000162</v>
      </c>
      <c r="J45" s="21">
        <f t="shared" si="3"/>
        <v>26.950000000000045</v>
      </c>
      <c r="K45" s="22">
        <f t="shared" si="2"/>
        <v>8.947400000000016</v>
      </c>
    </row>
    <row r="46" spans="1:11" ht="12.75" x14ac:dyDescent="0.2">
      <c r="A46" s="13">
        <v>45569</v>
      </c>
      <c r="B46" s="14" t="s">
        <v>7</v>
      </c>
      <c r="C46" s="15">
        <v>0.92949999999999999</v>
      </c>
      <c r="D46" s="16" t="s">
        <v>79</v>
      </c>
      <c r="E46" s="17"/>
      <c r="F46" s="17"/>
      <c r="G46" s="18">
        <v>539</v>
      </c>
      <c r="H46" s="19">
        <f t="shared" si="0"/>
        <v>37.999500000000012</v>
      </c>
      <c r="I46" s="20">
        <f t="shared" si="1"/>
        <v>2089.9725000000008</v>
      </c>
      <c r="J46" s="21">
        <f t="shared" si="3"/>
        <v>26.950000000000045</v>
      </c>
      <c r="K46" s="22">
        <f t="shared" si="2"/>
        <v>-11.049499999999966</v>
      </c>
    </row>
    <row r="47" spans="1:11" ht="12.75" x14ac:dyDescent="0.2">
      <c r="A47" s="24">
        <v>45572</v>
      </c>
      <c r="B47" s="25" t="s">
        <v>3</v>
      </c>
      <c r="C47" s="26"/>
      <c r="D47" s="27"/>
      <c r="E47" s="28"/>
      <c r="F47" s="28"/>
      <c r="G47" s="29"/>
      <c r="H47" s="19">
        <f t="shared" si="0"/>
        <v>0</v>
      </c>
      <c r="I47" s="20">
        <f t="shared" si="1"/>
        <v>0</v>
      </c>
      <c r="J47" s="21">
        <f t="shared" si="3"/>
        <v>0</v>
      </c>
      <c r="K47" s="22">
        <f t="shared" si="2"/>
        <v>0</v>
      </c>
    </row>
    <row r="48" spans="1:11" ht="12.75" x14ac:dyDescent="0.2">
      <c r="A48" s="24">
        <v>45573</v>
      </c>
      <c r="B48" s="25" t="s">
        <v>4</v>
      </c>
      <c r="C48" s="26"/>
      <c r="D48" s="27"/>
      <c r="E48" s="28"/>
      <c r="F48" s="28"/>
      <c r="G48" s="29"/>
      <c r="H48" s="19">
        <f t="shared" si="0"/>
        <v>0</v>
      </c>
      <c r="I48" s="20">
        <f t="shared" si="1"/>
        <v>0</v>
      </c>
      <c r="J48" s="21">
        <f t="shared" si="3"/>
        <v>0</v>
      </c>
      <c r="K48" s="22">
        <f t="shared" si="2"/>
        <v>0</v>
      </c>
    </row>
    <row r="49" spans="1:11" ht="12.75" x14ac:dyDescent="0.2">
      <c r="A49" s="24">
        <v>45574</v>
      </c>
      <c r="B49" s="25" t="s">
        <v>5</v>
      </c>
      <c r="C49" s="26"/>
      <c r="D49" s="27"/>
      <c r="E49" s="28"/>
      <c r="F49" s="28"/>
      <c r="G49" s="29"/>
      <c r="H49" s="19">
        <f t="shared" si="0"/>
        <v>0</v>
      </c>
      <c r="I49" s="20">
        <f t="shared" si="1"/>
        <v>0</v>
      </c>
      <c r="J49" s="21">
        <f t="shared" si="3"/>
        <v>0</v>
      </c>
      <c r="K49" s="22">
        <f t="shared" si="2"/>
        <v>0</v>
      </c>
    </row>
    <row r="50" spans="1:11" ht="12.75" x14ac:dyDescent="0.2">
      <c r="A50" s="24">
        <v>45575</v>
      </c>
      <c r="B50" s="25" t="s">
        <v>6</v>
      </c>
      <c r="C50" s="26"/>
      <c r="D50" s="27"/>
      <c r="E50" s="28"/>
      <c r="F50" s="28"/>
      <c r="G50" s="29"/>
      <c r="H50" s="19">
        <f t="shared" si="0"/>
        <v>0</v>
      </c>
      <c r="I50" s="20">
        <f t="shared" si="1"/>
        <v>0</v>
      </c>
      <c r="J50" s="21">
        <f t="shared" si="3"/>
        <v>0</v>
      </c>
      <c r="K50" s="22">
        <f t="shared" si="2"/>
        <v>0</v>
      </c>
    </row>
    <row r="51" spans="1:11" ht="12.75" x14ac:dyDescent="0.2">
      <c r="A51" s="24">
        <v>45576</v>
      </c>
      <c r="B51" s="25" t="s">
        <v>7</v>
      </c>
      <c r="C51" s="26"/>
      <c r="D51" s="27"/>
      <c r="E51" s="28"/>
      <c r="F51" s="28"/>
      <c r="G51" s="29"/>
      <c r="H51" s="19">
        <f t="shared" si="0"/>
        <v>0</v>
      </c>
      <c r="I51" s="20">
        <f t="shared" si="1"/>
        <v>0</v>
      </c>
      <c r="J51" s="21">
        <f t="shared" si="3"/>
        <v>0</v>
      </c>
      <c r="K51" s="22">
        <f t="shared" si="2"/>
        <v>0</v>
      </c>
    </row>
    <row r="52" spans="1:11" ht="12.75" x14ac:dyDescent="0.2">
      <c r="A52" s="13">
        <v>45579</v>
      </c>
      <c r="B52" s="14" t="s">
        <v>3</v>
      </c>
      <c r="C52" s="15">
        <v>0.93700000000000006</v>
      </c>
      <c r="D52" s="16" t="s">
        <v>79</v>
      </c>
      <c r="E52" s="17"/>
      <c r="F52" s="17"/>
      <c r="G52" s="18">
        <v>540</v>
      </c>
      <c r="H52" s="19">
        <f t="shared" si="0"/>
        <v>34.019999999999982</v>
      </c>
      <c r="I52" s="20">
        <f t="shared" si="1"/>
        <v>1871.099999999999</v>
      </c>
      <c r="J52" s="21">
        <f t="shared" si="3"/>
        <v>27</v>
      </c>
      <c r="K52" s="22">
        <f t="shared" si="2"/>
        <v>-7.0199999999999818</v>
      </c>
    </row>
    <row r="53" spans="1:11" ht="12.75" x14ac:dyDescent="0.2">
      <c r="A53" s="13">
        <v>45580</v>
      </c>
      <c r="B53" s="14" t="s">
        <v>4</v>
      </c>
      <c r="C53" s="15">
        <v>0.95369999999999999</v>
      </c>
      <c r="D53" s="16" t="s">
        <v>79</v>
      </c>
      <c r="E53" s="17"/>
      <c r="F53" s="17"/>
      <c r="G53" s="18">
        <v>540</v>
      </c>
      <c r="H53" s="19">
        <f t="shared" si="0"/>
        <v>25.001999999999953</v>
      </c>
      <c r="I53" s="20">
        <f t="shared" si="1"/>
        <v>1375.1099999999974</v>
      </c>
      <c r="J53" s="21">
        <f t="shared" si="3"/>
        <v>27</v>
      </c>
      <c r="K53" s="22">
        <f t="shared" si="2"/>
        <v>1.9980000000000473</v>
      </c>
    </row>
    <row r="54" spans="1:11" ht="12.75" x14ac:dyDescent="0.2">
      <c r="A54" s="13">
        <v>45581</v>
      </c>
      <c r="B54" s="14" t="s">
        <v>5</v>
      </c>
      <c r="C54" s="36">
        <v>0.96299999999999997</v>
      </c>
      <c r="D54" s="16" t="s">
        <v>79</v>
      </c>
      <c r="E54" s="17"/>
      <c r="F54" s="37"/>
      <c r="G54" s="18">
        <v>540</v>
      </c>
      <c r="H54" s="19">
        <f t="shared" si="0"/>
        <v>19.980000000000018</v>
      </c>
      <c r="I54" s="20">
        <f t="shared" si="1"/>
        <v>1098.900000000001</v>
      </c>
      <c r="J54" s="21">
        <f t="shared" si="3"/>
        <v>27</v>
      </c>
      <c r="K54" s="22">
        <f t="shared" si="2"/>
        <v>7.0199999999999818</v>
      </c>
    </row>
    <row r="55" spans="1:11" ht="12.75" x14ac:dyDescent="0.2">
      <c r="A55" s="13">
        <v>45582</v>
      </c>
      <c r="B55" s="14" t="s">
        <v>6</v>
      </c>
      <c r="C55" s="15">
        <v>0.95189999999999997</v>
      </c>
      <c r="D55" s="16" t="s">
        <v>79</v>
      </c>
      <c r="E55" s="17"/>
      <c r="F55" s="17"/>
      <c r="G55" s="18">
        <v>540</v>
      </c>
      <c r="H55" s="19">
        <f t="shared" si="0"/>
        <v>25.974000000000046</v>
      </c>
      <c r="I55" s="20">
        <f t="shared" si="1"/>
        <v>1428.5700000000024</v>
      </c>
      <c r="J55" s="21">
        <f t="shared" si="3"/>
        <v>27</v>
      </c>
      <c r="K55" s="22">
        <f t="shared" si="2"/>
        <v>1.0259999999999536</v>
      </c>
    </row>
    <row r="56" spans="1:11" ht="12.75" x14ac:dyDescent="0.2">
      <c r="A56" s="13">
        <v>45583</v>
      </c>
      <c r="B56" s="14" t="s">
        <v>7</v>
      </c>
      <c r="C56" s="15">
        <v>0.93489999999999995</v>
      </c>
      <c r="D56" s="16" t="s">
        <v>79</v>
      </c>
      <c r="E56" s="17"/>
      <c r="F56" s="17"/>
      <c r="G56" s="18">
        <v>538</v>
      </c>
      <c r="H56" s="19">
        <f t="shared" si="0"/>
        <v>35.023800000000051</v>
      </c>
      <c r="I56" s="20">
        <f t="shared" si="1"/>
        <v>1926.3090000000029</v>
      </c>
      <c r="J56" s="21">
        <f t="shared" si="3"/>
        <v>26.900000000000034</v>
      </c>
      <c r="K56" s="22">
        <f t="shared" si="2"/>
        <v>-8.123800000000017</v>
      </c>
    </row>
    <row r="57" spans="1:11" ht="12.75" x14ac:dyDescent="0.2">
      <c r="A57" s="13">
        <v>45586</v>
      </c>
      <c r="B57" s="14" t="s">
        <v>3</v>
      </c>
      <c r="C57" s="15">
        <v>0.92710000000000004</v>
      </c>
      <c r="D57" s="16" t="s">
        <v>79</v>
      </c>
      <c r="E57" s="17"/>
      <c r="F57" s="17"/>
      <c r="G57" s="18">
        <v>535</v>
      </c>
      <c r="H57" s="19">
        <f t="shared" si="0"/>
        <v>39.001499999999965</v>
      </c>
      <c r="I57" s="20">
        <f t="shared" si="1"/>
        <v>2145.0824999999982</v>
      </c>
      <c r="J57" s="21">
        <f t="shared" si="3"/>
        <v>26.75</v>
      </c>
      <c r="K57" s="22">
        <f t="shared" si="2"/>
        <v>-12.251499999999965</v>
      </c>
    </row>
    <row r="58" spans="1:11" ht="12.75" x14ac:dyDescent="0.2">
      <c r="A58" s="13">
        <v>45587</v>
      </c>
      <c r="B58" s="14" t="s">
        <v>4</v>
      </c>
      <c r="C58" s="15">
        <v>0.93840000000000001</v>
      </c>
      <c r="D58" s="16" t="s">
        <v>79</v>
      </c>
      <c r="E58" s="17"/>
      <c r="F58" s="17"/>
      <c r="G58" s="18">
        <v>536</v>
      </c>
      <c r="H58" s="19">
        <f t="shared" si="0"/>
        <v>33.017600000000016</v>
      </c>
      <c r="I58" s="20">
        <f t="shared" si="1"/>
        <v>1815.9680000000008</v>
      </c>
      <c r="J58" s="21">
        <f t="shared" si="3"/>
        <v>26.800000000000011</v>
      </c>
      <c r="K58" s="22">
        <f t="shared" si="2"/>
        <v>-6.2176000000000045</v>
      </c>
    </row>
    <row r="59" spans="1:11" ht="12.75" x14ac:dyDescent="0.2">
      <c r="A59" s="13">
        <v>45588</v>
      </c>
      <c r="B59" s="14" t="s">
        <v>5</v>
      </c>
      <c r="C59" s="15">
        <v>0.97570000000000001</v>
      </c>
      <c r="D59" s="16" t="s">
        <v>79</v>
      </c>
      <c r="E59" s="17"/>
      <c r="F59" s="17"/>
      <c r="G59" s="18">
        <v>536</v>
      </c>
      <c r="H59" s="19">
        <f t="shared" si="0"/>
        <v>13.024800000000027</v>
      </c>
      <c r="I59" s="20">
        <f t="shared" si="1"/>
        <v>716.36400000000151</v>
      </c>
      <c r="J59" s="21">
        <f t="shared" si="3"/>
        <v>26.800000000000011</v>
      </c>
      <c r="K59" s="22">
        <f t="shared" si="2"/>
        <v>13.775199999999984</v>
      </c>
    </row>
    <row r="60" spans="1:11" ht="12.75" x14ac:dyDescent="0.2">
      <c r="A60" s="13">
        <v>45589</v>
      </c>
      <c r="B60" s="14" t="s">
        <v>6</v>
      </c>
      <c r="C60" s="15">
        <v>0.96640000000000004</v>
      </c>
      <c r="D60" s="16" t="s">
        <v>79</v>
      </c>
      <c r="E60" s="17"/>
      <c r="F60" s="17"/>
      <c r="G60" s="18">
        <v>536</v>
      </c>
      <c r="H60" s="19">
        <f t="shared" si="0"/>
        <v>18.009599999999978</v>
      </c>
      <c r="I60" s="20">
        <f t="shared" si="1"/>
        <v>990.52799999999877</v>
      </c>
      <c r="J60" s="21">
        <f t="shared" si="3"/>
        <v>26.800000000000011</v>
      </c>
      <c r="K60" s="22">
        <f t="shared" si="2"/>
        <v>8.7904000000000337</v>
      </c>
    </row>
    <row r="61" spans="1:11" ht="12.75" x14ac:dyDescent="0.2">
      <c r="A61" s="13">
        <v>45590</v>
      </c>
      <c r="B61" s="14" t="s">
        <v>7</v>
      </c>
      <c r="C61" s="15">
        <v>0.95150000000000001</v>
      </c>
      <c r="D61" s="16" t="s">
        <v>79</v>
      </c>
      <c r="E61" s="17"/>
      <c r="F61" s="17"/>
      <c r="G61" s="18">
        <v>536</v>
      </c>
      <c r="H61" s="19">
        <f t="shared" si="0"/>
        <v>25.995999999999981</v>
      </c>
      <c r="I61" s="20">
        <f t="shared" si="1"/>
        <v>1429.7799999999988</v>
      </c>
      <c r="J61" s="21">
        <f t="shared" si="3"/>
        <v>26.800000000000011</v>
      </c>
      <c r="K61" s="22">
        <f t="shared" si="2"/>
        <v>0.80400000000003047</v>
      </c>
    </row>
    <row r="62" spans="1:11" ht="12.75" x14ac:dyDescent="0.2">
      <c r="A62" s="13">
        <v>45593</v>
      </c>
      <c r="B62" s="14" t="s">
        <v>3</v>
      </c>
      <c r="C62" s="15">
        <v>0.95150000000000001</v>
      </c>
      <c r="D62" s="16" t="s">
        <v>79</v>
      </c>
      <c r="E62" s="17"/>
      <c r="F62" s="17"/>
      <c r="G62" s="18">
        <v>536</v>
      </c>
      <c r="H62" s="19">
        <f t="shared" si="0"/>
        <v>25.995999999999981</v>
      </c>
      <c r="I62" s="20">
        <f t="shared" si="1"/>
        <v>1429.7799999999988</v>
      </c>
      <c r="J62" s="21">
        <f t="shared" si="3"/>
        <v>26.800000000000011</v>
      </c>
      <c r="K62" s="22">
        <f t="shared" si="2"/>
        <v>0.80400000000003047</v>
      </c>
    </row>
    <row r="63" spans="1:11" ht="12.75" x14ac:dyDescent="0.2">
      <c r="A63" s="13">
        <v>45594</v>
      </c>
      <c r="B63" s="14" t="s">
        <v>4</v>
      </c>
      <c r="C63" s="15">
        <v>0.96460000000000001</v>
      </c>
      <c r="D63" s="16" t="s">
        <v>79</v>
      </c>
      <c r="E63" s="17"/>
      <c r="F63" s="17"/>
      <c r="G63" s="18">
        <v>536</v>
      </c>
      <c r="H63" s="19">
        <f t="shared" si="0"/>
        <v>18.974399999999946</v>
      </c>
      <c r="I63" s="20">
        <f t="shared" si="1"/>
        <v>1043.5919999999969</v>
      </c>
      <c r="J63" s="21">
        <f t="shared" si="3"/>
        <v>26.800000000000011</v>
      </c>
      <c r="K63" s="22">
        <f t="shared" si="2"/>
        <v>7.8256000000000654</v>
      </c>
    </row>
    <row r="64" spans="1:11" ht="12.75" x14ac:dyDescent="0.2">
      <c r="A64" s="13">
        <v>45595</v>
      </c>
      <c r="B64" s="14" t="s">
        <v>5</v>
      </c>
      <c r="C64" s="15">
        <v>0.95509999999999995</v>
      </c>
      <c r="D64" s="16" t="s">
        <v>79</v>
      </c>
      <c r="E64" s="17"/>
      <c r="F64" s="17"/>
      <c r="G64" s="18">
        <v>535</v>
      </c>
      <c r="H64" s="19">
        <f t="shared" si="0"/>
        <v>24.021500000000003</v>
      </c>
      <c r="I64" s="20">
        <f t="shared" si="1"/>
        <v>1321.1825000000001</v>
      </c>
      <c r="J64" s="21">
        <f t="shared" si="3"/>
        <v>26.75</v>
      </c>
      <c r="K64" s="22">
        <f t="shared" si="2"/>
        <v>2.7284999999999968</v>
      </c>
    </row>
    <row r="65" spans="1:11" ht="12.75" x14ac:dyDescent="0.2">
      <c r="A65" s="13">
        <v>45596</v>
      </c>
      <c r="B65" s="14" t="s">
        <v>6</v>
      </c>
      <c r="C65" s="15">
        <v>0.96819999999999995</v>
      </c>
      <c r="D65" s="16" t="s">
        <v>79</v>
      </c>
      <c r="E65" s="17"/>
      <c r="F65" s="17"/>
      <c r="G65" s="18">
        <v>535</v>
      </c>
      <c r="H65" s="19">
        <f t="shared" si="0"/>
        <v>17.013000000000034</v>
      </c>
      <c r="I65" s="20">
        <f t="shared" si="1"/>
        <v>935.71500000000185</v>
      </c>
      <c r="J65" s="21">
        <f t="shared" si="3"/>
        <v>26.75</v>
      </c>
      <c r="K65" s="22">
        <f t="shared" si="2"/>
        <v>9.7369999999999663</v>
      </c>
    </row>
    <row r="66" spans="1:11" ht="12.75" x14ac:dyDescent="0.2">
      <c r="A66" s="13">
        <v>45597</v>
      </c>
      <c r="B66" s="14" t="s">
        <v>7</v>
      </c>
      <c r="C66" s="15">
        <v>0.90280000000000005</v>
      </c>
      <c r="D66" s="16" t="s">
        <v>79</v>
      </c>
      <c r="E66" s="17"/>
      <c r="F66" s="17"/>
      <c r="G66" s="18">
        <v>535</v>
      </c>
      <c r="H66" s="19">
        <f t="shared" si="0"/>
        <v>52.001999999999953</v>
      </c>
      <c r="I66" s="20">
        <f t="shared" si="1"/>
        <v>2860.1099999999974</v>
      </c>
      <c r="J66" s="21">
        <f t="shared" si="3"/>
        <v>26.75</v>
      </c>
      <c r="K66" s="22">
        <f t="shared" si="2"/>
        <v>-25.251999999999953</v>
      </c>
    </row>
    <row r="67" spans="1:11" ht="12.75" x14ac:dyDescent="0.2">
      <c r="A67" s="38">
        <v>45600</v>
      </c>
      <c r="B67" s="39" t="s">
        <v>3</v>
      </c>
      <c r="C67" s="40"/>
      <c r="D67" s="41"/>
      <c r="E67" s="42"/>
      <c r="F67" s="42"/>
      <c r="G67" s="43"/>
      <c r="H67" s="19">
        <f t="shared" si="0"/>
        <v>0</v>
      </c>
      <c r="I67" s="20">
        <f t="shared" si="1"/>
        <v>0</v>
      </c>
      <c r="J67" s="21">
        <f t="shared" si="3"/>
        <v>0</v>
      </c>
      <c r="K67" s="22">
        <f t="shared" si="2"/>
        <v>0</v>
      </c>
    </row>
    <row r="68" spans="1:11" ht="12.75" x14ac:dyDescent="0.2">
      <c r="A68" s="30">
        <v>45601</v>
      </c>
      <c r="B68" s="31" t="s">
        <v>4</v>
      </c>
      <c r="C68" s="32"/>
      <c r="D68" s="33"/>
      <c r="E68" s="34"/>
      <c r="F68" s="34"/>
      <c r="G68" s="35"/>
      <c r="H68" s="19">
        <f t="shared" si="0"/>
        <v>0</v>
      </c>
      <c r="I68" s="20">
        <f t="shared" si="1"/>
        <v>0</v>
      </c>
      <c r="J68" s="21">
        <f t="shared" si="3"/>
        <v>0</v>
      </c>
      <c r="K68" s="22">
        <f t="shared" si="2"/>
        <v>0</v>
      </c>
    </row>
    <row r="69" spans="1:11" ht="12.75" x14ac:dyDescent="0.2">
      <c r="A69" s="13">
        <v>45602</v>
      </c>
      <c r="B69" s="14" t="s">
        <v>5</v>
      </c>
      <c r="C69" s="15">
        <v>0.95509999999999995</v>
      </c>
      <c r="D69" s="16" t="s">
        <v>79</v>
      </c>
      <c r="E69" s="17"/>
      <c r="F69" s="17"/>
      <c r="G69" s="18">
        <v>535</v>
      </c>
      <c r="H69" s="19">
        <f t="shared" si="0"/>
        <v>24.021500000000003</v>
      </c>
      <c r="I69" s="20">
        <f t="shared" si="1"/>
        <v>1321.1825000000001</v>
      </c>
      <c r="J69" s="21">
        <f t="shared" si="3"/>
        <v>26.75</v>
      </c>
      <c r="K69" s="22">
        <f t="shared" si="2"/>
        <v>2.7284999999999968</v>
      </c>
    </row>
    <row r="70" spans="1:11" ht="12.75" x14ac:dyDescent="0.2">
      <c r="A70" s="13">
        <v>45603</v>
      </c>
      <c r="B70" s="14" t="s">
        <v>6</v>
      </c>
      <c r="C70" s="15">
        <v>0.96050000000000002</v>
      </c>
      <c r="D70" s="23" t="s">
        <v>79</v>
      </c>
      <c r="E70" s="17"/>
      <c r="F70" s="17"/>
      <c r="G70" s="18">
        <v>532</v>
      </c>
      <c r="H70" s="19">
        <f t="shared" si="0"/>
        <v>21.01400000000001</v>
      </c>
      <c r="I70" s="20">
        <f t="shared" si="1"/>
        <v>1155.7700000000004</v>
      </c>
      <c r="J70" s="21">
        <f t="shared" si="3"/>
        <v>26.600000000000023</v>
      </c>
      <c r="K70" s="22">
        <f t="shared" si="2"/>
        <v>5.5860000000000127</v>
      </c>
    </row>
    <row r="71" spans="1:11" ht="12.75" x14ac:dyDescent="0.2">
      <c r="A71" s="13">
        <v>45604</v>
      </c>
      <c r="B71" s="14" t="s">
        <v>7</v>
      </c>
      <c r="C71" s="15">
        <v>0.95299999999999996</v>
      </c>
      <c r="D71" s="23" t="s">
        <v>79</v>
      </c>
      <c r="E71" s="17"/>
      <c r="F71" s="17"/>
      <c r="G71" s="18">
        <v>532</v>
      </c>
      <c r="H71" s="19">
        <f t="shared" si="0"/>
        <v>25.004000000000019</v>
      </c>
      <c r="I71" s="20">
        <f t="shared" si="1"/>
        <v>1375.2200000000012</v>
      </c>
      <c r="J71" s="21">
        <f t="shared" si="3"/>
        <v>26.600000000000023</v>
      </c>
      <c r="K71" s="22">
        <f t="shared" si="2"/>
        <v>1.5960000000000036</v>
      </c>
    </row>
    <row r="72" spans="1:11" ht="12.75" x14ac:dyDescent="0.2">
      <c r="A72" s="13">
        <v>45607</v>
      </c>
      <c r="B72" s="14" t="s">
        <v>3</v>
      </c>
      <c r="C72" s="15">
        <v>0.95299999999999996</v>
      </c>
      <c r="D72" s="23" t="s">
        <v>79</v>
      </c>
      <c r="E72" s="17"/>
      <c r="F72" s="17"/>
      <c r="G72" s="18">
        <v>532</v>
      </c>
      <c r="H72" s="19">
        <f t="shared" si="0"/>
        <v>25.004000000000019</v>
      </c>
      <c r="I72" s="20">
        <f t="shared" si="1"/>
        <v>1375.2200000000012</v>
      </c>
      <c r="J72" s="21">
        <f t="shared" si="3"/>
        <v>26.600000000000023</v>
      </c>
      <c r="K72" s="22">
        <f t="shared" si="2"/>
        <v>1.5960000000000036</v>
      </c>
    </row>
    <row r="73" spans="1:11" ht="12.75" x14ac:dyDescent="0.2">
      <c r="A73" s="13">
        <v>45608</v>
      </c>
      <c r="B73" s="14" t="s">
        <v>4</v>
      </c>
      <c r="C73" s="15">
        <v>0.94899999999999995</v>
      </c>
      <c r="D73" s="16" t="s">
        <v>79</v>
      </c>
      <c r="E73" s="17"/>
      <c r="F73" s="17"/>
      <c r="G73" s="18">
        <v>529</v>
      </c>
      <c r="H73" s="19">
        <f t="shared" si="0"/>
        <v>26.979000000000042</v>
      </c>
      <c r="I73" s="20">
        <f t="shared" si="1"/>
        <v>1483.8450000000023</v>
      </c>
      <c r="J73" s="21">
        <f t="shared" si="3"/>
        <v>26.450000000000045</v>
      </c>
      <c r="K73" s="22">
        <f t="shared" si="2"/>
        <v>-0.52899999999999636</v>
      </c>
    </row>
    <row r="74" spans="1:11" ht="12.75" x14ac:dyDescent="0.2">
      <c r="A74" s="13">
        <v>45609</v>
      </c>
      <c r="B74" s="14" t="s">
        <v>5</v>
      </c>
      <c r="C74" s="15">
        <v>0.96409999999999996</v>
      </c>
      <c r="D74" s="16" t="s">
        <v>79</v>
      </c>
      <c r="E74" s="17"/>
      <c r="F74" s="17"/>
      <c r="G74" s="18">
        <v>529</v>
      </c>
      <c r="H74" s="19">
        <f t="shared" si="0"/>
        <v>18.991100000000017</v>
      </c>
      <c r="I74" s="20">
        <f t="shared" si="1"/>
        <v>1044.510500000001</v>
      </c>
      <c r="J74" s="21">
        <f t="shared" si="3"/>
        <v>26.450000000000045</v>
      </c>
      <c r="K74" s="22">
        <f t="shared" si="2"/>
        <v>7.4589000000000283</v>
      </c>
    </row>
    <row r="75" spans="1:11" ht="12.75" x14ac:dyDescent="0.2">
      <c r="A75" s="13">
        <v>45610</v>
      </c>
      <c r="B75" s="14" t="s">
        <v>6</v>
      </c>
      <c r="C75" s="15">
        <v>0.94899999999999995</v>
      </c>
      <c r="D75" s="16" t="s">
        <v>79</v>
      </c>
      <c r="E75" s="17"/>
      <c r="F75" s="17"/>
      <c r="G75" s="18">
        <v>529</v>
      </c>
      <c r="H75" s="19">
        <f t="shared" si="0"/>
        <v>26.979000000000042</v>
      </c>
      <c r="I75" s="20">
        <f t="shared" si="1"/>
        <v>1483.8450000000023</v>
      </c>
      <c r="J75" s="21">
        <f t="shared" si="3"/>
        <v>26.450000000000045</v>
      </c>
      <c r="K75" s="22">
        <f t="shared" si="2"/>
        <v>-0.52899999999999636</v>
      </c>
    </row>
    <row r="76" spans="1:11" ht="12.75" x14ac:dyDescent="0.2">
      <c r="A76" s="13">
        <v>45611</v>
      </c>
      <c r="B76" s="14" t="s">
        <v>7</v>
      </c>
      <c r="C76" s="15">
        <v>0.95269999999999999</v>
      </c>
      <c r="D76" s="16" t="s">
        <v>79</v>
      </c>
      <c r="E76" s="17"/>
      <c r="F76" s="17"/>
      <c r="G76" s="18">
        <v>529</v>
      </c>
      <c r="H76" s="19">
        <f t="shared" si="0"/>
        <v>25.02170000000001</v>
      </c>
      <c r="I76" s="20">
        <f t="shared" si="1"/>
        <v>1376.1935000000005</v>
      </c>
      <c r="J76" s="21">
        <f t="shared" si="3"/>
        <v>26.450000000000045</v>
      </c>
      <c r="K76" s="22">
        <f t="shared" si="2"/>
        <v>1.4283000000000357</v>
      </c>
    </row>
    <row r="77" spans="1:11" ht="12.75" x14ac:dyDescent="0.2">
      <c r="A77" s="13">
        <v>45614</v>
      </c>
      <c r="B77" s="14" t="s">
        <v>3</v>
      </c>
      <c r="C77" s="15">
        <v>0.93010000000000004</v>
      </c>
      <c r="D77" s="16" t="s">
        <v>79</v>
      </c>
      <c r="E77" s="17"/>
      <c r="F77" s="17"/>
      <c r="G77" s="18">
        <v>529</v>
      </c>
      <c r="H77" s="19">
        <f t="shared" si="0"/>
        <v>36.977100000000007</v>
      </c>
      <c r="I77" s="20">
        <f t="shared" si="1"/>
        <v>2033.7405000000003</v>
      </c>
      <c r="J77" s="21">
        <f t="shared" si="3"/>
        <v>26.450000000000045</v>
      </c>
      <c r="K77" s="22">
        <f t="shared" si="2"/>
        <v>-10.527099999999962</v>
      </c>
    </row>
    <row r="78" spans="1:11" ht="12.75" x14ac:dyDescent="0.2">
      <c r="A78" s="13">
        <v>45615</v>
      </c>
      <c r="B78" s="14" t="s">
        <v>4</v>
      </c>
      <c r="C78" s="15">
        <v>0.9546</v>
      </c>
      <c r="D78" s="16" t="s">
        <v>79</v>
      </c>
      <c r="E78" s="17"/>
      <c r="F78" s="17"/>
      <c r="G78" s="18">
        <v>529</v>
      </c>
      <c r="H78" s="19">
        <f t="shared" si="0"/>
        <v>24.016599999999983</v>
      </c>
      <c r="I78" s="20">
        <f t="shared" si="1"/>
        <v>1320.9129999999991</v>
      </c>
      <c r="J78" s="21">
        <f t="shared" si="3"/>
        <v>26.450000000000045</v>
      </c>
      <c r="K78" s="22">
        <f t="shared" si="2"/>
        <v>2.4334000000000628</v>
      </c>
    </row>
    <row r="79" spans="1:11" ht="12.75" x14ac:dyDescent="0.2">
      <c r="A79" s="13">
        <v>45616</v>
      </c>
      <c r="B79" s="14" t="s">
        <v>5</v>
      </c>
      <c r="C79" s="15">
        <v>0.96789999999999998</v>
      </c>
      <c r="D79" s="16" t="s">
        <v>79</v>
      </c>
      <c r="E79" s="17"/>
      <c r="F79" s="17"/>
      <c r="G79" s="18">
        <v>529</v>
      </c>
      <c r="H79" s="19">
        <f t="shared" si="0"/>
        <v>16.98090000000002</v>
      </c>
      <c r="I79" s="20">
        <f t="shared" si="1"/>
        <v>933.94950000000108</v>
      </c>
      <c r="J79" s="21">
        <f t="shared" si="3"/>
        <v>26.450000000000045</v>
      </c>
      <c r="K79" s="22">
        <f t="shared" si="2"/>
        <v>9.4691000000000258</v>
      </c>
    </row>
    <row r="80" spans="1:11" ht="12.75" x14ac:dyDescent="0.2">
      <c r="A80" s="13">
        <v>45617</v>
      </c>
      <c r="B80" s="14" t="s">
        <v>6</v>
      </c>
      <c r="C80" s="15">
        <v>0.95840000000000003</v>
      </c>
      <c r="D80" s="16" t="s">
        <v>79</v>
      </c>
      <c r="E80" s="17"/>
      <c r="F80" s="17"/>
      <c r="G80" s="18">
        <v>529</v>
      </c>
      <c r="H80" s="19">
        <f t="shared" si="0"/>
        <v>22.006399999999985</v>
      </c>
      <c r="I80" s="20">
        <f t="shared" si="1"/>
        <v>1210.3519999999992</v>
      </c>
      <c r="J80" s="21">
        <f t="shared" si="3"/>
        <v>26.450000000000045</v>
      </c>
      <c r="K80" s="22">
        <f t="shared" si="2"/>
        <v>4.4436000000000604</v>
      </c>
    </row>
    <row r="81" spans="1:11" ht="12.75" x14ac:dyDescent="0.2">
      <c r="A81" s="13">
        <v>45618</v>
      </c>
      <c r="B81" s="14" t="s">
        <v>7</v>
      </c>
      <c r="C81" s="15">
        <v>0.90169999999999995</v>
      </c>
      <c r="D81" s="16" t="s">
        <v>79</v>
      </c>
      <c r="E81" s="17"/>
      <c r="F81" s="17"/>
      <c r="G81" s="18">
        <v>529</v>
      </c>
      <c r="H81" s="19">
        <f t="shared" si="0"/>
        <v>52.000700000000052</v>
      </c>
      <c r="I81" s="20">
        <f t="shared" si="1"/>
        <v>2860.0385000000028</v>
      </c>
      <c r="J81" s="21">
        <f t="shared" si="3"/>
        <v>26.450000000000045</v>
      </c>
      <c r="K81" s="22">
        <f t="shared" si="2"/>
        <v>-25.550700000000006</v>
      </c>
    </row>
    <row r="82" spans="1:11" ht="12.75" x14ac:dyDescent="0.2">
      <c r="A82" s="30">
        <v>45621</v>
      </c>
      <c r="B82" s="31" t="s">
        <v>3</v>
      </c>
      <c r="C82" s="32"/>
      <c r="D82" s="33"/>
      <c r="E82" s="34"/>
      <c r="F82" s="34"/>
      <c r="G82" s="35"/>
      <c r="H82" s="19">
        <f t="shared" si="0"/>
        <v>0</v>
      </c>
      <c r="I82" s="20">
        <f t="shared" si="1"/>
        <v>0</v>
      </c>
      <c r="J82" s="21">
        <f t="shared" si="3"/>
        <v>0</v>
      </c>
      <c r="K82" s="22">
        <f t="shared" si="2"/>
        <v>0</v>
      </c>
    </row>
    <row r="83" spans="1:11" ht="12.75" x14ac:dyDescent="0.2">
      <c r="A83" s="30">
        <v>45622</v>
      </c>
      <c r="B83" s="31" t="s">
        <v>4</v>
      </c>
      <c r="C83" s="32"/>
      <c r="D83" s="33"/>
      <c r="E83" s="34"/>
      <c r="F83" s="34"/>
      <c r="G83" s="35"/>
      <c r="H83" s="19">
        <f t="shared" si="0"/>
        <v>0</v>
      </c>
      <c r="I83" s="20">
        <f t="shared" si="1"/>
        <v>0</v>
      </c>
      <c r="J83" s="21">
        <f t="shared" si="3"/>
        <v>0</v>
      </c>
      <c r="K83" s="22">
        <f t="shared" si="2"/>
        <v>0</v>
      </c>
    </row>
    <row r="84" spans="1:11" ht="12.75" x14ac:dyDescent="0.2">
      <c r="A84" s="30">
        <v>45623</v>
      </c>
      <c r="B84" s="31" t="s">
        <v>5</v>
      </c>
      <c r="C84" s="32"/>
      <c r="D84" s="33"/>
      <c r="E84" s="34"/>
      <c r="F84" s="34"/>
      <c r="G84" s="35"/>
      <c r="H84" s="19">
        <f t="shared" si="0"/>
        <v>0</v>
      </c>
      <c r="I84" s="20">
        <f t="shared" si="1"/>
        <v>0</v>
      </c>
      <c r="J84" s="21">
        <f t="shared" si="3"/>
        <v>0</v>
      </c>
      <c r="K84" s="22">
        <f t="shared" si="2"/>
        <v>0</v>
      </c>
    </row>
    <row r="85" spans="1:11" ht="12.75" x14ac:dyDescent="0.2">
      <c r="A85" s="30">
        <v>45624</v>
      </c>
      <c r="B85" s="31" t="s">
        <v>6</v>
      </c>
      <c r="C85" s="32"/>
      <c r="D85" s="33"/>
      <c r="E85" s="34"/>
      <c r="F85" s="34"/>
      <c r="G85" s="35"/>
      <c r="H85" s="19">
        <f t="shared" si="0"/>
        <v>0</v>
      </c>
      <c r="I85" s="20">
        <f t="shared" si="1"/>
        <v>0</v>
      </c>
      <c r="J85" s="21">
        <f t="shared" si="3"/>
        <v>0</v>
      </c>
      <c r="K85" s="22">
        <f t="shared" si="2"/>
        <v>0</v>
      </c>
    </row>
    <row r="86" spans="1:11" ht="12.75" x14ac:dyDescent="0.2">
      <c r="A86" s="30">
        <v>45625</v>
      </c>
      <c r="B86" s="31" t="s">
        <v>7</v>
      </c>
      <c r="C86" s="32"/>
      <c r="D86" s="33"/>
      <c r="E86" s="34"/>
      <c r="F86" s="34"/>
      <c r="G86" s="35"/>
      <c r="H86" s="19">
        <f t="shared" si="0"/>
        <v>0</v>
      </c>
      <c r="I86" s="20">
        <f t="shared" si="1"/>
        <v>0</v>
      </c>
      <c r="J86" s="21">
        <f t="shared" si="3"/>
        <v>0</v>
      </c>
      <c r="K86" s="22">
        <f t="shared" si="2"/>
        <v>0</v>
      </c>
    </row>
    <row r="87" spans="1:11" ht="12.75" x14ac:dyDescent="0.2">
      <c r="A87" s="13">
        <v>45628</v>
      </c>
      <c r="B87" s="14" t="s">
        <v>3</v>
      </c>
      <c r="C87" s="15">
        <v>0.94140000000000001</v>
      </c>
      <c r="D87" s="16" t="s">
        <v>79</v>
      </c>
      <c r="E87" s="17"/>
      <c r="F87" s="17"/>
      <c r="G87" s="18">
        <v>529</v>
      </c>
      <c r="H87" s="19">
        <f t="shared" si="0"/>
        <v>30.99939999999998</v>
      </c>
      <c r="I87" s="20">
        <f t="shared" si="1"/>
        <v>1704.966999999999</v>
      </c>
      <c r="J87" s="21">
        <f t="shared" si="3"/>
        <v>26.450000000000045</v>
      </c>
      <c r="K87" s="22">
        <f t="shared" si="2"/>
        <v>-4.5493999999999346</v>
      </c>
    </row>
    <row r="88" spans="1:11" ht="12.75" x14ac:dyDescent="0.2">
      <c r="A88" s="13">
        <v>45629</v>
      </c>
      <c r="B88" s="14" t="s">
        <v>4</v>
      </c>
      <c r="C88" s="15">
        <v>0.9395</v>
      </c>
      <c r="D88" s="16" t="s">
        <v>79</v>
      </c>
      <c r="E88" s="17"/>
      <c r="F88" s="17"/>
      <c r="G88" s="18">
        <v>529</v>
      </c>
      <c r="H88" s="19">
        <f t="shared" si="0"/>
        <v>32.004500000000007</v>
      </c>
      <c r="I88" s="20">
        <f t="shared" si="1"/>
        <v>1760.2475000000004</v>
      </c>
      <c r="J88" s="21">
        <f t="shared" si="3"/>
        <v>26.450000000000045</v>
      </c>
      <c r="K88" s="22">
        <f t="shared" si="2"/>
        <v>-5.5544999999999618</v>
      </c>
    </row>
    <row r="89" spans="1:11" ht="12.75" x14ac:dyDescent="0.2">
      <c r="A89" s="13">
        <v>45630</v>
      </c>
      <c r="B89" s="14" t="s">
        <v>5</v>
      </c>
      <c r="C89" s="15">
        <v>0.97919999999999996</v>
      </c>
      <c r="D89" s="16" t="s">
        <v>79</v>
      </c>
      <c r="E89" s="17"/>
      <c r="F89" s="17"/>
      <c r="G89" s="18">
        <v>528</v>
      </c>
      <c r="H89" s="19">
        <f t="shared" si="0"/>
        <v>10.982399999999984</v>
      </c>
      <c r="I89" s="20">
        <f t="shared" si="1"/>
        <v>604.03199999999913</v>
      </c>
      <c r="J89" s="21">
        <f t="shared" si="3"/>
        <v>26.400000000000034</v>
      </c>
      <c r="K89" s="22">
        <f t="shared" si="2"/>
        <v>15.41760000000005</v>
      </c>
    </row>
    <row r="90" spans="1:11" ht="12.75" x14ac:dyDescent="0.2">
      <c r="A90" s="13">
        <v>45631</v>
      </c>
      <c r="B90" s="14" t="s">
        <v>6</v>
      </c>
      <c r="C90" s="15">
        <v>0.96020000000000005</v>
      </c>
      <c r="D90" s="16" t="s">
        <v>79</v>
      </c>
      <c r="E90" s="17"/>
      <c r="F90" s="17"/>
      <c r="G90" s="18">
        <v>528</v>
      </c>
      <c r="H90" s="19">
        <f t="shared" si="0"/>
        <v>21.014399999999966</v>
      </c>
      <c r="I90" s="20">
        <f t="shared" si="1"/>
        <v>1155.7919999999981</v>
      </c>
      <c r="J90" s="21">
        <f t="shared" si="3"/>
        <v>26.400000000000034</v>
      </c>
      <c r="K90" s="22">
        <f t="shared" si="2"/>
        <v>5.3856000000000677</v>
      </c>
    </row>
    <row r="91" spans="1:11" ht="12.75" x14ac:dyDescent="0.2">
      <c r="A91" s="13">
        <v>45632</v>
      </c>
      <c r="B91" s="14" t="s">
        <v>7</v>
      </c>
      <c r="C91" s="15">
        <v>0.93179999999999996</v>
      </c>
      <c r="D91" s="16" t="s">
        <v>90</v>
      </c>
      <c r="E91" s="17"/>
      <c r="F91" s="17"/>
      <c r="G91" s="18">
        <v>528</v>
      </c>
      <c r="H91" s="19">
        <f t="shared" si="0"/>
        <v>36.009600000000034</v>
      </c>
      <c r="I91" s="20">
        <f t="shared" si="1"/>
        <v>1980.5280000000018</v>
      </c>
      <c r="J91" s="21">
        <f t="shared" si="3"/>
        <v>26.400000000000034</v>
      </c>
      <c r="K91" s="22">
        <f t="shared" si="2"/>
        <v>-9.6096000000000004</v>
      </c>
    </row>
    <row r="92" spans="1:11" ht="12.75" x14ac:dyDescent="0.2">
      <c r="A92" s="13">
        <v>45635</v>
      </c>
      <c r="B92" s="14" t="s">
        <v>3</v>
      </c>
      <c r="C92" s="15">
        <v>0.94699999999999995</v>
      </c>
      <c r="D92" s="16" t="s">
        <v>79</v>
      </c>
      <c r="E92" s="17"/>
      <c r="F92" s="17"/>
      <c r="G92" s="18">
        <v>528</v>
      </c>
      <c r="H92" s="19">
        <f t="shared" si="0"/>
        <v>27.984000000000037</v>
      </c>
      <c r="I92" s="20">
        <f t="shared" si="1"/>
        <v>1539.1200000000022</v>
      </c>
      <c r="J92" s="21">
        <f t="shared" si="3"/>
        <v>26.400000000000034</v>
      </c>
      <c r="K92" s="22">
        <f t="shared" si="2"/>
        <v>-1.5840000000000032</v>
      </c>
    </row>
    <row r="93" spans="1:11" ht="12.75" x14ac:dyDescent="0.2">
      <c r="A93" s="13">
        <v>45636</v>
      </c>
      <c r="B93" s="14" t="s">
        <v>4</v>
      </c>
      <c r="C93" s="15">
        <v>0.9677</v>
      </c>
      <c r="D93" s="16" t="s">
        <v>90</v>
      </c>
      <c r="E93" s="17"/>
      <c r="F93" s="17"/>
      <c r="G93" s="18">
        <v>526</v>
      </c>
      <c r="H93" s="19">
        <f t="shared" si="0"/>
        <v>16.989800000000002</v>
      </c>
      <c r="I93" s="20">
        <f t="shared" si="1"/>
        <v>934.43900000000008</v>
      </c>
      <c r="J93" s="21">
        <f t="shared" si="3"/>
        <v>26.300000000000011</v>
      </c>
      <c r="K93" s="22">
        <f t="shared" si="2"/>
        <v>9.3102000000000089</v>
      </c>
    </row>
    <row r="94" spans="1:11" ht="12.75" x14ac:dyDescent="0.2">
      <c r="A94" s="13">
        <v>45637</v>
      </c>
      <c r="B94" s="14" t="s">
        <v>5</v>
      </c>
      <c r="C94" s="15">
        <v>0.94110000000000005</v>
      </c>
      <c r="D94" s="16" t="s">
        <v>79</v>
      </c>
      <c r="E94" s="17"/>
      <c r="F94" s="17"/>
      <c r="G94" s="18">
        <v>526</v>
      </c>
      <c r="H94" s="19">
        <f t="shared" si="0"/>
        <v>30.981399999999951</v>
      </c>
      <c r="I94" s="20">
        <f t="shared" si="1"/>
        <v>1703.9769999999974</v>
      </c>
      <c r="J94" s="21">
        <f t="shared" si="3"/>
        <v>26.300000000000011</v>
      </c>
      <c r="K94" s="22">
        <f t="shared" si="2"/>
        <v>-4.6813999999999396</v>
      </c>
    </row>
    <row r="95" spans="1:11" ht="12.75" x14ac:dyDescent="0.2">
      <c r="A95" s="13">
        <v>45638</v>
      </c>
      <c r="B95" s="14" t="s">
        <v>6</v>
      </c>
      <c r="C95" s="15">
        <v>0.9506</v>
      </c>
      <c r="D95" s="16" t="s">
        <v>79</v>
      </c>
      <c r="E95" s="17"/>
      <c r="F95" s="17"/>
      <c r="G95" s="18">
        <v>526</v>
      </c>
      <c r="H95" s="19">
        <f t="shared" si="0"/>
        <v>25.984399999999994</v>
      </c>
      <c r="I95" s="20">
        <f t="shared" si="1"/>
        <v>1429.1419999999996</v>
      </c>
      <c r="J95" s="21">
        <f t="shared" si="3"/>
        <v>26.300000000000011</v>
      </c>
      <c r="K95" s="22">
        <f t="shared" si="2"/>
        <v>0.31560000000001764</v>
      </c>
    </row>
    <row r="96" spans="1:11" ht="12.75" x14ac:dyDescent="0.2">
      <c r="A96" s="13">
        <v>45639</v>
      </c>
      <c r="B96" s="14" t="s">
        <v>7</v>
      </c>
      <c r="C96" s="15">
        <v>0.92779999999999996</v>
      </c>
      <c r="D96" s="16" t="s">
        <v>79</v>
      </c>
      <c r="E96" s="17"/>
      <c r="F96" s="17"/>
      <c r="G96" s="18">
        <v>526</v>
      </c>
      <c r="H96" s="19">
        <f t="shared" si="0"/>
        <v>37.977200000000039</v>
      </c>
      <c r="I96" s="20">
        <f t="shared" si="1"/>
        <v>2088.7460000000019</v>
      </c>
      <c r="J96" s="21">
        <f t="shared" si="3"/>
        <v>26.300000000000011</v>
      </c>
      <c r="K96" s="22">
        <f t="shared" si="2"/>
        <v>-11.677200000000028</v>
      </c>
    </row>
    <row r="97" spans="1:11" ht="12.75" x14ac:dyDescent="0.2">
      <c r="A97" s="13">
        <v>45642</v>
      </c>
      <c r="B97" s="14" t="s">
        <v>3</v>
      </c>
      <c r="C97" s="15">
        <v>0.95630000000000004</v>
      </c>
      <c r="D97" s="16" t="s">
        <v>79</v>
      </c>
      <c r="E97" s="17"/>
      <c r="F97" s="17"/>
      <c r="G97" s="18">
        <v>526</v>
      </c>
      <c r="H97" s="19">
        <f t="shared" si="0"/>
        <v>22.986199999999997</v>
      </c>
      <c r="I97" s="20">
        <f t="shared" si="1"/>
        <v>1264.2409999999998</v>
      </c>
      <c r="J97" s="21">
        <f t="shared" si="3"/>
        <v>26.300000000000011</v>
      </c>
      <c r="K97" s="22">
        <f t="shared" si="2"/>
        <v>3.3138000000000147</v>
      </c>
    </row>
    <row r="98" spans="1:11" ht="12.75" x14ac:dyDescent="0.2">
      <c r="A98" s="13">
        <v>45643</v>
      </c>
      <c r="B98" s="14" t="s">
        <v>4</v>
      </c>
      <c r="C98" s="15">
        <v>0.95250000000000001</v>
      </c>
      <c r="D98" s="16" t="s">
        <v>79</v>
      </c>
      <c r="E98" s="17"/>
      <c r="F98" s="17"/>
      <c r="G98" s="18">
        <v>526</v>
      </c>
      <c r="H98" s="19">
        <f t="shared" si="0"/>
        <v>24.985000000000014</v>
      </c>
      <c r="I98" s="20">
        <f t="shared" si="1"/>
        <v>1374.1750000000006</v>
      </c>
      <c r="J98" s="21">
        <f t="shared" si="3"/>
        <v>26.300000000000011</v>
      </c>
      <c r="K98" s="22">
        <f t="shared" si="2"/>
        <v>1.3149999999999977</v>
      </c>
    </row>
    <row r="99" spans="1:11" ht="12.75" x14ac:dyDescent="0.2">
      <c r="A99" s="13">
        <v>45644</v>
      </c>
      <c r="B99" s="14" t="s">
        <v>5</v>
      </c>
      <c r="C99" s="15">
        <v>0.97350000000000003</v>
      </c>
      <c r="D99" s="16" t="s">
        <v>79</v>
      </c>
      <c r="E99" s="17"/>
      <c r="F99" s="17"/>
      <c r="G99" s="18">
        <v>529</v>
      </c>
      <c r="H99" s="19">
        <f t="shared" si="0"/>
        <v>14.018500000000017</v>
      </c>
      <c r="I99" s="20">
        <f t="shared" si="1"/>
        <v>771.01750000000095</v>
      </c>
      <c r="J99" s="21">
        <f t="shared" si="3"/>
        <v>26.450000000000045</v>
      </c>
      <c r="K99" s="22">
        <f t="shared" si="2"/>
        <v>12.431500000000028</v>
      </c>
    </row>
    <row r="100" spans="1:11" ht="12.75" x14ac:dyDescent="0.2">
      <c r="A100" s="13">
        <v>45645</v>
      </c>
      <c r="B100" s="14" t="s">
        <v>6</v>
      </c>
      <c r="C100" s="15">
        <v>0.96220000000000006</v>
      </c>
      <c r="D100" s="16" t="s">
        <v>79</v>
      </c>
      <c r="E100" s="17"/>
      <c r="F100" s="17"/>
      <c r="G100" s="18">
        <v>529</v>
      </c>
      <c r="H100" s="19">
        <f t="shared" si="0"/>
        <v>19.996199999999988</v>
      </c>
      <c r="I100" s="20">
        <f t="shared" si="1"/>
        <v>1099.7909999999993</v>
      </c>
      <c r="J100" s="21">
        <f t="shared" si="3"/>
        <v>26.450000000000045</v>
      </c>
      <c r="K100" s="22">
        <f t="shared" si="2"/>
        <v>6.4538000000000579</v>
      </c>
    </row>
    <row r="101" spans="1:11" ht="12.75" x14ac:dyDescent="0.2">
      <c r="A101" s="13">
        <v>45646</v>
      </c>
      <c r="B101" s="14" t="s">
        <v>7</v>
      </c>
      <c r="C101" s="15">
        <v>0.92249999999999999</v>
      </c>
      <c r="D101" s="16" t="s">
        <v>79</v>
      </c>
      <c r="E101" s="17"/>
      <c r="F101" s="17"/>
      <c r="G101" s="18">
        <v>529</v>
      </c>
      <c r="H101" s="19">
        <f t="shared" si="0"/>
        <v>40.997500000000002</v>
      </c>
      <c r="I101" s="20">
        <f t="shared" si="1"/>
        <v>2254.8625000000002</v>
      </c>
      <c r="J101" s="21">
        <f t="shared" si="3"/>
        <v>26.450000000000045</v>
      </c>
      <c r="K101" s="22">
        <f t="shared" si="2"/>
        <v>-14.547499999999957</v>
      </c>
    </row>
    <row r="102" spans="1:11" ht="12.75" x14ac:dyDescent="0.2">
      <c r="A102" s="24">
        <v>45649</v>
      </c>
      <c r="B102" s="25" t="s">
        <v>3</v>
      </c>
      <c r="C102" s="26"/>
      <c r="D102" s="27"/>
      <c r="E102" s="28"/>
      <c r="F102" s="28"/>
      <c r="G102" s="29"/>
      <c r="H102" s="19">
        <f t="shared" si="0"/>
        <v>0</v>
      </c>
      <c r="I102" s="20">
        <f t="shared" si="1"/>
        <v>0</v>
      </c>
      <c r="J102" s="21">
        <f t="shared" si="3"/>
        <v>0</v>
      </c>
      <c r="K102" s="22">
        <f t="shared" si="2"/>
        <v>0</v>
      </c>
    </row>
    <row r="103" spans="1:11" ht="12.75" x14ac:dyDescent="0.2">
      <c r="A103" s="24">
        <v>45650</v>
      </c>
      <c r="B103" s="25" t="s">
        <v>4</v>
      </c>
      <c r="C103" s="26"/>
      <c r="D103" s="27"/>
      <c r="E103" s="28"/>
      <c r="F103" s="28"/>
      <c r="G103" s="29"/>
      <c r="H103" s="19">
        <f t="shared" si="0"/>
        <v>0</v>
      </c>
      <c r="I103" s="20">
        <f t="shared" si="1"/>
        <v>0</v>
      </c>
      <c r="J103" s="21">
        <f t="shared" si="3"/>
        <v>0</v>
      </c>
      <c r="K103" s="22">
        <f t="shared" si="2"/>
        <v>0</v>
      </c>
    </row>
    <row r="104" spans="1:11" ht="12.75" x14ac:dyDescent="0.2">
      <c r="A104" s="24">
        <v>45651</v>
      </c>
      <c r="B104" s="25" t="s">
        <v>5</v>
      </c>
      <c r="C104" s="26"/>
      <c r="D104" s="27"/>
      <c r="E104" s="28"/>
      <c r="F104" s="28"/>
      <c r="G104" s="29"/>
      <c r="H104" s="19">
        <f t="shared" si="0"/>
        <v>0</v>
      </c>
      <c r="I104" s="20">
        <f t="shared" si="1"/>
        <v>0</v>
      </c>
      <c r="J104" s="21">
        <f t="shared" si="3"/>
        <v>0</v>
      </c>
      <c r="K104" s="22">
        <f t="shared" si="2"/>
        <v>0</v>
      </c>
    </row>
    <row r="105" spans="1:11" ht="12.75" x14ac:dyDescent="0.2">
      <c r="A105" s="24">
        <v>45652</v>
      </c>
      <c r="B105" s="25" t="s">
        <v>6</v>
      </c>
      <c r="C105" s="26"/>
      <c r="D105" s="27"/>
      <c r="E105" s="28"/>
      <c r="F105" s="28"/>
      <c r="G105" s="29"/>
      <c r="H105" s="19">
        <f t="shared" si="0"/>
        <v>0</v>
      </c>
      <c r="I105" s="20">
        <f t="shared" si="1"/>
        <v>0</v>
      </c>
      <c r="J105" s="21">
        <f t="shared" si="3"/>
        <v>0</v>
      </c>
      <c r="K105" s="22">
        <f t="shared" si="2"/>
        <v>0</v>
      </c>
    </row>
    <row r="106" spans="1:11" ht="12.75" x14ac:dyDescent="0.2">
      <c r="A106" s="24">
        <v>45653</v>
      </c>
      <c r="B106" s="25" t="s">
        <v>7</v>
      </c>
      <c r="C106" s="26"/>
      <c r="D106" s="27"/>
      <c r="E106" s="28"/>
      <c r="F106" s="28"/>
      <c r="G106" s="29"/>
      <c r="H106" s="19">
        <f t="shared" si="0"/>
        <v>0</v>
      </c>
      <c r="I106" s="20">
        <f t="shared" si="1"/>
        <v>0</v>
      </c>
      <c r="J106" s="21">
        <f t="shared" si="3"/>
        <v>0</v>
      </c>
      <c r="K106" s="22">
        <f t="shared" si="2"/>
        <v>0</v>
      </c>
    </row>
    <row r="107" spans="1:11" ht="12.75" x14ac:dyDescent="0.2">
      <c r="A107" s="24">
        <v>45656</v>
      </c>
      <c r="B107" s="25" t="s">
        <v>3</v>
      </c>
      <c r="C107" s="26"/>
      <c r="D107" s="27"/>
      <c r="E107" s="28"/>
      <c r="F107" s="28"/>
      <c r="G107" s="29"/>
      <c r="H107" s="19">
        <f t="shared" si="0"/>
        <v>0</v>
      </c>
      <c r="I107" s="20">
        <f t="shared" si="1"/>
        <v>0</v>
      </c>
      <c r="J107" s="21">
        <f t="shared" si="3"/>
        <v>0</v>
      </c>
      <c r="K107" s="22">
        <f t="shared" si="2"/>
        <v>0</v>
      </c>
    </row>
    <row r="108" spans="1:11" ht="12.75" x14ac:dyDescent="0.2">
      <c r="A108" s="24">
        <v>45657</v>
      </c>
      <c r="B108" s="25" t="s">
        <v>4</v>
      </c>
      <c r="C108" s="26"/>
      <c r="D108" s="27"/>
      <c r="E108" s="28"/>
      <c r="F108" s="28"/>
      <c r="G108" s="29"/>
      <c r="H108" s="19">
        <f t="shared" si="0"/>
        <v>0</v>
      </c>
      <c r="I108" s="20">
        <f t="shared" si="1"/>
        <v>0</v>
      </c>
      <c r="J108" s="21">
        <f t="shared" si="3"/>
        <v>0</v>
      </c>
      <c r="K108" s="22">
        <f t="shared" si="2"/>
        <v>0</v>
      </c>
    </row>
    <row r="109" spans="1:11" ht="12.75" x14ac:dyDescent="0.2">
      <c r="A109" s="24">
        <v>45658</v>
      </c>
      <c r="B109" s="25" t="s">
        <v>5</v>
      </c>
      <c r="C109" s="26"/>
      <c r="D109" s="27"/>
      <c r="E109" s="28"/>
      <c r="F109" s="28"/>
      <c r="G109" s="29"/>
      <c r="H109" s="19">
        <f t="shared" si="0"/>
        <v>0</v>
      </c>
      <c r="I109" s="20">
        <f t="shared" si="1"/>
        <v>0</v>
      </c>
      <c r="J109" s="21">
        <f t="shared" si="3"/>
        <v>0</v>
      </c>
      <c r="K109" s="22">
        <f t="shared" si="2"/>
        <v>0</v>
      </c>
    </row>
    <row r="110" spans="1:11" ht="12.75" x14ac:dyDescent="0.2">
      <c r="A110" s="24">
        <v>45659</v>
      </c>
      <c r="B110" s="25" t="s">
        <v>6</v>
      </c>
      <c r="C110" s="26"/>
      <c r="D110" s="27"/>
      <c r="E110" s="28"/>
      <c r="F110" s="28"/>
      <c r="G110" s="29"/>
      <c r="H110" s="19">
        <f t="shared" si="0"/>
        <v>0</v>
      </c>
      <c r="I110" s="20">
        <f t="shared" si="1"/>
        <v>0</v>
      </c>
      <c r="J110" s="21">
        <f t="shared" si="3"/>
        <v>0</v>
      </c>
      <c r="K110" s="22">
        <f t="shared" si="2"/>
        <v>0</v>
      </c>
    </row>
    <row r="111" spans="1:11" ht="12.75" x14ac:dyDescent="0.2">
      <c r="A111" s="24">
        <v>45660</v>
      </c>
      <c r="B111" s="25" t="s">
        <v>7</v>
      </c>
      <c r="C111" s="26"/>
      <c r="D111" s="27"/>
      <c r="E111" s="28"/>
      <c r="F111" s="28"/>
      <c r="G111" s="29"/>
      <c r="H111" s="19">
        <f t="shared" si="0"/>
        <v>0</v>
      </c>
      <c r="I111" s="20">
        <f t="shared" si="1"/>
        <v>0</v>
      </c>
      <c r="J111" s="21">
        <f t="shared" si="3"/>
        <v>0</v>
      </c>
      <c r="K111" s="22">
        <f t="shared" si="2"/>
        <v>0</v>
      </c>
    </row>
    <row r="112" spans="1:11" ht="12.75" x14ac:dyDescent="0.2">
      <c r="A112" s="30">
        <v>45663</v>
      </c>
      <c r="B112" s="31" t="s">
        <v>3</v>
      </c>
      <c r="C112" s="32"/>
      <c r="D112" s="33"/>
      <c r="E112" s="34"/>
      <c r="F112" s="34"/>
      <c r="G112" s="35"/>
      <c r="H112" s="19">
        <f t="shared" si="0"/>
        <v>0</v>
      </c>
      <c r="I112" s="20">
        <f t="shared" si="1"/>
        <v>0</v>
      </c>
      <c r="J112" s="21">
        <f t="shared" si="3"/>
        <v>0</v>
      </c>
      <c r="K112" s="22">
        <f t="shared" si="2"/>
        <v>0</v>
      </c>
    </row>
    <row r="113" spans="1:11" ht="12.75" x14ac:dyDescent="0.2">
      <c r="A113" s="30">
        <v>45664</v>
      </c>
      <c r="B113" s="31" t="s">
        <v>4</v>
      </c>
      <c r="C113" s="32"/>
      <c r="D113" s="33"/>
      <c r="E113" s="34"/>
      <c r="F113" s="34"/>
      <c r="G113" s="35"/>
      <c r="H113" s="19">
        <f t="shared" si="0"/>
        <v>0</v>
      </c>
      <c r="I113" s="20">
        <f t="shared" si="1"/>
        <v>0</v>
      </c>
      <c r="J113" s="21">
        <f t="shared" si="3"/>
        <v>0</v>
      </c>
      <c r="K113" s="22">
        <f t="shared" si="2"/>
        <v>0</v>
      </c>
    </row>
    <row r="114" spans="1:11" ht="12.75" x14ac:dyDescent="0.2">
      <c r="A114" s="13">
        <v>45665</v>
      </c>
      <c r="B114" s="14" t="s">
        <v>5</v>
      </c>
      <c r="C114" s="15">
        <v>0.91890000000000005</v>
      </c>
      <c r="D114" s="16" t="s">
        <v>79</v>
      </c>
      <c r="E114" s="17"/>
      <c r="F114" s="17"/>
      <c r="G114" s="18">
        <v>530</v>
      </c>
      <c r="H114" s="19">
        <f t="shared" si="0"/>
        <v>42.982999999999947</v>
      </c>
      <c r="I114" s="20">
        <f t="shared" si="1"/>
        <v>2364.0649999999969</v>
      </c>
      <c r="J114" s="21">
        <f t="shared" si="3"/>
        <v>26.5</v>
      </c>
      <c r="K114" s="22">
        <f t="shared" si="2"/>
        <v>-16.482999999999947</v>
      </c>
    </row>
    <row r="115" spans="1:11" ht="12.75" x14ac:dyDescent="0.2">
      <c r="A115" s="13">
        <v>45666</v>
      </c>
      <c r="B115" s="14" t="s">
        <v>6</v>
      </c>
      <c r="C115" s="15">
        <v>0.92059999999999997</v>
      </c>
      <c r="D115" s="16" t="s">
        <v>79</v>
      </c>
      <c r="E115" s="17"/>
      <c r="F115" s="17"/>
      <c r="G115" s="18">
        <v>529</v>
      </c>
      <c r="H115" s="19">
        <f t="shared" si="0"/>
        <v>42.002600000000029</v>
      </c>
      <c r="I115" s="20">
        <f t="shared" si="1"/>
        <v>2310.1430000000018</v>
      </c>
      <c r="J115" s="21">
        <f t="shared" si="3"/>
        <v>26.450000000000045</v>
      </c>
      <c r="K115" s="22">
        <f t="shared" si="2"/>
        <v>-15.552599999999984</v>
      </c>
    </row>
    <row r="116" spans="1:11" ht="12.75" x14ac:dyDescent="0.2">
      <c r="A116" s="13">
        <v>45667</v>
      </c>
      <c r="B116" s="14" t="s">
        <v>7</v>
      </c>
      <c r="C116" s="15">
        <v>0.90739999999999998</v>
      </c>
      <c r="D116" s="16" t="s">
        <v>79</v>
      </c>
      <c r="E116" s="17"/>
      <c r="F116" s="17"/>
      <c r="G116" s="18">
        <v>529</v>
      </c>
      <c r="H116" s="19">
        <f t="shared" si="0"/>
        <v>48.985400000000027</v>
      </c>
      <c r="I116" s="20">
        <f t="shared" si="1"/>
        <v>2694.1970000000015</v>
      </c>
      <c r="J116" s="21">
        <f t="shared" si="3"/>
        <v>26.450000000000045</v>
      </c>
      <c r="K116" s="22">
        <f t="shared" si="2"/>
        <v>-22.535399999999981</v>
      </c>
    </row>
    <row r="117" spans="1:11" ht="12.75" x14ac:dyDescent="0.2">
      <c r="A117" s="13">
        <v>45670</v>
      </c>
      <c r="B117" s="14" t="s">
        <v>3</v>
      </c>
      <c r="C117" s="15">
        <v>0.95089999999999997</v>
      </c>
      <c r="D117" s="16" t="s">
        <v>79</v>
      </c>
      <c r="E117" s="17"/>
      <c r="F117" s="17"/>
      <c r="G117" s="18">
        <v>530</v>
      </c>
      <c r="H117" s="19">
        <f t="shared" si="0"/>
        <v>26.023000000000025</v>
      </c>
      <c r="I117" s="20">
        <f t="shared" si="1"/>
        <v>1431.2650000000012</v>
      </c>
      <c r="J117" s="21">
        <f t="shared" si="3"/>
        <v>26.5</v>
      </c>
      <c r="K117" s="22">
        <f t="shared" si="2"/>
        <v>0.47699999999997544</v>
      </c>
    </row>
    <row r="118" spans="1:11" ht="12.75" x14ac:dyDescent="0.2">
      <c r="A118" s="13">
        <v>45671</v>
      </c>
      <c r="B118" s="14" t="s">
        <v>4</v>
      </c>
      <c r="C118" s="15">
        <v>0.97550000000000003</v>
      </c>
      <c r="D118" s="16" t="s">
        <v>79</v>
      </c>
      <c r="E118" s="17"/>
      <c r="F118" s="17"/>
      <c r="G118" s="18">
        <v>530</v>
      </c>
      <c r="H118" s="19">
        <f t="shared" si="0"/>
        <v>12.985000000000014</v>
      </c>
      <c r="I118" s="20">
        <f t="shared" si="1"/>
        <v>714.17500000000075</v>
      </c>
      <c r="J118" s="21">
        <f t="shared" si="3"/>
        <v>26.5</v>
      </c>
      <c r="K118" s="22">
        <f t="shared" si="2"/>
        <v>13.514999999999986</v>
      </c>
    </row>
    <row r="119" spans="1:11" ht="12.75" x14ac:dyDescent="0.2">
      <c r="A119" s="13">
        <v>45672</v>
      </c>
      <c r="B119" s="14" t="s">
        <v>5</v>
      </c>
      <c r="C119" s="15">
        <v>0.96789999999999998</v>
      </c>
      <c r="D119" s="16" t="s">
        <v>79</v>
      </c>
      <c r="E119" s="17"/>
      <c r="F119" s="17"/>
      <c r="G119" s="18">
        <v>530</v>
      </c>
      <c r="H119" s="19">
        <f t="shared" si="0"/>
        <v>17.013000000000034</v>
      </c>
      <c r="I119" s="20">
        <f t="shared" si="1"/>
        <v>935.71500000000185</v>
      </c>
      <c r="J119" s="21">
        <f t="shared" si="3"/>
        <v>26.5</v>
      </c>
      <c r="K119" s="22">
        <f t="shared" si="2"/>
        <v>9.4869999999999663</v>
      </c>
    </row>
    <row r="120" spans="1:11" ht="12.75" x14ac:dyDescent="0.2">
      <c r="A120" s="13">
        <v>45673</v>
      </c>
      <c r="B120" s="14" t="s">
        <v>6</v>
      </c>
      <c r="C120" s="15">
        <v>0.96230000000000004</v>
      </c>
      <c r="D120" s="16" t="s">
        <v>79</v>
      </c>
      <c r="E120" s="17"/>
      <c r="F120" s="17"/>
      <c r="G120" s="18">
        <v>530</v>
      </c>
      <c r="H120" s="19">
        <f t="shared" si="0"/>
        <v>19.980999999999995</v>
      </c>
      <c r="I120" s="20">
        <f t="shared" si="1"/>
        <v>1098.9549999999997</v>
      </c>
      <c r="J120" s="21">
        <f t="shared" si="3"/>
        <v>26.5</v>
      </c>
      <c r="K120" s="22">
        <f t="shared" si="2"/>
        <v>6.5190000000000055</v>
      </c>
    </row>
    <row r="121" spans="1:11" ht="12.75" x14ac:dyDescent="0.2">
      <c r="A121" s="13">
        <v>45674</v>
      </c>
      <c r="B121" s="14" t="s">
        <v>7</v>
      </c>
      <c r="C121" s="15">
        <v>0.96789999999999998</v>
      </c>
      <c r="D121" s="16" t="s">
        <v>79</v>
      </c>
      <c r="E121" s="17"/>
      <c r="F121" s="17"/>
      <c r="G121" s="18">
        <v>530</v>
      </c>
      <c r="H121" s="19">
        <f t="shared" si="0"/>
        <v>17.013000000000034</v>
      </c>
      <c r="I121" s="20">
        <f t="shared" si="1"/>
        <v>935.71500000000185</v>
      </c>
      <c r="J121" s="21">
        <f t="shared" si="3"/>
        <v>26.5</v>
      </c>
      <c r="K121" s="22">
        <f t="shared" si="2"/>
        <v>9.4869999999999663</v>
      </c>
    </row>
    <row r="122" spans="1:11" ht="12.75" x14ac:dyDescent="0.2">
      <c r="A122" s="24">
        <v>45677</v>
      </c>
      <c r="B122" s="25" t="s">
        <v>3</v>
      </c>
      <c r="C122" s="26"/>
      <c r="D122" s="27"/>
      <c r="E122" s="28"/>
      <c r="F122" s="28"/>
      <c r="G122" s="29"/>
      <c r="H122" s="19">
        <f t="shared" si="0"/>
        <v>0</v>
      </c>
      <c r="I122" s="20">
        <f t="shared" si="1"/>
        <v>0</v>
      </c>
      <c r="J122" s="21">
        <f t="shared" si="3"/>
        <v>0</v>
      </c>
      <c r="K122" s="22">
        <f t="shared" si="2"/>
        <v>0</v>
      </c>
    </row>
    <row r="123" spans="1:11" ht="25.5" x14ac:dyDescent="0.2">
      <c r="A123" s="13">
        <v>45678</v>
      </c>
      <c r="B123" s="14" t="s">
        <v>4</v>
      </c>
      <c r="C123" s="15"/>
      <c r="D123" s="16"/>
      <c r="E123" s="17"/>
      <c r="F123" s="17" t="s">
        <v>98</v>
      </c>
      <c r="H123" s="19">
        <f t="shared" si="0"/>
        <v>0</v>
      </c>
      <c r="I123" s="20">
        <f t="shared" si="1"/>
        <v>0</v>
      </c>
      <c r="J123" s="21">
        <f t="shared" si="3"/>
        <v>0</v>
      </c>
      <c r="K123" s="22">
        <f t="shared" si="2"/>
        <v>0</v>
      </c>
    </row>
    <row r="124" spans="1:11" ht="25.5" x14ac:dyDescent="0.2">
      <c r="A124" s="13">
        <v>45679</v>
      </c>
      <c r="B124" s="14" t="s">
        <v>5</v>
      </c>
      <c r="C124" s="15"/>
      <c r="D124" s="16"/>
      <c r="E124" s="17"/>
      <c r="F124" s="17" t="s">
        <v>98</v>
      </c>
      <c r="H124" s="19">
        <f t="shared" si="0"/>
        <v>0</v>
      </c>
      <c r="I124" s="20">
        <f t="shared" si="1"/>
        <v>0</v>
      </c>
      <c r="J124" s="21">
        <f t="shared" si="3"/>
        <v>0</v>
      </c>
      <c r="K124" s="22">
        <f t="shared" si="2"/>
        <v>0</v>
      </c>
    </row>
    <row r="125" spans="1:11" ht="12.75" x14ac:dyDescent="0.2">
      <c r="A125" s="13">
        <v>45680</v>
      </c>
      <c r="B125" s="14" t="s">
        <v>6</v>
      </c>
      <c r="C125" s="15">
        <v>0.83799999999999997</v>
      </c>
      <c r="D125" s="16" t="s">
        <v>75</v>
      </c>
      <c r="E125" s="17" t="s">
        <v>43</v>
      </c>
      <c r="F125" s="17"/>
      <c r="G125" s="18">
        <v>531</v>
      </c>
      <c r="H125" s="19">
        <f t="shared" si="0"/>
        <v>86.021999999999991</v>
      </c>
      <c r="I125" s="20">
        <f t="shared" si="1"/>
        <v>4731.2099999999991</v>
      </c>
      <c r="J125" s="21">
        <f t="shared" si="3"/>
        <v>26.550000000000011</v>
      </c>
      <c r="K125" s="22">
        <f t="shared" si="2"/>
        <v>-59.47199999999998</v>
      </c>
    </row>
    <row r="126" spans="1:11" ht="12.75" x14ac:dyDescent="0.2">
      <c r="A126" s="13">
        <v>45681</v>
      </c>
      <c r="B126" s="14" t="s">
        <v>7</v>
      </c>
      <c r="C126" s="15">
        <v>0.91710000000000003</v>
      </c>
      <c r="D126" s="16" t="s">
        <v>79</v>
      </c>
      <c r="E126" s="17"/>
      <c r="F126" s="17"/>
      <c r="G126" s="18">
        <v>531</v>
      </c>
      <c r="H126" s="19">
        <f t="shared" si="0"/>
        <v>44.019900000000007</v>
      </c>
      <c r="I126" s="20">
        <f t="shared" si="1"/>
        <v>2421.0945000000002</v>
      </c>
      <c r="J126" s="21">
        <f t="shared" si="3"/>
        <v>26.550000000000011</v>
      </c>
      <c r="K126" s="22">
        <f t="shared" si="2"/>
        <v>-17.469899999999996</v>
      </c>
    </row>
    <row r="127" spans="1:11" ht="12.75" x14ac:dyDescent="0.2">
      <c r="A127" s="13">
        <v>45684</v>
      </c>
      <c r="B127" s="14" t="s">
        <v>3</v>
      </c>
      <c r="C127" s="15">
        <v>0.95109999999999995</v>
      </c>
      <c r="D127" s="16" t="s">
        <v>79</v>
      </c>
      <c r="E127" s="17"/>
      <c r="F127" s="17"/>
      <c r="G127" s="18">
        <v>532</v>
      </c>
      <c r="H127" s="19">
        <f t="shared" si="0"/>
        <v>26.014800000000037</v>
      </c>
      <c r="I127" s="20">
        <f t="shared" si="1"/>
        <v>1430.8140000000021</v>
      </c>
      <c r="J127" s="21">
        <f t="shared" si="3"/>
        <v>26.600000000000023</v>
      </c>
      <c r="K127" s="22">
        <f t="shared" si="2"/>
        <v>0.58519999999998618</v>
      </c>
    </row>
    <row r="128" spans="1:11" ht="12.75" x14ac:dyDescent="0.2">
      <c r="A128" s="13">
        <v>45685</v>
      </c>
      <c r="B128" s="14" t="s">
        <v>4</v>
      </c>
      <c r="C128" s="15">
        <v>0.9718</v>
      </c>
      <c r="D128" s="16" t="s">
        <v>79</v>
      </c>
      <c r="E128" s="17"/>
      <c r="F128" s="17"/>
      <c r="G128" s="18">
        <v>532</v>
      </c>
      <c r="H128" s="19">
        <f t="shared" si="0"/>
        <v>15.002399999999966</v>
      </c>
      <c r="I128" s="20">
        <f t="shared" si="1"/>
        <v>825.13199999999813</v>
      </c>
      <c r="J128" s="21">
        <f t="shared" si="3"/>
        <v>26.600000000000023</v>
      </c>
      <c r="K128" s="22">
        <f t="shared" si="2"/>
        <v>11.597600000000057</v>
      </c>
    </row>
    <row r="129" spans="1:11" ht="12.75" x14ac:dyDescent="0.2">
      <c r="A129" s="13">
        <v>45686</v>
      </c>
      <c r="B129" s="14" t="s">
        <v>5</v>
      </c>
      <c r="C129" s="15">
        <v>0.97199999999999998</v>
      </c>
      <c r="D129" s="16" t="s">
        <v>79</v>
      </c>
      <c r="E129" s="17"/>
      <c r="F129" s="17"/>
      <c r="G129" s="18">
        <v>535</v>
      </c>
      <c r="H129" s="19">
        <f t="shared" si="0"/>
        <v>14.980000000000018</v>
      </c>
      <c r="I129" s="20">
        <f t="shared" si="1"/>
        <v>823.900000000001</v>
      </c>
      <c r="J129" s="21">
        <f t="shared" si="3"/>
        <v>26.75</v>
      </c>
      <c r="K129" s="22">
        <f t="shared" si="2"/>
        <v>11.769999999999982</v>
      </c>
    </row>
    <row r="130" spans="1:11" ht="12.75" x14ac:dyDescent="0.2">
      <c r="A130" s="13">
        <v>45687</v>
      </c>
      <c r="B130" s="14" t="s">
        <v>6</v>
      </c>
      <c r="C130" s="15">
        <v>0.93640000000000001</v>
      </c>
      <c r="D130" s="16" t="s">
        <v>79</v>
      </c>
      <c r="E130" s="17"/>
      <c r="F130" s="17"/>
      <c r="G130" s="18">
        <v>535</v>
      </c>
      <c r="H130" s="19">
        <f t="shared" si="0"/>
        <v>34.02600000000001</v>
      </c>
      <c r="I130" s="20">
        <f t="shared" si="1"/>
        <v>1871.4300000000005</v>
      </c>
      <c r="J130" s="21">
        <f t="shared" si="3"/>
        <v>26.75</v>
      </c>
      <c r="K130" s="22">
        <f t="shared" si="2"/>
        <v>-7.2760000000000105</v>
      </c>
    </row>
    <row r="131" spans="1:11" ht="12.75" x14ac:dyDescent="0.2">
      <c r="A131" s="13">
        <v>45688</v>
      </c>
      <c r="B131" s="14" t="s">
        <v>7</v>
      </c>
      <c r="C131" s="15">
        <v>0.92900000000000005</v>
      </c>
      <c r="D131" s="16" t="s">
        <v>79</v>
      </c>
      <c r="E131" s="17"/>
      <c r="F131" s="17"/>
      <c r="G131" s="18">
        <v>535</v>
      </c>
      <c r="H131" s="19">
        <f t="shared" si="0"/>
        <v>37.984999999999957</v>
      </c>
      <c r="I131" s="20">
        <f t="shared" si="1"/>
        <v>2089.1749999999975</v>
      </c>
      <c r="J131" s="21">
        <f t="shared" si="3"/>
        <v>26.75</v>
      </c>
      <c r="K131" s="22">
        <f t="shared" si="2"/>
        <v>-11.234999999999957</v>
      </c>
    </row>
    <row r="132" spans="1:11" ht="25.5" x14ac:dyDescent="0.2">
      <c r="A132" s="13">
        <v>45691</v>
      </c>
      <c r="B132" s="14" t="s">
        <v>3</v>
      </c>
      <c r="C132" s="15">
        <v>0.82799999999999996</v>
      </c>
      <c r="D132" s="16" t="s">
        <v>75</v>
      </c>
      <c r="E132" s="17" t="s">
        <v>30</v>
      </c>
      <c r="F132" s="17" t="s">
        <v>99</v>
      </c>
      <c r="G132" s="18">
        <v>535</v>
      </c>
      <c r="H132" s="19">
        <f t="shared" si="0"/>
        <v>92.020000000000039</v>
      </c>
      <c r="I132" s="20">
        <f t="shared" si="1"/>
        <v>5061.1000000000022</v>
      </c>
      <c r="J132" s="21">
        <f t="shared" si="3"/>
        <v>26.75</v>
      </c>
      <c r="K132" s="22">
        <f t="shared" si="2"/>
        <v>-65.270000000000039</v>
      </c>
    </row>
    <row r="133" spans="1:11" ht="12.75" x14ac:dyDescent="0.2">
      <c r="A133" s="13">
        <v>45692</v>
      </c>
      <c r="B133" s="14" t="s">
        <v>4</v>
      </c>
      <c r="C133" s="15">
        <v>0.96460000000000001</v>
      </c>
      <c r="D133" s="16" t="s">
        <v>79</v>
      </c>
      <c r="E133" s="17"/>
      <c r="F133" s="17"/>
      <c r="G133" s="18">
        <v>536</v>
      </c>
      <c r="H133" s="19">
        <f>G134-(C133*G134)</f>
        <v>18.974399999999946</v>
      </c>
      <c r="I133" s="20">
        <f t="shared" si="1"/>
        <v>1043.5919999999969</v>
      </c>
      <c r="J133" s="21">
        <f>G134-(G134*J$3)</f>
        <v>26.800000000000011</v>
      </c>
      <c r="K133" s="22">
        <f t="shared" si="2"/>
        <v>7.8256000000000654</v>
      </c>
    </row>
    <row r="134" spans="1:11" ht="12.75" x14ac:dyDescent="0.2">
      <c r="A134" s="13">
        <v>45693</v>
      </c>
      <c r="B134" s="14" t="s">
        <v>5</v>
      </c>
      <c r="C134" s="15">
        <v>0.96079999999999999</v>
      </c>
      <c r="D134" s="16" t="s">
        <v>79</v>
      </c>
      <c r="E134" s="17"/>
      <c r="F134" s="17"/>
      <c r="G134" s="18">
        <v>536</v>
      </c>
      <c r="H134" s="19" t="e">
        <f>#REF!-(C134*#REF!)</f>
        <v>#REF!</v>
      </c>
      <c r="I134" s="20" t="e">
        <f t="shared" si="1"/>
        <v>#REF!</v>
      </c>
      <c r="J134" s="21" t="e">
        <f>#REF!-(#REF!*J$3)</f>
        <v>#REF!</v>
      </c>
      <c r="K134" s="22" t="e">
        <f t="shared" si="2"/>
        <v>#REF!</v>
      </c>
    </row>
    <row r="135" spans="1:11" ht="12.75" x14ac:dyDescent="0.2">
      <c r="A135" s="13">
        <v>45694</v>
      </c>
      <c r="B135" s="14" t="s">
        <v>6</v>
      </c>
      <c r="C135" s="15">
        <v>0.96079999999999999</v>
      </c>
      <c r="D135" s="16" t="s">
        <v>79</v>
      </c>
      <c r="E135" s="17"/>
      <c r="F135" s="17"/>
      <c r="G135" s="18">
        <v>536</v>
      </c>
      <c r="H135" s="19">
        <f t="shared" ref="H135:H215" si="4">G135-(C135*G135)</f>
        <v>21.011200000000031</v>
      </c>
      <c r="I135" s="20">
        <f t="shared" si="1"/>
        <v>1155.6160000000018</v>
      </c>
      <c r="J135" s="21">
        <f t="shared" ref="J135:J215" si="5">G135-(G135*J$3)</f>
        <v>26.800000000000011</v>
      </c>
      <c r="K135" s="22">
        <f t="shared" si="2"/>
        <v>5.7887999999999806</v>
      </c>
    </row>
    <row r="136" spans="1:11" ht="12.75" x14ac:dyDescent="0.2">
      <c r="A136" s="13">
        <v>45695</v>
      </c>
      <c r="B136" s="14" t="s">
        <v>7</v>
      </c>
      <c r="C136" s="15">
        <v>0.94589999999999996</v>
      </c>
      <c r="D136" s="16" t="s">
        <v>79</v>
      </c>
      <c r="E136" s="17"/>
      <c r="F136" s="17"/>
      <c r="G136" s="18">
        <v>536</v>
      </c>
      <c r="H136" s="19">
        <f t="shared" si="4"/>
        <v>28.997600000000034</v>
      </c>
      <c r="I136" s="20">
        <f t="shared" si="1"/>
        <v>1594.8680000000018</v>
      </c>
      <c r="J136" s="21">
        <f t="shared" si="5"/>
        <v>26.800000000000011</v>
      </c>
      <c r="K136" s="22">
        <f t="shared" si="2"/>
        <v>-2.1976000000000226</v>
      </c>
    </row>
    <row r="137" spans="1:11" ht="12.75" x14ac:dyDescent="0.2">
      <c r="A137" s="30">
        <v>45698</v>
      </c>
      <c r="B137" s="31" t="s">
        <v>3</v>
      </c>
      <c r="C137" s="32"/>
      <c r="D137" s="33"/>
      <c r="E137" s="34"/>
      <c r="F137" s="34"/>
      <c r="G137" s="35"/>
      <c r="H137" s="19">
        <f t="shared" si="4"/>
        <v>0</v>
      </c>
      <c r="I137" s="20">
        <f t="shared" si="1"/>
        <v>0</v>
      </c>
      <c r="J137" s="21">
        <f t="shared" si="5"/>
        <v>0</v>
      </c>
      <c r="K137" s="22">
        <f t="shared" si="2"/>
        <v>0</v>
      </c>
    </row>
    <row r="138" spans="1:11" ht="12.75" x14ac:dyDescent="0.2">
      <c r="A138" s="30">
        <v>45699</v>
      </c>
      <c r="B138" s="31" t="s">
        <v>4</v>
      </c>
      <c r="C138" s="32"/>
      <c r="D138" s="33"/>
      <c r="E138" s="34"/>
      <c r="F138" s="34"/>
      <c r="G138" s="35"/>
      <c r="H138" s="19">
        <f t="shared" si="4"/>
        <v>0</v>
      </c>
      <c r="I138" s="20">
        <f t="shared" si="1"/>
        <v>0</v>
      </c>
      <c r="J138" s="21">
        <f t="shared" si="5"/>
        <v>0</v>
      </c>
      <c r="K138" s="22">
        <f t="shared" si="2"/>
        <v>0</v>
      </c>
    </row>
    <row r="139" spans="1:11" ht="12.75" x14ac:dyDescent="0.2">
      <c r="A139" s="13">
        <v>45700</v>
      </c>
      <c r="B139" s="14" t="s">
        <v>5</v>
      </c>
      <c r="C139" s="15">
        <v>0.95709999999999995</v>
      </c>
      <c r="D139" s="16" t="s">
        <v>79</v>
      </c>
      <c r="E139" s="17"/>
      <c r="F139" s="17"/>
      <c r="G139" s="18">
        <v>536</v>
      </c>
      <c r="H139" s="19">
        <f t="shared" si="4"/>
        <v>22.994400000000041</v>
      </c>
      <c r="I139" s="20">
        <f t="shared" si="1"/>
        <v>1264.6920000000023</v>
      </c>
      <c r="J139" s="21">
        <f t="shared" si="5"/>
        <v>26.800000000000011</v>
      </c>
      <c r="K139" s="22">
        <f t="shared" si="2"/>
        <v>3.8055999999999699</v>
      </c>
    </row>
    <row r="140" spans="1:11" ht="12.75" x14ac:dyDescent="0.2">
      <c r="A140" s="13">
        <v>45701</v>
      </c>
      <c r="B140" s="14" t="s">
        <v>6</v>
      </c>
      <c r="C140" s="15">
        <v>0.95520000000000005</v>
      </c>
      <c r="D140" s="16" t="s">
        <v>79</v>
      </c>
      <c r="E140" s="17"/>
      <c r="F140" s="17"/>
      <c r="G140" s="18">
        <v>536</v>
      </c>
      <c r="H140" s="19">
        <f t="shared" si="4"/>
        <v>24.01279999999997</v>
      </c>
      <c r="I140" s="20">
        <f t="shared" si="1"/>
        <v>1320.7039999999984</v>
      </c>
      <c r="J140" s="21">
        <f t="shared" si="5"/>
        <v>26.800000000000011</v>
      </c>
      <c r="K140" s="22">
        <f t="shared" si="2"/>
        <v>2.7872000000000412</v>
      </c>
    </row>
    <row r="141" spans="1:11" ht="12.75" x14ac:dyDescent="0.2">
      <c r="A141" s="13">
        <v>45702</v>
      </c>
      <c r="B141" s="14" t="s">
        <v>7</v>
      </c>
      <c r="C141" s="15">
        <v>0.96079999999999999</v>
      </c>
      <c r="D141" s="16" t="s">
        <v>79</v>
      </c>
      <c r="E141" s="17"/>
      <c r="F141" s="17"/>
      <c r="G141" s="18">
        <v>536</v>
      </c>
      <c r="H141" s="19">
        <f t="shared" si="4"/>
        <v>21.011200000000031</v>
      </c>
      <c r="I141" s="20">
        <f t="shared" si="1"/>
        <v>1155.6160000000018</v>
      </c>
      <c r="J141" s="21">
        <f t="shared" si="5"/>
        <v>26.800000000000011</v>
      </c>
      <c r="K141" s="22">
        <f t="shared" si="2"/>
        <v>5.7887999999999806</v>
      </c>
    </row>
    <row r="142" spans="1:11" ht="12.75" x14ac:dyDescent="0.2">
      <c r="A142" s="38">
        <v>45705</v>
      </c>
      <c r="B142" s="39" t="s">
        <v>3</v>
      </c>
      <c r="C142" s="40"/>
      <c r="D142" s="41"/>
      <c r="E142" s="42"/>
      <c r="F142" s="42"/>
      <c r="G142" s="43"/>
      <c r="H142" s="19">
        <f t="shared" si="4"/>
        <v>0</v>
      </c>
      <c r="I142" s="20">
        <f t="shared" si="1"/>
        <v>0</v>
      </c>
      <c r="J142" s="21">
        <f t="shared" si="5"/>
        <v>0</v>
      </c>
      <c r="K142" s="22">
        <f t="shared" si="2"/>
        <v>0</v>
      </c>
    </row>
    <row r="143" spans="1:11" ht="12.75" x14ac:dyDescent="0.2">
      <c r="A143" s="13">
        <v>45706</v>
      </c>
      <c r="B143" s="14" t="s">
        <v>4</v>
      </c>
      <c r="C143" s="15">
        <v>0.96079999999999999</v>
      </c>
      <c r="D143" s="16" t="s">
        <v>79</v>
      </c>
      <c r="E143" s="17"/>
      <c r="F143" s="17"/>
      <c r="G143" s="18">
        <v>536</v>
      </c>
      <c r="H143" s="19">
        <f t="shared" si="4"/>
        <v>21.011200000000031</v>
      </c>
      <c r="I143" s="20">
        <f t="shared" si="1"/>
        <v>1155.6160000000018</v>
      </c>
      <c r="J143" s="21">
        <f t="shared" si="5"/>
        <v>26.800000000000011</v>
      </c>
      <c r="K143" s="22">
        <f t="shared" si="2"/>
        <v>5.7887999999999806</v>
      </c>
    </row>
    <row r="144" spans="1:11" ht="12.75" x14ac:dyDescent="0.2">
      <c r="A144" s="13">
        <v>45707</v>
      </c>
      <c r="B144" s="14" t="s">
        <v>5</v>
      </c>
      <c r="C144" s="15">
        <v>0.94779999999999998</v>
      </c>
      <c r="D144" s="16" t="s">
        <v>79</v>
      </c>
      <c r="E144" s="17"/>
      <c r="F144" s="17"/>
      <c r="G144" s="18">
        <v>536</v>
      </c>
      <c r="H144" s="19">
        <f t="shared" si="4"/>
        <v>27.979199999999992</v>
      </c>
      <c r="I144" s="20">
        <f t="shared" si="1"/>
        <v>1538.8559999999995</v>
      </c>
      <c r="J144" s="21">
        <f t="shared" si="5"/>
        <v>26.800000000000011</v>
      </c>
      <c r="K144" s="22">
        <f t="shared" si="2"/>
        <v>-1.1791999999999803</v>
      </c>
    </row>
    <row r="145" spans="1:11" ht="12.75" x14ac:dyDescent="0.2">
      <c r="A145" s="13">
        <v>45708</v>
      </c>
      <c r="B145" s="14" t="s">
        <v>6</v>
      </c>
      <c r="C145" s="15">
        <v>0.88619999999999999</v>
      </c>
      <c r="D145" s="16" t="s">
        <v>75</v>
      </c>
      <c r="E145" s="17" t="s">
        <v>43</v>
      </c>
      <c r="F145" s="17"/>
      <c r="G145" s="18">
        <v>536</v>
      </c>
      <c r="H145" s="19">
        <f t="shared" si="4"/>
        <v>60.996800000000007</v>
      </c>
      <c r="I145" s="20">
        <f t="shared" si="1"/>
        <v>3354.8240000000005</v>
      </c>
      <c r="J145" s="21">
        <f t="shared" si="5"/>
        <v>26.800000000000011</v>
      </c>
      <c r="K145" s="22">
        <f t="shared" si="2"/>
        <v>-34.196799999999996</v>
      </c>
    </row>
    <row r="146" spans="1:11" ht="12.75" x14ac:dyDescent="0.2">
      <c r="A146" s="13">
        <v>45709</v>
      </c>
      <c r="B146" s="14" t="s">
        <v>7</v>
      </c>
      <c r="C146" s="15">
        <v>0.93100000000000005</v>
      </c>
      <c r="D146" s="16" t="s">
        <v>79</v>
      </c>
      <c r="E146" s="17"/>
      <c r="F146" s="17"/>
      <c r="G146" s="18">
        <v>536</v>
      </c>
      <c r="H146" s="19">
        <f t="shared" si="4"/>
        <v>36.98399999999998</v>
      </c>
      <c r="I146" s="20">
        <f t="shared" si="1"/>
        <v>2034.119999999999</v>
      </c>
      <c r="J146" s="21">
        <f t="shared" si="5"/>
        <v>26.800000000000011</v>
      </c>
      <c r="K146" s="22">
        <f t="shared" si="2"/>
        <v>-10.183999999999969</v>
      </c>
    </row>
    <row r="147" spans="1:11" ht="12.75" x14ac:dyDescent="0.2">
      <c r="A147" s="13">
        <v>45712</v>
      </c>
      <c r="B147" s="14" t="s">
        <v>3</v>
      </c>
      <c r="C147" s="15">
        <v>0.93459999999999999</v>
      </c>
      <c r="D147" s="16" t="s">
        <v>79</v>
      </c>
      <c r="E147" s="17"/>
      <c r="F147" s="17"/>
      <c r="G147" s="18">
        <v>535</v>
      </c>
      <c r="H147" s="19">
        <f t="shared" si="4"/>
        <v>34.989000000000033</v>
      </c>
      <c r="I147" s="20">
        <f t="shared" si="1"/>
        <v>1924.3950000000018</v>
      </c>
      <c r="J147" s="21">
        <f t="shared" si="5"/>
        <v>26.75</v>
      </c>
      <c r="K147" s="22">
        <f t="shared" si="2"/>
        <v>-8.2390000000000327</v>
      </c>
    </row>
    <row r="148" spans="1:11" ht="12.75" x14ac:dyDescent="0.2">
      <c r="A148" s="13">
        <v>45713</v>
      </c>
      <c r="B148" s="14" t="s">
        <v>4</v>
      </c>
      <c r="C148" s="15">
        <v>0.93679999999999997</v>
      </c>
      <c r="D148" s="16" t="s">
        <v>79</v>
      </c>
      <c r="E148" s="17"/>
      <c r="F148" s="17"/>
      <c r="G148" s="18">
        <v>538</v>
      </c>
      <c r="H148" s="19">
        <f t="shared" si="4"/>
        <v>34.001599999999996</v>
      </c>
      <c r="I148" s="20">
        <f t="shared" si="1"/>
        <v>1870.0879999999997</v>
      </c>
      <c r="J148" s="21">
        <f t="shared" si="5"/>
        <v>26.900000000000034</v>
      </c>
      <c r="K148" s="22">
        <f t="shared" si="2"/>
        <v>-7.1015999999999622</v>
      </c>
    </row>
    <row r="149" spans="1:11" ht="12.75" x14ac:dyDescent="0.2">
      <c r="A149" s="13">
        <v>45714</v>
      </c>
      <c r="B149" s="14" t="s">
        <v>5</v>
      </c>
      <c r="C149" s="15">
        <v>0.95889999999999997</v>
      </c>
      <c r="D149" s="16" t="s">
        <v>79</v>
      </c>
      <c r="E149" s="17"/>
      <c r="F149" s="17"/>
      <c r="G149" s="18">
        <v>535</v>
      </c>
      <c r="H149" s="19">
        <f t="shared" si="4"/>
        <v>21.988500000000045</v>
      </c>
      <c r="I149" s="20">
        <f t="shared" si="1"/>
        <v>1209.3675000000026</v>
      </c>
      <c r="J149" s="21">
        <f t="shared" si="5"/>
        <v>26.75</v>
      </c>
      <c r="K149" s="22">
        <f t="shared" si="2"/>
        <v>4.7614999999999554</v>
      </c>
    </row>
    <row r="150" spans="1:11" ht="12.75" x14ac:dyDescent="0.2">
      <c r="A150" s="13">
        <v>45715</v>
      </c>
      <c r="B150" s="14" t="s">
        <v>6</v>
      </c>
      <c r="C150" s="15">
        <v>0.95889999999999997</v>
      </c>
      <c r="D150" s="16" t="s">
        <v>79</v>
      </c>
      <c r="E150" s="17"/>
      <c r="F150" s="17"/>
      <c r="G150" s="18">
        <v>535</v>
      </c>
      <c r="H150" s="19">
        <f t="shared" si="4"/>
        <v>21.988500000000045</v>
      </c>
      <c r="I150" s="20">
        <f t="shared" si="1"/>
        <v>1209.3675000000026</v>
      </c>
      <c r="J150" s="21">
        <f t="shared" si="5"/>
        <v>26.75</v>
      </c>
      <c r="K150" s="22">
        <f t="shared" si="2"/>
        <v>4.7614999999999554</v>
      </c>
    </row>
    <row r="151" spans="1:11" ht="12.75" x14ac:dyDescent="0.2">
      <c r="A151" s="13">
        <v>45716</v>
      </c>
      <c r="B151" s="14" t="s">
        <v>7</v>
      </c>
      <c r="C151" s="15">
        <v>0.95140000000000002</v>
      </c>
      <c r="D151" s="16" t="s">
        <v>79</v>
      </c>
      <c r="E151" s="17"/>
      <c r="F151" s="17"/>
      <c r="G151" s="18">
        <v>535</v>
      </c>
      <c r="H151" s="19">
        <f t="shared" si="4"/>
        <v>26.000999999999976</v>
      </c>
      <c r="I151" s="20">
        <f t="shared" si="1"/>
        <v>1430.0549999999987</v>
      </c>
      <c r="J151" s="21">
        <f t="shared" si="5"/>
        <v>26.75</v>
      </c>
      <c r="K151" s="22">
        <f t="shared" si="2"/>
        <v>0.74900000000002365</v>
      </c>
    </row>
    <row r="152" spans="1:11" ht="12.75" x14ac:dyDescent="0.2">
      <c r="A152" s="13">
        <v>45719</v>
      </c>
      <c r="B152" s="14" t="s">
        <v>3</v>
      </c>
      <c r="C152" s="15">
        <v>0.93659999999999999</v>
      </c>
      <c r="D152" s="16" t="s">
        <v>90</v>
      </c>
      <c r="E152" s="17"/>
      <c r="F152" s="17"/>
      <c r="G152" s="18">
        <v>536</v>
      </c>
      <c r="H152" s="19">
        <f t="shared" si="4"/>
        <v>33.982399999999984</v>
      </c>
      <c r="I152" s="20">
        <f t="shared" si="1"/>
        <v>1869.0319999999992</v>
      </c>
      <c r="J152" s="21">
        <f t="shared" si="5"/>
        <v>26.800000000000011</v>
      </c>
      <c r="K152" s="22">
        <f t="shared" si="2"/>
        <v>-7.1823999999999728</v>
      </c>
    </row>
    <row r="153" spans="1:11" ht="12.75" x14ac:dyDescent="0.2">
      <c r="A153" s="13">
        <v>45720</v>
      </c>
      <c r="B153" s="14" t="s">
        <v>4</v>
      </c>
      <c r="C153" s="15">
        <v>0.91790000000000005</v>
      </c>
      <c r="D153" s="16" t="s">
        <v>79</v>
      </c>
      <c r="E153" s="17"/>
      <c r="F153" s="17"/>
      <c r="G153" s="18">
        <v>536</v>
      </c>
      <c r="H153" s="19">
        <f t="shared" si="4"/>
        <v>44.005599999999959</v>
      </c>
      <c r="I153" s="20">
        <f t="shared" si="1"/>
        <v>2420.3079999999977</v>
      </c>
      <c r="J153" s="21">
        <f t="shared" si="5"/>
        <v>26.800000000000011</v>
      </c>
      <c r="K153" s="22">
        <f t="shared" si="2"/>
        <v>-17.205599999999947</v>
      </c>
    </row>
    <row r="154" spans="1:11" ht="12.75" x14ac:dyDescent="0.2">
      <c r="A154" s="13">
        <v>45721</v>
      </c>
      <c r="B154" s="14" t="s">
        <v>5</v>
      </c>
      <c r="C154" s="15">
        <v>0.9627</v>
      </c>
      <c r="D154" s="16" t="s">
        <v>79</v>
      </c>
      <c r="E154" s="17"/>
      <c r="F154" s="17"/>
      <c r="G154" s="18">
        <v>536</v>
      </c>
      <c r="H154" s="19">
        <f t="shared" si="4"/>
        <v>19.992799999999988</v>
      </c>
      <c r="I154" s="20">
        <f t="shared" si="1"/>
        <v>1099.6039999999994</v>
      </c>
      <c r="J154" s="21">
        <f t="shared" si="5"/>
        <v>26.800000000000011</v>
      </c>
      <c r="K154" s="22">
        <f t="shared" si="2"/>
        <v>6.807200000000023</v>
      </c>
    </row>
    <row r="155" spans="1:11" ht="12.75" x14ac:dyDescent="0.2">
      <c r="A155" s="13">
        <v>45722</v>
      </c>
      <c r="B155" s="14" t="s">
        <v>6</v>
      </c>
      <c r="C155" s="15">
        <v>0.97589999999999999</v>
      </c>
      <c r="D155" s="16" t="s">
        <v>79</v>
      </c>
      <c r="E155" s="17"/>
      <c r="F155" s="17"/>
      <c r="G155" s="18">
        <v>539</v>
      </c>
      <c r="H155" s="19">
        <f t="shared" si="4"/>
        <v>12.989900000000034</v>
      </c>
      <c r="I155" s="20">
        <f t="shared" si="1"/>
        <v>714.44450000000188</v>
      </c>
      <c r="J155" s="21">
        <f t="shared" si="5"/>
        <v>26.950000000000045</v>
      </c>
      <c r="K155" s="22">
        <f t="shared" si="2"/>
        <v>13.960100000000011</v>
      </c>
    </row>
    <row r="156" spans="1:11" ht="12.75" x14ac:dyDescent="0.2">
      <c r="A156" s="13">
        <v>45723</v>
      </c>
      <c r="B156" s="14" t="s">
        <v>7</v>
      </c>
      <c r="C156" s="15">
        <v>0.9425</v>
      </c>
      <c r="D156" s="16" t="s">
        <v>79</v>
      </c>
      <c r="E156" s="17"/>
      <c r="F156" s="17"/>
      <c r="G156" s="18">
        <v>539</v>
      </c>
      <c r="H156" s="19">
        <f t="shared" si="4"/>
        <v>30.992500000000007</v>
      </c>
      <c r="I156" s="20">
        <f t="shared" si="1"/>
        <v>1704.5875000000003</v>
      </c>
      <c r="J156" s="21">
        <f t="shared" si="5"/>
        <v>26.950000000000045</v>
      </c>
      <c r="K156" s="22">
        <f t="shared" si="2"/>
        <v>-4.0424999999999613</v>
      </c>
    </row>
    <row r="157" spans="1:11" ht="12.75" x14ac:dyDescent="0.2">
      <c r="A157" s="44">
        <v>45726</v>
      </c>
      <c r="B157" s="45" t="s">
        <v>3</v>
      </c>
      <c r="C157" s="15">
        <v>0.91469999999999996</v>
      </c>
      <c r="D157" s="16" t="s">
        <v>79</v>
      </c>
      <c r="E157" s="17"/>
      <c r="F157" s="17"/>
      <c r="G157" s="18">
        <v>539</v>
      </c>
      <c r="H157" s="19">
        <f t="shared" si="4"/>
        <v>45.976700000000051</v>
      </c>
      <c r="I157" s="20">
        <f t="shared" si="1"/>
        <v>2528.7185000000027</v>
      </c>
      <c r="J157" s="21">
        <f t="shared" si="5"/>
        <v>26.950000000000045</v>
      </c>
      <c r="K157" s="22">
        <f t="shared" si="2"/>
        <v>-19.026700000000005</v>
      </c>
    </row>
    <row r="158" spans="1:11" ht="12.75" x14ac:dyDescent="0.2">
      <c r="A158" s="44">
        <v>45727</v>
      </c>
      <c r="B158" s="45" t="s">
        <v>4</v>
      </c>
      <c r="C158" s="15">
        <v>0.94620000000000004</v>
      </c>
      <c r="D158" s="16" t="s">
        <v>79</v>
      </c>
      <c r="E158" s="17"/>
      <c r="F158" s="17"/>
      <c r="G158" s="18">
        <v>539</v>
      </c>
      <c r="H158" s="19">
        <f t="shared" si="4"/>
        <v>28.998199999999997</v>
      </c>
      <c r="I158" s="20">
        <f t="shared" si="1"/>
        <v>1594.9009999999998</v>
      </c>
      <c r="J158" s="21">
        <f t="shared" si="5"/>
        <v>26.950000000000045</v>
      </c>
      <c r="K158" s="22">
        <f t="shared" si="2"/>
        <v>-2.0481999999999516</v>
      </c>
    </row>
    <row r="159" spans="1:11" ht="12.75" x14ac:dyDescent="0.2">
      <c r="A159" s="44">
        <v>45728</v>
      </c>
      <c r="B159" s="45" t="s">
        <v>5</v>
      </c>
      <c r="C159" s="15"/>
      <c r="D159" s="16"/>
      <c r="E159" s="17"/>
      <c r="F159" s="17"/>
      <c r="H159" s="19">
        <f t="shared" si="4"/>
        <v>0</v>
      </c>
      <c r="I159" s="20">
        <f t="shared" si="1"/>
        <v>0</v>
      </c>
      <c r="J159" s="21">
        <f t="shared" si="5"/>
        <v>0</v>
      </c>
      <c r="K159" s="22">
        <f t="shared" si="2"/>
        <v>0</v>
      </c>
    </row>
    <row r="160" spans="1:11" ht="12.75" x14ac:dyDescent="0.2">
      <c r="A160" s="44">
        <v>45729</v>
      </c>
      <c r="B160" s="45" t="s">
        <v>6</v>
      </c>
      <c r="C160" s="15"/>
      <c r="D160" s="16"/>
      <c r="E160" s="17"/>
      <c r="F160" s="17"/>
      <c r="H160" s="19">
        <f t="shared" si="4"/>
        <v>0</v>
      </c>
      <c r="I160" s="20">
        <f t="shared" si="1"/>
        <v>0</v>
      </c>
      <c r="J160" s="21">
        <f t="shared" si="5"/>
        <v>0</v>
      </c>
      <c r="K160" s="22">
        <f t="shared" si="2"/>
        <v>0</v>
      </c>
    </row>
    <row r="161" spans="1:11" ht="12.75" x14ac:dyDescent="0.2">
      <c r="A161" s="44">
        <v>45730</v>
      </c>
      <c r="B161" s="45" t="s">
        <v>7</v>
      </c>
      <c r="C161" s="15"/>
      <c r="D161" s="16"/>
      <c r="E161" s="17"/>
      <c r="F161" s="17"/>
      <c r="H161" s="19">
        <f t="shared" si="4"/>
        <v>0</v>
      </c>
      <c r="I161" s="20">
        <f t="shared" si="1"/>
        <v>0</v>
      </c>
      <c r="J161" s="21">
        <f t="shared" si="5"/>
        <v>0</v>
      </c>
      <c r="K161" s="22">
        <f t="shared" si="2"/>
        <v>0</v>
      </c>
    </row>
    <row r="162" spans="1:11" ht="12.75" x14ac:dyDescent="0.2">
      <c r="A162" s="24">
        <v>45733</v>
      </c>
      <c r="B162" s="25" t="s">
        <v>3</v>
      </c>
      <c r="C162" s="26"/>
      <c r="D162" s="27"/>
      <c r="E162" s="28"/>
      <c r="F162" s="28"/>
      <c r="G162" s="29"/>
      <c r="H162" s="19">
        <f t="shared" si="4"/>
        <v>0</v>
      </c>
      <c r="I162" s="20">
        <f t="shared" si="1"/>
        <v>0</v>
      </c>
      <c r="J162" s="21">
        <f t="shared" si="5"/>
        <v>0</v>
      </c>
      <c r="K162" s="22">
        <f t="shared" si="2"/>
        <v>0</v>
      </c>
    </row>
    <row r="163" spans="1:11" ht="12.75" x14ac:dyDescent="0.2">
      <c r="A163" s="24">
        <v>45734</v>
      </c>
      <c r="B163" s="25" t="s">
        <v>4</v>
      </c>
      <c r="C163" s="26"/>
      <c r="D163" s="27"/>
      <c r="E163" s="28"/>
      <c r="F163" s="28"/>
      <c r="G163" s="29"/>
      <c r="H163" s="19">
        <f t="shared" si="4"/>
        <v>0</v>
      </c>
      <c r="I163" s="20">
        <f t="shared" si="1"/>
        <v>0</v>
      </c>
      <c r="J163" s="21">
        <f t="shared" si="5"/>
        <v>0</v>
      </c>
      <c r="K163" s="22">
        <f t="shared" si="2"/>
        <v>0</v>
      </c>
    </row>
    <row r="164" spans="1:11" ht="12.75" x14ac:dyDescent="0.2">
      <c r="A164" s="24">
        <v>45735</v>
      </c>
      <c r="B164" s="25" t="s">
        <v>5</v>
      </c>
      <c r="C164" s="26"/>
      <c r="D164" s="27"/>
      <c r="E164" s="28"/>
      <c r="F164" s="28"/>
      <c r="G164" s="29"/>
      <c r="H164" s="19">
        <f t="shared" si="4"/>
        <v>0</v>
      </c>
      <c r="I164" s="20">
        <f t="shared" si="1"/>
        <v>0</v>
      </c>
      <c r="J164" s="21">
        <f t="shared" si="5"/>
        <v>0</v>
      </c>
      <c r="K164" s="22">
        <f t="shared" si="2"/>
        <v>0</v>
      </c>
    </row>
    <row r="165" spans="1:11" ht="12.75" x14ac:dyDescent="0.2">
      <c r="A165" s="24">
        <v>45736</v>
      </c>
      <c r="B165" s="25" t="s">
        <v>6</v>
      </c>
      <c r="C165" s="26"/>
      <c r="D165" s="27"/>
      <c r="E165" s="28"/>
      <c r="F165" s="28"/>
      <c r="G165" s="29"/>
      <c r="H165" s="19">
        <f t="shared" si="4"/>
        <v>0</v>
      </c>
      <c r="I165" s="20">
        <f t="shared" si="1"/>
        <v>0</v>
      </c>
      <c r="J165" s="21">
        <f t="shared" si="5"/>
        <v>0</v>
      </c>
      <c r="K165" s="22">
        <f t="shared" si="2"/>
        <v>0</v>
      </c>
    </row>
    <row r="166" spans="1:11" ht="12.75" x14ac:dyDescent="0.2">
      <c r="A166" s="24">
        <v>45737</v>
      </c>
      <c r="B166" s="25" t="s">
        <v>7</v>
      </c>
      <c r="C166" s="26"/>
      <c r="D166" s="27"/>
      <c r="E166" s="28"/>
      <c r="F166" s="28"/>
      <c r="G166" s="29"/>
      <c r="H166" s="19">
        <f t="shared" si="4"/>
        <v>0</v>
      </c>
      <c r="I166" s="20">
        <f t="shared" si="1"/>
        <v>0</v>
      </c>
      <c r="J166" s="21">
        <f t="shared" si="5"/>
        <v>0</v>
      </c>
      <c r="K166" s="22">
        <f t="shared" si="2"/>
        <v>0</v>
      </c>
    </row>
    <row r="167" spans="1:11" ht="12.75" x14ac:dyDescent="0.2">
      <c r="A167" s="13">
        <v>45740</v>
      </c>
      <c r="B167" s="14" t="s">
        <v>3</v>
      </c>
      <c r="C167" s="15"/>
      <c r="D167" s="16"/>
      <c r="E167" s="17"/>
      <c r="F167" s="17"/>
      <c r="H167" s="19">
        <f t="shared" si="4"/>
        <v>0</v>
      </c>
      <c r="I167" s="20">
        <f t="shared" si="1"/>
        <v>0</v>
      </c>
      <c r="J167" s="21">
        <f t="shared" si="5"/>
        <v>0</v>
      </c>
      <c r="K167" s="22">
        <f t="shared" si="2"/>
        <v>0</v>
      </c>
    </row>
    <row r="168" spans="1:11" ht="12.75" x14ac:dyDescent="0.2">
      <c r="A168" s="13">
        <v>45741</v>
      </c>
      <c r="B168" s="14" t="s">
        <v>4</v>
      </c>
      <c r="C168" s="15"/>
      <c r="D168" s="16"/>
      <c r="E168" s="17"/>
      <c r="F168" s="17"/>
      <c r="H168" s="19">
        <f t="shared" si="4"/>
        <v>0</v>
      </c>
      <c r="I168" s="20">
        <f t="shared" si="1"/>
        <v>0</v>
      </c>
      <c r="J168" s="21">
        <f t="shared" si="5"/>
        <v>0</v>
      </c>
      <c r="K168" s="22">
        <f t="shared" si="2"/>
        <v>0</v>
      </c>
    </row>
    <row r="169" spans="1:11" ht="12.75" x14ac:dyDescent="0.2">
      <c r="A169" s="13">
        <v>45742</v>
      </c>
      <c r="B169" s="14" t="s">
        <v>5</v>
      </c>
      <c r="C169" s="15"/>
      <c r="D169" s="16"/>
      <c r="E169" s="17"/>
      <c r="F169" s="17"/>
      <c r="H169" s="19">
        <f t="shared" si="4"/>
        <v>0</v>
      </c>
      <c r="I169" s="20">
        <f t="shared" si="1"/>
        <v>0</v>
      </c>
      <c r="J169" s="21">
        <f t="shared" si="5"/>
        <v>0</v>
      </c>
      <c r="K169" s="22">
        <f t="shared" si="2"/>
        <v>0</v>
      </c>
    </row>
    <row r="170" spans="1:11" ht="12.75" x14ac:dyDescent="0.2">
      <c r="A170" s="13">
        <v>45743</v>
      </c>
      <c r="B170" s="14" t="s">
        <v>6</v>
      </c>
      <c r="C170" s="15"/>
      <c r="D170" s="16"/>
      <c r="E170" s="17"/>
      <c r="F170" s="17"/>
      <c r="H170" s="19">
        <f t="shared" si="4"/>
        <v>0</v>
      </c>
      <c r="I170" s="20">
        <f t="shared" si="1"/>
        <v>0</v>
      </c>
      <c r="J170" s="21">
        <f t="shared" si="5"/>
        <v>0</v>
      </c>
      <c r="K170" s="22">
        <f t="shared" si="2"/>
        <v>0</v>
      </c>
    </row>
    <row r="171" spans="1:11" ht="12.75" x14ac:dyDescent="0.2">
      <c r="A171" s="13">
        <v>45744</v>
      </c>
      <c r="B171" s="14" t="s">
        <v>7</v>
      </c>
      <c r="C171" s="15"/>
      <c r="D171" s="16"/>
      <c r="E171" s="17"/>
      <c r="F171" s="17"/>
      <c r="H171" s="19">
        <f t="shared" si="4"/>
        <v>0</v>
      </c>
      <c r="I171" s="20">
        <f t="shared" si="1"/>
        <v>0</v>
      </c>
      <c r="J171" s="21">
        <f t="shared" si="5"/>
        <v>0</v>
      </c>
      <c r="K171" s="22">
        <f t="shared" si="2"/>
        <v>0</v>
      </c>
    </row>
    <row r="172" spans="1:11" ht="12.75" x14ac:dyDescent="0.2">
      <c r="A172" s="13">
        <v>45747</v>
      </c>
      <c r="B172" s="14" t="s">
        <v>3</v>
      </c>
      <c r="C172" s="15"/>
      <c r="D172" s="16"/>
      <c r="E172" s="17"/>
      <c r="F172" s="17"/>
      <c r="H172" s="19">
        <f t="shared" si="4"/>
        <v>0</v>
      </c>
      <c r="I172" s="20">
        <f t="shared" si="1"/>
        <v>0</v>
      </c>
      <c r="J172" s="21">
        <f t="shared" si="5"/>
        <v>0</v>
      </c>
      <c r="K172" s="22">
        <f t="shared" si="2"/>
        <v>0</v>
      </c>
    </row>
    <row r="173" spans="1:11" ht="12.75" x14ac:dyDescent="0.2">
      <c r="A173" s="13">
        <v>45748</v>
      </c>
      <c r="B173" s="14" t="s">
        <v>4</v>
      </c>
      <c r="C173" s="15"/>
      <c r="D173" s="16"/>
      <c r="E173" s="17"/>
      <c r="F173" s="17"/>
      <c r="H173" s="19">
        <f t="shared" si="4"/>
        <v>0</v>
      </c>
      <c r="I173" s="20">
        <f t="shared" si="1"/>
        <v>0</v>
      </c>
      <c r="J173" s="21">
        <f t="shared" si="5"/>
        <v>0</v>
      </c>
      <c r="K173" s="22">
        <f t="shared" si="2"/>
        <v>0</v>
      </c>
    </row>
    <row r="174" spans="1:11" ht="12.75" x14ac:dyDescent="0.2">
      <c r="A174" s="13">
        <v>45749</v>
      </c>
      <c r="B174" s="14" t="s">
        <v>5</v>
      </c>
      <c r="C174" s="15"/>
      <c r="D174" s="16"/>
      <c r="E174" s="17"/>
      <c r="F174" s="17"/>
      <c r="H174" s="19">
        <f t="shared" si="4"/>
        <v>0</v>
      </c>
      <c r="I174" s="20">
        <f t="shared" si="1"/>
        <v>0</v>
      </c>
      <c r="J174" s="21">
        <f t="shared" si="5"/>
        <v>0</v>
      </c>
      <c r="K174" s="22">
        <f t="shared" si="2"/>
        <v>0</v>
      </c>
    </row>
    <row r="175" spans="1:11" ht="12.75" x14ac:dyDescent="0.2">
      <c r="A175" s="13">
        <v>45750</v>
      </c>
      <c r="B175" s="14" t="s">
        <v>6</v>
      </c>
      <c r="C175" s="15"/>
      <c r="D175" s="16"/>
      <c r="E175" s="17"/>
      <c r="F175" s="17"/>
      <c r="H175" s="19">
        <f t="shared" si="4"/>
        <v>0</v>
      </c>
      <c r="I175" s="20">
        <f t="shared" si="1"/>
        <v>0</v>
      </c>
      <c r="J175" s="21">
        <f t="shared" si="5"/>
        <v>0</v>
      </c>
      <c r="K175" s="22">
        <f t="shared" si="2"/>
        <v>0</v>
      </c>
    </row>
    <row r="176" spans="1:11" ht="12.75" x14ac:dyDescent="0.2">
      <c r="A176" s="13">
        <v>45751</v>
      </c>
      <c r="B176" s="14" t="s">
        <v>7</v>
      </c>
      <c r="C176" s="15"/>
      <c r="D176" s="16"/>
      <c r="E176" s="17"/>
      <c r="F176" s="17"/>
      <c r="H176" s="19">
        <f t="shared" si="4"/>
        <v>0</v>
      </c>
      <c r="I176" s="20">
        <f t="shared" si="1"/>
        <v>0</v>
      </c>
      <c r="J176" s="21">
        <f t="shared" si="5"/>
        <v>0</v>
      </c>
      <c r="K176" s="22">
        <f t="shared" si="2"/>
        <v>0</v>
      </c>
    </row>
    <row r="177" spans="1:11" ht="12.75" x14ac:dyDescent="0.2">
      <c r="A177" s="13">
        <v>45754</v>
      </c>
      <c r="B177" s="14" t="s">
        <v>3</v>
      </c>
      <c r="C177" s="15"/>
      <c r="D177" s="16"/>
      <c r="E177" s="17"/>
      <c r="F177" s="17"/>
      <c r="H177" s="19">
        <f t="shared" si="4"/>
        <v>0</v>
      </c>
      <c r="I177" s="20">
        <f t="shared" si="1"/>
        <v>0</v>
      </c>
      <c r="J177" s="21">
        <f t="shared" si="5"/>
        <v>0</v>
      </c>
      <c r="K177" s="22">
        <f t="shared" si="2"/>
        <v>0</v>
      </c>
    </row>
    <row r="178" spans="1:11" ht="12.75" x14ac:dyDescent="0.2">
      <c r="A178" s="13">
        <v>45755</v>
      </c>
      <c r="B178" s="14" t="s">
        <v>4</v>
      </c>
      <c r="C178" s="15"/>
      <c r="D178" s="16"/>
      <c r="E178" s="17"/>
      <c r="F178" s="17"/>
      <c r="H178" s="19">
        <f t="shared" si="4"/>
        <v>0</v>
      </c>
      <c r="I178" s="20">
        <f t="shared" si="1"/>
        <v>0</v>
      </c>
      <c r="J178" s="21">
        <f t="shared" si="5"/>
        <v>0</v>
      </c>
      <c r="K178" s="22">
        <f t="shared" si="2"/>
        <v>0</v>
      </c>
    </row>
    <row r="179" spans="1:11" ht="12.75" x14ac:dyDescent="0.2">
      <c r="A179" s="13">
        <v>45756</v>
      </c>
      <c r="B179" s="14" t="s">
        <v>5</v>
      </c>
      <c r="C179" s="15"/>
      <c r="D179" s="16"/>
      <c r="E179" s="17"/>
      <c r="F179" s="17"/>
      <c r="H179" s="19">
        <f t="shared" si="4"/>
        <v>0</v>
      </c>
      <c r="I179" s="20">
        <f t="shared" si="1"/>
        <v>0</v>
      </c>
      <c r="J179" s="21">
        <f t="shared" si="5"/>
        <v>0</v>
      </c>
      <c r="K179" s="22">
        <f t="shared" si="2"/>
        <v>0</v>
      </c>
    </row>
    <row r="180" spans="1:11" ht="12.75" x14ac:dyDescent="0.2">
      <c r="A180" s="13">
        <v>45757</v>
      </c>
      <c r="B180" s="14" t="s">
        <v>6</v>
      </c>
      <c r="C180" s="15"/>
      <c r="D180" s="16"/>
      <c r="E180" s="17"/>
      <c r="F180" s="17"/>
      <c r="H180" s="19">
        <f t="shared" si="4"/>
        <v>0</v>
      </c>
      <c r="I180" s="20">
        <f t="shared" si="1"/>
        <v>0</v>
      </c>
      <c r="J180" s="21">
        <f t="shared" si="5"/>
        <v>0</v>
      </c>
      <c r="K180" s="22">
        <f t="shared" si="2"/>
        <v>0</v>
      </c>
    </row>
    <row r="181" spans="1:11" ht="12.75" x14ac:dyDescent="0.2">
      <c r="A181" s="13">
        <v>45758</v>
      </c>
      <c r="B181" s="14" t="s">
        <v>7</v>
      </c>
      <c r="C181" s="15"/>
      <c r="D181" s="16"/>
      <c r="E181" s="17"/>
      <c r="F181" s="17"/>
      <c r="H181" s="19">
        <f t="shared" si="4"/>
        <v>0</v>
      </c>
      <c r="I181" s="20">
        <f t="shared" si="1"/>
        <v>0</v>
      </c>
      <c r="J181" s="21">
        <f t="shared" si="5"/>
        <v>0</v>
      </c>
      <c r="K181" s="22">
        <f t="shared" si="2"/>
        <v>0</v>
      </c>
    </row>
    <row r="182" spans="1:11" ht="12.75" x14ac:dyDescent="0.2">
      <c r="A182" s="13">
        <v>45761</v>
      </c>
      <c r="B182" s="14" t="s">
        <v>3</v>
      </c>
      <c r="C182" s="15"/>
      <c r="D182" s="16"/>
      <c r="E182" s="17"/>
      <c r="F182" s="17"/>
      <c r="H182" s="19">
        <f t="shared" si="4"/>
        <v>0</v>
      </c>
      <c r="I182" s="20">
        <f t="shared" si="1"/>
        <v>0</v>
      </c>
      <c r="J182" s="21">
        <f t="shared" si="5"/>
        <v>0</v>
      </c>
      <c r="K182" s="22">
        <f t="shared" si="2"/>
        <v>0</v>
      </c>
    </row>
    <row r="183" spans="1:11" ht="12.75" x14ac:dyDescent="0.2">
      <c r="A183" s="13">
        <v>45762</v>
      </c>
      <c r="B183" s="14" t="s">
        <v>4</v>
      </c>
      <c r="C183" s="15"/>
      <c r="D183" s="16"/>
      <c r="E183" s="17"/>
      <c r="F183" s="17"/>
      <c r="H183" s="19">
        <f t="shared" si="4"/>
        <v>0</v>
      </c>
      <c r="I183" s="20">
        <f t="shared" si="1"/>
        <v>0</v>
      </c>
      <c r="J183" s="21">
        <f t="shared" si="5"/>
        <v>0</v>
      </c>
      <c r="K183" s="22">
        <f t="shared" si="2"/>
        <v>0</v>
      </c>
    </row>
    <row r="184" spans="1:11" ht="12.75" x14ac:dyDescent="0.2">
      <c r="A184" s="13">
        <v>45763</v>
      </c>
      <c r="B184" s="14" t="s">
        <v>5</v>
      </c>
      <c r="C184" s="15"/>
      <c r="D184" s="16"/>
      <c r="E184" s="17"/>
      <c r="F184" s="17"/>
      <c r="H184" s="19">
        <f t="shared" si="4"/>
        <v>0</v>
      </c>
      <c r="I184" s="20">
        <f t="shared" si="1"/>
        <v>0</v>
      </c>
      <c r="J184" s="21">
        <f t="shared" si="5"/>
        <v>0</v>
      </c>
      <c r="K184" s="22">
        <f t="shared" si="2"/>
        <v>0</v>
      </c>
    </row>
    <row r="185" spans="1:11" ht="12.75" x14ac:dyDescent="0.2">
      <c r="A185" s="13">
        <v>45764</v>
      </c>
      <c r="B185" s="14" t="s">
        <v>6</v>
      </c>
      <c r="C185" s="15"/>
      <c r="D185" s="16"/>
      <c r="E185" s="17"/>
      <c r="F185" s="17"/>
      <c r="H185" s="19">
        <f t="shared" si="4"/>
        <v>0</v>
      </c>
      <c r="I185" s="20">
        <f t="shared" si="1"/>
        <v>0</v>
      </c>
      <c r="J185" s="21">
        <f t="shared" si="5"/>
        <v>0</v>
      </c>
      <c r="K185" s="22">
        <f t="shared" si="2"/>
        <v>0</v>
      </c>
    </row>
    <row r="186" spans="1:11" ht="12.75" x14ac:dyDescent="0.2">
      <c r="A186" s="24">
        <v>45765</v>
      </c>
      <c r="B186" s="25" t="s">
        <v>7</v>
      </c>
      <c r="C186" s="26"/>
      <c r="D186" s="27"/>
      <c r="E186" s="28"/>
      <c r="F186" s="28"/>
      <c r="G186" s="29"/>
      <c r="H186" s="19">
        <f t="shared" si="4"/>
        <v>0</v>
      </c>
      <c r="I186" s="20">
        <f t="shared" si="1"/>
        <v>0</v>
      </c>
      <c r="J186" s="21">
        <f t="shared" si="5"/>
        <v>0</v>
      </c>
      <c r="K186" s="22">
        <f t="shared" si="2"/>
        <v>0</v>
      </c>
    </row>
    <row r="187" spans="1:11" ht="12.75" x14ac:dyDescent="0.2">
      <c r="A187" s="24">
        <v>45768</v>
      </c>
      <c r="B187" s="25" t="s">
        <v>3</v>
      </c>
      <c r="C187" s="26"/>
      <c r="D187" s="27"/>
      <c r="E187" s="28"/>
      <c r="F187" s="28"/>
      <c r="G187" s="29"/>
      <c r="H187" s="19">
        <f t="shared" si="4"/>
        <v>0</v>
      </c>
      <c r="I187" s="20">
        <f t="shared" si="1"/>
        <v>0</v>
      </c>
      <c r="J187" s="21">
        <f t="shared" si="5"/>
        <v>0</v>
      </c>
      <c r="K187" s="22">
        <f t="shared" si="2"/>
        <v>0</v>
      </c>
    </row>
    <row r="188" spans="1:11" ht="12.75" x14ac:dyDescent="0.2">
      <c r="A188" s="13">
        <v>45769</v>
      </c>
      <c r="B188" s="14" t="s">
        <v>4</v>
      </c>
      <c r="C188" s="15"/>
      <c r="D188" s="16"/>
      <c r="E188" s="17"/>
      <c r="F188" s="17"/>
      <c r="H188" s="19">
        <f t="shared" si="4"/>
        <v>0</v>
      </c>
      <c r="I188" s="20">
        <f t="shared" si="1"/>
        <v>0</v>
      </c>
      <c r="J188" s="21">
        <f t="shared" si="5"/>
        <v>0</v>
      </c>
      <c r="K188" s="22">
        <f t="shared" si="2"/>
        <v>0</v>
      </c>
    </row>
    <row r="189" spans="1:11" ht="12.75" x14ac:dyDescent="0.2">
      <c r="A189" s="13">
        <v>45770</v>
      </c>
      <c r="B189" s="14" t="s">
        <v>5</v>
      </c>
      <c r="C189" s="15"/>
      <c r="D189" s="16"/>
      <c r="E189" s="17"/>
      <c r="F189" s="17"/>
      <c r="H189" s="19">
        <f t="shared" si="4"/>
        <v>0</v>
      </c>
      <c r="I189" s="20">
        <f t="shared" si="1"/>
        <v>0</v>
      </c>
      <c r="J189" s="21">
        <f t="shared" si="5"/>
        <v>0</v>
      </c>
      <c r="K189" s="22">
        <f t="shared" si="2"/>
        <v>0</v>
      </c>
    </row>
    <row r="190" spans="1:11" ht="12.75" x14ac:dyDescent="0.2">
      <c r="A190" s="13">
        <v>45771</v>
      </c>
      <c r="B190" s="14" t="s">
        <v>6</v>
      </c>
      <c r="C190" s="15"/>
      <c r="D190" s="16"/>
      <c r="E190" s="17"/>
      <c r="F190" s="17"/>
      <c r="H190" s="19">
        <f t="shared" si="4"/>
        <v>0</v>
      </c>
      <c r="I190" s="20">
        <f t="shared" si="1"/>
        <v>0</v>
      </c>
      <c r="J190" s="21">
        <f t="shared" si="5"/>
        <v>0</v>
      </c>
      <c r="K190" s="22">
        <f t="shared" si="2"/>
        <v>0</v>
      </c>
    </row>
    <row r="191" spans="1:11" ht="12.75" x14ac:dyDescent="0.2">
      <c r="A191" s="13">
        <v>45772</v>
      </c>
      <c r="B191" s="14" t="s">
        <v>7</v>
      </c>
      <c r="C191" s="15"/>
      <c r="D191" s="16"/>
      <c r="E191" s="17"/>
      <c r="F191" s="17"/>
      <c r="H191" s="19">
        <f t="shared" si="4"/>
        <v>0</v>
      </c>
      <c r="I191" s="20">
        <f t="shared" si="1"/>
        <v>0</v>
      </c>
      <c r="J191" s="21">
        <f t="shared" si="5"/>
        <v>0</v>
      </c>
      <c r="K191" s="22">
        <f t="shared" si="2"/>
        <v>0</v>
      </c>
    </row>
    <row r="192" spans="1:11" ht="12.75" x14ac:dyDescent="0.2">
      <c r="A192" s="13">
        <v>45775</v>
      </c>
      <c r="B192" s="14" t="s">
        <v>3</v>
      </c>
      <c r="C192" s="15"/>
      <c r="D192" s="16"/>
      <c r="E192" s="17"/>
      <c r="F192" s="17"/>
      <c r="H192" s="19">
        <f t="shared" si="4"/>
        <v>0</v>
      </c>
      <c r="I192" s="20">
        <f t="shared" si="1"/>
        <v>0</v>
      </c>
      <c r="J192" s="21">
        <f t="shared" si="5"/>
        <v>0</v>
      </c>
      <c r="K192" s="22">
        <f t="shared" si="2"/>
        <v>0</v>
      </c>
    </row>
    <row r="193" spans="1:11" ht="12.75" x14ac:dyDescent="0.2">
      <c r="A193" s="13">
        <v>45776</v>
      </c>
      <c r="B193" s="14" t="s">
        <v>4</v>
      </c>
      <c r="C193" s="15"/>
      <c r="D193" s="16"/>
      <c r="E193" s="17"/>
      <c r="F193" s="17"/>
      <c r="H193" s="19">
        <f t="shared" si="4"/>
        <v>0</v>
      </c>
      <c r="I193" s="20">
        <f t="shared" si="1"/>
        <v>0</v>
      </c>
      <c r="J193" s="21">
        <f t="shared" si="5"/>
        <v>0</v>
      </c>
      <c r="K193" s="22">
        <f t="shared" si="2"/>
        <v>0</v>
      </c>
    </row>
    <row r="194" spans="1:11" ht="12.75" x14ac:dyDescent="0.2">
      <c r="A194" s="13">
        <v>45777</v>
      </c>
      <c r="B194" s="14" t="s">
        <v>5</v>
      </c>
      <c r="C194" s="15"/>
      <c r="D194" s="16"/>
      <c r="E194" s="17"/>
      <c r="F194" s="17"/>
      <c r="H194" s="19">
        <f t="shared" si="4"/>
        <v>0</v>
      </c>
      <c r="I194" s="20">
        <f t="shared" si="1"/>
        <v>0</v>
      </c>
      <c r="J194" s="21">
        <f t="shared" si="5"/>
        <v>0</v>
      </c>
      <c r="K194" s="22">
        <f t="shared" si="2"/>
        <v>0</v>
      </c>
    </row>
    <row r="195" spans="1:11" ht="12.75" x14ac:dyDescent="0.2">
      <c r="A195" s="13">
        <v>45778</v>
      </c>
      <c r="B195" s="14" t="s">
        <v>6</v>
      </c>
      <c r="C195" s="15"/>
      <c r="D195" s="16"/>
      <c r="E195" s="17"/>
      <c r="F195" s="17"/>
      <c r="H195" s="19">
        <f t="shared" si="4"/>
        <v>0</v>
      </c>
      <c r="I195" s="20">
        <f t="shared" si="1"/>
        <v>0</v>
      </c>
      <c r="J195" s="21">
        <f t="shared" si="5"/>
        <v>0</v>
      </c>
      <c r="K195" s="22">
        <f t="shared" si="2"/>
        <v>0</v>
      </c>
    </row>
    <row r="196" spans="1:11" ht="12.75" x14ac:dyDescent="0.2">
      <c r="A196" s="13">
        <v>45779</v>
      </c>
      <c r="B196" s="14" t="s">
        <v>7</v>
      </c>
      <c r="C196" s="15"/>
      <c r="D196" s="16"/>
      <c r="E196" s="17"/>
      <c r="F196" s="17"/>
      <c r="H196" s="19">
        <f t="shared" si="4"/>
        <v>0</v>
      </c>
      <c r="I196" s="20">
        <f t="shared" si="1"/>
        <v>0</v>
      </c>
      <c r="J196" s="21">
        <f t="shared" si="5"/>
        <v>0</v>
      </c>
      <c r="K196" s="22">
        <f t="shared" si="2"/>
        <v>0</v>
      </c>
    </row>
    <row r="197" spans="1:11" ht="12.75" x14ac:dyDescent="0.2">
      <c r="A197" s="13">
        <v>45782</v>
      </c>
      <c r="B197" s="14" t="s">
        <v>3</v>
      </c>
      <c r="C197" s="15"/>
      <c r="D197" s="16"/>
      <c r="E197" s="17"/>
      <c r="F197" s="17"/>
      <c r="H197" s="19">
        <f t="shared" si="4"/>
        <v>0</v>
      </c>
      <c r="I197" s="20">
        <f t="shared" si="1"/>
        <v>0</v>
      </c>
      <c r="J197" s="21">
        <f t="shared" si="5"/>
        <v>0</v>
      </c>
      <c r="K197" s="22">
        <f t="shared" si="2"/>
        <v>0</v>
      </c>
    </row>
    <row r="198" spans="1:11" ht="12.75" x14ac:dyDescent="0.2">
      <c r="A198" s="13">
        <v>45783</v>
      </c>
      <c r="B198" s="14" t="s">
        <v>4</v>
      </c>
      <c r="C198" s="15"/>
      <c r="D198" s="16"/>
      <c r="E198" s="17"/>
      <c r="F198" s="17"/>
      <c r="H198" s="19">
        <f t="shared" si="4"/>
        <v>0</v>
      </c>
      <c r="I198" s="20">
        <f t="shared" si="1"/>
        <v>0</v>
      </c>
      <c r="J198" s="21">
        <f t="shared" si="5"/>
        <v>0</v>
      </c>
      <c r="K198" s="22">
        <f t="shared" si="2"/>
        <v>0</v>
      </c>
    </row>
    <row r="199" spans="1:11" ht="12.75" x14ac:dyDescent="0.2">
      <c r="A199" s="13">
        <v>45784</v>
      </c>
      <c r="B199" s="14" t="s">
        <v>5</v>
      </c>
      <c r="C199" s="15"/>
      <c r="D199" s="16"/>
      <c r="E199" s="17"/>
      <c r="F199" s="17"/>
      <c r="H199" s="19">
        <f t="shared" si="4"/>
        <v>0</v>
      </c>
      <c r="I199" s="20">
        <f t="shared" si="1"/>
        <v>0</v>
      </c>
      <c r="J199" s="21">
        <f t="shared" si="5"/>
        <v>0</v>
      </c>
      <c r="K199" s="22">
        <f t="shared" si="2"/>
        <v>0</v>
      </c>
    </row>
    <row r="200" spans="1:11" ht="12.75" x14ac:dyDescent="0.2">
      <c r="A200" s="13">
        <v>45785</v>
      </c>
      <c r="B200" s="14" t="s">
        <v>6</v>
      </c>
      <c r="C200" s="15"/>
      <c r="D200" s="16"/>
      <c r="E200" s="17"/>
      <c r="F200" s="17"/>
      <c r="H200" s="19">
        <f t="shared" si="4"/>
        <v>0</v>
      </c>
      <c r="I200" s="20">
        <f t="shared" si="1"/>
        <v>0</v>
      </c>
      <c r="J200" s="21">
        <f t="shared" si="5"/>
        <v>0</v>
      </c>
      <c r="K200" s="22">
        <f t="shared" si="2"/>
        <v>0</v>
      </c>
    </row>
    <row r="201" spans="1:11" ht="12.75" x14ac:dyDescent="0.2">
      <c r="A201" s="13">
        <v>45786</v>
      </c>
      <c r="B201" s="14" t="s">
        <v>7</v>
      </c>
      <c r="C201" s="15"/>
      <c r="D201" s="16"/>
      <c r="E201" s="17"/>
      <c r="F201" s="17"/>
      <c r="H201" s="19">
        <f t="shared" si="4"/>
        <v>0</v>
      </c>
      <c r="I201" s="20">
        <f t="shared" si="1"/>
        <v>0</v>
      </c>
      <c r="J201" s="21">
        <f t="shared" si="5"/>
        <v>0</v>
      </c>
      <c r="K201" s="22">
        <f t="shared" si="2"/>
        <v>0</v>
      </c>
    </row>
    <row r="202" spans="1:11" ht="12.75" x14ac:dyDescent="0.2">
      <c r="A202" s="13">
        <v>45789</v>
      </c>
      <c r="B202" s="14" t="s">
        <v>3</v>
      </c>
      <c r="C202" s="15"/>
      <c r="D202" s="16"/>
      <c r="E202" s="17"/>
      <c r="F202" s="17"/>
      <c r="H202" s="19">
        <f t="shared" si="4"/>
        <v>0</v>
      </c>
      <c r="I202" s="20">
        <f t="shared" si="1"/>
        <v>0</v>
      </c>
      <c r="J202" s="21">
        <f t="shared" si="5"/>
        <v>0</v>
      </c>
      <c r="K202" s="22">
        <f t="shared" si="2"/>
        <v>0</v>
      </c>
    </row>
    <row r="203" spans="1:11" ht="12.75" x14ac:dyDescent="0.2">
      <c r="A203" s="13">
        <v>45790</v>
      </c>
      <c r="B203" s="14" t="s">
        <v>4</v>
      </c>
      <c r="C203" s="15"/>
      <c r="D203" s="16"/>
      <c r="E203" s="17"/>
      <c r="F203" s="17"/>
      <c r="H203" s="19">
        <f t="shared" si="4"/>
        <v>0</v>
      </c>
      <c r="I203" s="20">
        <f t="shared" si="1"/>
        <v>0</v>
      </c>
      <c r="J203" s="21">
        <f t="shared" si="5"/>
        <v>0</v>
      </c>
      <c r="K203" s="22">
        <f t="shared" si="2"/>
        <v>0</v>
      </c>
    </row>
    <row r="204" spans="1:11" ht="12.75" x14ac:dyDescent="0.2">
      <c r="A204" s="13">
        <v>45791</v>
      </c>
      <c r="B204" s="14" t="s">
        <v>5</v>
      </c>
      <c r="C204" s="15"/>
      <c r="D204" s="16"/>
      <c r="E204" s="17"/>
      <c r="F204" s="17"/>
      <c r="H204" s="19">
        <f t="shared" si="4"/>
        <v>0</v>
      </c>
      <c r="I204" s="20">
        <f t="shared" si="1"/>
        <v>0</v>
      </c>
      <c r="J204" s="21">
        <f t="shared" si="5"/>
        <v>0</v>
      </c>
      <c r="K204" s="22">
        <f t="shared" si="2"/>
        <v>0</v>
      </c>
    </row>
    <row r="205" spans="1:11" ht="12.75" x14ac:dyDescent="0.2">
      <c r="A205" s="13">
        <v>45792</v>
      </c>
      <c r="B205" s="14" t="s">
        <v>6</v>
      </c>
      <c r="C205" s="15"/>
      <c r="D205" s="16"/>
      <c r="E205" s="17"/>
      <c r="F205" s="17"/>
      <c r="H205" s="19">
        <f t="shared" si="4"/>
        <v>0</v>
      </c>
      <c r="I205" s="20">
        <f t="shared" si="1"/>
        <v>0</v>
      </c>
      <c r="J205" s="21">
        <f t="shared" si="5"/>
        <v>0</v>
      </c>
      <c r="K205" s="22">
        <f t="shared" si="2"/>
        <v>0</v>
      </c>
    </row>
    <row r="206" spans="1:11" ht="12.75" x14ac:dyDescent="0.2">
      <c r="A206" s="13">
        <v>45793</v>
      </c>
      <c r="B206" s="14" t="s">
        <v>7</v>
      </c>
      <c r="C206" s="15"/>
      <c r="D206" s="16"/>
      <c r="E206" s="17"/>
      <c r="F206" s="17"/>
      <c r="H206" s="19">
        <f t="shared" si="4"/>
        <v>0</v>
      </c>
      <c r="I206" s="20">
        <f t="shared" si="1"/>
        <v>0</v>
      </c>
      <c r="J206" s="21">
        <f t="shared" si="5"/>
        <v>0</v>
      </c>
      <c r="K206" s="22">
        <f t="shared" si="2"/>
        <v>0</v>
      </c>
    </row>
    <row r="207" spans="1:11" ht="12.75" x14ac:dyDescent="0.2">
      <c r="A207" s="13">
        <v>45796</v>
      </c>
      <c r="B207" s="14" t="s">
        <v>3</v>
      </c>
      <c r="C207" s="15"/>
      <c r="D207" s="16"/>
      <c r="E207" s="17"/>
      <c r="F207" s="17"/>
      <c r="H207" s="19">
        <f t="shared" si="4"/>
        <v>0</v>
      </c>
      <c r="I207" s="20">
        <f t="shared" si="1"/>
        <v>0</v>
      </c>
      <c r="J207" s="21">
        <f t="shared" si="5"/>
        <v>0</v>
      </c>
      <c r="K207" s="22">
        <f t="shared" si="2"/>
        <v>0</v>
      </c>
    </row>
    <row r="208" spans="1:11" ht="12.75" x14ac:dyDescent="0.2">
      <c r="A208" s="13">
        <v>45797</v>
      </c>
      <c r="B208" s="14" t="s">
        <v>4</v>
      </c>
      <c r="C208" s="15"/>
      <c r="D208" s="16"/>
      <c r="E208" s="17"/>
      <c r="F208" s="17"/>
      <c r="H208" s="19">
        <f t="shared" si="4"/>
        <v>0</v>
      </c>
      <c r="I208" s="20">
        <f t="shared" si="1"/>
        <v>0</v>
      </c>
      <c r="J208" s="21">
        <f t="shared" si="5"/>
        <v>0</v>
      </c>
      <c r="K208" s="22">
        <f t="shared" si="2"/>
        <v>0</v>
      </c>
    </row>
    <row r="209" spans="1:11" ht="12.75" x14ac:dyDescent="0.2">
      <c r="A209" s="13">
        <v>45798</v>
      </c>
      <c r="B209" s="14" t="s">
        <v>5</v>
      </c>
      <c r="C209" s="15"/>
      <c r="D209" s="16"/>
      <c r="E209" s="17"/>
      <c r="F209" s="17"/>
      <c r="H209" s="19">
        <f t="shared" si="4"/>
        <v>0</v>
      </c>
      <c r="I209" s="20">
        <f t="shared" si="1"/>
        <v>0</v>
      </c>
      <c r="J209" s="21">
        <f t="shared" si="5"/>
        <v>0</v>
      </c>
      <c r="K209" s="22">
        <f t="shared" si="2"/>
        <v>0</v>
      </c>
    </row>
    <row r="210" spans="1:11" ht="12.75" x14ac:dyDescent="0.2">
      <c r="A210" s="13">
        <v>45799</v>
      </c>
      <c r="B210" s="14" t="s">
        <v>6</v>
      </c>
      <c r="C210" s="15"/>
      <c r="D210" s="16"/>
      <c r="E210" s="17"/>
      <c r="F210" s="17"/>
      <c r="H210" s="19">
        <f t="shared" si="4"/>
        <v>0</v>
      </c>
      <c r="I210" s="20">
        <f t="shared" si="1"/>
        <v>0</v>
      </c>
      <c r="J210" s="21">
        <f t="shared" si="5"/>
        <v>0</v>
      </c>
      <c r="K210" s="22">
        <f t="shared" si="2"/>
        <v>0</v>
      </c>
    </row>
    <row r="211" spans="1:11" ht="12.75" x14ac:dyDescent="0.2">
      <c r="A211" s="13">
        <v>45800</v>
      </c>
      <c r="B211" s="14" t="s">
        <v>7</v>
      </c>
      <c r="C211" s="15"/>
      <c r="D211" s="16"/>
      <c r="E211" s="17"/>
      <c r="F211" s="17"/>
      <c r="H211" s="19">
        <f t="shared" si="4"/>
        <v>0</v>
      </c>
      <c r="I211" s="20">
        <f t="shared" si="1"/>
        <v>0</v>
      </c>
      <c r="J211" s="21">
        <f t="shared" si="5"/>
        <v>0</v>
      </c>
      <c r="K211" s="22">
        <f t="shared" si="2"/>
        <v>0</v>
      </c>
    </row>
    <row r="212" spans="1:11" ht="12.75" x14ac:dyDescent="0.2">
      <c r="A212" s="24">
        <v>45803</v>
      </c>
      <c r="B212" s="25" t="s">
        <v>3</v>
      </c>
      <c r="C212" s="26"/>
      <c r="D212" s="27"/>
      <c r="E212" s="28"/>
      <c r="F212" s="28"/>
      <c r="G212" s="29"/>
      <c r="H212" s="19">
        <f t="shared" si="4"/>
        <v>0</v>
      </c>
      <c r="I212" s="20">
        <f t="shared" si="1"/>
        <v>0</v>
      </c>
      <c r="J212" s="21">
        <f t="shared" si="5"/>
        <v>0</v>
      </c>
      <c r="K212" s="22">
        <f t="shared" si="2"/>
        <v>0</v>
      </c>
    </row>
    <row r="213" spans="1:11" ht="12.75" x14ac:dyDescent="0.2">
      <c r="A213" s="13">
        <v>45804</v>
      </c>
      <c r="B213" s="14" t="s">
        <v>4</v>
      </c>
      <c r="C213" s="15"/>
      <c r="D213" s="16"/>
      <c r="E213" s="17"/>
      <c r="F213" s="17"/>
      <c r="H213" s="19">
        <f t="shared" si="4"/>
        <v>0</v>
      </c>
      <c r="I213" s="20">
        <f t="shared" si="1"/>
        <v>0</v>
      </c>
      <c r="J213" s="21">
        <f t="shared" si="5"/>
        <v>0</v>
      </c>
      <c r="K213" s="22">
        <f t="shared" si="2"/>
        <v>0</v>
      </c>
    </row>
    <row r="214" spans="1:11" ht="12.75" x14ac:dyDescent="0.2">
      <c r="A214" s="13">
        <v>45805</v>
      </c>
      <c r="B214" s="14" t="s">
        <v>5</v>
      </c>
      <c r="C214" s="15"/>
      <c r="D214" s="16"/>
      <c r="E214" s="17"/>
      <c r="F214" s="17"/>
      <c r="H214" s="19">
        <f t="shared" si="4"/>
        <v>0</v>
      </c>
      <c r="I214" s="20">
        <f t="shared" si="1"/>
        <v>0</v>
      </c>
      <c r="J214" s="21">
        <f t="shared" si="5"/>
        <v>0</v>
      </c>
      <c r="K214" s="22">
        <f t="shared" si="2"/>
        <v>0</v>
      </c>
    </row>
    <row r="215" spans="1:11" ht="12.75" x14ac:dyDescent="0.2">
      <c r="A215" s="13">
        <v>45806</v>
      </c>
      <c r="B215" s="46" t="s">
        <v>6</v>
      </c>
      <c r="C215" s="15"/>
      <c r="D215" s="16"/>
      <c r="E215" s="17"/>
      <c r="F215" s="17"/>
      <c r="H215" s="19">
        <f t="shared" si="4"/>
        <v>0</v>
      </c>
      <c r="I215" s="20">
        <f t="shared" si="1"/>
        <v>0</v>
      </c>
      <c r="J215" s="21">
        <f t="shared" si="5"/>
        <v>0</v>
      </c>
      <c r="K215" s="22">
        <f t="shared" si="2"/>
        <v>0</v>
      </c>
    </row>
    <row r="216" spans="1:11" ht="12.75" hidden="1" x14ac:dyDescent="0.2">
      <c r="A216" s="16"/>
      <c r="B216" s="16"/>
      <c r="C216" s="15"/>
      <c r="D216" s="16"/>
      <c r="E216" s="17"/>
      <c r="F216" s="17"/>
      <c r="H216" s="19"/>
      <c r="I216" s="47"/>
      <c r="J216" s="48"/>
      <c r="K216" s="49"/>
    </row>
    <row r="217" spans="1:11" ht="12.75" hidden="1" x14ac:dyDescent="0.2">
      <c r="A217" s="16"/>
      <c r="B217" s="16"/>
      <c r="C217" s="15"/>
      <c r="D217" s="16"/>
      <c r="E217" s="17"/>
      <c r="F217" s="17"/>
      <c r="H217" s="19"/>
      <c r="I217" s="47"/>
      <c r="J217" s="48"/>
      <c r="K217" s="49"/>
    </row>
    <row r="218" spans="1:11" ht="12.75" hidden="1" x14ac:dyDescent="0.2">
      <c r="A218" s="16"/>
      <c r="B218" s="16"/>
      <c r="C218" s="15"/>
      <c r="D218" s="16"/>
      <c r="E218" s="17"/>
      <c r="F218" s="17"/>
      <c r="H218" s="19"/>
      <c r="I218" s="47"/>
      <c r="J218" s="48"/>
      <c r="K218" s="49"/>
    </row>
    <row r="219" spans="1:11" ht="12.75" hidden="1" x14ac:dyDescent="0.2">
      <c r="A219" s="16"/>
      <c r="B219" s="16"/>
      <c r="C219" s="15"/>
      <c r="D219" s="16"/>
      <c r="E219" s="17"/>
      <c r="F219" s="17"/>
      <c r="H219" s="19"/>
      <c r="I219" s="47"/>
      <c r="J219" s="48"/>
      <c r="K219" s="49"/>
    </row>
    <row r="220" spans="1:11" ht="12.75" hidden="1" x14ac:dyDescent="0.2">
      <c r="A220" s="16"/>
      <c r="B220" s="16"/>
      <c r="C220" s="15"/>
      <c r="D220" s="16"/>
      <c r="E220" s="17"/>
      <c r="F220" s="17"/>
      <c r="H220" s="19"/>
      <c r="I220" s="47"/>
      <c r="J220" s="48"/>
      <c r="K220" s="49"/>
    </row>
    <row r="221" spans="1:11" ht="12.75" hidden="1" x14ac:dyDescent="0.2">
      <c r="A221" s="16"/>
      <c r="B221" s="16"/>
      <c r="C221" s="15"/>
      <c r="D221" s="16"/>
      <c r="E221" s="17"/>
      <c r="F221" s="17"/>
      <c r="H221" s="19"/>
      <c r="I221" s="47"/>
      <c r="J221" s="48"/>
      <c r="K221" s="49"/>
    </row>
    <row r="222" spans="1:11" ht="12.75" hidden="1" x14ac:dyDescent="0.2">
      <c r="A222" s="16"/>
      <c r="B222" s="16"/>
      <c r="C222" s="15"/>
      <c r="D222" s="16"/>
      <c r="E222" s="17"/>
      <c r="F222" s="17"/>
      <c r="H222" s="19"/>
      <c r="I222" s="47"/>
      <c r="J222" s="48"/>
      <c r="K222" s="49"/>
    </row>
    <row r="223" spans="1:11" ht="12.75" hidden="1" x14ac:dyDescent="0.2">
      <c r="A223" s="16"/>
      <c r="B223" s="16"/>
      <c r="C223" s="15"/>
      <c r="D223" s="16"/>
      <c r="E223" s="17"/>
      <c r="F223" s="17"/>
      <c r="H223" s="19"/>
      <c r="I223" s="47"/>
      <c r="J223" s="48"/>
      <c r="K223" s="49"/>
    </row>
    <row r="224" spans="1:11" ht="12.75" hidden="1" x14ac:dyDescent="0.2">
      <c r="A224" s="16"/>
      <c r="B224" s="16"/>
      <c r="C224" s="15"/>
      <c r="D224" s="16"/>
      <c r="E224" s="17"/>
      <c r="F224" s="17"/>
      <c r="H224" s="19"/>
      <c r="I224" s="47"/>
      <c r="J224" s="48"/>
      <c r="K224" s="49"/>
    </row>
    <row r="225" spans="1:11" ht="12.75" hidden="1" x14ac:dyDescent="0.2">
      <c r="A225" s="16"/>
      <c r="B225" s="16"/>
      <c r="C225" s="15"/>
      <c r="D225" s="16"/>
      <c r="E225" s="17"/>
      <c r="F225" s="17"/>
      <c r="H225" s="19"/>
      <c r="I225" s="47"/>
      <c r="J225" s="48"/>
      <c r="K225" s="49"/>
    </row>
    <row r="226" spans="1:11" ht="12.75" hidden="1" x14ac:dyDescent="0.2">
      <c r="A226" s="16"/>
      <c r="B226" s="16"/>
      <c r="C226" s="15"/>
      <c r="D226" s="16"/>
      <c r="E226" s="17"/>
      <c r="F226" s="17"/>
      <c r="H226" s="19"/>
      <c r="I226" s="47"/>
      <c r="J226" s="48"/>
      <c r="K226" s="49"/>
    </row>
    <row r="227" spans="1:11" ht="12.75" hidden="1" x14ac:dyDescent="0.2">
      <c r="A227" s="16"/>
      <c r="B227" s="16"/>
      <c r="C227" s="15"/>
      <c r="D227" s="16"/>
      <c r="E227" s="17"/>
      <c r="F227" s="17"/>
      <c r="H227" s="19"/>
      <c r="I227" s="47"/>
      <c r="J227" s="48"/>
      <c r="K227" s="49"/>
    </row>
    <row r="228" spans="1:11" ht="12.75" hidden="1" x14ac:dyDescent="0.2">
      <c r="A228" s="16"/>
      <c r="B228" s="16"/>
      <c r="C228" s="15"/>
      <c r="D228" s="16"/>
      <c r="E228" s="17"/>
      <c r="F228" s="17"/>
      <c r="H228" s="19"/>
      <c r="I228" s="47"/>
      <c r="J228" s="48"/>
      <c r="K228" s="49"/>
    </row>
    <row r="229" spans="1:11" ht="12.75" hidden="1" x14ac:dyDescent="0.2">
      <c r="A229" s="16"/>
      <c r="B229" s="16"/>
      <c r="C229" s="15"/>
      <c r="D229" s="16"/>
      <c r="E229" s="17"/>
      <c r="F229" s="17"/>
      <c r="H229" s="19"/>
      <c r="I229" s="47"/>
      <c r="J229" s="48"/>
      <c r="K229" s="49"/>
    </row>
    <row r="230" spans="1:11" ht="12.75" hidden="1" x14ac:dyDescent="0.2">
      <c r="A230" s="16"/>
      <c r="B230" s="16"/>
      <c r="C230" s="15"/>
      <c r="D230" s="16"/>
      <c r="E230" s="17"/>
      <c r="F230" s="17"/>
      <c r="H230" s="19"/>
      <c r="I230" s="47"/>
      <c r="J230" s="48"/>
      <c r="K230" s="49"/>
    </row>
    <row r="231" spans="1:11" ht="12.75" hidden="1" x14ac:dyDescent="0.2">
      <c r="A231" s="16"/>
      <c r="B231" s="16"/>
      <c r="C231" s="15"/>
      <c r="D231" s="16"/>
      <c r="E231" s="17"/>
      <c r="F231" s="17"/>
      <c r="H231" s="19"/>
      <c r="I231" s="47"/>
      <c r="J231" s="48"/>
      <c r="K231" s="49"/>
    </row>
    <row r="232" spans="1:11" ht="12.75" hidden="1" x14ac:dyDescent="0.2">
      <c r="A232" s="16"/>
      <c r="B232" s="16"/>
      <c r="C232" s="15"/>
      <c r="D232" s="16"/>
      <c r="E232" s="17"/>
      <c r="F232" s="17"/>
      <c r="H232" s="19"/>
      <c r="I232" s="47"/>
      <c r="J232" s="48"/>
      <c r="K232" s="49"/>
    </row>
    <row r="233" spans="1:11" ht="12.75" hidden="1" x14ac:dyDescent="0.2">
      <c r="A233" s="16"/>
      <c r="B233" s="16"/>
      <c r="C233" s="15"/>
      <c r="D233" s="16"/>
      <c r="E233" s="17"/>
      <c r="F233" s="17"/>
      <c r="H233" s="19"/>
      <c r="I233" s="47"/>
      <c r="J233" s="48"/>
      <c r="K233" s="49"/>
    </row>
    <row r="234" spans="1:11" ht="12.75" hidden="1" x14ac:dyDescent="0.2">
      <c r="A234" s="16"/>
      <c r="B234" s="16"/>
      <c r="C234" s="15"/>
      <c r="D234" s="16"/>
      <c r="E234" s="17"/>
      <c r="F234" s="17"/>
      <c r="H234" s="19"/>
      <c r="I234" s="47"/>
      <c r="J234" s="48"/>
      <c r="K234" s="49"/>
    </row>
    <row r="235" spans="1:11" ht="12.75" hidden="1" x14ac:dyDescent="0.2">
      <c r="A235" s="16"/>
      <c r="B235" s="16"/>
      <c r="C235" s="15"/>
      <c r="D235" s="16"/>
      <c r="E235" s="17"/>
      <c r="F235" s="17"/>
      <c r="H235" s="19"/>
      <c r="I235" s="47"/>
      <c r="J235" s="48"/>
      <c r="K235" s="49"/>
    </row>
    <row r="236" spans="1:11" ht="12.75" hidden="1" x14ac:dyDescent="0.2">
      <c r="A236" s="16"/>
      <c r="B236" s="16"/>
      <c r="C236" s="15"/>
      <c r="D236" s="16"/>
      <c r="E236" s="17"/>
      <c r="F236" s="17"/>
      <c r="H236" s="19"/>
      <c r="I236" s="47"/>
      <c r="J236" s="48"/>
      <c r="K236" s="49"/>
    </row>
    <row r="237" spans="1:11" ht="12.75" hidden="1" x14ac:dyDescent="0.2">
      <c r="A237" s="16"/>
      <c r="B237" s="16"/>
      <c r="C237" s="15"/>
      <c r="D237" s="16"/>
      <c r="E237" s="17"/>
      <c r="F237" s="17"/>
      <c r="H237" s="19"/>
      <c r="I237" s="47"/>
      <c r="J237" s="48"/>
      <c r="K237" s="49"/>
    </row>
    <row r="238" spans="1:11" ht="12.75" hidden="1" x14ac:dyDescent="0.2">
      <c r="A238" s="16"/>
      <c r="B238" s="16"/>
      <c r="C238" s="15"/>
      <c r="D238" s="16"/>
      <c r="E238" s="17"/>
      <c r="F238" s="17"/>
      <c r="H238" s="19"/>
      <c r="I238" s="47"/>
      <c r="J238" s="48"/>
      <c r="K238" s="49"/>
    </row>
    <row r="239" spans="1:11" ht="12.75" hidden="1" x14ac:dyDescent="0.2">
      <c r="A239" s="16"/>
      <c r="B239" s="16"/>
      <c r="C239" s="15"/>
      <c r="D239" s="16"/>
      <c r="E239" s="17"/>
      <c r="F239" s="17"/>
      <c r="H239" s="19"/>
      <c r="I239" s="47"/>
      <c r="J239" s="48"/>
      <c r="K239" s="49"/>
    </row>
    <row r="240" spans="1:11" ht="12.75" hidden="1" x14ac:dyDescent="0.2">
      <c r="A240" s="16"/>
      <c r="B240" s="16"/>
      <c r="C240" s="15"/>
      <c r="D240" s="16"/>
      <c r="E240" s="17"/>
      <c r="F240" s="17"/>
      <c r="H240" s="19"/>
      <c r="I240" s="47"/>
      <c r="J240" s="48"/>
      <c r="K240" s="49"/>
    </row>
    <row r="241" spans="1:11" ht="12.75" hidden="1" x14ac:dyDescent="0.2">
      <c r="A241" s="16"/>
      <c r="B241" s="16"/>
      <c r="C241" s="15"/>
      <c r="D241" s="16"/>
      <c r="E241" s="17"/>
      <c r="F241" s="17"/>
      <c r="H241" s="19"/>
      <c r="I241" s="47"/>
      <c r="J241" s="48"/>
      <c r="K241" s="49"/>
    </row>
    <row r="242" spans="1:11" ht="12.75" hidden="1" x14ac:dyDescent="0.2">
      <c r="A242" s="16"/>
      <c r="B242" s="16"/>
      <c r="C242" s="15"/>
      <c r="D242" s="16"/>
      <c r="E242" s="17"/>
      <c r="F242" s="17"/>
      <c r="H242" s="19"/>
      <c r="I242" s="47"/>
      <c r="J242" s="48"/>
      <c r="K242" s="49"/>
    </row>
    <row r="243" spans="1:11" ht="12.75" hidden="1" x14ac:dyDescent="0.2">
      <c r="A243" s="16"/>
      <c r="B243" s="16"/>
      <c r="C243" s="15"/>
      <c r="D243" s="16"/>
      <c r="E243" s="17"/>
      <c r="F243" s="17"/>
      <c r="H243" s="19"/>
      <c r="I243" s="47"/>
      <c r="J243" s="48"/>
      <c r="K243" s="49"/>
    </row>
    <row r="244" spans="1:11" ht="12.75" hidden="1" x14ac:dyDescent="0.2">
      <c r="A244" s="16"/>
      <c r="B244" s="16"/>
      <c r="C244" s="15"/>
      <c r="D244" s="16"/>
      <c r="E244" s="17"/>
      <c r="F244" s="17"/>
      <c r="H244" s="19"/>
      <c r="I244" s="47"/>
      <c r="J244" s="48"/>
      <c r="K244" s="49"/>
    </row>
    <row r="245" spans="1:11" ht="12.75" hidden="1" x14ac:dyDescent="0.2">
      <c r="A245" s="16"/>
      <c r="B245" s="16"/>
      <c r="C245" s="15"/>
      <c r="D245" s="16"/>
      <c r="E245" s="17"/>
      <c r="F245" s="17"/>
      <c r="H245" s="19"/>
      <c r="I245" s="47"/>
      <c r="J245" s="48"/>
      <c r="K245" s="49"/>
    </row>
    <row r="246" spans="1:11" ht="12.75" hidden="1" x14ac:dyDescent="0.2">
      <c r="A246" s="16"/>
      <c r="B246" s="16"/>
      <c r="C246" s="15"/>
      <c r="D246" s="16"/>
      <c r="E246" s="17"/>
      <c r="F246" s="17"/>
      <c r="H246" s="19"/>
      <c r="I246" s="47"/>
      <c r="J246" s="48"/>
      <c r="K246" s="49"/>
    </row>
    <row r="247" spans="1:11" ht="12.75" hidden="1" x14ac:dyDescent="0.2">
      <c r="A247" s="16"/>
      <c r="B247" s="16"/>
      <c r="C247" s="15"/>
      <c r="D247" s="16"/>
      <c r="E247" s="17"/>
      <c r="F247" s="17"/>
      <c r="H247" s="19"/>
      <c r="I247" s="47"/>
      <c r="J247" s="48"/>
      <c r="K247" s="49"/>
    </row>
    <row r="248" spans="1:11" ht="12.75" hidden="1" x14ac:dyDescent="0.2">
      <c r="A248" s="16"/>
      <c r="B248" s="16"/>
      <c r="C248" s="15"/>
      <c r="D248" s="16"/>
      <c r="E248" s="17"/>
      <c r="F248" s="17"/>
      <c r="H248" s="19"/>
      <c r="I248" s="47"/>
      <c r="J248" s="48"/>
      <c r="K248" s="49"/>
    </row>
    <row r="249" spans="1:11" ht="12.75" hidden="1" x14ac:dyDescent="0.2">
      <c r="A249" s="16"/>
      <c r="B249" s="16"/>
      <c r="C249" s="15"/>
      <c r="D249" s="16"/>
      <c r="E249" s="17"/>
      <c r="F249" s="17"/>
      <c r="H249" s="19"/>
      <c r="I249" s="47"/>
      <c r="J249" s="48"/>
      <c r="K249" s="49"/>
    </row>
    <row r="250" spans="1:11" ht="12.75" hidden="1" x14ac:dyDescent="0.2">
      <c r="A250" s="16"/>
      <c r="B250" s="16"/>
      <c r="C250" s="15"/>
      <c r="D250" s="16"/>
      <c r="E250" s="17"/>
      <c r="F250" s="17"/>
      <c r="H250" s="19"/>
      <c r="I250" s="47"/>
      <c r="J250" s="48"/>
      <c r="K250" s="49"/>
    </row>
    <row r="251" spans="1:11" ht="12.75" hidden="1" x14ac:dyDescent="0.2">
      <c r="A251" s="16"/>
      <c r="B251" s="16"/>
      <c r="C251" s="15"/>
      <c r="D251" s="16"/>
      <c r="E251" s="17"/>
      <c r="F251" s="17"/>
      <c r="H251" s="19"/>
      <c r="I251" s="47"/>
      <c r="J251" s="48"/>
      <c r="K251" s="49"/>
    </row>
    <row r="252" spans="1:11" ht="12.75" hidden="1" x14ac:dyDescent="0.2">
      <c r="A252" s="16"/>
      <c r="B252" s="16"/>
      <c r="C252" s="15"/>
      <c r="D252" s="16"/>
      <c r="E252" s="17"/>
      <c r="F252" s="17"/>
      <c r="H252" s="19"/>
      <c r="I252" s="47"/>
      <c r="J252" s="48"/>
      <c r="K252" s="49"/>
    </row>
    <row r="253" spans="1:11" ht="12.75" hidden="1" x14ac:dyDescent="0.2">
      <c r="A253" s="16"/>
      <c r="B253" s="16"/>
      <c r="C253" s="15"/>
      <c r="D253" s="16"/>
      <c r="E253" s="17"/>
      <c r="F253" s="17"/>
      <c r="H253" s="19"/>
      <c r="I253" s="47"/>
      <c r="J253" s="48"/>
      <c r="K253" s="49"/>
    </row>
    <row r="254" spans="1:11" ht="12.75" hidden="1" x14ac:dyDescent="0.2">
      <c r="A254" s="16"/>
      <c r="B254" s="16"/>
      <c r="C254" s="15"/>
      <c r="D254" s="16"/>
      <c r="E254" s="17"/>
      <c r="F254" s="17"/>
      <c r="H254" s="19"/>
      <c r="I254" s="47"/>
      <c r="J254" s="48"/>
      <c r="K254" s="49"/>
    </row>
    <row r="255" spans="1:11" ht="12.75" hidden="1" x14ac:dyDescent="0.2">
      <c r="A255" s="16"/>
      <c r="B255" s="16"/>
      <c r="C255" s="15"/>
      <c r="D255" s="16"/>
      <c r="E255" s="17"/>
      <c r="F255" s="17"/>
      <c r="H255" s="19"/>
      <c r="I255" s="47"/>
      <c r="J255" s="48"/>
      <c r="K255" s="49"/>
    </row>
    <row r="256" spans="1:11" ht="12.75" hidden="1" x14ac:dyDescent="0.2">
      <c r="A256" s="16"/>
      <c r="B256" s="16"/>
      <c r="C256" s="15"/>
      <c r="D256" s="16"/>
      <c r="E256" s="17"/>
      <c r="F256" s="17"/>
      <c r="H256" s="19"/>
      <c r="I256" s="47"/>
      <c r="J256" s="48"/>
      <c r="K256" s="49"/>
    </row>
    <row r="257" spans="1:11" ht="12.75" hidden="1" x14ac:dyDescent="0.2">
      <c r="A257" s="16"/>
      <c r="B257" s="16"/>
      <c r="C257" s="15"/>
      <c r="D257" s="16"/>
      <c r="E257" s="17"/>
      <c r="F257" s="17"/>
      <c r="H257" s="19"/>
      <c r="I257" s="47"/>
      <c r="J257" s="48"/>
      <c r="K257" s="49"/>
    </row>
    <row r="258" spans="1:11" ht="12.75" hidden="1" x14ac:dyDescent="0.2">
      <c r="A258" s="16"/>
      <c r="B258" s="16"/>
      <c r="C258" s="15"/>
      <c r="D258" s="16"/>
      <c r="E258" s="17"/>
      <c r="F258" s="17"/>
      <c r="H258" s="19"/>
      <c r="I258" s="47"/>
      <c r="J258" s="48"/>
      <c r="K258" s="49"/>
    </row>
    <row r="259" spans="1:11" ht="12.75" hidden="1" x14ac:dyDescent="0.2">
      <c r="A259" s="16"/>
      <c r="B259" s="16"/>
      <c r="C259" s="15"/>
      <c r="D259" s="16"/>
      <c r="E259" s="17"/>
      <c r="F259" s="17"/>
      <c r="H259" s="19"/>
      <c r="I259" s="47"/>
      <c r="J259" s="48"/>
      <c r="K259" s="49"/>
    </row>
    <row r="260" spans="1:11" ht="12.75" hidden="1" x14ac:dyDescent="0.2">
      <c r="A260" s="16"/>
      <c r="B260" s="16"/>
      <c r="C260" s="15"/>
      <c r="D260" s="16"/>
      <c r="E260" s="17"/>
      <c r="F260" s="17"/>
      <c r="H260" s="19"/>
      <c r="I260" s="47"/>
      <c r="J260" s="48"/>
      <c r="K260" s="49"/>
    </row>
    <row r="261" spans="1:11" ht="12.75" hidden="1" x14ac:dyDescent="0.2">
      <c r="A261" s="16"/>
      <c r="B261" s="16"/>
      <c r="C261" s="15"/>
      <c r="D261" s="16"/>
      <c r="E261" s="17"/>
      <c r="F261" s="17"/>
      <c r="H261" s="19"/>
      <c r="I261" s="47"/>
      <c r="J261" s="48"/>
      <c r="K261" s="49"/>
    </row>
    <row r="262" spans="1:11" ht="12.75" hidden="1" x14ac:dyDescent="0.2">
      <c r="A262" s="16"/>
      <c r="B262" s="16"/>
      <c r="C262" s="15"/>
      <c r="D262" s="16"/>
      <c r="E262" s="17"/>
      <c r="F262" s="17"/>
      <c r="H262" s="19"/>
      <c r="I262" s="47"/>
      <c r="J262" s="48"/>
      <c r="K262" s="49"/>
    </row>
    <row r="263" spans="1:11" ht="12.75" hidden="1" x14ac:dyDescent="0.2">
      <c r="A263" s="16"/>
      <c r="B263" s="16"/>
      <c r="C263" s="15"/>
      <c r="D263" s="16"/>
      <c r="E263" s="17"/>
      <c r="F263" s="17"/>
      <c r="H263" s="19"/>
      <c r="I263" s="47"/>
      <c r="J263" s="48"/>
      <c r="K263" s="49"/>
    </row>
    <row r="264" spans="1:11" ht="12.75" hidden="1" x14ac:dyDescent="0.2">
      <c r="A264" s="16"/>
      <c r="B264" s="16"/>
      <c r="C264" s="15"/>
      <c r="D264" s="16"/>
      <c r="E264" s="17"/>
      <c r="F264" s="17"/>
      <c r="H264" s="19"/>
      <c r="I264" s="47"/>
      <c r="J264" s="48"/>
      <c r="K264" s="49"/>
    </row>
    <row r="265" spans="1:11" ht="12.75" hidden="1" x14ac:dyDescent="0.2">
      <c r="A265" s="16"/>
      <c r="B265" s="16"/>
      <c r="C265" s="15"/>
      <c r="D265" s="16"/>
      <c r="E265" s="17"/>
      <c r="F265" s="17"/>
      <c r="H265" s="19"/>
      <c r="I265" s="47"/>
      <c r="J265" s="48"/>
      <c r="K265" s="49"/>
    </row>
    <row r="266" spans="1:11" ht="12.75" hidden="1" x14ac:dyDescent="0.2">
      <c r="A266" s="16"/>
      <c r="B266" s="16"/>
      <c r="C266" s="15"/>
      <c r="D266" s="16"/>
      <c r="E266" s="17"/>
      <c r="F266" s="17"/>
      <c r="H266" s="19"/>
      <c r="I266" s="47"/>
      <c r="J266" s="48"/>
      <c r="K266" s="49"/>
    </row>
    <row r="267" spans="1:11" ht="12.75" hidden="1" x14ac:dyDescent="0.2">
      <c r="A267" s="16"/>
      <c r="B267" s="16"/>
      <c r="C267" s="15"/>
      <c r="D267" s="16"/>
      <c r="E267" s="17"/>
      <c r="F267" s="17"/>
      <c r="H267" s="19"/>
      <c r="I267" s="47"/>
      <c r="J267" s="48"/>
      <c r="K267" s="49"/>
    </row>
    <row r="268" spans="1:11" ht="12.75" hidden="1" x14ac:dyDescent="0.2">
      <c r="A268" s="16"/>
      <c r="B268" s="16"/>
      <c r="C268" s="15"/>
      <c r="D268" s="16"/>
      <c r="E268" s="17"/>
      <c r="F268" s="17"/>
      <c r="H268" s="19"/>
      <c r="I268" s="47"/>
      <c r="J268" s="48"/>
      <c r="K268" s="49"/>
    </row>
    <row r="269" spans="1:11" ht="12.75" hidden="1" x14ac:dyDescent="0.2">
      <c r="A269" s="16"/>
      <c r="B269" s="16"/>
      <c r="C269" s="15"/>
      <c r="D269" s="16"/>
      <c r="E269" s="17"/>
      <c r="F269" s="17"/>
      <c r="H269" s="19"/>
      <c r="I269" s="47"/>
      <c r="J269" s="48"/>
      <c r="K269" s="49"/>
    </row>
    <row r="270" spans="1:11" ht="12.75" hidden="1" x14ac:dyDescent="0.2">
      <c r="A270" s="16"/>
      <c r="B270" s="16"/>
      <c r="C270" s="15"/>
      <c r="D270" s="16"/>
      <c r="E270" s="17"/>
      <c r="F270" s="17"/>
      <c r="H270" s="19"/>
      <c r="I270" s="47"/>
      <c r="J270" s="48"/>
      <c r="K270" s="49"/>
    </row>
    <row r="271" spans="1:11" ht="12.75" hidden="1" x14ac:dyDescent="0.2">
      <c r="A271" s="16"/>
      <c r="B271" s="16"/>
      <c r="C271" s="15"/>
      <c r="D271" s="16"/>
      <c r="E271" s="17"/>
      <c r="F271" s="17"/>
      <c r="H271" s="19"/>
      <c r="I271" s="47"/>
      <c r="J271" s="48"/>
      <c r="K271" s="49"/>
    </row>
    <row r="272" spans="1:11" ht="12.75" hidden="1" x14ac:dyDescent="0.2">
      <c r="A272" s="16"/>
      <c r="B272" s="16"/>
      <c r="C272" s="15"/>
      <c r="D272" s="16"/>
      <c r="E272" s="17"/>
      <c r="F272" s="17"/>
      <c r="H272" s="19"/>
      <c r="I272" s="47"/>
      <c r="J272" s="48"/>
      <c r="K272" s="49"/>
    </row>
    <row r="273" spans="1:11" ht="12.75" hidden="1" x14ac:dyDescent="0.2">
      <c r="A273" s="16"/>
      <c r="B273" s="16"/>
      <c r="C273" s="15"/>
      <c r="D273" s="16"/>
      <c r="E273" s="17"/>
      <c r="F273" s="17"/>
      <c r="H273" s="19"/>
      <c r="I273" s="47"/>
      <c r="J273" s="48"/>
      <c r="K273" s="49"/>
    </row>
    <row r="274" spans="1:11" ht="12.75" hidden="1" x14ac:dyDescent="0.2">
      <c r="A274" s="16"/>
      <c r="B274" s="16"/>
      <c r="C274" s="15"/>
      <c r="D274" s="16"/>
      <c r="E274" s="17"/>
      <c r="F274" s="17"/>
      <c r="H274" s="19"/>
      <c r="I274" s="47"/>
      <c r="J274" s="48"/>
      <c r="K274" s="49"/>
    </row>
    <row r="275" spans="1:11" ht="12.75" hidden="1" x14ac:dyDescent="0.2">
      <c r="A275" s="16"/>
      <c r="B275" s="16"/>
      <c r="C275" s="15"/>
      <c r="D275" s="16"/>
      <c r="E275" s="17"/>
      <c r="F275" s="17"/>
      <c r="H275" s="19"/>
      <c r="I275" s="47"/>
      <c r="J275" s="48"/>
      <c r="K275" s="49"/>
    </row>
    <row r="276" spans="1:11" ht="12.75" hidden="1" x14ac:dyDescent="0.2">
      <c r="A276" s="16"/>
      <c r="B276" s="16"/>
      <c r="C276" s="15"/>
      <c r="D276" s="16"/>
      <c r="E276" s="17"/>
      <c r="F276" s="17"/>
      <c r="H276" s="19"/>
      <c r="I276" s="47"/>
      <c r="J276" s="48"/>
      <c r="K276" s="49"/>
    </row>
    <row r="277" spans="1:11" ht="12.75" hidden="1" x14ac:dyDescent="0.2">
      <c r="A277" s="16"/>
      <c r="B277" s="16"/>
      <c r="C277" s="15"/>
      <c r="D277" s="16"/>
      <c r="E277" s="17"/>
      <c r="F277" s="17"/>
      <c r="H277" s="19"/>
      <c r="I277" s="47"/>
      <c r="J277" s="48"/>
      <c r="K277" s="49"/>
    </row>
    <row r="278" spans="1:11" ht="12.75" hidden="1" x14ac:dyDescent="0.2">
      <c r="A278" s="16"/>
      <c r="B278" s="16"/>
      <c r="C278" s="15"/>
      <c r="D278" s="16"/>
      <c r="E278" s="17"/>
      <c r="F278" s="17"/>
      <c r="H278" s="19"/>
      <c r="I278" s="47"/>
      <c r="J278" s="48"/>
      <c r="K278" s="49"/>
    </row>
    <row r="279" spans="1:11" ht="12.75" hidden="1" x14ac:dyDescent="0.2">
      <c r="A279" s="16"/>
      <c r="B279" s="16"/>
      <c r="C279" s="15"/>
      <c r="D279" s="16"/>
      <c r="E279" s="17"/>
      <c r="F279" s="17"/>
      <c r="H279" s="19"/>
      <c r="I279" s="47"/>
      <c r="J279" s="48"/>
      <c r="K279" s="49"/>
    </row>
    <row r="280" spans="1:11" ht="12.75" hidden="1" x14ac:dyDescent="0.2">
      <c r="A280" s="16"/>
      <c r="B280" s="16"/>
      <c r="C280" s="15"/>
      <c r="D280" s="16"/>
      <c r="E280" s="17"/>
      <c r="F280" s="17"/>
      <c r="H280" s="19"/>
      <c r="I280" s="47"/>
      <c r="J280" s="48"/>
      <c r="K280" s="49"/>
    </row>
    <row r="281" spans="1:11" ht="12.75" hidden="1" x14ac:dyDescent="0.2">
      <c r="A281" s="16"/>
      <c r="B281" s="16"/>
      <c r="C281" s="15"/>
      <c r="D281" s="16"/>
      <c r="E281" s="17"/>
      <c r="F281" s="17"/>
      <c r="H281" s="19"/>
      <c r="I281" s="47"/>
      <c r="J281" s="48"/>
      <c r="K281" s="49"/>
    </row>
    <row r="282" spans="1:11" ht="12.75" hidden="1" x14ac:dyDescent="0.2">
      <c r="A282" s="16"/>
      <c r="B282" s="16"/>
      <c r="C282" s="15"/>
      <c r="D282" s="16"/>
      <c r="E282" s="17"/>
      <c r="F282" s="17"/>
      <c r="H282" s="19"/>
      <c r="I282" s="47"/>
      <c r="J282" s="48"/>
      <c r="K282" s="49"/>
    </row>
    <row r="283" spans="1:11" ht="12.75" hidden="1" x14ac:dyDescent="0.2">
      <c r="A283" s="16"/>
      <c r="B283" s="16"/>
      <c r="C283" s="15"/>
      <c r="D283" s="16"/>
      <c r="E283" s="17"/>
      <c r="F283" s="17"/>
      <c r="H283" s="19"/>
      <c r="I283" s="47"/>
      <c r="J283" s="48"/>
      <c r="K283" s="49"/>
    </row>
    <row r="284" spans="1:11" ht="12.75" hidden="1" x14ac:dyDescent="0.2">
      <c r="A284" s="16"/>
      <c r="B284" s="16"/>
      <c r="C284" s="15"/>
      <c r="D284" s="16"/>
      <c r="E284" s="17"/>
      <c r="F284" s="17"/>
      <c r="H284" s="19"/>
      <c r="I284" s="47"/>
      <c r="J284" s="48"/>
      <c r="K284" s="49"/>
    </row>
    <row r="285" spans="1:11" ht="12.75" hidden="1" x14ac:dyDescent="0.2">
      <c r="A285" s="16"/>
      <c r="B285" s="16"/>
      <c r="C285" s="15"/>
      <c r="D285" s="16"/>
      <c r="E285" s="17"/>
      <c r="F285" s="17"/>
      <c r="H285" s="19"/>
      <c r="I285" s="47"/>
      <c r="J285" s="48"/>
      <c r="K285" s="49"/>
    </row>
    <row r="286" spans="1:11" ht="12.75" hidden="1" x14ac:dyDescent="0.2">
      <c r="A286" s="16"/>
      <c r="B286" s="16"/>
      <c r="C286" s="15"/>
      <c r="D286" s="16"/>
      <c r="E286" s="17"/>
      <c r="F286" s="17"/>
      <c r="H286" s="19"/>
      <c r="I286" s="47"/>
      <c r="J286" s="48"/>
      <c r="K286" s="49"/>
    </row>
    <row r="287" spans="1:11" ht="12.75" hidden="1" x14ac:dyDescent="0.2">
      <c r="A287" s="16"/>
      <c r="B287" s="16"/>
      <c r="C287" s="15"/>
      <c r="D287" s="16"/>
      <c r="E287" s="17"/>
      <c r="F287" s="17"/>
      <c r="H287" s="19"/>
      <c r="I287" s="47"/>
      <c r="J287" s="48"/>
      <c r="K287" s="49"/>
    </row>
    <row r="288" spans="1:11" ht="12.75" hidden="1" x14ac:dyDescent="0.2">
      <c r="A288" s="16"/>
      <c r="B288" s="16"/>
      <c r="C288" s="15"/>
      <c r="D288" s="16"/>
      <c r="E288" s="17"/>
      <c r="F288" s="17"/>
      <c r="H288" s="19"/>
      <c r="I288" s="47"/>
      <c r="J288" s="48"/>
      <c r="K288" s="49"/>
    </row>
    <row r="289" spans="1:11" ht="12.75" hidden="1" x14ac:dyDescent="0.2">
      <c r="A289" s="16"/>
      <c r="B289" s="16"/>
      <c r="C289" s="15"/>
      <c r="D289" s="16"/>
      <c r="E289" s="17"/>
      <c r="F289" s="17"/>
      <c r="H289" s="19"/>
      <c r="I289" s="47"/>
      <c r="J289" s="48"/>
      <c r="K289" s="49"/>
    </row>
    <row r="290" spans="1:11" ht="12.75" hidden="1" x14ac:dyDescent="0.2">
      <c r="A290" s="16"/>
      <c r="B290" s="16"/>
      <c r="C290" s="15"/>
      <c r="D290" s="16"/>
      <c r="E290" s="17"/>
      <c r="F290" s="17"/>
      <c r="H290" s="19"/>
      <c r="I290" s="47"/>
      <c r="J290" s="48"/>
      <c r="K290" s="49"/>
    </row>
    <row r="291" spans="1:11" ht="12.75" hidden="1" x14ac:dyDescent="0.2">
      <c r="A291" s="16"/>
      <c r="B291" s="16"/>
      <c r="C291" s="15"/>
      <c r="D291" s="16"/>
      <c r="E291" s="17"/>
      <c r="F291" s="17"/>
      <c r="H291" s="19"/>
      <c r="I291" s="47"/>
      <c r="J291" s="48"/>
      <c r="K291" s="49"/>
    </row>
    <row r="292" spans="1:11" ht="12.75" hidden="1" x14ac:dyDescent="0.2">
      <c r="A292" s="16"/>
      <c r="B292" s="16"/>
      <c r="C292" s="15"/>
      <c r="D292" s="16"/>
      <c r="E292" s="17"/>
      <c r="F292" s="17"/>
      <c r="H292" s="19"/>
      <c r="I292" s="47"/>
      <c r="J292" s="48"/>
      <c r="K292" s="49"/>
    </row>
    <row r="293" spans="1:11" ht="12.75" hidden="1" x14ac:dyDescent="0.2">
      <c r="A293" s="16"/>
      <c r="B293" s="16"/>
      <c r="C293" s="15"/>
      <c r="D293" s="16"/>
      <c r="E293" s="17"/>
      <c r="F293" s="17"/>
      <c r="H293" s="19"/>
      <c r="I293" s="47"/>
      <c r="J293" s="48"/>
      <c r="K293" s="49"/>
    </row>
    <row r="294" spans="1:11" ht="12.75" hidden="1" x14ac:dyDescent="0.2">
      <c r="A294" s="16"/>
      <c r="B294" s="16"/>
      <c r="C294" s="15"/>
      <c r="D294" s="16"/>
      <c r="E294" s="17"/>
      <c r="F294" s="17"/>
      <c r="H294" s="19"/>
      <c r="I294" s="47"/>
      <c r="J294" s="48"/>
      <c r="K294" s="49"/>
    </row>
    <row r="295" spans="1:11" ht="12.75" hidden="1" x14ac:dyDescent="0.2">
      <c r="A295" s="16"/>
      <c r="B295" s="16"/>
      <c r="C295" s="15"/>
      <c r="D295" s="16"/>
      <c r="E295" s="17"/>
      <c r="F295" s="17"/>
      <c r="H295" s="19"/>
      <c r="I295" s="47"/>
      <c r="J295" s="48"/>
      <c r="K295" s="49"/>
    </row>
    <row r="296" spans="1:11" ht="12.75" hidden="1" x14ac:dyDescent="0.2">
      <c r="A296" s="16"/>
      <c r="B296" s="16"/>
      <c r="C296" s="15"/>
      <c r="D296" s="16"/>
      <c r="E296" s="17"/>
      <c r="F296" s="17"/>
      <c r="H296" s="19"/>
      <c r="I296" s="47"/>
      <c r="J296" s="48"/>
      <c r="K296" s="49"/>
    </row>
    <row r="297" spans="1:11" ht="12.75" hidden="1" x14ac:dyDescent="0.2">
      <c r="A297" s="16"/>
      <c r="B297" s="16"/>
      <c r="C297" s="15"/>
      <c r="D297" s="16"/>
      <c r="E297" s="17"/>
      <c r="F297" s="17"/>
      <c r="H297" s="19"/>
      <c r="I297" s="47"/>
      <c r="J297" s="48"/>
      <c r="K297" s="49"/>
    </row>
    <row r="298" spans="1:11" ht="12.75" hidden="1" x14ac:dyDescent="0.2">
      <c r="A298" s="16"/>
      <c r="B298" s="16"/>
      <c r="C298" s="15"/>
      <c r="D298" s="16"/>
      <c r="E298" s="17"/>
      <c r="F298" s="17"/>
      <c r="H298" s="19"/>
      <c r="I298" s="47"/>
      <c r="J298" s="48"/>
      <c r="K298" s="49"/>
    </row>
    <row r="299" spans="1:11" ht="12.75" hidden="1" x14ac:dyDescent="0.2">
      <c r="A299" s="16"/>
      <c r="B299" s="16"/>
      <c r="C299" s="15"/>
      <c r="D299" s="16"/>
      <c r="E299" s="17"/>
      <c r="F299" s="17"/>
      <c r="H299" s="19"/>
      <c r="I299" s="47"/>
      <c r="J299" s="48"/>
      <c r="K299" s="49"/>
    </row>
    <row r="300" spans="1:11" ht="12.75" hidden="1" x14ac:dyDescent="0.2">
      <c r="A300" s="16"/>
      <c r="B300" s="16"/>
      <c r="C300" s="15"/>
      <c r="D300" s="16"/>
      <c r="E300" s="17"/>
      <c r="F300" s="17"/>
      <c r="H300" s="19"/>
      <c r="I300" s="47"/>
      <c r="J300" s="48"/>
      <c r="K300" s="49"/>
    </row>
    <row r="301" spans="1:11" ht="12.75" hidden="1" x14ac:dyDescent="0.2">
      <c r="A301" s="16"/>
      <c r="B301" s="16"/>
      <c r="C301" s="15"/>
      <c r="D301" s="16"/>
      <c r="E301" s="17"/>
      <c r="F301" s="17"/>
      <c r="H301" s="19"/>
      <c r="I301" s="47"/>
      <c r="J301" s="48"/>
      <c r="K301" s="49"/>
    </row>
    <row r="302" spans="1:11" ht="12.75" hidden="1" x14ac:dyDescent="0.2">
      <c r="A302" s="16"/>
      <c r="B302" s="16"/>
      <c r="C302" s="15"/>
      <c r="D302" s="16"/>
      <c r="E302" s="17"/>
      <c r="F302" s="17"/>
      <c r="H302" s="19"/>
      <c r="I302" s="47"/>
      <c r="J302" s="48"/>
      <c r="K302" s="49"/>
    </row>
    <row r="303" spans="1:11" ht="12.75" hidden="1" x14ac:dyDescent="0.2">
      <c r="A303" s="16"/>
      <c r="B303" s="16"/>
      <c r="C303" s="15"/>
      <c r="D303" s="16"/>
      <c r="E303" s="17"/>
      <c r="F303" s="17"/>
      <c r="H303" s="19"/>
      <c r="I303" s="47"/>
      <c r="J303" s="48"/>
      <c r="K303" s="49"/>
    </row>
    <row r="304" spans="1:11" ht="12.75" hidden="1" x14ac:dyDescent="0.2">
      <c r="A304" s="16"/>
      <c r="B304" s="16"/>
      <c r="C304" s="15"/>
      <c r="D304" s="16"/>
      <c r="E304" s="17"/>
      <c r="F304" s="17"/>
      <c r="H304" s="19"/>
      <c r="I304" s="47"/>
      <c r="J304" s="48"/>
      <c r="K304" s="49"/>
    </row>
    <row r="305" spans="1:11" ht="12.75" hidden="1" x14ac:dyDescent="0.2">
      <c r="A305" s="16"/>
      <c r="B305" s="16"/>
      <c r="C305" s="15"/>
      <c r="D305" s="16"/>
      <c r="E305" s="17"/>
      <c r="F305" s="17"/>
      <c r="H305" s="19"/>
      <c r="I305" s="47"/>
      <c r="J305" s="48"/>
      <c r="K305" s="49"/>
    </row>
    <row r="306" spans="1:11" ht="12.75" hidden="1" x14ac:dyDescent="0.2">
      <c r="A306" s="16"/>
      <c r="B306" s="16"/>
      <c r="C306" s="15"/>
      <c r="D306" s="16"/>
      <c r="E306" s="17"/>
      <c r="F306" s="17"/>
      <c r="H306" s="19"/>
      <c r="I306" s="47"/>
      <c r="J306" s="48"/>
      <c r="K306" s="49"/>
    </row>
    <row r="307" spans="1:11" ht="12.75" hidden="1" x14ac:dyDescent="0.2">
      <c r="A307" s="16"/>
      <c r="B307" s="16"/>
      <c r="C307" s="15"/>
      <c r="D307" s="16"/>
      <c r="E307" s="17"/>
      <c r="F307" s="17"/>
      <c r="H307" s="19"/>
      <c r="I307" s="47"/>
      <c r="J307" s="48"/>
      <c r="K307" s="49"/>
    </row>
    <row r="308" spans="1:11" ht="12.75" hidden="1" x14ac:dyDescent="0.2">
      <c r="A308" s="16"/>
      <c r="B308" s="16"/>
      <c r="C308" s="15"/>
      <c r="D308" s="16"/>
      <c r="E308" s="17"/>
      <c r="F308" s="17"/>
      <c r="H308" s="19"/>
      <c r="I308" s="47"/>
      <c r="J308" s="48"/>
      <c r="K308" s="49"/>
    </row>
    <row r="309" spans="1:11" ht="12.75" hidden="1" x14ac:dyDescent="0.2">
      <c r="A309" s="16"/>
      <c r="B309" s="16"/>
      <c r="C309" s="15"/>
      <c r="D309" s="16"/>
      <c r="E309" s="17"/>
      <c r="F309" s="17"/>
      <c r="H309" s="19"/>
      <c r="I309" s="47"/>
      <c r="J309" s="48"/>
      <c r="K309" s="49"/>
    </row>
    <row r="310" spans="1:11" ht="12.75" hidden="1" x14ac:dyDescent="0.2">
      <c r="A310" s="16"/>
      <c r="B310" s="16"/>
      <c r="C310" s="15"/>
      <c r="D310" s="16"/>
      <c r="E310" s="17"/>
      <c r="F310" s="17"/>
      <c r="H310" s="19"/>
      <c r="I310" s="47"/>
      <c r="J310" s="48"/>
      <c r="K310" s="49"/>
    </row>
    <row r="311" spans="1:11" ht="12.75" hidden="1" x14ac:dyDescent="0.2">
      <c r="A311" s="16"/>
      <c r="B311" s="16"/>
      <c r="C311" s="15"/>
      <c r="D311" s="16"/>
      <c r="E311" s="17"/>
      <c r="F311" s="17"/>
      <c r="H311" s="19"/>
      <c r="I311" s="47"/>
      <c r="J311" s="48"/>
      <c r="K311" s="49"/>
    </row>
    <row r="312" spans="1:11" ht="12.75" hidden="1" x14ac:dyDescent="0.2">
      <c r="A312" s="16"/>
      <c r="B312" s="16"/>
      <c r="C312" s="15"/>
      <c r="D312" s="16"/>
      <c r="E312" s="17"/>
      <c r="F312" s="17"/>
      <c r="H312" s="19"/>
      <c r="I312" s="47"/>
      <c r="J312" s="48"/>
      <c r="K312" s="49"/>
    </row>
    <row r="313" spans="1:11" ht="12.75" hidden="1" x14ac:dyDescent="0.2">
      <c r="A313" s="16"/>
      <c r="B313" s="16"/>
      <c r="C313" s="15"/>
      <c r="D313" s="16"/>
      <c r="E313" s="17"/>
      <c r="F313" s="17"/>
      <c r="H313" s="19"/>
      <c r="I313" s="47"/>
      <c r="J313" s="48"/>
      <c r="K313" s="49"/>
    </row>
    <row r="314" spans="1:11" ht="12.75" hidden="1" x14ac:dyDescent="0.2">
      <c r="A314" s="16"/>
      <c r="B314" s="16"/>
      <c r="C314" s="15"/>
      <c r="D314" s="16"/>
      <c r="E314" s="17"/>
      <c r="F314" s="17"/>
      <c r="H314" s="19"/>
      <c r="I314" s="47"/>
      <c r="J314" s="48"/>
      <c r="K314" s="49"/>
    </row>
    <row r="315" spans="1:11" ht="12.75" hidden="1" x14ac:dyDescent="0.2">
      <c r="A315" s="16"/>
      <c r="B315" s="16"/>
      <c r="C315" s="15"/>
      <c r="D315" s="16"/>
      <c r="E315" s="17"/>
      <c r="F315" s="17"/>
      <c r="H315" s="19"/>
      <c r="I315" s="47"/>
      <c r="J315" s="48"/>
      <c r="K315" s="49"/>
    </row>
    <row r="316" spans="1:11" ht="12.75" hidden="1" x14ac:dyDescent="0.2">
      <c r="A316" s="16"/>
      <c r="B316" s="16"/>
      <c r="C316" s="15"/>
      <c r="D316" s="16"/>
      <c r="E316" s="17"/>
      <c r="F316" s="17"/>
      <c r="H316" s="19"/>
      <c r="I316" s="47"/>
      <c r="J316" s="48"/>
      <c r="K316" s="49"/>
    </row>
    <row r="317" spans="1:11" ht="12.75" hidden="1" x14ac:dyDescent="0.2">
      <c r="A317" s="16"/>
      <c r="B317" s="16"/>
      <c r="C317" s="15"/>
      <c r="D317" s="16"/>
      <c r="E317" s="17"/>
      <c r="F317" s="17"/>
      <c r="H317" s="19"/>
      <c r="I317" s="47"/>
      <c r="J317" s="48"/>
      <c r="K317" s="49"/>
    </row>
    <row r="318" spans="1:11" ht="12.75" hidden="1" x14ac:dyDescent="0.2">
      <c r="A318" s="16"/>
      <c r="B318" s="16"/>
      <c r="C318" s="15"/>
      <c r="D318" s="16"/>
      <c r="E318" s="17"/>
      <c r="F318" s="17"/>
      <c r="H318" s="19"/>
      <c r="I318" s="47"/>
      <c r="J318" s="48"/>
      <c r="K318" s="49"/>
    </row>
    <row r="319" spans="1:11" ht="12.75" hidden="1" x14ac:dyDescent="0.2">
      <c r="A319" s="16"/>
      <c r="B319" s="16"/>
      <c r="C319" s="15"/>
      <c r="D319" s="16"/>
      <c r="E319" s="17"/>
      <c r="F319" s="17"/>
      <c r="H319" s="19"/>
      <c r="I319" s="47"/>
      <c r="J319" s="48"/>
      <c r="K319" s="49"/>
    </row>
    <row r="320" spans="1:11" ht="12.75" hidden="1" x14ac:dyDescent="0.2">
      <c r="A320" s="16"/>
      <c r="B320" s="16"/>
      <c r="C320" s="15"/>
      <c r="D320" s="16"/>
      <c r="E320" s="17"/>
      <c r="F320" s="17"/>
      <c r="H320" s="19"/>
      <c r="I320" s="47"/>
      <c r="J320" s="48"/>
      <c r="K320" s="49"/>
    </row>
    <row r="321" spans="1:11" ht="12.75" hidden="1" x14ac:dyDescent="0.2">
      <c r="A321" s="16"/>
      <c r="B321" s="16"/>
      <c r="C321" s="15"/>
      <c r="D321" s="16"/>
      <c r="E321" s="17"/>
      <c r="F321" s="17"/>
      <c r="H321" s="19"/>
      <c r="I321" s="47"/>
      <c r="J321" s="48"/>
      <c r="K321" s="49"/>
    </row>
    <row r="322" spans="1:11" ht="12.75" hidden="1" x14ac:dyDescent="0.2">
      <c r="A322" s="16"/>
      <c r="B322" s="16"/>
      <c r="C322" s="15"/>
      <c r="D322" s="16"/>
      <c r="E322" s="17"/>
      <c r="F322" s="17"/>
      <c r="H322" s="19"/>
      <c r="I322" s="47"/>
      <c r="J322" s="48"/>
      <c r="K322" s="49"/>
    </row>
    <row r="323" spans="1:11" ht="12.75" hidden="1" x14ac:dyDescent="0.2">
      <c r="A323" s="16"/>
      <c r="B323" s="16"/>
      <c r="C323" s="15"/>
      <c r="D323" s="16"/>
      <c r="E323" s="17"/>
      <c r="F323" s="17"/>
      <c r="H323" s="19"/>
      <c r="I323" s="47"/>
      <c r="J323" s="48"/>
      <c r="K323" s="49"/>
    </row>
    <row r="324" spans="1:11" ht="12.75" hidden="1" x14ac:dyDescent="0.2">
      <c r="A324" s="16"/>
      <c r="B324" s="16"/>
      <c r="C324" s="15"/>
      <c r="D324" s="16"/>
      <c r="E324" s="17"/>
      <c r="F324" s="17"/>
      <c r="H324" s="19"/>
      <c r="I324" s="47"/>
      <c r="J324" s="48"/>
      <c r="K324" s="49"/>
    </row>
    <row r="325" spans="1:11" ht="12.75" hidden="1" x14ac:dyDescent="0.2">
      <c r="A325" s="16"/>
      <c r="B325" s="16"/>
      <c r="C325" s="15"/>
      <c r="D325" s="16"/>
      <c r="E325" s="17"/>
      <c r="F325" s="17"/>
      <c r="H325" s="19"/>
      <c r="I325" s="47"/>
      <c r="J325" s="48"/>
      <c r="K325" s="49"/>
    </row>
    <row r="326" spans="1:11" ht="12.75" hidden="1" x14ac:dyDescent="0.2">
      <c r="A326" s="16"/>
      <c r="B326" s="16"/>
      <c r="C326" s="15"/>
      <c r="D326" s="16"/>
      <c r="E326" s="17"/>
      <c r="F326" s="17"/>
      <c r="H326" s="19"/>
      <c r="I326" s="47"/>
      <c r="J326" s="48"/>
      <c r="K326" s="49"/>
    </row>
    <row r="327" spans="1:11" ht="12.75" hidden="1" x14ac:dyDescent="0.2">
      <c r="A327" s="16"/>
      <c r="B327" s="16"/>
      <c r="C327" s="15"/>
      <c r="D327" s="16"/>
      <c r="E327" s="17"/>
      <c r="F327" s="17"/>
      <c r="H327" s="19"/>
      <c r="I327" s="47"/>
      <c r="J327" s="48"/>
      <c r="K327" s="49"/>
    </row>
    <row r="328" spans="1:11" ht="12.75" hidden="1" x14ac:dyDescent="0.2">
      <c r="A328" s="16"/>
      <c r="B328" s="16"/>
      <c r="C328" s="15"/>
      <c r="D328" s="16"/>
      <c r="E328" s="17"/>
      <c r="F328" s="17"/>
      <c r="H328" s="19"/>
      <c r="I328" s="47"/>
      <c r="J328" s="48"/>
      <c r="K328" s="49"/>
    </row>
    <row r="329" spans="1:11" ht="12.75" hidden="1" x14ac:dyDescent="0.2">
      <c r="A329" s="16"/>
      <c r="B329" s="16"/>
      <c r="C329" s="15"/>
      <c r="D329" s="16"/>
      <c r="E329" s="17"/>
      <c r="F329" s="17"/>
      <c r="H329" s="19"/>
      <c r="I329" s="47"/>
      <c r="J329" s="48"/>
      <c r="K329" s="49"/>
    </row>
    <row r="330" spans="1:11" ht="12.75" hidden="1" x14ac:dyDescent="0.2">
      <c r="A330" s="16"/>
      <c r="B330" s="16"/>
      <c r="C330" s="15"/>
      <c r="D330" s="16"/>
      <c r="E330" s="17"/>
      <c r="F330" s="17"/>
      <c r="H330" s="19"/>
      <c r="I330" s="47"/>
      <c r="J330" s="48"/>
      <c r="K330" s="49"/>
    </row>
    <row r="331" spans="1:11" ht="12.75" hidden="1" x14ac:dyDescent="0.2">
      <c r="A331" s="16"/>
      <c r="B331" s="16"/>
      <c r="C331" s="15"/>
      <c r="D331" s="16"/>
      <c r="E331" s="17"/>
      <c r="F331" s="17"/>
      <c r="H331" s="19"/>
      <c r="I331" s="47"/>
      <c r="J331" s="48"/>
      <c r="K331" s="49"/>
    </row>
    <row r="332" spans="1:11" ht="12.75" hidden="1" x14ac:dyDescent="0.2">
      <c r="A332" s="16"/>
      <c r="B332" s="16"/>
      <c r="C332" s="15"/>
      <c r="D332" s="16"/>
      <c r="E332" s="17"/>
      <c r="F332" s="17"/>
      <c r="H332" s="19"/>
      <c r="I332" s="47"/>
      <c r="J332" s="48"/>
      <c r="K332" s="49"/>
    </row>
    <row r="333" spans="1:11" ht="12.75" hidden="1" x14ac:dyDescent="0.2">
      <c r="A333" s="16"/>
      <c r="B333" s="16"/>
      <c r="C333" s="15"/>
      <c r="D333" s="16"/>
      <c r="E333" s="17"/>
      <c r="F333" s="17"/>
      <c r="H333" s="19"/>
      <c r="I333" s="47"/>
      <c r="J333" s="48"/>
      <c r="K333" s="49"/>
    </row>
    <row r="334" spans="1:11" ht="12.75" hidden="1" x14ac:dyDescent="0.2">
      <c r="A334" s="16"/>
      <c r="B334" s="16"/>
      <c r="C334" s="15"/>
      <c r="D334" s="16"/>
      <c r="E334" s="17"/>
      <c r="F334" s="17"/>
      <c r="H334" s="19"/>
      <c r="I334" s="47"/>
      <c r="J334" s="48"/>
      <c r="K334" s="49"/>
    </row>
    <row r="335" spans="1:11" ht="12.75" hidden="1" x14ac:dyDescent="0.2">
      <c r="A335" s="16"/>
      <c r="B335" s="16"/>
      <c r="C335" s="15"/>
      <c r="D335" s="16"/>
      <c r="E335" s="17"/>
      <c r="F335" s="17"/>
      <c r="H335" s="19"/>
      <c r="I335" s="47"/>
      <c r="J335" s="48"/>
      <c r="K335" s="49"/>
    </row>
    <row r="336" spans="1:11" ht="12.75" hidden="1" x14ac:dyDescent="0.2">
      <c r="A336" s="16"/>
      <c r="B336" s="16"/>
      <c r="C336" s="15"/>
      <c r="D336" s="16"/>
      <c r="E336" s="17"/>
      <c r="F336" s="17"/>
      <c r="H336" s="19"/>
      <c r="I336" s="47"/>
      <c r="J336" s="48"/>
      <c r="K336" s="49"/>
    </row>
    <row r="337" spans="1:11" ht="12.75" hidden="1" x14ac:dyDescent="0.2">
      <c r="A337" s="16"/>
      <c r="B337" s="16"/>
      <c r="C337" s="15"/>
      <c r="D337" s="16"/>
      <c r="E337" s="17"/>
      <c r="F337" s="17"/>
      <c r="H337" s="19"/>
      <c r="I337" s="47"/>
      <c r="J337" s="48"/>
      <c r="K337" s="49"/>
    </row>
    <row r="338" spans="1:11" ht="12.75" hidden="1" x14ac:dyDescent="0.2">
      <c r="A338" s="16"/>
      <c r="B338" s="16"/>
      <c r="C338" s="15"/>
      <c r="D338" s="16"/>
      <c r="E338" s="17"/>
      <c r="F338" s="17"/>
      <c r="H338" s="19"/>
      <c r="I338" s="47"/>
      <c r="J338" s="48"/>
      <c r="K338" s="49"/>
    </row>
    <row r="339" spans="1:11" ht="12.75" hidden="1" x14ac:dyDescent="0.2">
      <c r="A339" s="16"/>
      <c r="B339" s="16"/>
      <c r="C339" s="15"/>
      <c r="D339" s="16"/>
      <c r="E339" s="17"/>
      <c r="F339" s="17"/>
      <c r="H339" s="19"/>
      <c r="I339" s="47"/>
      <c r="J339" s="48"/>
      <c r="K339" s="49"/>
    </row>
    <row r="340" spans="1:11" ht="12.75" hidden="1" x14ac:dyDescent="0.2">
      <c r="A340" s="16"/>
      <c r="B340" s="16"/>
      <c r="C340" s="15"/>
      <c r="D340" s="16"/>
      <c r="E340" s="17"/>
      <c r="F340" s="17"/>
      <c r="H340" s="19"/>
      <c r="I340" s="47"/>
      <c r="J340" s="48"/>
      <c r="K340" s="49"/>
    </row>
    <row r="341" spans="1:11" ht="12.75" hidden="1" x14ac:dyDescent="0.2">
      <c r="A341" s="16"/>
      <c r="B341" s="16"/>
      <c r="C341" s="15"/>
      <c r="D341" s="16"/>
      <c r="E341" s="17"/>
      <c r="F341" s="17"/>
      <c r="H341" s="19"/>
      <c r="I341" s="47"/>
      <c r="J341" s="48"/>
      <c r="K341" s="49"/>
    </row>
    <row r="342" spans="1:11" ht="12.75" hidden="1" x14ac:dyDescent="0.2">
      <c r="A342" s="16"/>
      <c r="B342" s="16"/>
      <c r="C342" s="15"/>
      <c r="D342" s="16"/>
      <c r="E342" s="17"/>
      <c r="F342" s="17"/>
      <c r="H342" s="19"/>
      <c r="I342" s="47"/>
      <c r="J342" s="48"/>
      <c r="K342" s="49"/>
    </row>
    <row r="343" spans="1:11" ht="12.75" hidden="1" x14ac:dyDescent="0.2">
      <c r="A343" s="16"/>
      <c r="B343" s="16"/>
      <c r="C343" s="15"/>
      <c r="D343" s="16"/>
      <c r="E343" s="17"/>
      <c r="F343" s="17"/>
      <c r="H343" s="19"/>
      <c r="I343" s="47"/>
      <c r="J343" s="48"/>
      <c r="K343" s="49"/>
    </row>
    <row r="344" spans="1:11" ht="12.75" hidden="1" x14ac:dyDescent="0.2">
      <c r="A344" s="16"/>
      <c r="B344" s="16"/>
      <c r="C344" s="15"/>
      <c r="D344" s="16"/>
      <c r="E344" s="17"/>
      <c r="F344" s="17"/>
      <c r="H344" s="19"/>
      <c r="I344" s="47"/>
      <c r="J344" s="48"/>
      <c r="K344" s="49"/>
    </row>
    <row r="345" spans="1:11" ht="12.75" hidden="1" x14ac:dyDescent="0.2">
      <c r="A345" s="16"/>
      <c r="B345" s="16"/>
      <c r="C345" s="15"/>
      <c r="D345" s="16"/>
      <c r="E345" s="17"/>
      <c r="F345" s="17"/>
      <c r="H345" s="19"/>
      <c r="I345" s="47"/>
      <c r="J345" s="48"/>
      <c r="K345" s="49"/>
    </row>
    <row r="346" spans="1:11" ht="12.75" hidden="1" x14ac:dyDescent="0.2">
      <c r="A346" s="16"/>
      <c r="B346" s="16"/>
      <c r="C346" s="15"/>
      <c r="D346" s="16"/>
      <c r="E346" s="17"/>
      <c r="F346" s="17"/>
      <c r="H346" s="19"/>
      <c r="I346" s="47"/>
      <c r="J346" s="48"/>
      <c r="K346" s="49"/>
    </row>
    <row r="347" spans="1:11" ht="12.75" hidden="1" x14ac:dyDescent="0.2">
      <c r="A347" s="16"/>
      <c r="B347" s="16"/>
      <c r="C347" s="15"/>
      <c r="D347" s="16"/>
      <c r="E347" s="17"/>
      <c r="F347" s="17"/>
      <c r="H347" s="19"/>
      <c r="I347" s="47"/>
      <c r="J347" s="48"/>
      <c r="K347" s="49"/>
    </row>
    <row r="348" spans="1:11" ht="12.75" hidden="1" x14ac:dyDescent="0.2">
      <c r="A348" s="16"/>
      <c r="B348" s="16"/>
      <c r="C348" s="15"/>
      <c r="D348" s="16"/>
      <c r="E348" s="17"/>
      <c r="F348" s="17"/>
      <c r="H348" s="19"/>
      <c r="I348" s="47"/>
      <c r="J348" s="48"/>
      <c r="K348" s="49"/>
    </row>
    <row r="349" spans="1:11" ht="12.75" hidden="1" x14ac:dyDescent="0.2">
      <c r="A349" s="16"/>
      <c r="B349" s="16"/>
      <c r="C349" s="15"/>
      <c r="D349" s="16"/>
      <c r="E349" s="17"/>
      <c r="F349" s="17"/>
      <c r="H349" s="19"/>
      <c r="I349" s="47"/>
      <c r="J349" s="48"/>
      <c r="K349" s="49"/>
    </row>
    <row r="350" spans="1:11" ht="12.75" hidden="1" x14ac:dyDescent="0.2">
      <c r="A350" s="16"/>
      <c r="B350" s="16"/>
      <c r="C350" s="15"/>
      <c r="D350" s="16"/>
      <c r="E350" s="17"/>
      <c r="F350" s="17"/>
      <c r="H350" s="19"/>
      <c r="I350" s="47"/>
      <c r="J350" s="48"/>
      <c r="K350" s="49"/>
    </row>
    <row r="351" spans="1:11" ht="12.75" hidden="1" x14ac:dyDescent="0.2">
      <c r="A351" s="16"/>
      <c r="B351" s="16"/>
      <c r="C351" s="15"/>
      <c r="D351" s="16"/>
      <c r="E351" s="17"/>
      <c r="F351" s="17"/>
      <c r="H351" s="19"/>
      <c r="I351" s="47"/>
      <c r="J351" s="48"/>
      <c r="K351" s="49"/>
    </row>
    <row r="352" spans="1:11" ht="12.75" hidden="1" x14ac:dyDescent="0.2">
      <c r="A352" s="16"/>
      <c r="B352" s="16"/>
      <c r="C352" s="15"/>
      <c r="D352" s="16"/>
      <c r="E352" s="17"/>
      <c r="F352" s="17"/>
      <c r="H352" s="19"/>
      <c r="I352" s="47"/>
      <c r="J352" s="48"/>
      <c r="K352" s="49"/>
    </row>
    <row r="353" spans="1:11" ht="12.75" hidden="1" x14ac:dyDescent="0.2">
      <c r="A353" s="16"/>
      <c r="B353" s="16"/>
      <c r="C353" s="15"/>
      <c r="D353" s="16"/>
      <c r="E353" s="17"/>
      <c r="F353" s="17"/>
      <c r="H353" s="19"/>
      <c r="I353" s="47"/>
      <c r="J353" s="48"/>
      <c r="K353" s="49"/>
    </row>
    <row r="354" spans="1:11" ht="12.75" hidden="1" x14ac:dyDescent="0.2">
      <c r="A354" s="16"/>
      <c r="B354" s="16"/>
      <c r="C354" s="15"/>
      <c r="D354" s="16"/>
      <c r="E354" s="17"/>
      <c r="F354" s="17"/>
      <c r="H354" s="19"/>
      <c r="I354" s="47"/>
      <c r="J354" s="48"/>
      <c r="K354" s="49"/>
    </row>
    <row r="355" spans="1:11" ht="12.75" hidden="1" x14ac:dyDescent="0.2">
      <c r="A355" s="16"/>
      <c r="B355" s="16"/>
      <c r="C355" s="15"/>
      <c r="D355" s="16"/>
      <c r="E355" s="17"/>
      <c r="F355" s="17"/>
      <c r="H355" s="19"/>
      <c r="I355" s="47"/>
      <c r="J355" s="48"/>
      <c r="K355" s="49"/>
    </row>
    <row r="356" spans="1:11" ht="12.75" hidden="1" x14ac:dyDescent="0.2">
      <c r="A356" s="16"/>
      <c r="B356" s="16"/>
      <c r="C356" s="15"/>
      <c r="D356" s="16"/>
      <c r="E356" s="17"/>
      <c r="F356" s="17"/>
      <c r="H356" s="19"/>
      <c r="I356" s="47"/>
      <c r="J356" s="48"/>
      <c r="K356" s="49"/>
    </row>
    <row r="357" spans="1:11" ht="12.75" hidden="1" x14ac:dyDescent="0.2">
      <c r="A357" s="16"/>
      <c r="B357" s="16"/>
      <c r="C357" s="15"/>
      <c r="D357" s="16"/>
      <c r="E357" s="17"/>
      <c r="F357" s="17"/>
      <c r="H357" s="19"/>
      <c r="I357" s="47"/>
      <c r="J357" s="48"/>
      <c r="K357" s="49"/>
    </row>
    <row r="358" spans="1:11" ht="12.75" hidden="1" x14ac:dyDescent="0.2">
      <c r="A358" s="16"/>
      <c r="B358" s="16"/>
      <c r="C358" s="15"/>
      <c r="D358" s="16"/>
      <c r="E358" s="17"/>
      <c r="F358" s="17"/>
      <c r="H358" s="19"/>
      <c r="I358" s="47"/>
      <c r="J358" s="48"/>
      <c r="K358" s="49"/>
    </row>
    <row r="359" spans="1:11" ht="12.75" hidden="1" x14ac:dyDescent="0.2">
      <c r="A359" s="16"/>
      <c r="B359" s="16"/>
      <c r="C359" s="15"/>
      <c r="D359" s="16"/>
      <c r="E359" s="17"/>
      <c r="F359" s="17"/>
      <c r="H359" s="19"/>
      <c r="I359" s="47"/>
      <c r="J359" s="48"/>
      <c r="K359" s="49"/>
    </row>
    <row r="360" spans="1:11" ht="12.75" hidden="1" x14ac:dyDescent="0.2">
      <c r="A360" s="16"/>
      <c r="B360" s="16"/>
      <c r="C360" s="15"/>
      <c r="D360" s="16"/>
      <c r="E360" s="17"/>
      <c r="F360" s="17"/>
      <c r="H360" s="19"/>
      <c r="I360" s="47"/>
      <c r="J360" s="48"/>
      <c r="K360" s="49"/>
    </row>
    <row r="361" spans="1:11" ht="12.75" hidden="1" x14ac:dyDescent="0.2">
      <c r="A361" s="16"/>
      <c r="B361" s="16"/>
      <c r="C361" s="15"/>
      <c r="D361" s="16"/>
      <c r="E361" s="17"/>
      <c r="F361" s="17"/>
      <c r="H361" s="19"/>
      <c r="I361" s="47"/>
      <c r="J361" s="48"/>
      <c r="K361" s="49"/>
    </row>
    <row r="362" spans="1:11" ht="12.75" hidden="1" x14ac:dyDescent="0.2">
      <c r="A362" s="16"/>
      <c r="B362" s="16"/>
      <c r="C362" s="15"/>
      <c r="D362" s="16"/>
      <c r="E362" s="17"/>
      <c r="F362" s="17"/>
      <c r="H362" s="19"/>
      <c r="I362" s="47"/>
      <c r="J362" s="48"/>
      <c r="K362" s="49"/>
    </row>
    <row r="363" spans="1:11" ht="12.75" hidden="1" x14ac:dyDescent="0.2">
      <c r="A363" s="16"/>
      <c r="B363" s="16"/>
      <c r="C363" s="15"/>
      <c r="D363" s="16"/>
      <c r="E363" s="17"/>
      <c r="F363" s="17"/>
      <c r="H363" s="19"/>
      <c r="I363" s="47"/>
      <c r="J363" s="48"/>
      <c r="K363" s="49"/>
    </row>
    <row r="364" spans="1:11" ht="12.75" hidden="1" x14ac:dyDescent="0.2">
      <c r="A364" s="16"/>
      <c r="B364" s="16"/>
      <c r="C364" s="15"/>
      <c r="D364" s="16"/>
      <c r="E364" s="17"/>
      <c r="F364" s="17"/>
      <c r="H364" s="19"/>
      <c r="I364" s="47"/>
      <c r="J364" s="48"/>
      <c r="K364" s="49"/>
    </row>
    <row r="365" spans="1:11" ht="12.75" hidden="1" x14ac:dyDescent="0.2">
      <c r="A365" s="16"/>
      <c r="B365" s="16"/>
      <c r="C365" s="15"/>
      <c r="D365" s="16"/>
      <c r="E365" s="17"/>
      <c r="F365" s="17"/>
      <c r="H365" s="19"/>
      <c r="I365" s="47"/>
      <c r="J365" s="48"/>
      <c r="K365" s="49"/>
    </row>
    <row r="366" spans="1:11" ht="12.75" hidden="1" x14ac:dyDescent="0.2">
      <c r="A366" s="16"/>
      <c r="B366" s="16"/>
      <c r="C366" s="15"/>
      <c r="D366" s="16"/>
      <c r="E366" s="17"/>
      <c r="F366" s="17"/>
      <c r="H366" s="19"/>
      <c r="I366" s="47"/>
      <c r="J366" s="48"/>
      <c r="K366" s="49"/>
    </row>
    <row r="367" spans="1:11" ht="12.75" hidden="1" x14ac:dyDescent="0.2">
      <c r="A367" s="16"/>
      <c r="B367" s="16"/>
      <c r="C367" s="15"/>
      <c r="D367" s="16"/>
      <c r="E367" s="17"/>
      <c r="F367" s="17"/>
      <c r="H367" s="19"/>
      <c r="I367" s="47"/>
      <c r="J367" s="48"/>
      <c r="K367" s="49"/>
    </row>
    <row r="368" spans="1:11" ht="12.75" hidden="1" x14ac:dyDescent="0.2">
      <c r="A368" s="16"/>
      <c r="B368" s="16"/>
      <c r="C368" s="15"/>
      <c r="D368" s="16"/>
      <c r="E368" s="17"/>
      <c r="F368" s="17"/>
      <c r="H368" s="19"/>
      <c r="I368" s="47"/>
      <c r="J368" s="48"/>
      <c r="K368" s="49"/>
    </row>
    <row r="369" spans="1:11" ht="12.75" hidden="1" x14ac:dyDescent="0.2">
      <c r="A369" s="16"/>
      <c r="B369" s="16"/>
      <c r="C369" s="15"/>
      <c r="D369" s="16"/>
      <c r="E369" s="17"/>
      <c r="F369" s="17"/>
      <c r="H369" s="19"/>
      <c r="I369" s="47"/>
      <c r="J369" s="48"/>
      <c r="K369" s="49"/>
    </row>
    <row r="370" spans="1:11" ht="12.75" hidden="1" x14ac:dyDescent="0.2">
      <c r="A370" s="16"/>
      <c r="B370" s="16"/>
      <c r="C370" s="15"/>
      <c r="D370" s="16"/>
      <c r="E370" s="17"/>
      <c r="F370" s="17"/>
      <c r="H370" s="19"/>
      <c r="I370" s="47"/>
      <c r="J370" s="48"/>
      <c r="K370" s="49"/>
    </row>
    <row r="371" spans="1:11" ht="12.75" hidden="1" x14ac:dyDescent="0.2">
      <c r="A371" s="16"/>
      <c r="B371" s="16"/>
      <c r="C371" s="15"/>
      <c r="D371" s="16"/>
      <c r="E371" s="17"/>
      <c r="F371" s="17"/>
      <c r="H371" s="19"/>
      <c r="I371" s="47"/>
      <c r="J371" s="48"/>
      <c r="K371" s="49"/>
    </row>
    <row r="372" spans="1:11" ht="12.75" hidden="1" x14ac:dyDescent="0.2">
      <c r="A372" s="16"/>
      <c r="B372" s="16"/>
      <c r="C372" s="15"/>
      <c r="D372" s="16"/>
      <c r="E372" s="17"/>
      <c r="F372" s="17"/>
      <c r="H372" s="19"/>
      <c r="I372" s="47"/>
      <c r="J372" s="48"/>
      <c r="K372" s="49"/>
    </row>
    <row r="373" spans="1:11" ht="12.75" hidden="1" x14ac:dyDescent="0.2">
      <c r="A373" s="16"/>
      <c r="B373" s="16"/>
      <c r="C373" s="15"/>
      <c r="D373" s="16"/>
      <c r="E373" s="17"/>
      <c r="F373" s="17"/>
      <c r="H373" s="19"/>
      <c r="I373" s="47"/>
      <c r="J373" s="48"/>
      <c r="K373" s="49"/>
    </row>
    <row r="374" spans="1:11" ht="12.75" hidden="1" x14ac:dyDescent="0.2">
      <c r="A374" s="16"/>
      <c r="B374" s="16"/>
      <c r="C374" s="15"/>
      <c r="D374" s="16"/>
      <c r="E374" s="17"/>
      <c r="F374" s="17"/>
      <c r="H374" s="19"/>
      <c r="I374" s="47"/>
      <c r="J374" s="48"/>
      <c r="K374" s="49"/>
    </row>
    <row r="375" spans="1:11" ht="12.75" hidden="1" x14ac:dyDescent="0.2">
      <c r="A375" s="16"/>
      <c r="B375" s="16"/>
      <c r="C375" s="15"/>
      <c r="D375" s="16"/>
      <c r="E375" s="17"/>
      <c r="F375" s="17"/>
      <c r="H375" s="19"/>
      <c r="I375" s="47"/>
      <c r="J375" s="48"/>
      <c r="K375" s="49"/>
    </row>
    <row r="376" spans="1:11" ht="12.75" hidden="1" x14ac:dyDescent="0.2">
      <c r="A376" s="16"/>
      <c r="B376" s="16"/>
      <c r="C376" s="15"/>
      <c r="D376" s="16"/>
      <c r="E376" s="17"/>
      <c r="F376" s="17"/>
      <c r="H376" s="19"/>
      <c r="I376" s="47"/>
      <c r="J376" s="48"/>
      <c r="K376" s="49"/>
    </row>
    <row r="377" spans="1:11" ht="12.75" hidden="1" x14ac:dyDescent="0.2">
      <c r="A377" s="16"/>
      <c r="B377" s="16"/>
      <c r="C377" s="15"/>
      <c r="D377" s="16"/>
      <c r="E377" s="17"/>
      <c r="F377" s="17"/>
      <c r="H377" s="19"/>
      <c r="I377" s="47"/>
      <c r="J377" s="48"/>
      <c r="K377" s="49"/>
    </row>
    <row r="378" spans="1:11" ht="12.75" hidden="1" x14ac:dyDescent="0.2">
      <c r="A378" s="16"/>
      <c r="B378" s="16"/>
      <c r="C378" s="15"/>
      <c r="D378" s="16"/>
      <c r="E378" s="17"/>
      <c r="F378" s="17"/>
      <c r="H378" s="19"/>
      <c r="I378" s="47"/>
      <c r="J378" s="48"/>
      <c r="K378" s="49"/>
    </row>
    <row r="379" spans="1:11" ht="12.75" hidden="1" x14ac:dyDescent="0.2">
      <c r="A379" s="16"/>
      <c r="B379" s="16"/>
      <c r="C379" s="15"/>
      <c r="D379" s="16"/>
      <c r="E379" s="17"/>
      <c r="F379" s="17"/>
      <c r="H379" s="19"/>
      <c r="I379" s="47"/>
      <c r="J379" s="48"/>
      <c r="K379" s="49"/>
    </row>
    <row r="380" spans="1:11" ht="12.75" hidden="1" x14ac:dyDescent="0.2">
      <c r="A380" s="16"/>
      <c r="B380" s="16"/>
      <c r="C380" s="15"/>
      <c r="D380" s="16"/>
      <c r="E380" s="17"/>
      <c r="F380" s="17"/>
      <c r="H380" s="19"/>
      <c r="I380" s="47"/>
      <c r="J380" s="48"/>
      <c r="K380" s="49"/>
    </row>
    <row r="381" spans="1:11" ht="12.75" hidden="1" x14ac:dyDescent="0.2">
      <c r="A381" s="16"/>
      <c r="B381" s="16"/>
      <c r="C381" s="15"/>
      <c r="D381" s="16"/>
      <c r="E381" s="17"/>
      <c r="F381" s="17"/>
      <c r="H381" s="19"/>
      <c r="I381" s="47"/>
      <c r="J381" s="48"/>
      <c r="K381" s="49"/>
    </row>
    <row r="382" spans="1:11" ht="12.75" hidden="1" x14ac:dyDescent="0.2">
      <c r="A382" s="16"/>
      <c r="B382" s="16"/>
      <c r="C382" s="15"/>
      <c r="D382" s="16"/>
      <c r="E382" s="17"/>
      <c r="F382" s="17"/>
      <c r="H382" s="19"/>
      <c r="I382" s="47"/>
      <c r="J382" s="48"/>
      <c r="K382" s="49"/>
    </row>
    <row r="383" spans="1:11" ht="12.75" hidden="1" x14ac:dyDescent="0.2">
      <c r="A383" s="16"/>
      <c r="B383" s="16"/>
      <c r="C383" s="15"/>
      <c r="D383" s="16"/>
      <c r="E383" s="17"/>
      <c r="F383" s="17"/>
      <c r="H383" s="19"/>
      <c r="I383" s="47"/>
      <c r="J383" s="48"/>
      <c r="K383" s="49"/>
    </row>
    <row r="384" spans="1:11" ht="12.75" hidden="1" x14ac:dyDescent="0.2">
      <c r="A384" s="16"/>
      <c r="B384" s="16"/>
      <c r="C384" s="15"/>
      <c r="D384" s="16"/>
      <c r="E384" s="17"/>
      <c r="F384" s="17"/>
      <c r="H384" s="19"/>
      <c r="I384" s="47"/>
      <c r="J384" s="48"/>
      <c r="K384" s="49"/>
    </row>
    <row r="385" spans="1:11" ht="12.75" hidden="1" x14ac:dyDescent="0.2">
      <c r="A385" s="16"/>
      <c r="B385" s="16"/>
      <c r="C385" s="15"/>
      <c r="D385" s="16"/>
      <c r="E385" s="17"/>
      <c r="F385" s="17"/>
      <c r="H385" s="19"/>
      <c r="I385" s="47"/>
      <c r="J385" s="48"/>
      <c r="K385" s="49"/>
    </row>
    <row r="386" spans="1:11" ht="12.75" hidden="1" x14ac:dyDescent="0.2">
      <c r="A386" s="16"/>
      <c r="B386" s="16"/>
      <c r="C386" s="15"/>
      <c r="D386" s="16"/>
      <c r="E386" s="17"/>
      <c r="F386" s="17"/>
      <c r="H386" s="19"/>
      <c r="I386" s="47"/>
      <c r="J386" s="48"/>
      <c r="K386" s="49"/>
    </row>
    <row r="387" spans="1:11" ht="12.75" hidden="1" x14ac:dyDescent="0.2">
      <c r="A387" s="16"/>
      <c r="B387" s="16"/>
      <c r="C387" s="15"/>
      <c r="D387" s="16"/>
      <c r="E387" s="17"/>
      <c r="F387" s="17"/>
      <c r="H387" s="19"/>
      <c r="I387" s="47"/>
      <c r="J387" s="48"/>
      <c r="K387" s="49"/>
    </row>
    <row r="388" spans="1:11" ht="12.75" hidden="1" x14ac:dyDescent="0.2">
      <c r="A388" s="16"/>
      <c r="B388" s="16"/>
      <c r="C388" s="15"/>
      <c r="D388" s="16"/>
      <c r="E388" s="17"/>
      <c r="F388" s="17"/>
      <c r="H388" s="19"/>
      <c r="I388" s="47"/>
      <c r="J388" s="48"/>
      <c r="K388" s="49"/>
    </row>
    <row r="389" spans="1:11" ht="12.75" hidden="1" x14ac:dyDescent="0.2">
      <c r="A389" s="16"/>
      <c r="B389" s="16"/>
      <c r="C389" s="15"/>
      <c r="D389" s="16"/>
      <c r="E389" s="17"/>
      <c r="F389" s="17"/>
      <c r="H389" s="19"/>
      <c r="I389" s="47"/>
      <c r="J389" s="48"/>
      <c r="K389" s="49"/>
    </row>
    <row r="390" spans="1:11" ht="12.75" hidden="1" x14ac:dyDescent="0.2">
      <c r="A390" s="16"/>
      <c r="B390" s="16"/>
      <c r="C390" s="15"/>
      <c r="D390" s="16"/>
      <c r="E390" s="17"/>
      <c r="F390" s="17"/>
      <c r="H390" s="19"/>
      <c r="I390" s="47"/>
      <c r="J390" s="48"/>
      <c r="K390" s="49"/>
    </row>
    <row r="391" spans="1:11" ht="12.75" hidden="1" x14ac:dyDescent="0.2">
      <c r="A391" s="16"/>
      <c r="B391" s="16"/>
      <c r="C391" s="15"/>
      <c r="D391" s="16"/>
      <c r="E391" s="17"/>
      <c r="F391" s="17"/>
      <c r="H391" s="19"/>
      <c r="I391" s="47"/>
      <c r="J391" s="48"/>
      <c r="K391" s="49"/>
    </row>
    <row r="392" spans="1:11" ht="12.75" hidden="1" x14ac:dyDescent="0.2">
      <c r="A392" s="16"/>
      <c r="B392" s="16"/>
      <c r="C392" s="15"/>
      <c r="D392" s="16"/>
      <c r="E392" s="17"/>
      <c r="F392" s="17"/>
      <c r="H392" s="19"/>
      <c r="I392" s="47"/>
      <c r="J392" s="48"/>
      <c r="K392" s="49"/>
    </row>
    <row r="393" spans="1:11" ht="12.75" hidden="1" x14ac:dyDescent="0.2">
      <c r="A393" s="16"/>
      <c r="B393" s="16"/>
      <c r="C393" s="15"/>
      <c r="D393" s="16"/>
      <c r="E393" s="17"/>
      <c r="F393" s="17"/>
      <c r="H393" s="19"/>
      <c r="I393" s="47"/>
      <c r="J393" s="48"/>
      <c r="K393" s="49"/>
    </row>
    <row r="394" spans="1:11" ht="12.75" hidden="1" x14ac:dyDescent="0.2">
      <c r="A394" s="16"/>
      <c r="B394" s="16"/>
      <c r="C394" s="15"/>
      <c r="D394" s="16"/>
      <c r="E394" s="17"/>
      <c r="F394" s="17"/>
      <c r="H394" s="19"/>
      <c r="I394" s="47"/>
      <c r="J394" s="48"/>
      <c r="K394" s="49"/>
    </row>
    <row r="395" spans="1:11" ht="12.75" hidden="1" x14ac:dyDescent="0.2">
      <c r="A395" s="16"/>
      <c r="B395" s="16"/>
      <c r="C395" s="15"/>
      <c r="D395" s="16"/>
      <c r="E395" s="17"/>
      <c r="F395" s="17"/>
      <c r="H395" s="19"/>
      <c r="I395" s="47"/>
      <c r="J395" s="48"/>
      <c r="K395" s="49"/>
    </row>
    <row r="396" spans="1:11" ht="12.75" hidden="1" x14ac:dyDescent="0.2">
      <c r="A396" s="16"/>
      <c r="B396" s="16"/>
      <c r="C396" s="15"/>
      <c r="D396" s="16"/>
      <c r="E396" s="17"/>
      <c r="F396" s="17"/>
      <c r="H396" s="19"/>
      <c r="I396" s="47"/>
      <c r="J396" s="48"/>
      <c r="K396" s="49"/>
    </row>
    <row r="397" spans="1:11" ht="12.75" hidden="1" x14ac:dyDescent="0.2">
      <c r="A397" s="16"/>
      <c r="B397" s="16"/>
      <c r="C397" s="15"/>
      <c r="D397" s="16"/>
      <c r="E397" s="17"/>
      <c r="F397" s="17"/>
      <c r="H397" s="19"/>
      <c r="I397" s="47"/>
      <c r="J397" s="48"/>
      <c r="K397" s="49"/>
    </row>
    <row r="398" spans="1:11" ht="12.75" hidden="1" x14ac:dyDescent="0.2">
      <c r="A398" s="16"/>
      <c r="B398" s="16"/>
      <c r="C398" s="15"/>
      <c r="D398" s="16"/>
      <c r="E398" s="17"/>
      <c r="F398" s="17"/>
      <c r="H398" s="19"/>
      <c r="I398" s="47"/>
      <c r="J398" s="48"/>
      <c r="K398" s="49"/>
    </row>
    <row r="399" spans="1:11" ht="12.75" hidden="1" x14ac:dyDescent="0.2">
      <c r="A399" s="16"/>
      <c r="B399" s="16"/>
      <c r="C399" s="15"/>
      <c r="D399" s="16"/>
      <c r="E399" s="17"/>
      <c r="F399" s="17"/>
      <c r="H399" s="19"/>
      <c r="I399" s="47"/>
      <c r="J399" s="48"/>
      <c r="K399" s="49"/>
    </row>
    <row r="400" spans="1:11" ht="12.75" hidden="1" x14ac:dyDescent="0.2">
      <c r="A400" s="16"/>
      <c r="B400" s="16"/>
      <c r="C400" s="15"/>
      <c r="D400" s="16"/>
      <c r="E400" s="17"/>
      <c r="F400" s="17"/>
      <c r="H400" s="19"/>
      <c r="I400" s="47"/>
      <c r="J400" s="48"/>
      <c r="K400" s="49"/>
    </row>
    <row r="401" spans="1:11" ht="12.75" hidden="1" x14ac:dyDescent="0.2">
      <c r="A401" s="16"/>
      <c r="B401" s="16"/>
      <c r="C401" s="15"/>
      <c r="D401" s="16"/>
      <c r="E401" s="17"/>
      <c r="F401" s="17"/>
      <c r="H401" s="19"/>
      <c r="I401" s="47"/>
      <c r="J401" s="48"/>
      <c r="K401" s="49"/>
    </row>
    <row r="402" spans="1:11" ht="12.75" hidden="1" x14ac:dyDescent="0.2">
      <c r="A402" s="16"/>
      <c r="B402" s="16"/>
      <c r="C402" s="15"/>
      <c r="D402" s="16"/>
      <c r="E402" s="17"/>
      <c r="F402" s="17"/>
      <c r="H402" s="19"/>
      <c r="I402" s="47"/>
      <c r="J402" s="48"/>
      <c r="K402" s="49"/>
    </row>
    <row r="403" spans="1:11" ht="12.75" hidden="1" x14ac:dyDescent="0.2">
      <c r="A403" s="16"/>
      <c r="B403" s="16"/>
      <c r="C403" s="15"/>
      <c r="D403" s="16"/>
      <c r="E403" s="17"/>
      <c r="F403" s="17"/>
      <c r="H403" s="19"/>
      <c r="I403" s="47"/>
      <c r="J403" s="48"/>
      <c r="K403" s="49"/>
    </row>
    <row r="404" spans="1:11" ht="12.75" hidden="1" x14ac:dyDescent="0.2">
      <c r="A404" s="16"/>
      <c r="B404" s="16"/>
      <c r="C404" s="15"/>
      <c r="D404" s="16"/>
      <c r="E404" s="17"/>
      <c r="F404" s="17"/>
      <c r="H404" s="19"/>
      <c r="I404" s="47"/>
      <c r="J404" s="48"/>
      <c r="K404" s="49"/>
    </row>
    <row r="405" spans="1:11" ht="12.75" hidden="1" x14ac:dyDescent="0.2">
      <c r="A405" s="16"/>
      <c r="B405" s="16"/>
      <c r="C405" s="15"/>
      <c r="D405" s="16"/>
      <c r="E405" s="17"/>
      <c r="F405" s="17"/>
      <c r="H405" s="19"/>
      <c r="I405" s="47"/>
      <c r="J405" s="48"/>
      <c r="K405" s="49"/>
    </row>
    <row r="406" spans="1:11" ht="12.75" hidden="1" x14ac:dyDescent="0.2">
      <c r="A406" s="16"/>
      <c r="B406" s="16"/>
      <c r="C406" s="15"/>
      <c r="D406" s="16"/>
      <c r="E406" s="17"/>
      <c r="F406" s="17"/>
      <c r="H406" s="19"/>
      <c r="I406" s="47"/>
      <c r="J406" s="48"/>
      <c r="K406" s="49"/>
    </row>
    <row r="407" spans="1:11" ht="12.75" hidden="1" x14ac:dyDescent="0.2">
      <c r="A407" s="16"/>
      <c r="B407" s="16"/>
      <c r="C407" s="15"/>
      <c r="D407" s="16"/>
      <c r="E407" s="17"/>
      <c r="F407" s="17"/>
      <c r="H407" s="19"/>
      <c r="I407" s="47"/>
      <c r="J407" s="48"/>
      <c r="K407" s="49"/>
    </row>
    <row r="408" spans="1:11" ht="12.75" hidden="1" x14ac:dyDescent="0.2">
      <c r="A408" s="16"/>
      <c r="B408" s="16"/>
      <c r="C408" s="15"/>
      <c r="D408" s="16"/>
      <c r="E408" s="17"/>
      <c r="F408" s="17"/>
      <c r="H408" s="19"/>
      <c r="I408" s="47"/>
      <c r="J408" s="48"/>
      <c r="K408" s="49"/>
    </row>
    <row r="409" spans="1:11" ht="12.75" hidden="1" x14ac:dyDescent="0.2">
      <c r="A409" s="16"/>
      <c r="B409" s="16"/>
      <c r="C409" s="15"/>
      <c r="D409" s="16"/>
      <c r="E409" s="17"/>
      <c r="F409" s="17"/>
      <c r="H409" s="19"/>
      <c r="I409" s="47"/>
      <c r="J409" s="48"/>
      <c r="K409" s="49"/>
    </row>
    <row r="410" spans="1:11" ht="12.75" hidden="1" x14ac:dyDescent="0.2">
      <c r="A410" s="16"/>
      <c r="B410" s="16"/>
      <c r="C410" s="15"/>
      <c r="D410" s="16"/>
      <c r="E410" s="17"/>
      <c r="F410" s="17"/>
      <c r="H410" s="19"/>
      <c r="I410" s="47"/>
      <c r="J410" s="48"/>
      <c r="K410" s="49"/>
    </row>
    <row r="411" spans="1:11" ht="12.75" hidden="1" x14ac:dyDescent="0.2">
      <c r="A411" s="16"/>
      <c r="B411" s="16"/>
      <c r="C411" s="15"/>
      <c r="D411" s="16"/>
      <c r="E411" s="17"/>
      <c r="F411" s="17"/>
      <c r="H411" s="19"/>
      <c r="I411" s="47"/>
      <c r="J411" s="48"/>
      <c r="K411" s="49"/>
    </row>
    <row r="412" spans="1:11" ht="12.75" hidden="1" x14ac:dyDescent="0.2">
      <c r="A412" s="16"/>
      <c r="B412" s="16"/>
      <c r="C412" s="15"/>
      <c r="D412" s="16"/>
      <c r="E412" s="17"/>
      <c r="F412" s="17"/>
      <c r="H412" s="19"/>
      <c r="I412" s="47"/>
      <c r="J412" s="48"/>
      <c r="K412" s="49"/>
    </row>
    <row r="413" spans="1:11" ht="12.75" hidden="1" x14ac:dyDescent="0.2">
      <c r="A413" s="16"/>
      <c r="B413" s="16"/>
      <c r="C413" s="15"/>
      <c r="D413" s="16"/>
      <c r="E413" s="17"/>
      <c r="F413" s="17"/>
      <c r="H413" s="19"/>
      <c r="I413" s="47"/>
      <c r="J413" s="48"/>
      <c r="K413" s="49"/>
    </row>
    <row r="414" spans="1:11" ht="12.75" hidden="1" x14ac:dyDescent="0.2">
      <c r="A414" s="16"/>
      <c r="B414" s="16"/>
      <c r="C414" s="15"/>
      <c r="D414" s="16"/>
      <c r="E414" s="17"/>
      <c r="F414" s="17"/>
      <c r="H414" s="19"/>
      <c r="I414" s="47"/>
      <c r="J414" s="48"/>
      <c r="K414" s="49"/>
    </row>
    <row r="415" spans="1:11" ht="12.75" hidden="1" x14ac:dyDescent="0.2">
      <c r="A415" s="16"/>
      <c r="B415" s="16"/>
      <c r="C415" s="15"/>
      <c r="D415" s="16"/>
      <c r="E415" s="17"/>
      <c r="F415" s="17"/>
      <c r="H415" s="19"/>
      <c r="I415" s="47"/>
      <c r="J415" s="48"/>
      <c r="K415" s="49"/>
    </row>
    <row r="416" spans="1:11" ht="12.75" hidden="1" x14ac:dyDescent="0.2">
      <c r="A416" s="16"/>
      <c r="B416" s="16"/>
      <c r="C416" s="15"/>
      <c r="D416" s="16"/>
      <c r="E416" s="17"/>
      <c r="F416" s="17"/>
      <c r="H416" s="19"/>
      <c r="I416" s="47"/>
      <c r="J416" s="48"/>
      <c r="K416" s="49"/>
    </row>
    <row r="417" spans="1:11" ht="12.75" hidden="1" x14ac:dyDescent="0.2">
      <c r="A417" s="16"/>
      <c r="B417" s="16"/>
      <c r="C417" s="15"/>
      <c r="D417" s="16"/>
      <c r="E417" s="17"/>
      <c r="F417" s="17"/>
      <c r="H417" s="19"/>
      <c r="I417" s="47"/>
      <c r="J417" s="48"/>
      <c r="K417" s="49"/>
    </row>
    <row r="418" spans="1:11" ht="12.75" hidden="1" x14ac:dyDescent="0.2">
      <c r="A418" s="16"/>
      <c r="B418" s="16"/>
      <c r="C418" s="15"/>
      <c r="D418" s="16"/>
      <c r="E418" s="17"/>
      <c r="F418" s="17"/>
      <c r="H418" s="19"/>
      <c r="I418" s="47"/>
      <c r="J418" s="48"/>
      <c r="K418" s="49"/>
    </row>
    <row r="419" spans="1:11" ht="12.75" hidden="1" x14ac:dyDescent="0.2">
      <c r="A419" s="16"/>
      <c r="B419" s="16"/>
      <c r="C419" s="15"/>
      <c r="D419" s="16"/>
      <c r="E419" s="17"/>
      <c r="F419" s="17"/>
      <c r="H419" s="19"/>
      <c r="I419" s="47"/>
      <c r="J419" s="48"/>
      <c r="K419" s="49"/>
    </row>
    <row r="420" spans="1:11" ht="12.75" hidden="1" x14ac:dyDescent="0.2">
      <c r="A420" s="16"/>
      <c r="B420" s="16"/>
      <c r="C420" s="15"/>
      <c r="D420" s="16"/>
      <c r="E420" s="17"/>
      <c r="F420" s="17"/>
      <c r="H420" s="19"/>
      <c r="I420" s="47"/>
      <c r="J420" s="48"/>
      <c r="K420" s="49"/>
    </row>
    <row r="421" spans="1:11" ht="12.75" hidden="1" x14ac:dyDescent="0.2">
      <c r="A421" s="16"/>
      <c r="B421" s="16"/>
      <c r="C421" s="15"/>
      <c r="D421" s="16"/>
      <c r="E421" s="17"/>
      <c r="F421" s="17"/>
      <c r="H421" s="19"/>
      <c r="I421" s="47"/>
      <c r="J421" s="48"/>
      <c r="K421" s="49"/>
    </row>
    <row r="422" spans="1:11" ht="12.75" hidden="1" x14ac:dyDescent="0.2">
      <c r="A422" s="16"/>
      <c r="B422" s="16"/>
      <c r="C422" s="15"/>
      <c r="D422" s="16"/>
      <c r="E422" s="17"/>
      <c r="F422" s="17"/>
      <c r="H422" s="19"/>
      <c r="I422" s="47"/>
      <c r="J422" s="48"/>
      <c r="K422" s="49"/>
    </row>
    <row r="423" spans="1:11" ht="12.75" hidden="1" x14ac:dyDescent="0.2">
      <c r="A423" s="16"/>
      <c r="B423" s="16"/>
      <c r="C423" s="15"/>
      <c r="D423" s="16"/>
      <c r="E423" s="17"/>
      <c r="F423" s="17"/>
      <c r="H423" s="19"/>
      <c r="I423" s="47"/>
      <c r="J423" s="48"/>
      <c r="K423" s="49"/>
    </row>
    <row r="424" spans="1:11" ht="12.75" hidden="1" x14ac:dyDescent="0.2">
      <c r="A424" s="16"/>
      <c r="B424" s="16"/>
      <c r="C424" s="15"/>
      <c r="D424" s="16"/>
      <c r="E424" s="17"/>
      <c r="F424" s="17"/>
      <c r="H424" s="19"/>
      <c r="I424" s="47"/>
      <c r="J424" s="48"/>
      <c r="K424" s="49"/>
    </row>
    <row r="425" spans="1:11" ht="12.75" hidden="1" x14ac:dyDescent="0.2">
      <c r="A425" s="16"/>
      <c r="B425" s="16"/>
      <c r="C425" s="15"/>
      <c r="D425" s="16"/>
      <c r="E425" s="17"/>
      <c r="F425" s="17"/>
      <c r="H425" s="19"/>
      <c r="I425" s="47"/>
      <c r="J425" s="48"/>
      <c r="K425" s="49"/>
    </row>
    <row r="426" spans="1:11" ht="12.75" hidden="1" x14ac:dyDescent="0.2">
      <c r="A426" s="16"/>
      <c r="B426" s="16"/>
      <c r="C426" s="15"/>
      <c r="D426" s="16"/>
      <c r="E426" s="17"/>
      <c r="F426" s="17"/>
      <c r="H426" s="19"/>
      <c r="I426" s="47"/>
      <c r="J426" s="48"/>
      <c r="K426" s="49"/>
    </row>
    <row r="427" spans="1:11" ht="12.75" hidden="1" x14ac:dyDescent="0.2">
      <c r="A427" s="16"/>
      <c r="B427" s="16"/>
      <c r="C427" s="15"/>
      <c r="D427" s="16"/>
      <c r="E427" s="17"/>
      <c r="F427" s="17"/>
      <c r="H427" s="19"/>
      <c r="I427" s="47"/>
      <c r="J427" s="48"/>
      <c r="K427" s="49"/>
    </row>
    <row r="428" spans="1:11" ht="12.75" hidden="1" x14ac:dyDescent="0.2">
      <c r="A428" s="16"/>
      <c r="B428" s="16"/>
      <c r="C428" s="15"/>
      <c r="D428" s="16"/>
      <c r="E428" s="17"/>
      <c r="F428" s="17"/>
      <c r="H428" s="19"/>
      <c r="I428" s="47"/>
      <c r="J428" s="48"/>
      <c r="K428" s="49"/>
    </row>
    <row r="429" spans="1:11" ht="12.75" hidden="1" x14ac:dyDescent="0.2">
      <c r="A429" s="16"/>
      <c r="B429" s="16"/>
      <c r="C429" s="15"/>
      <c r="D429" s="16"/>
      <c r="E429" s="17"/>
      <c r="F429" s="17"/>
      <c r="H429" s="19"/>
      <c r="I429" s="47"/>
      <c r="J429" s="48"/>
      <c r="K429" s="49"/>
    </row>
    <row r="430" spans="1:11" ht="12.75" hidden="1" x14ac:dyDescent="0.2">
      <c r="A430" s="16"/>
      <c r="B430" s="16"/>
      <c r="C430" s="15"/>
      <c r="D430" s="16"/>
      <c r="E430" s="17"/>
      <c r="F430" s="17"/>
      <c r="H430" s="19"/>
      <c r="I430" s="47"/>
      <c r="J430" s="48"/>
      <c r="K430" s="49"/>
    </row>
    <row r="431" spans="1:11" ht="12.75" hidden="1" x14ac:dyDescent="0.2">
      <c r="A431" s="16"/>
      <c r="B431" s="16"/>
      <c r="C431" s="15"/>
      <c r="D431" s="16"/>
      <c r="E431" s="17"/>
      <c r="F431" s="17"/>
      <c r="H431" s="19"/>
      <c r="I431" s="47"/>
      <c r="J431" s="48"/>
      <c r="K431" s="49"/>
    </row>
    <row r="432" spans="1:11" ht="12.75" hidden="1" x14ac:dyDescent="0.2">
      <c r="A432" s="16"/>
      <c r="B432" s="16"/>
      <c r="C432" s="15"/>
      <c r="D432" s="16"/>
      <c r="E432" s="17"/>
      <c r="F432" s="17"/>
      <c r="H432" s="19"/>
      <c r="I432" s="47"/>
      <c r="J432" s="48"/>
      <c r="K432" s="49"/>
    </row>
    <row r="433" spans="1:11" ht="12.75" hidden="1" x14ac:dyDescent="0.2">
      <c r="A433" s="16"/>
      <c r="B433" s="16"/>
      <c r="C433" s="15"/>
      <c r="D433" s="16"/>
      <c r="E433" s="17"/>
      <c r="F433" s="17"/>
      <c r="H433" s="19"/>
      <c r="I433" s="47"/>
      <c r="J433" s="48"/>
      <c r="K433" s="49"/>
    </row>
    <row r="434" spans="1:11" ht="12.75" hidden="1" x14ac:dyDescent="0.2">
      <c r="A434" s="16"/>
      <c r="B434" s="16"/>
      <c r="C434" s="15"/>
      <c r="D434" s="16"/>
      <c r="E434" s="17"/>
      <c r="F434" s="17"/>
      <c r="H434" s="19"/>
      <c r="I434" s="47"/>
      <c r="J434" s="48"/>
      <c r="K434" s="49"/>
    </row>
    <row r="435" spans="1:11" ht="12.75" hidden="1" x14ac:dyDescent="0.2">
      <c r="A435" s="16"/>
      <c r="B435" s="16"/>
      <c r="C435" s="15"/>
      <c r="D435" s="16"/>
      <c r="E435" s="17"/>
      <c r="F435" s="17"/>
      <c r="H435" s="19"/>
      <c r="I435" s="47"/>
      <c r="J435" s="48"/>
      <c r="K435" s="49"/>
    </row>
    <row r="436" spans="1:11" ht="12.75" hidden="1" x14ac:dyDescent="0.2">
      <c r="A436" s="16"/>
      <c r="B436" s="16"/>
      <c r="C436" s="15"/>
      <c r="D436" s="16"/>
      <c r="E436" s="17"/>
      <c r="F436" s="17"/>
      <c r="H436" s="19"/>
      <c r="I436" s="47"/>
      <c r="J436" s="48"/>
      <c r="K436" s="49"/>
    </row>
    <row r="437" spans="1:11" ht="12.75" hidden="1" x14ac:dyDescent="0.2">
      <c r="A437" s="16"/>
      <c r="B437" s="16"/>
      <c r="C437" s="15"/>
      <c r="D437" s="16"/>
      <c r="E437" s="17"/>
      <c r="F437" s="17"/>
      <c r="H437" s="19"/>
      <c r="I437" s="47"/>
      <c r="J437" s="48"/>
      <c r="K437" s="49"/>
    </row>
    <row r="438" spans="1:11" ht="12.75" hidden="1" x14ac:dyDescent="0.2">
      <c r="A438" s="16"/>
      <c r="B438" s="16"/>
      <c r="C438" s="15"/>
      <c r="D438" s="16"/>
      <c r="E438" s="17"/>
      <c r="F438" s="17"/>
      <c r="H438" s="19"/>
      <c r="I438" s="47"/>
      <c r="J438" s="48"/>
      <c r="K438" s="49"/>
    </row>
    <row r="439" spans="1:11" ht="12.75" hidden="1" x14ac:dyDescent="0.2">
      <c r="A439" s="16"/>
      <c r="B439" s="16"/>
      <c r="C439" s="15"/>
      <c r="D439" s="16"/>
      <c r="E439" s="17"/>
      <c r="F439" s="17"/>
      <c r="H439" s="19"/>
      <c r="I439" s="47"/>
      <c r="J439" s="48"/>
      <c r="K439" s="49"/>
    </row>
    <row r="440" spans="1:11" ht="12.75" hidden="1" x14ac:dyDescent="0.2">
      <c r="A440" s="16"/>
      <c r="B440" s="16"/>
      <c r="C440" s="15"/>
      <c r="D440" s="16"/>
      <c r="E440" s="17"/>
      <c r="F440" s="17"/>
      <c r="H440" s="19"/>
      <c r="I440" s="47"/>
      <c r="J440" s="48"/>
      <c r="K440" s="49"/>
    </row>
    <row r="441" spans="1:11" ht="12.75" hidden="1" x14ac:dyDescent="0.2">
      <c r="A441" s="16"/>
      <c r="B441" s="16"/>
      <c r="C441" s="15"/>
      <c r="D441" s="16"/>
      <c r="E441" s="17"/>
      <c r="F441" s="17"/>
      <c r="H441" s="19"/>
      <c r="I441" s="47"/>
      <c r="J441" s="48"/>
      <c r="K441" s="49"/>
    </row>
    <row r="442" spans="1:11" ht="12.75" hidden="1" x14ac:dyDescent="0.2">
      <c r="A442" s="16"/>
      <c r="B442" s="16"/>
      <c r="C442" s="15"/>
      <c r="D442" s="16"/>
      <c r="E442" s="17"/>
      <c r="F442" s="17"/>
      <c r="H442" s="19"/>
      <c r="I442" s="47"/>
      <c r="J442" s="48"/>
      <c r="K442" s="49"/>
    </row>
    <row r="443" spans="1:11" ht="12.75" hidden="1" x14ac:dyDescent="0.2">
      <c r="A443" s="16"/>
      <c r="B443" s="16"/>
      <c r="C443" s="15"/>
      <c r="D443" s="16"/>
      <c r="E443" s="17"/>
      <c r="F443" s="17"/>
      <c r="H443" s="19"/>
      <c r="I443" s="47"/>
      <c r="J443" s="48"/>
      <c r="K443" s="49"/>
    </row>
    <row r="444" spans="1:11" ht="12.75" hidden="1" x14ac:dyDescent="0.2">
      <c r="A444" s="16"/>
      <c r="B444" s="16"/>
      <c r="C444" s="15"/>
      <c r="D444" s="16"/>
      <c r="E444" s="17"/>
      <c r="F444" s="17"/>
      <c r="H444" s="19"/>
      <c r="I444" s="47"/>
      <c r="J444" s="48"/>
      <c r="K444" s="49"/>
    </row>
    <row r="445" spans="1:11" ht="12.75" hidden="1" x14ac:dyDescent="0.2">
      <c r="A445" s="16"/>
      <c r="B445" s="16"/>
      <c r="C445" s="15"/>
      <c r="D445" s="16"/>
      <c r="E445" s="17"/>
      <c r="F445" s="17"/>
      <c r="H445" s="19"/>
      <c r="I445" s="47"/>
      <c r="J445" s="48"/>
      <c r="K445" s="49"/>
    </row>
    <row r="446" spans="1:11" ht="12.75" hidden="1" x14ac:dyDescent="0.2">
      <c r="A446" s="16"/>
      <c r="B446" s="16"/>
      <c r="C446" s="15"/>
      <c r="D446" s="16"/>
      <c r="E446" s="17"/>
      <c r="F446" s="17"/>
      <c r="H446" s="19"/>
      <c r="I446" s="47"/>
      <c r="J446" s="48"/>
      <c r="K446" s="49"/>
    </row>
    <row r="447" spans="1:11" ht="12.75" hidden="1" x14ac:dyDescent="0.2">
      <c r="A447" s="16"/>
      <c r="B447" s="16"/>
      <c r="C447" s="15"/>
      <c r="D447" s="16"/>
      <c r="E447" s="17"/>
      <c r="F447" s="17"/>
      <c r="H447" s="19"/>
      <c r="I447" s="47"/>
      <c r="J447" s="48"/>
      <c r="K447" s="49"/>
    </row>
    <row r="448" spans="1:11" ht="12.75" hidden="1" x14ac:dyDescent="0.2">
      <c r="A448" s="16"/>
      <c r="B448" s="16"/>
      <c r="C448" s="15"/>
      <c r="D448" s="16"/>
      <c r="E448" s="17"/>
      <c r="F448" s="17"/>
      <c r="H448" s="19"/>
      <c r="I448" s="47"/>
      <c r="J448" s="48"/>
      <c r="K448" s="49"/>
    </row>
    <row r="449" spans="1:11" ht="12.75" hidden="1" x14ac:dyDescent="0.2">
      <c r="A449" s="16"/>
      <c r="B449" s="16"/>
      <c r="C449" s="15"/>
      <c r="D449" s="16"/>
      <c r="E449" s="17"/>
      <c r="F449" s="17"/>
      <c r="H449" s="19"/>
      <c r="I449" s="47"/>
      <c r="J449" s="48"/>
      <c r="K449" s="49"/>
    </row>
    <row r="450" spans="1:11" ht="12.75" hidden="1" x14ac:dyDescent="0.2">
      <c r="A450" s="16"/>
      <c r="B450" s="16"/>
      <c r="C450" s="15"/>
      <c r="D450" s="16"/>
      <c r="E450" s="17"/>
      <c r="F450" s="17"/>
      <c r="H450" s="19"/>
      <c r="I450" s="47"/>
      <c r="J450" s="48"/>
      <c r="K450" s="49"/>
    </row>
    <row r="451" spans="1:11" ht="12.75" hidden="1" x14ac:dyDescent="0.2">
      <c r="A451" s="16"/>
      <c r="B451" s="16"/>
      <c r="C451" s="15"/>
      <c r="D451" s="16"/>
      <c r="E451" s="17"/>
      <c r="F451" s="17"/>
      <c r="H451" s="19"/>
      <c r="I451" s="47"/>
      <c r="J451" s="48"/>
      <c r="K451" s="49"/>
    </row>
    <row r="452" spans="1:11" ht="12.75" hidden="1" x14ac:dyDescent="0.2">
      <c r="A452" s="16"/>
      <c r="B452" s="16"/>
      <c r="C452" s="15"/>
      <c r="D452" s="16"/>
      <c r="E452" s="17"/>
      <c r="F452" s="17"/>
      <c r="H452" s="19"/>
      <c r="I452" s="47"/>
      <c r="J452" s="48"/>
      <c r="K452" s="49"/>
    </row>
    <row r="453" spans="1:11" ht="12.75" hidden="1" x14ac:dyDescent="0.2">
      <c r="A453" s="16"/>
      <c r="B453" s="16"/>
      <c r="C453" s="15"/>
      <c r="D453" s="16"/>
      <c r="E453" s="17"/>
      <c r="F453" s="17"/>
      <c r="H453" s="19"/>
      <c r="I453" s="47"/>
      <c r="J453" s="48"/>
      <c r="K453" s="49"/>
    </row>
    <row r="454" spans="1:11" ht="12.75" hidden="1" x14ac:dyDescent="0.2">
      <c r="A454" s="16"/>
      <c r="B454" s="16"/>
      <c r="C454" s="15"/>
      <c r="D454" s="16"/>
      <c r="E454" s="17"/>
      <c r="F454" s="17"/>
      <c r="H454" s="19"/>
      <c r="I454" s="47"/>
      <c r="J454" s="48"/>
      <c r="K454" s="49"/>
    </row>
    <row r="455" spans="1:11" ht="12.75" hidden="1" x14ac:dyDescent="0.2">
      <c r="A455" s="16"/>
      <c r="B455" s="16"/>
      <c r="C455" s="15"/>
      <c r="D455" s="16"/>
      <c r="E455" s="17"/>
      <c r="F455" s="17"/>
      <c r="H455" s="19"/>
      <c r="I455" s="47"/>
      <c r="J455" s="48"/>
      <c r="K455" s="49"/>
    </row>
    <row r="456" spans="1:11" ht="12.75" hidden="1" x14ac:dyDescent="0.2">
      <c r="A456" s="16"/>
      <c r="B456" s="16"/>
      <c r="C456" s="15"/>
      <c r="D456" s="16"/>
      <c r="E456" s="17"/>
      <c r="F456" s="17"/>
      <c r="H456" s="19"/>
      <c r="I456" s="47"/>
      <c r="J456" s="48"/>
      <c r="K456" s="49"/>
    </row>
    <row r="457" spans="1:11" ht="12.75" hidden="1" x14ac:dyDescent="0.2">
      <c r="A457" s="16"/>
      <c r="B457" s="16"/>
      <c r="C457" s="15"/>
      <c r="D457" s="16"/>
      <c r="E457" s="17"/>
      <c r="F457" s="17"/>
      <c r="H457" s="19"/>
      <c r="I457" s="47"/>
      <c r="J457" s="48"/>
      <c r="K457" s="49"/>
    </row>
    <row r="458" spans="1:11" ht="12.75" hidden="1" x14ac:dyDescent="0.2">
      <c r="A458" s="16"/>
      <c r="B458" s="16"/>
      <c r="C458" s="15"/>
      <c r="D458" s="16"/>
      <c r="E458" s="17"/>
      <c r="F458" s="17"/>
      <c r="H458" s="19"/>
      <c r="I458" s="47"/>
      <c r="J458" s="48"/>
      <c r="K458" s="49"/>
    </row>
    <row r="459" spans="1:11" ht="12.75" hidden="1" x14ac:dyDescent="0.2">
      <c r="A459" s="16"/>
      <c r="B459" s="16"/>
      <c r="C459" s="15"/>
      <c r="D459" s="16"/>
      <c r="E459" s="17"/>
      <c r="F459" s="17"/>
      <c r="H459" s="19"/>
      <c r="I459" s="47"/>
      <c r="J459" s="48"/>
      <c r="K459" s="49"/>
    </row>
    <row r="460" spans="1:11" ht="12.75" hidden="1" x14ac:dyDescent="0.2">
      <c r="A460" s="16"/>
      <c r="B460" s="16"/>
      <c r="C460" s="15"/>
      <c r="D460" s="16"/>
      <c r="E460" s="17"/>
      <c r="F460" s="17"/>
      <c r="H460" s="19"/>
      <c r="I460" s="47"/>
      <c r="J460" s="48"/>
      <c r="K460" s="49"/>
    </row>
    <row r="461" spans="1:11" ht="12.75" hidden="1" x14ac:dyDescent="0.2">
      <c r="A461" s="16"/>
      <c r="B461" s="16"/>
      <c r="C461" s="15"/>
      <c r="D461" s="16"/>
      <c r="E461" s="17"/>
      <c r="F461" s="17"/>
      <c r="H461" s="19"/>
      <c r="I461" s="47"/>
      <c r="J461" s="48"/>
      <c r="K461" s="49"/>
    </row>
    <row r="462" spans="1:11" ht="12.75" hidden="1" x14ac:dyDescent="0.2">
      <c r="A462" s="16"/>
      <c r="B462" s="16"/>
      <c r="C462" s="15"/>
      <c r="D462" s="16"/>
      <c r="E462" s="17"/>
      <c r="F462" s="17"/>
      <c r="H462" s="19"/>
      <c r="I462" s="47"/>
      <c r="J462" s="48"/>
      <c r="K462" s="49"/>
    </row>
    <row r="463" spans="1:11" ht="12.75" hidden="1" x14ac:dyDescent="0.2">
      <c r="A463" s="16"/>
      <c r="B463" s="16"/>
      <c r="C463" s="15"/>
      <c r="D463" s="16"/>
      <c r="E463" s="17"/>
      <c r="F463" s="17"/>
      <c r="H463" s="19"/>
      <c r="I463" s="47"/>
      <c r="J463" s="48"/>
      <c r="K463" s="49"/>
    </row>
    <row r="464" spans="1:11" ht="12.75" hidden="1" x14ac:dyDescent="0.2">
      <c r="A464" s="16"/>
      <c r="B464" s="16"/>
      <c r="C464" s="15"/>
      <c r="D464" s="16"/>
      <c r="E464" s="17"/>
      <c r="F464" s="17"/>
      <c r="H464" s="19"/>
      <c r="I464" s="47"/>
      <c r="J464" s="48"/>
      <c r="K464" s="49"/>
    </row>
    <row r="465" spans="1:11" ht="12.75" hidden="1" x14ac:dyDescent="0.2">
      <c r="A465" s="16"/>
      <c r="B465" s="16"/>
      <c r="C465" s="15"/>
      <c r="D465" s="16"/>
      <c r="E465" s="17"/>
      <c r="F465" s="17"/>
      <c r="H465" s="19"/>
      <c r="I465" s="47"/>
      <c r="J465" s="48"/>
      <c r="K465" s="49"/>
    </row>
    <row r="466" spans="1:11" ht="12.75" hidden="1" x14ac:dyDescent="0.2">
      <c r="A466" s="16"/>
      <c r="B466" s="16"/>
      <c r="C466" s="15"/>
      <c r="D466" s="16"/>
      <c r="E466" s="17"/>
      <c r="F466" s="17"/>
      <c r="H466" s="19"/>
      <c r="I466" s="47"/>
      <c r="J466" s="48"/>
      <c r="K466" s="49"/>
    </row>
    <row r="467" spans="1:11" ht="12.75" hidden="1" x14ac:dyDescent="0.2">
      <c r="A467" s="16"/>
      <c r="B467" s="16"/>
      <c r="C467" s="15"/>
      <c r="D467" s="16"/>
      <c r="E467" s="17"/>
      <c r="F467" s="17"/>
      <c r="H467" s="19"/>
      <c r="I467" s="47"/>
      <c r="J467" s="48"/>
      <c r="K467" s="49"/>
    </row>
    <row r="468" spans="1:11" ht="12.75" hidden="1" x14ac:dyDescent="0.2">
      <c r="A468" s="16"/>
      <c r="B468" s="16"/>
      <c r="C468" s="15"/>
      <c r="D468" s="16"/>
      <c r="E468" s="17"/>
      <c r="F468" s="17"/>
      <c r="H468" s="19"/>
      <c r="I468" s="47"/>
      <c r="J468" s="48"/>
      <c r="K468" s="49"/>
    </row>
    <row r="469" spans="1:11" ht="12.75" hidden="1" x14ac:dyDescent="0.2">
      <c r="A469" s="16"/>
      <c r="B469" s="16"/>
      <c r="C469" s="15"/>
      <c r="D469" s="16"/>
      <c r="E469" s="17"/>
      <c r="F469" s="17"/>
      <c r="H469" s="19"/>
      <c r="I469" s="47"/>
      <c r="J469" s="48"/>
      <c r="K469" s="49"/>
    </row>
    <row r="470" spans="1:11" ht="12.75" hidden="1" x14ac:dyDescent="0.2">
      <c r="A470" s="16"/>
      <c r="B470" s="16"/>
      <c r="C470" s="15"/>
      <c r="D470" s="16"/>
      <c r="E470" s="17"/>
      <c r="F470" s="17"/>
      <c r="H470" s="19"/>
      <c r="I470" s="47"/>
      <c r="J470" s="48"/>
      <c r="K470" s="49"/>
    </row>
    <row r="471" spans="1:11" ht="12.75" hidden="1" x14ac:dyDescent="0.2">
      <c r="A471" s="16"/>
      <c r="B471" s="16"/>
      <c r="C471" s="15"/>
      <c r="D471" s="16"/>
      <c r="E471" s="17"/>
      <c r="F471" s="17"/>
      <c r="H471" s="19"/>
      <c r="I471" s="47"/>
      <c r="J471" s="48"/>
      <c r="K471" s="49"/>
    </row>
    <row r="472" spans="1:11" ht="12.75" hidden="1" x14ac:dyDescent="0.2">
      <c r="A472" s="16"/>
      <c r="B472" s="16"/>
      <c r="C472" s="15"/>
      <c r="D472" s="16"/>
      <c r="E472" s="17"/>
      <c r="F472" s="17"/>
      <c r="H472" s="19"/>
      <c r="I472" s="47"/>
      <c r="J472" s="48"/>
      <c r="K472" s="49"/>
    </row>
    <row r="473" spans="1:11" ht="12.75" hidden="1" x14ac:dyDescent="0.2">
      <c r="A473" s="16"/>
      <c r="B473" s="16"/>
      <c r="C473" s="15"/>
      <c r="D473" s="16"/>
      <c r="E473" s="17"/>
      <c r="F473" s="17"/>
      <c r="H473" s="19"/>
      <c r="I473" s="47"/>
      <c r="J473" s="48"/>
      <c r="K473" s="49"/>
    </row>
    <row r="474" spans="1:11" ht="12.75" hidden="1" x14ac:dyDescent="0.2">
      <c r="A474" s="16"/>
      <c r="B474" s="16"/>
      <c r="C474" s="15"/>
      <c r="D474" s="16"/>
      <c r="E474" s="17"/>
      <c r="F474" s="17"/>
      <c r="H474" s="19"/>
      <c r="I474" s="47"/>
      <c r="J474" s="48"/>
      <c r="K474" s="49"/>
    </row>
    <row r="475" spans="1:11" ht="12.75" hidden="1" x14ac:dyDescent="0.2">
      <c r="A475" s="16"/>
      <c r="B475" s="16"/>
      <c r="C475" s="15"/>
      <c r="D475" s="16"/>
      <c r="E475" s="17"/>
      <c r="F475" s="17"/>
      <c r="H475" s="19"/>
      <c r="I475" s="47"/>
      <c r="J475" s="48"/>
      <c r="K475" s="49"/>
    </row>
    <row r="476" spans="1:11" ht="12.75" hidden="1" x14ac:dyDescent="0.2">
      <c r="A476" s="16"/>
      <c r="B476" s="16"/>
      <c r="C476" s="15"/>
      <c r="D476" s="16"/>
      <c r="E476" s="17"/>
      <c r="F476" s="17"/>
      <c r="H476" s="19"/>
      <c r="I476" s="47"/>
      <c r="J476" s="48"/>
      <c r="K476" s="49"/>
    </row>
    <row r="477" spans="1:11" ht="12.75" hidden="1" x14ac:dyDescent="0.2">
      <c r="A477" s="16"/>
      <c r="B477" s="16"/>
      <c r="C477" s="15"/>
      <c r="D477" s="16"/>
      <c r="E477" s="17"/>
      <c r="F477" s="17"/>
      <c r="H477" s="19"/>
      <c r="I477" s="47"/>
      <c r="J477" s="48"/>
      <c r="K477" s="49"/>
    </row>
    <row r="478" spans="1:11" ht="12.75" hidden="1" x14ac:dyDescent="0.2">
      <c r="A478" s="16"/>
      <c r="B478" s="16"/>
      <c r="C478" s="15"/>
      <c r="D478" s="16"/>
      <c r="E478" s="17"/>
      <c r="F478" s="17"/>
      <c r="H478" s="19"/>
      <c r="I478" s="47"/>
      <c r="J478" s="48"/>
      <c r="K478" s="49"/>
    </row>
    <row r="479" spans="1:11" ht="12.75" hidden="1" x14ac:dyDescent="0.2">
      <c r="A479" s="16"/>
      <c r="B479" s="16"/>
      <c r="C479" s="15"/>
      <c r="D479" s="16"/>
      <c r="E479" s="17"/>
      <c r="F479" s="17"/>
      <c r="H479" s="19"/>
      <c r="I479" s="47"/>
      <c r="J479" s="48"/>
      <c r="K479" s="49"/>
    </row>
    <row r="480" spans="1:11" ht="12.75" hidden="1" x14ac:dyDescent="0.2">
      <c r="A480" s="16"/>
      <c r="B480" s="16"/>
      <c r="C480" s="15"/>
      <c r="D480" s="16"/>
      <c r="E480" s="17"/>
      <c r="F480" s="17"/>
      <c r="H480" s="19"/>
      <c r="I480" s="47"/>
      <c r="J480" s="48"/>
      <c r="K480" s="49"/>
    </row>
    <row r="481" spans="1:11" ht="12.75" hidden="1" x14ac:dyDescent="0.2">
      <c r="A481" s="16"/>
      <c r="B481" s="16"/>
      <c r="C481" s="15"/>
      <c r="D481" s="16"/>
      <c r="E481" s="17"/>
      <c r="F481" s="17"/>
      <c r="H481" s="19"/>
      <c r="I481" s="47"/>
      <c r="J481" s="48"/>
      <c r="K481" s="49"/>
    </row>
    <row r="482" spans="1:11" ht="12.75" hidden="1" x14ac:dyDescent="0.2">
      <c r="A482" s="16"/>
      <c r="B482" s="16"/>
      <c r="C482" s="15"/>
      <c r="D482" s="16"/>
      <c r="E482" s="17"/>
      <c r="F482" s="17"/>
      <c r="H482" s="19"/>
      <c r="I482" s="47"/>
      <c r="J482" s="48"/>
      <c r="K482" s="49"/>
    </row>
    <row r="483" spans="1:11" ht="12.75" hidden="1" x14ac:dyDescent="0.2">
      <c r="A483" s="16"/>
      <c r="B483" s="16"/>
      <c r="C483" s="15"/>
      <c r="D483" s="16"/>
      <c r="E483" s="17"/>
      <c r="F483" s="17"/>
      <c r="H483" s="19"/>
      <c r="I483" s="47"/>
      <c r="J483" s="48"/>
      <c r="K483" s="49"/>
    </row>
    <row r="484" spans="1:11" ht="12.75" hidden="1" x14ac:dyDescent="0.2">
      <c r="A484" s="16"/>
      <c r="B484" s="16"/>
      <c r="C484" s="15"/>
      <c r="D484" s="16"/>
      <c r="E484" s="17"/>
      <c r="F484" s="17"/>
      <c r="H484" s="19"/>
      <c r="I484" s="47"/>
      <c r="J484" s="48"/>
      <c r="K484" s="49"/>
    </row>
    <row r="485" spans="1:11" ht="12.75" hidden="1" x14ac:dyDescent="0.2">
      <c r="A485" s="16"/>
      <c r="B485" s="16"/>
      <c r="C485" s="15"/>
      <c r="D485" s="16"/>
      <c r="E485" s="17"/>
      <c r="F485" s="17"/>
      <c r="H485" s="19"/>
      <c r="I485" s="47"/>
      <c r="J485" s="48"/>
      <c r="K485" s="49"/>
    </row>
    <row r="486" spans="1:11" ht="12.75" hidden="1" x14ac:dyDescent="0.2">
      <c r="A486" s="16"/>
      <c r="B486" s="16"/>
      <c r="C486" s="15"/>
      <c r="D486" s="16"/>
      <c r="E486" s="17"/>
      <c r="F486" s="17"/>
      <c r="H486" s="19"/>
      <c r="I486" s="47"/>
      <c r="J486" s="48"/>
      <c r="K486" s="49"/>
    </row>
    <row r="487" spans="1:11" ht="12.75" hidden="1" x14ac:dyDescent="0.2">
      <c r="A487" s="16"/>
      <c r="B487" s="16"/>
      <c r="C487" s="15"/>
      <c r="D487" s="16"/>
      <c r="E487" s="17"/>
      <c r="F487" s="17"/>
      <c r="H487" s="19"/>
      <c r="I487" s="47"/>
      <c r="J487" s="48"/>
      <c r="K487" s="49"/>
    </row>
    <row r="488" spans="1:11" ht="12.75" hidden="1" x14ac:dyDescent="0.2">
      <c r="A488" s="16"/>
      <c r="B488" s="16"/>
      <c r="C488" s="15"/>
      <c r="D488" s="16"/>
      <c r="E488" s="17"/>
      <c r="F488" s="17"/>
      <c r="H488" s="19"/>
      <c r="I488" s="47"/>
      <c r="J488" s="48"/>
      <c r="K488" s="49"/>
    </row>
    <row r="489" spans="1:11" ht="12.75" hidden="1" x14ac:dyDescent="0.2">
      <c r="A489" s="16"/>
      <c r="B489" s="16"/>
      <c r="C489" s="15"/>
      <c r="D489" s="16"/>
      <c r="E489" s="17"/>
      <c r="F489" s="17"/>
      <c r="H489" s="19"/>
      <c r="I489" s="47"/>
      <c r="J489" s="48"/>
      <c r="K489" s="49"/>
    </row>
    <row r="490" spans="1:11" ht="12.75" hidden="1" x14ac:dyDescent="0.2">
      <c r="A490" s="16"/>
      <c r="B490" s="16"/>
      <c r="C490" s="15"/>
      <c r="D490" s="16"/>
      <c r="E490" s="17"/>
      <c r="F490" s="17"/>
      <c r="H490" s="19"/>
      <c r="I490" s="47"/>
      <c r="J490" s="48"/>
      <c r="K490" s="49"/>
    </row>
    <row r="491" spans="1:11" ht="12.75" hidden="1" x14ac:dyDescent="0.2">
      <c r="A491" s="16"/>
      <c r="B491" s="16"/>
      <c r="C491" s="15"/>
      <c r="D491" s="16"/>
      <c r="E491" s="17"/>
      <c r="F491" s="17"/>
      <c r="H491" s="19"/>
      <c r="I491" s="47"/>
      <c r="J491" s="48"/>
      <c r="K491" s="49"/>
    </row>
    <row r="492" spans="1:11" ht="12.75" hidden="1" x14ac:dyDescent="0.2">
      <c r="A492" s="16"/>
      <c r="B492" s="16"/>
      <c r="C492" s="15"/>
      <c r="D492" s="16"/>
      <c r="E492" s="17"/>
      <c r="F492" s="17"/>
      <c r="H492" s="19"/>
      <c r="I492" s="47"/>
      <c r="J492" s="48"/>
      <c r="K492" s="49"/>
    </row>
    <row r="493" spans="1:11" ht="12.75" hidden="1" x14ac:dyDescent="0.2">
      <c r="A493" s="16"/>
      <c r="B493" s="16"/>
      <c r="C493" s="15"/>
      <c r="D493" s="16"/>
      <c r="E493" s="17"/>
      <c r="F493" s="17"/>
      <c r="H493" s="19"/>
      <c r="I493" s="47"/>
      <c r="J493" s="48"/>
      <c r="K493" s="49"/>
    </row>
    <row r="494" spans="1:11" ht="12.75" hidden="1" x14ac:dyDescent="0.2">
      <c r="A494" s="16"/>
      <c r="B494" s="16"/>
      <c r="C494" s="15"/>
      <c r="D494" s="16"/>
      <c r="E494" s="17"/>
      <c r="F494" s="17"/>
      <c r="H494" s="19"/>
      <c r="I494" s="47"/>
      <c r="J494" s="48"/>
      <c r="K494" s="49"/>
    </row>
    <row r="495" spans="1:11" ht="12.75" hidden="1" x14ac:dyDescent="0.2">
      <c r="A495" s="16"/>
      <c r="B495" s="16"/>
      <c r="C495" s="15"/>
      <c r="D495" s="16"/>
      <c r="E495" s="17"/>
      <c r="F495" s="17"/>
      <c r="H495" s="19"/>
      <c r="I495" s="47"/>
      <c r="J495" s="48"/>
      <c r="K495" s="49"/>
    </row>
    <row r="496" spans="1:11" ht="12.75" hidden="1" x14ac:dyDescent="0.2">
      <c r="A496" s="16"/>
      <c r="B496" s="16"/>
      <c r="C496" s="15"/>
      <c r="D496" s="16"/>
      <c r="E496" s="17"/>
      <c r="F496" s="17"/>
      <c r="H496" s="19"/>
      <c r="I496" s="47"/>
      <c r="J496" s="48"/>
      <c r="K496" s="49"/>
    </row>
    <row r="497" spans="1:11" ht="12.75" hidden="1" x14ac:dyDescent="0.2">
      <c r="A497" s="16"/>
      <c r="B497" s="16"/>
      <c r="C497" s="15"/>
      <c r="D497" s="16"/>
      <c r="E497" s="17"/>
      <c r="F497" s="17"/>
      <c r="H497" s="19"/>
      <c r="I497" s="47"/>
      <c r="J497" s="48"/>
      <c r="K497" s="49"/>
    </row>
    <row r="498" spans="1:11" ht="12.75" hidden="1" x14ac:dyDescent="0.2">
      <c r="A498" s="16"/>
      <c r="B498" s="16"/>
      <c r="C498" s="15"/>
      <c r="D498" s="16"/>
      <c r="E498" s="17"/>
      <c r="F498" s="17"/>
      <c r="H498" s="19"/>
      <c r="I498" s="47"/>
      <c r="J498" s="48"/>
      <c r="K498" s="49"/>
    </row>
    <row r="499" spans="1:11" ht="12.75" hidden="1" x14ac:dyDescent="0.2">
      <c r="A499" s="16"/>
      <c r="B499" s="16"/>
      <c r="C499" s="15"/>
      <c r="D499" s="16"/>
      <c r="E499" s="17"/>
      <c r="F499" s="17"/>
      <c r="H499" s="19"/>
      <c r="I499" s="47"/>
      <c r="J499" s="48"/>
      <c r="K499" s="49"/>
    </row>
    <row r="500" spans="1:11" ht="12.75" hidden="1" x14ac:dyDescent="0.2">
      <c r="A500" s="16"/>
      <c r="B500" s="16"/>
      <c r="C500" s="15"/>
      <c r="D500" s="16"/>
      <c r="E500" s="17"/>
      <c r="F500" s="17"/>
      <c r="H500" s="19"/>
      <c r="I500" s="47"/>
      <c r="J500" s="48"/>
      <c r="K500" s="49"/>
    </row>
    <row r="501" spans="1:11" ht="12.75" hidden="1" x14ac:dyDescent="0.2">
      <c r="A501" s="16"/>
      <c r="B501" s="16"/>
      <c r="C501" s="15"/>
      <c r="D501" s="16"/>
      <c r="E501" s="17"/>
      <c r="F501" s="17"/>
      <c r="H501" s="19"/>
      <c r="I501" s="47"/>
      <c r="J501" s="48"/>
      <c r="K501" s="49"/>
    </row>
    <row r="502" spans="1:11" ht="12.75" hidden="1" x14ac:dyDescent="0.2">
      <c r="A502" s="16"/>
      <c r="B502" s="16"/>
      <c r="C502" s="15"/>
      <c r="D502" s="16"/>
      <c r="E502" s="17"/>
      <c r="F502" s="17"/>
      <c r="H502" s="19"/>
      <c r="I502" s="47"/>
      <c r="J502" s="48"/>
      <c r="K502" s="49"/>
    </row>
    <row r="503" spans="1:11" ht="12.75" hidden="1" x14ac:dyDescent="0.2">
      <c r="A503" s="16"/>
      <c r="B503" s="16"/>
      <c r="C503" s="15"/>
      <c r="D503" s="16"/>
      <c r="E503" s="17"/>
      <c r="F503" s="17"/>
      <c r="H503" s="19"/>
      <c r="I503" s="47"/>
      <c r="J503" s="48"/>
      <c r="K503" s="49"/>
    </row>
    <row r="504" spans="1:11" ht="12.75" hidden="1" x14ac:dyDescent="0.2">
      <c r="A504" s="16"/>
      <c r="B504" s="16"/>
      <c r="C504" s="15"/>
      <c r="D504" s="16"/>
      <c r="E504" s="17"/>
      <c r="F504" s="17"/>
      <c r="H504" s="19"/>
      <c r="I504" s="47"/>
      <c r="J504" s="48"/>
      <c r="K504" s="49"/>
    </row>
    <row r="505" spans="1:11" ht="12.75" hidden="1" x14ac:dyDescent="0.2">
      <c r="A505" s="16"/>
      <c r="B505" s="16"/>
      <c r="C505" s="15"/>
      <c r="D505" s="16"/>
      <c r="E505" s="17"/>
      <c r="F505" s="17"/>
      <c r="H505" s="19"/>
      <c r="I505" s="47"/>
      <c r="J505" s="48"/>
      <c r="K505" s="49"/>
    </row>
    <row r="506" spans="1:11" ht="12.75" hidden="1" x14ac:dyDescent="0.2">
      <c r="A506" s="16"/>
      <c r="B506" s="16"/>
      <c r="C506" s="15"/>
      <c r="D506" s="16"/>
      <c r="E506" s="17"/>
      <c r="F506" s="17"/>
      <c r="H506" s="19"/>
      <c r="I506" s="47"/>
      <c r="J506" s="48"/>
      <c r="K506" s="49"/>
    </row>
    <row r="507" spans="1:11" ht="12.75" hidden="1" x14ac:dyDescent="0.2">
      <c r="A507" s="16"/>
      <c r="B507" s="16"/>
      <c r="C507" s="15"/>
      <c r="D507" s="16"/>
      <c r="E507" s="17"/>
      <c r="F507" s="17"/>
      <c r="H507" s="19"/>
      <c r="I507" s="47"/>
      <c r="J507" s="48"/>
      <c r="K507" s="49"/>
    </row>
    <row r="508" spans="1:11" ht="12.75" hidden="1" x14ac:dyDescent="0.2">
      <c r="A508" s="16"/>
      <c r="B508" s="16"/>
      <c r="C508" s="15"/>
      <c r="D508" s="16"/>
      <c r="E508" s="17"/>
      <c r="F508" s="17"/>
      <c r="H508" s="19"/>
      <c r="I508" s="47"/>
      <c r="J508" s="48"/>
      <c r="K508" s="49"/>
    </row>
    <row r="509" spans="1:11" ht="12.75" hidden="1" x14ac:dyDescent="0.2">
      <c r="A509" s="16"/>
      <c r="B509" s="16"/>
      <c r="C509" s="15"/>
      <c r="D509" s="16"/>
      <c r="E509" s="17"/>
      <c r="F509" s="17"/>
      <c r="H509" s="19"/>
      <c r="I509" s="47"/>
      <c r="J509" s="48"/>
      <c r="K509" s="49"/>
    </row>
    <row r="510" spans="1:11" ht="12.75" hidden="1" x14ac:dyDescent="0.2">
      <c r="A510" s="16"/>
      <c r="B510" s="16"/>
      <c r="C510" s="15"/>
      <c r="D510" s="16"/>
      <c r="E510" s="17"/>
      <c r="F510" s="17"/>
      <c r="H510" s="19"/>
      <c r="I510" s="47"/>
      <c r="J510" s="48"/>
      <c r="K510" s="49"/>
    </row>
    <row r="511" spans="1:11" ht="12.75" hidden="1" x14ac:dyDescent="0.2">
      <c r="A511" s="16"/>
      <c r="B511" s="16"/>
      <c r="C511" s="15"/>
      <c r="D511" s="16"/>
      <c r="E511" s="17"/>
      <c r="F511" s="17"/>
      <c r="H511" s="19"/>
      <c r="I511" s="47"/>
      <c r="J511" s="48"/>
      <c r="K511" s="49"/>
    </row>
    <row r="512" spans="1:11" ht="12.75" hidden="1" x14ac:dyDescent="0.2">
      <c r="A512" s="16"/>
      <c r="B512" s="16"/>
      <c r="C512" s="15"/>
      <c r="D512" s="16"/>
      <c r="E512" s="17"/>
      <c r="F512" s="17"/>
      <c r="H512" s="19"/>
      <c r="I512" s="47"/>
      <c r="J512" s="48"/>
      <c r="K512" s="49"/>
    </row>
    <row r="513" spans="1:11" ht="12.75" hidden="1" x14ac:dyDescent="0.2">
      <c r="A513" s="16"/>
      <c r="B513" s="16"/>
      <c r="C513" s="15"/>
      <c r="D513" s="16"/>
      <c r="E513" s="17"/>
      <c r="F513" s="17"/>
      <c r="H513" s="19"/>
      <c r="I513" s="47"/>
      <c r="J513" s="48"/>
      <c r="K513" s="49"/>
    </row>
    <row r="514" spans="1:11" ht="12.75" hidden="1" x14ac:dyDescent="0.2">
      <c r="A514" s="16"/>
      <c r="B514" s="16"/>
      <c r="C514" s="15"/>
      <c r="D514" s="16"/>
      <c r="E514" s="17"/>
      <c r="F514" s="17"/>
      <c r="H514" s="19"/>
      <c r="I514" s="47"/>
      <c r="J514" s="48"/>
      <c r="K514" s="49"/>
    </row>
    <row r="515" spans="1:11" ht="12.75" hidden="1" x14ac:dyDescent="0.2">
      <c r="A515" s="16"/>
      <c r="B515" s="16"/>
      <c r="C515" s="15"/>
      <c r="D515" s="16"/>
      <c r="E515" s="17"/>
      <c r="F515" s="17"/>
      <c r="H515" s="19"/>
      <c r="I515" s="47"/>
      <c r="J515" s="48"/>
      <c r="K515" s="49"/>
    </row>
    <row r="516" spans="1:11" ht="12.75" hidden="1" x14ac:dyDescent="0.2">
      <c r="A516" s="16"/>
      <c r="B516" s="16"/>
      <c r="C516" s="15"/>
      <c r="D516" s="16"/>
      <c r="E516" s="17"/>
      <c r="F516" s="17"/>
      <c r="H516" s="19"/>
      <c r="I516" s="47"/>
      <c r="J516" s="48"/>
      <c r="K516" s="49"/>
    </row>
    <row r="517" spans="1:11" ht="12.75" hidden="1" x14ac:dyDescent="0.2">
      <c r="A517" s="16"/>
      <c r="B517" s="16"/>
      <c r="C517" s="15"/>
      <c r="D517" s="16"/>
      <c r="E517" s="17"/>
      <c r="F517" s="17"/>
      <c r="H517" s="19"/>
      <c r="I517" s="47"/>
      <c r="J517" s="48"/>
      <c r="K517" s="49"/>
    </row>
    <row r="518" spans="1:11" ht="12.75" hidden="1" x14ac:dyDescent="0.2">
      <c r="A518" s="16"/>
      <c r="B518" s="16"/>
      <c r="C518" s="15"/>
      <c r="D518" s="16"/>
      <c r="E518" s="17"/>
      <c r="F518" s="17"/>
      <c r="H518" s="19"/>
      <c r="I518" s="47"/>
      <c r="J518" s="48"/>
      <c r="K518" s="49"/>
    </row>
    <row r="519" spans="1:11" ht="12.75" hidden="1" x14ac:dyDescent="0.2">
      <c r="A519" s="16"/>
      <c r="B519" s="16"/>
      <c r="C519" s="15"/>
      <c r="D519" s="16"/>
      <c r="E519" s="17"/>
      <c r="F519" s="17"/>
      <c r="H519" s="19"/>
      <c r="I519" s="47"/>
      <c r="J519" s="48"/>
      <c r="K519" s="49"/>
    </row>
    <row r="520" spans="1:11" ht="12.75" hidden="1" x14ac:dyDescent="0.2">
      <c r="A520" s="16"/>
      <c r="B520" s="16"/>
      <c r="C520" s="15"/>
      <c r="D520" s="16"/>
      <c r="E520" s="17"/>
      <c r="F520" s="17"/>
      <c r="H520" s="19"/>
      <c r="I520" s="47"/>
      <c r="J520" s="48"/>
      <c r="K520" s="49"/>
    </row>
    <row r="521" spans="1:11" ht="12.75" hidden="1" x14ac:dyDescent="0.2">
      <c r="A521" s="16"/>
      <c r="B521" s="16"/>
      <c r="C521" s="15"/>
      <c r="D521" s="16"/>
      <c r="E521" s="17"/>
      <c r="F521" s="17"/>
      <c r="H521" s="19"/>
      <c r="I521" s="47"/>
      <c r="J521" s="48"/>
      <c r="K521" s="49"/>
    </row>
    <row r="522" spans="1:11" ht="12.75" hidden="1" x14ac:dyDescent="0.2">
      <c r="A522" s="16"/>
      <c r="B522" s="16"/>
      <c r="C522" s="15"/>
      <c r="D522" s="16"/>
      <c r="E522" s="17"/>
      <c r="F522" s="17"/>
      <c r="H522" s="19"/>
      <c r="I522" s="47"/>
      <c r="J522" s="48"/>
      <c r="K522" s="49"/>
    </row>
    <row r="523" spans="1:11" ht="12.75" hidden="1" x14ac:dyDescent="0.2">
      <c r="A523" s="16"/>
      <c r="B523" s="16"/>
      <c r="C523" s="15"/>
      <c r="D523" s="16"/>
      <c r="E523" s="17"/>
      <c r="F523" s="17"/>
      <c r="H523" s="19"/>
      <c r="I523" s="47"/>
      <c r="J523" s="48"/>
      <c r="K523" s="49"/>
    </row>
    <row r="524" spans="1:11" ht="12.75" hidden="1" x14ac:dyDescent="0.2">
      <c r="A524" s="16"/>
      <c r="B524" s="16"/>
      <c r="C524" s="15"/>
      <c r="D524" s="16"/>
      <c r="E524" s="17"/>
      <c r="F524" s="17"/>
      <c r="H524" s="19"/>
      <c r="I524" s="47"/>
      <c r="J524" s="48"/>
      <c r="K524" s="49"/>
    </row>
    <row r="525" spans="1:11" ht="12.75" hidden="1" x14ac:dyDescent="0.2">
      <c r="A525" s="16"/>
      <c r="B525" s="16"/>
      <c r="C525" s="15"/>
      <c r="D525" s="16"/>
      <c r="E525" s="17"/>
      <c r="F525" s="17"/>
      <c r="H525" s="19"/>
      <c r="I525" s="47"/>
      <c r="J525" s="48"/>
      <c r="K525" s="49"/>
    </row>
    <row r="526" spans="1:11" ht="12.75" hidden="1" x14ac:dyDescent="0.2">
      <c r="A526" s="16"/>
      <c r="B526" s="16"/>
      <c r="C526" s="15"/>
      <c r="D526" s="16"/>
      <c r="E526" s="17"/>
      <c r="F526" s="17"/>
      <c r="H526" s="19"/>
      <c r="I526" s="47"/>
      <c r="J526" s="48"/>
      <c r="K526" s="49"/>
    </row>
    <row r="527" spans="1:11" ht="12.75" hidden="1" x14ac:dyDescent="0.2">
      <c r="A527" s="16"/>
      <c r="B527" s="16"/>
      <c r="C527" s="15"/>
      <c r="D527" s="16"/>
      <c r="E527" s="17"/>
      <c r="F527" s="17"/>
      <c r="H527" s="19"/>
      <c r="I527" s="47"/>
      <c r="J527" s="48"/>
      <c r="K527" s="49"/>
    </row>
    <row r="528" spans="1:11" ht="12.75" hidden="1" x14ac:dyDescent="0.2">
      <c r="A528" s="16"/>
      <c r="B528" s="16"/>
      <c r="C528" s="15"/>
      <c r="D528" s="16"/>
      <c r="E528" s="17"/>
      <c r="F528" s="17"/>
      <c r="H528" s="19"/>
      <c r="I528" s="47"/>
      <c r="J528" s="48"/>
      <c r="K528" s="49"/>
    </row>
    <row r="529" spans="1:11" ht="12.75" hidden="1" x14ac:dyDescent="0.2">
      <c r="A529" s="16"/>
      <c r="B529" s="16"/>
      <c r="C529" s="15"/>
      <c r="D529" s="16"/>
      <c r="E529" s="17"/>
      <c r="F529" s="17"/>
      <c r="H529" s="19"/>
      <c r="I529" s="47"/>
      <c r="J529" s="48"/>
      <c r="K529" s="49"/>
    </row>
    <row r="530" spans="1:11" ht="12.75" hidden="1" x14ac:dyDescent="0.2">
      <c r="A530" s="16"/>
      <c r="B530" s="16"/>
      <c r="C530" s="15"/>
      <c r="D530" s="16"/>
      <c r="E530" s="17"/>
      <c r="F530" s="17"/>
      <c r="H530" s="19"/>
      <c r="I530" s="47"/>
      <c r="J530" s="48"/>
      <c r="K530" s="49"/>
    </row>
    <row r="531" spans="1:11" ht="12.75" hidden="1" x14ac:dyDescent="0.2">
      <c r="A531" s="16"/>
      <c r="B531" s="16"/>
      <c r="C531" s="15"/>
      <c r="D531" s="16"/>
      <c r="E531" s="17"/>
      <c r="F531" s="17"/>
      <c r="H531" s="19"/>
      <c r="I531" s="47"/>
      <c r="J531" s="48"/>
      <c r="K531" s="49"/>
    </row>
    <row r="532" spans="1:11" ht="12.75" hidden="1" x14ac:dyDescent="0.2">
      <c r="A532" s="16"/>
      <c r="B532" s="16"/>
      <c r="C532" s="15"/>
      <c r="D532" s="16"/>
      <c r="E532" s="17"/>
      <c r="F532" s="17"/>
      <c r="H532" s="19"/>
      <c r="I532" s="47"/>
      <c r="J532" s="48"/>
      <c r="K532" s="49"/>
    </row>
    <row r="533" spans="1:11" ht="12.75" hidden="1" x14ac:dyDescent="0.2">
      <c r="A533" s="16"/>
      <c r="B533" s="16"/>
      <c r="C533" s="15"/>
      <c r="D533" s="16"/>
      <c r="E533" s="17"/>
      <c r="F533" s="17"/>
      <c r="H533" s="19"/>
      <c r="I533" s="47"/>
      <c r="J533" s="48"/>
      <c r="K533" s="49"/>
    </row>
    <row r="534" spans="1:11" ht="12.75" hidden="1" x14ac:dyDescent="0.2">
      <c r="A534" s="16"/>
      <c r="B534" s="16"/>
      <c r="C534" s="15"/>
      <c r="D534" s="16"/>
      <c r="E534" s="17"/>
      <c r="F534" s="17"/>
      <c r="H534" s="19"/>
      <c r="I534" s="47"/>
      <c r="J534" s="48"/>
      <c r="K534" s="49"/>
    </row>
    <row r="535" spans="1:11" ht="12.75" hidden="1" x14ac:dyDescent="0.2">
      <c r="A535" s="16"/>
      <c r="B535" s="16"/>
      <c r="C535" s="15"/>
      <c r="D535" s="16"/>
      <c r="E535" s="17"/>
      <c r="F535" s="17"/>
      <c r="H535" s="19"/>
      <c r="I535" s="47"/>
      <c r="J535" s="48"/>
      <c r="K535" s="49"/>
    </row>
    <row r="536" spans="1:11" ht="12.75" hidden="1" x14ac:dyDescent="0.2">
      <c r="A536" s="16"/>
      <c r="B536" s="16"/>
      <c r="C536" s="15"/>
      <c r="D536" s="16"/>
      <c r="E536" s="17"/>
      <c r="F536" s="17"/>
      <c r="H536" s="19"/>
      <c r="I536" s="47"/>
      <c r="J536" s="48"/>
      <c r="K536" s="49"/>
    </row>
    <row r="537" spans="1:11" ht="12.75" hidden="1" x14ac:dyDescent="0.2">
      <c r="A537" s="16"/>
      <c r="B537" s="16"/>
      <c r="C537" s="15"/>
      <c r="D537" s="16"/>
      <c r="E537" s="17"/>
      <c r="F537" s="17"/>
      <c r="H537" s="19"/>
      <c r="I537" s="47"/>
      <c r="J537" s="48"/>
      <c r="K537" s="49"/>
    </row>
    <row r="538" spans="1:11" ht="12.75" hidden="1" x14ac:dyDescent="0.2">
      <c r="A538" s="16"/>
      <c r="B538" s="16"/>
      <c r="C538" s="15"/>
      <c r="D538" s="16"/>
      <c r="E538" s="17"/>
      <c r="F538" s="17"/>
      <c r="H538" s="19"/>
      <c r="I538" s="47"/>
      <c r="J538" s="48"/>
      <c r="K538" s="49"/>
    </row>
    <row r="539" spans="1:11" ht="12.75" hidden="1" x14ac:dyDescent="0.2">
      <c r="A539" s="16"/>
      <c r="B539" s="16"/>
      <c r="C539" s="15"/>
      <c r="D539" s="16"/>
      <c r="E539" s="17"/>
      <c r="F539" s="17"/>
      <c r="H539" s="19"/>
      <c r="I539" s="47"/>
      <c r="J539" s="48"/>
      <c r="K539" s="49"/>
    </row>
    <row r="540" spans="1:11" ht="12.75" hidden="1" x14ac:dyDescent="0.2">
      <c r="A540" s="16"/>
      <c r="B540" s="16"/>
      <c r="C540" s="15"/>
      <c r="D540" s="16"/>
      <c r="E540" s="17"/>
      <c r="F540" s="17"/>
      <c r="H540" s="19"/>
      <c r="I540" s="47"/>
      <c r="J540" s="48"/>
      <c r="K540" s="49"/>
    </row>
    <row r="541" spans="1:11" ht="12.75" hidden="1" x14ac:dyDescent="0.2">
      <c r="A541" s="16"/>
      <c r="B541" s="16"/>
      <c r="C541" s="15"/>
      <c r="D541" s="16"/>
      <c r="E541" s="17"/>
      <c r="F541" s="17"/>
      <c r="H541" s="19"/>
      <c r="I541" s="47"/>
      <c r="J541" s="48"/>
      <c r="K541" s="49"/>
    </row>
    <row r="542" spans="1:11" ht="12.75" hidden="1" x14ac:dyDescent="0.2">
      <c r="A542" s="16"/>
      <c r="B542" s="16"/>
      <c r="C542" s="15"/>
      <c r="D542" s="16"/>
      <c r="E542" s="17"/>
      <c r="F542" s="17"/>
      <c r="H542" s="19"/>
      <c r="I542" s="47"/>
      <c r="J542" s="48"/>
      <c r="K542" s="49"/>
    </row>
    <row r="543" spans="1:11" ht="12.75" hidden="1" x14ac:dyDescent="0.2">
      <c r="A543" s="16"/>
      <c r="B543" s="16"/>
      <c r="C543" s="15"/>
      <c r="D543" s="16"/>
      <c r="E543" s="17"/>
      <c r="F543" s="17"/>
      <c r="H543" s="19"/>
      <c r="I543" s="47"/>
      <c r="J543" s="48"/>
      <c r="K543" s="49"/>
    </row>
    <row r="544" spans="1:11" ht="12.75" hidden="1" x14ac:dyDescent="0.2">
      <c r="A544" s="16"/>
      <c r="B544" s="16"/>
      <c r="C544" s="15"/>
      <c r="D544" s="16"/>
      <c r="E544" s="17"/>
      <c r="F544" s="17"/>
      <c r="H544" s="19"/>
      <c r="I544" s="47"/>
      <c r="J544" s="48"/>
      <c r="K544" s="49"/>
    </row>
    <row r="545" spans="1:11" ht="12.75" hidden="1" x14ac:dyDescent="0.2">
      <c r="A545" s="16"/>
      <c r="B545" s="16"/>
      <c r="C545" s="15"/>
      <c r="D545" s="16"/>
      <c r="E545" s="17"/>
      <c r="F545" s="17"/>
      <c r="H545" s="19"/>
      <c r="I545" s="47"/>
      <c r="J545" s="48"/>
      <c r="K545" s="49"/>
    </row>
    <row r="546" spans="1:11" ht="12.75" hidden="1" x14ac:dyDescent="0.2">
      <c r="A546" s="16"/>
      <c r="B546" s="16"/>
      <c r="C546" s="15"/>
      <c r="D546" s="16"/>
      <c r="E546" s="17"/>
      <c r="F546" s="17"/>
      <c r="H546" s="19"/>
      <c r="I546" s="47"/>
      <c r="J546" s="48"/>
      <c r="K546" s="49"/>
    </row>
    <row r="547" spans="1:11" ht="12.75" hidden="1" x14ac:dyDescent="0.2">
      <c r="A547" s="16"/>
      <c r="B547" s="16"/>
      <c r="C547" s="15"/>
      <c r="D547" s="16"/>
      <c r="E547" s="17"/>
      <c r="F547" s="17"/>
      <c r="H547" s="19"/>
      <c r="I547" s="47"/>
      <c r="J547" s="48"/>
      <c r="K547" s="49"/>
    </row>
    <row r="548" spans="1:11" ht="12.75" hidden="1" x14ac:dyDescent="0.2">
      <c r="A548" s="16"/>
      <c r="B548" s="16"/>
      <c r="C548" s="15"/>
      <c r="D548" s="16"/>
      <c r="E548" s="17"/>
      <c r="F548" s="17"/>
      <c r="H548" s="19"/>
      <c r="I548" s="47"/>
      <c r="J548" s="48"/>
      <c r="K548" s="49"/>
    </row>
    <row r="549" spans="1:11" ht="12.75" hidden="1" x14ac:dyDescent="0.2">
      <c r="A549" s="16"/>
      <c r="B549" s="16"/>
      <c r="C549" s="15"/>
      <c r="D549" s="16"/>
      <c r="E549" s="17"/>
      <c r="F549" s="17"/>
      <c r="H549" s="19"/>
      <c r="I549" s="47"/>
      <c r="J549" s="48"/>
      <c r="K549" s="49"/>
    </row>
    <row r="550" spans="1:11" ht="12.75" hidden="1" x14ac:dyDescent="0.2">
      <c r="A550" s="16"/>
      <c r="B550" s="16"/>
      <c r="C550" s="15"/>
      <c r="D550" s="16"/>
      <c r="E550" s="17"/>
      <c r="F550" s="17"/>
      <c r="H550" s="19"/>
      <c r="I550" s="47"/>
      <c r="J550" s="48"/>
      <c r="K550" s="49"/>
    </row>
    <row r="551" spans="1:11" ht="12.75" hidden="1" x14ac:dyDescent="0.2">
      <c r="A551" s="16"/>
      <c r="B551" s="16"/>
      <c r="C551" s="15"/>
      <c r="D551" s="16"/>
      <c r="E551" s="17"/>
      <c r="F551" s="17"/>
      <c r="H551" s="19"/>
      <c r="I551" s="47"/>
      <c r="J551" s="48"/>
      <c r="K551" s="49"/>
    </row>
    <row r="552" spans="1:11" ht="12.75" hidden="1" x14ac:dyDescent="0.2">
      <c r="A552" s="16"/>
      <c r="B552" s="16"/>
      <c r="C552" s="15"/>
      <c r="D552" s="16"/>
      <c r="E552" s="17"/>
      <c r="F552" s="17"/>
      <c r="H552" s="19"/>
      <c r="I552" s="47"/>
      <c r="J552" s="48"/>
      <c r="K552" s="49"/>
    </row>
    <row r="553" spans="1:11" ht="12.75" hidden="1" x14ac:dyDescent="0.2">
      <c r="A553" s="16"/>
      <c r="B553" s="16"/>
      <c r="C553" s="15"/>
      <c r="D553" s="16"/>
      <c r="E553" s="17"/>
      <c r="F553" s="17"/>
      <c r="H553" s="19"/>
      <c r="I553" s="47"/>
      <c r="J553" s="48"/>
      <c r="K553" s="49"/>
    </row>
    <row r="554" spans="1:11" ht="12.75" hidden="1" x14ac:dyDescent="0.2">
      <c r="A554" s="16"/>
      <c r="B554" s="16"/>
      <c r="C554" s="15"/>
      <c r="D554" s="16"/>
      <c r="E554" s="17"/>
      <c r="F554" s="17"/>
      <c r="H554" s="19"/>
      <c r="I554" s="47"/>
      <c r="J554" s="48"/>
      <c r="K554" s="49"/>
    </row>
    <row r="555" spans="1:11" ht="12.75" hidden="1" x14ac:dyDescent="0.2">
      <c r="A555" s="16"/>
      <c r="B555" s="16"/>
      <c r="C555" s="15"/>
      <c r="D555" s="16"/>
      <c r="E555" s="17"/>
      <c r="F555" s="17"/>
      <c r="H555" s="19"/>
      <c r="I555" s="47"/>
      <c r="J555" s="48"/>
      <c r="K555" s="49"/>
    </row>
    <row r="556" spans="1:11" ht="12.75" hidden="1" x14ac:dyDescent="0.2">
      <c r="A556" s="16"/>
      <c r="B556" s="16"/>
      <c r="C556" s="15"/>
      <c r="D556" s="16"/>
      <c r="E556" s="17"/>
      <c r="F556" s="17"/>
      <c r="H556" s="19"/>
      <c r="I556" s="47"/>
      <c r="J556" s="48"/>
      <c r="K556" s="49"/>
    </row>
    <row r="557" spans="1:11" ht="12.75" hidden="1" x14ac:dyDescent="0.2">
      <c r="A557" s="16"/>
      <c r="B557" s="16"/>
      <c r="C557" s="15"/>
      <c r="D557" s="16"/>
      <c r="E557" s="17"/>
      <c r="F557" s="17"/>
      <c r="H557" s="19"/>
      <c r="I557" s="47"/>
      <c r="J557" s="48"/>
      <c r="K557" s="49"/>
    </row>
    <row r="558" spans="1:11" ht="12.75" hidden="1" x14ac:dyDescent="0.2">
      <c r="A558" s="16"/>
      <c r="B558" s="16"/>
      <c r="C558" s="15"/>
      <c r="D558" s="16"/>
      <c r="E558" s="17"/>
      <c r="F558" s="17"/>
      <c r="H558" s="19"/>
      <c r="I558" s="47"/>
      <c r="J558" s="48"/>
      <c r="K558" s="49"/>
    </row>
    <row r="559" spans="1:11" ht="12.75" hidden="1" x14ac:dyDescent="0.2">
      <c r="A559" s="16"/>
      <c r="B559" s="16"/>
      <c r="C559" s="15"/>
      <c r="D559" s="16"/>
      <c r="E559" s="17"/>
      <c r="F559" s="17"/>
      <c r="H559" s="19"/>
      <c r="I559" s="47"/>
      <c r="J559" s="48"/>
      <c r="K559" s="49"/>
    </row>
    <row r="560" spans="1:11" ht="12.75" hidden="1" x14ac:dyDescent="0.2">
      <c r="A560" s="16"/>
      <c r="B560" s="16"/>
      <c r="C560" s="15"/>
      <c r="D560" s="16"/>
      <c r="E560" s="17"/>
      <c r="F560" s="17"/>
      <c r="H560" s="19"/>
      <c r="I560" s="47"/>
      <c r="J560" s="48"/>
      <c r="K560" s="49"/>
    </row>
    <row r="561" spans="1:11" ht="12.75" hidden="1" x14ac:dyDescent="0.2">
      <c r="A561" s="16"/>
      <c r="B561" s="16"/>
      <c r="C561" s="15"/>
      <c r="D561" s="16"/>
      <c r="E561" s="17"/>
      <c r="F561" s="17"/>
      <c r="H561" s="19"/>
      <c r="I561" s="47"/>
      <c r="J561" s="48"/>
      <c r="K561" s="49"/>
    </row>
    <row r="562" spans="1:11" ht="12.75" hidden="1" x14ac:dyDescent="0.2">
      <c r="A562" s="16"/>
      <c r="B562" s="16"/>
      <c r="C562" s="15"/>
      <c r="D562" s="16"/>
      <c r="E562" s="17"/>
      <c r="F562" s="17"/>
      <c r="H562" s="19"/>
      <c r="I562" s="47"/>
      <c r="J562" s="48"/>
      <c r="K562" s="49"/>
    </row>
    <row r="563" spans="1:11" ht="12.75" hidden="1" x14ac:dyDescent="0.2">
      <c r="A563" s="16"/>
      <c r="B563" s="16"/>
      <c r="C563" s="15"/>
      <c r="D563" s="16"/>
      <c r="E563" s="17"/>
      <c r="F563" s="17"/>
      <c r="H563" s="19"/>
      <c r="I563" s="47"/>
      <c r="J563" s="48"/>
      <c r="K563" s="49"/>
    </row>
    <row r="564" spans="1:11" ht="12.75" hidden="1" x14ac:dyDescent="0.2">
      <c r="A564" s="16"/>
      <c r="B564" s="16"/>
      <c r="C564" s="15"/>
      <c r="D564" s="16"/>
      <c r="E564" s="17"/>
      <c r="F564" s="17"/>
      <c r="H564" s="19"/>
      <c r="I564" s="47"/>
      <c r="J564" s="48"/>
      <c r="K564" s="49"/>
    </row>
    <row r="565" spans="1:11" ht="12.75" hidden="1" x14ac:dyDescent="0.2">
      <c r="A565" s="16"/>
      <c r="B565" s="16"/>
      <c r="C565" s="15"/>
      <c r="D565" s="16"/>
      <c r="E565" s="17"/>
      <c r="F565" s="17"/>
      <c r="H565" s="19"/>
      <c r="I565" s="47"/>
      <c r="J565" s="48"/>
      <c r="K565" s="49"/>
    </row>
    <row r="566" spans="1:11" ht="12.75" hidden="1" x14ac:dyDescent="0.2">
      <c r="A566" s="16"/>
      <c r="B566" s="16"/>
      <c r="C566" s="15"/>
      <c r="D566" s="16"/>
      <c r="E566" s="17"/>
      <c r="F566" s="17"/>
      <c r="H566" s="19"/>
      <c r="I566" s="47"/>
      <c r="J566" s="48"/>
      <c r="K566" s="49"/>
    </row>
    <row r="567" spans="1:11" ht="12.75" hidden="1" x14ac:dyDescent="0.2">
      <c r="A567" s="16"/>
      <c r="B567" s="16"/>
      <c r="C567" s="15"/>
      <c r="D567" s="16"/>
      <c r="E567" s="17"/>
      <c r="F567" s="17"/>
      <c r="H567" s="19"/>
      <c r="I567" s="47"/>
      <c r="J567" s="48"/>
      <c r="K567" s="49"/>
    </row>
    <row r="568" spans="1:11" ht="12.75" hidden="1" x14ac:dyDescent="0.2">
      <c r="A568" s="16"/>
      <c r="B568" s="16"/>
      <c r="C568" s="15"/>
      <c r="D568" s="16"/>
      <c r="E568" s="17"/>
      <c r="F568" s="17"/>
      <c r="H568" s="19"/>
      <c r="I568" s="47"/>
      <c r="J568" s="48"/>
      <c r="K568" s="49"/>
    </row>
    <row r="569" spans="1:11" ht="12.75" hidden="1" x14ac:dyDescent="0.2">
      <c r="A569" s="16"/>
      <c r="B569" s="16"/>
      <c r="C569" s="15"/>
      <c r="D569" s="16"/>
      <c r="E569" s="17"/>
      <c r="F569" s="17"/>
      <c r="H569" s="19"/>
      <c r="I569" s="47"/>
      <c r="J569" s="48"/>
      <c r="K569" s="49"/>
    </row>
    <row r="570" spans="1:11" ht="12.75" hidden="1" x14ac:dyDescent="0.2">
      <c r="A570" s="16"/>
      <c r="B570" s="16"/>
      <c r="C570" s="15"/>
      <c r="D570" s="16"/>
      <c r="E570" s="17"/>
      <c r="F570" s="17"/>
      <c r="H570" s="19"/>
      <c r="I570" s="47"/>
      <c r="J570" s="48"/>
      <c r="K570" s="49"/>
    </row>
    <row r="571" spans="1:11" ht="12.75" hidden="1" x14ac:dyDescent="0.2">
      <c r="A571" s="16"/>
      <c r="B571" s="16"/>
      <c r="C571" s="15"/>
      <c r="D571" s="16"/>
      <c r="E571" s="17"/>
      <c r="F571" s="17"/>
      <c r="H571" s="19"/>
      <c r="I571" s="47"/>
      <c r="J571" s="48"/>
      <c r="K571" s="49"/>
    </row>
    <row r="572" spans="1:11" ht="12.75" hidden="1" x14ac:dyDescent="0.2">
      <c r="A572" s="16"/>
      <c r="B572" s="16"/>
      <c r="C572" s="15"/>
      <c r="D572" s="16"/>
      <c r="E572" s="17"/>
      <c r="F572" s="17"/>
      <c r="H572" s="19"/>
      <c r="I572" s="47"/>
      <c r="J572" s="48"/>
      <c r="K572" s="49"/>
    </row>
    <row r="573" spans="1:11" ht="12.75" hidden="1" x14ac:dyDescent="0.2">
      <c r="A573" s="16"/>
      <c r="B573" s="16"/>
      <c r="C573" s="15"/>
      <c r="D573" s="16"/>
      <c r="E573" s="17"/>
      <c r="F573" s="17"/>
      <c r="H573" s="19"/>
      <c r="I573" s="47"/>
      <c r="J573" s="48"/>
      <c r="K573" s="49"/>
    </row>
    <row r="574" spans="1:11" ht="12.75" hidden="1" x14ac:dyDescent="0.2">
      <c r="A574" s="16"/>
      <c r="B574" s="16"/>
      <c r="C574" s="15"/>
      <c r="D574" s="16"/>
      <c r="E574" s="17"/>
      <c r="F574" s="17"/>
      <c r="H574" s="19"/>
      <c r="I574" s="47"/>
      <c r="J574" s="48"/>
      <c r="K574" s="49"/>
    </row>
    <row r="575" spans="1:11" ht="12.75" hidden="1" x14ac:dyDescent="0.2">
      <c r="A575" s="16"/>
      <c r="B575" s="16"/>
      <c r="C575" s="15"/>
      <c r="D575" s="16"/>
      <c r="E575" s="17"/>
      <c r="F575" s="17"/>
      <c r="H575" s="19"/>
      <c r="I575" s="47"/>
      <c r="J575" s="48"/>
      <c r="K575" s="49"/>
    </row>
    <row r="576" spans="1:11" ht="12.75" hidden="1" x14ac:dyDescent="0.2">
      <c r="A576" s="16"/>
      <c r="B576" s="16"/>
      <c r="C576" s="15"/>
      <c r="D576" s="16"/>
      <c r="E576" s="17"/>
      <c r="F576" s="17"/>
      <c r="H576" s="19"/>
      <c r="I576" s="47"/>
      <c r="J576" s="48"/>
      <c r="K576" s="49"/>
    </row>
    <row r="577" spans="1:11" ht="12.75" hidden="1" x14ac:dyDescent="0.2">
      <c r="A577" s="16"/>
      <c r="B577" s="16"/>
      <c r="C577" s="15"/>
      <c r="D577" s="16"/>
      <c r="E577" s="17"/>
      <c r="F577" s="17"/>
      <c r="H577" s="19"/>
      <c r="I577" s="47"/>
      <c r="J577" s="48"/>
      <c r="K577" s="49"/>
    </row>
    <row r="578" spans="1:11" ht="12.75" hidden="1" x14ac:dyDescent="0.2">
      <c r="A578" s="16"/>
      <c r="B578" s="16"/>
      <c r="C578" s="15"/>
      <c r="D578" s="16"/>
      <c r="E578" s="17"/>
      <c r="F578" s="17"/>
      <c r="H578" s="19"/>
      <c r="I578" s="47"/>
      <c r="J578" s="48"/>
      <c r="K578" s="49"/>
    </row>
    <row r="579" spans="1:11" ht="12.75" hidden="1" x14ac:dyDescent="0.2">
      <c r="A579" s="16"/>
      <c r="B579" s="16"/>
      <c r="C579" s="15"/>
      <c r="D579" s="16"/>
      <c r="E579" s="17"/>
      <c r="F579" s="17"/>
      <c r="H579" s="19"/>
      <c r="I579" s="47"/>
      <c r="J579" s="48"/>
      <c r="K579" s="49"/>
    </row>
    <row r="580" spans="1:11" ht="12.75" hidden="1" x14ac:dyDescent="0.2">
      <c r="A580" s="16"/>
      <c r="B580" s="16"/>
      <c r="C580" s="15"/>
      <c r="D580" s="16"/>
      <c r="E580" s="17"/>
      <c r="F580" s="17"/>
      <c r="H580" s="19"/>
      <c r="I580" s="47"/>
      <c r="J580" s="48"/>
      <c r="K580" s="49"/>
    </row>
    <row r="581" spans="1:11" ht="12.75" hidden="1" x14ac:dyDescent="0.2">
      <c r="A581" s="16"/>
      <c r="B581" s="16"/>
      <c r="C581" s="15"/>
      <c r="D581" s="16"/>
      <c r="E581" s="17"/>
      <c r="F581" s="17"/>
      <c r="H581" s="19"/>
      <c r="I581" s="47"/>
      <c r="J581" s="48"/>
      <c r="K581" s="49"/>
    </row>
    <row r="582" spans="1:11" ht="12.75" hidden="1" x14ac:dyDescent="0.2">
      <c r="A582" s="16"/>
      <c r="B582" s="16"/>
      <c r="C582" s="15"/>
      <c r="D582" s="16"/>
      <c r="E582" s="17"/>
      <c r="F582" s="17"/>
      <c r="H582" s="19"/>
      <c r="I582" s="47"/>
      <c r="J582" s="48"/>
      <c r="K582" s="49"/>
    </row>
    <row r="583" spans="1:11" ht="12.75" hidden="1" x14ac:dyDescent="0.2">
      <c r="A583" s="16"/>
      <c r="B583" s="16"/>
      <c r="C583" s="15"/>
      <c r="D583" s="16"/>
      <c r="E583" s="17"/>
      <c r="F583" s="17"/>
      <c r="H583" s="19"/>
      <c r="I583" s="47"/>
      <c r="J583" s="48"/>
      <c r="K583" s="49"/>
    </row>
    <row r="584" spans="1:11" ht="12.75" hidden="1" x14ac:dyDescent="0.2">
      <c r="A584" s="16"/>
      <c r="B584" s="16"/>
      <c r="C584" s="15"/>
      <c r="D584" s="16"/>
      <c r="E584" s="17"/>
      <c r="F584" s="17"/>
      <c r="H584" s="19"/>
      <c r="I584" s="47"/>
      <c r="J584" s="48"/>
      <c r="K584" s="49"/>
    </row>
    <row r="585" spans="1:11" ht="12.75" hidden="1" x14ac:dyDescent="0.2">
      <c r="A585" s="16"/>
      <c r="B585" s="16"/>
      <c r="C585" s="15"/>
      <c r="D585" s="16"/>
      <c r="E585" s="17"/>
      <c r="F585" s="17"/>
      <c r="H585" s="19"/>
      <c r="I585" s="47"/>
      <c r="J585" s="48"/>
      <c r="K585" s="49"/>
    </row>
    <row r="586" spans="1:11" ht="12.75" hidden="1" x14ac:dyDescent="0.2">
      <c r="A586" s="16"/>
      <c r="B586" s="16"/>
      <c r="C586" s="15"/>
      <c r="D586" s="16"/>
      <c r="E586" s="17"/>
      <c r="F586" s="17"/>
      <c r="H586" s="19"/>
      <c r="I586" s="47"/>
      <c r="J586" s="48"/>
      <c r="K586" s="49"/>
    </row>
    <row r="587" spans="1:11" ht="12.75" hidden="1" x14ac:dyDescent="0.2">
      <c r="A587" s="16"/>
      <c r="B587" s="16"/>
      <c r="C587" s="15"/>
      <c r="D587" s="16"/>
      <c r="E587" s="17"/>
      <c r="F587" s="17"/>
      <c r="H587" s="19"/>
      <c r="I587" s="47"/>
      <c r="J587" s="48"/>
      <c r="K587" s="49"/>
    </row>
    <row r="588" spans="1:11" ht="12.75" hidden="1" x14ac:dyDescent="0.2">
      <c r="A588" s="16"/>
      <c r="B588" s="16"/>
      <c r="C588" s="15"/>
      <c r="D588" s="16"/>
      <c r="E588" s="17"/>
      <c r="F588" s="17"/>
      <c r="H588" s="19"/>
      <c r="I588" s="47"/>
      <c r="J588" s="48"/>
      <c r="K588" s="49"/>
    </row>
    <row r="589" spans="1:11" ht="12.75" hidden="1" x14ac:dyDescent="0.2">
      <c r="A589" s="16"/>
      <c r="B589" s="16"/>
      <c r="C589" s="15"/>
      <c r="D589" s="16"/>
      <c r="E589" s="17"/>
      <c r="F589" s="17"/>
      <c r="H589" s="19"/>
      <c r="I589" s="47"/>
      <c r="J589" s="48"/>
      <c r="K589" s="49"/>
    </row>
    <row r="590" spans="1:11" ht="12.75" hidden="1" x14ac:dyDescent="0.2">
      <c r="A590" s="16"/>
      <c r="B590" s="16"/>
      <c r="C590" s="15"/>
      <c r="D590" s="16"/>
      <c r="E590" s="17"/>
      <c r="F590" s="17"/>
      <c r="H590" s="19"/>
      <c r="I590" s="47"/>
      <c r="J590" s="48"/>
      <c r="K590" s="49"/>
    </row>
    <row r="591" spans="1:11" ht="12.75" hidden="1" x14ac:dyDescent="0.2">
      <c r="A591" s="16"/>
      <c r="B591" s="16"/>
      <c r="C591" s="15"/>
      <c r="D591" s="16"/>
      <c r="E591" s="17"/>
      <c r="F591" s="17"/>
      <c r="H591" s="19"/>
      <c r="I591" s="47"/>
      <c r="J591" s="48"/>
      <c r="K591" s="49"/>
    </row>
    <row r="592" spans="1:11" ht="12.75" hidden="1" x14ac:dyDescent="0.2">
      <c r="A592" s="16"/>
      <c r="B592" s="16"/>
      <c r="C592" s="15"/>
      <c r="D592" s="16"/>
      <c r="E592" s="17"/>
      <c r="F592" s="17"/>
      <c r="H592" s="19"/>
      <c r="I592" s="47"/>
      <c r="J592" s="48"/>
      <c r="K592" s="49"/>
    </row>
    <row r="593" spans="1:11" ht="12.75" hidden="1" x14ac:dyDescent="0.2">
      <c r="A593" s="16"/>
      <c r="B593" s="16"/>
      <c r="C593" s="15"/>
      <c r="D593" s="16"/>
      <c r="E593" s="17"/>
      <c r="F593" s="17"/>
      <c r="H593" s="19"/>
      <c r="I593" s="47"/>
      <c r="J593" s="48"/>
      <c r="K593" s="49"/>
    </row>
    <row r="594" spans="1:11" ht="12.75" hidden="1" x14ac:dyDescent="0.2">
      <c r="A594" s="16"/>
      <c r="B594" s="16"/>
      <c r="C594" s="15"/>
      <c r="D594" s="16"/>
      <c r="E594" s="17"/>
      <c r="F594" s="17"/>
      <c r="H594" s="19"/>
      <c r="I594" s="47"/>
      <c r="J594" s="48"/>
      <c r="K594" s="49"/>
    </row>
    <row r="595" spans="1:11" ht="12.75" hidden="1" x14ac:dyDescent="0.2">
      <c r="A595" s="16"/>
      <c r="B595" s="16"/>
      <c r="C595" s="15"/>
      <c r="D595" s="16"/>
      <c r="E595" s="17"/>
      <c r="F595" s="17"/>
      <c r="H595" s="19"/>
      <c r="I595" s="47"/>
      <c r="J595" s="48"/>
      <c r="K595" s="49"/>
    </row>
    <row r="596" spans="1:11" ht="12.75" hidden="1" x14ac:dyDescent="0.2">
      <c r="A596" s="16"/>
      <c r="B596" s="16"/>
      <c r="C596" s="15"/>
      <c r="D596" s="16"/>
      <c r="E596" s="17"/>
      <c r="F596" s="17"/>
      <c r="H596" s="19"/>
      <c r="I596" s="47"/>
      <c r="J596" s="48"/>
      <c r="K596" s="49"/>
    </row>
    <row r="597" spans="1:11" ht="12.75" hidden="1" x14ac:dyDescent="0.2">
      <c r="A597" s="16"/>
      <c r="B597" s="16"/>
      <c r="C597" s="15"/>
      <c r="D597" s="16"/>
      <c r="E597" s="17"/>
      <c r="F597" s="17"/>
      <c r="H597" s="19"/>
      <c r="I597" s="47"/>
      <c r="J597" s="48"/>
      <c r="K597" s="49"/>
    </row>
    <row r="598" spans="1:11" ht="12.75" hidden="1" x14ac:dyDescent="0.2">
      <c r="A598" s="16"/>
      <c r="B598" s="16"/>
      <c r="C598" s="15"/>
      <c r="D598" s="16"/>
      <c r="E598" s="17"/>
      <c r="F598" s="17"/>
      <c r="H598" s="19"/>
      <c r="I598" s="47"/>
      <c r="J598" s="48"/>
      <c r="K598" s="49"/>
    </row>
    <row r="599" spans="1:11" ht="12.75" hidden="1" x14ac:dyDescent="0.2">
      <c r="A599" s="16"/>
      <c r="B599" s="16"/>
      <c r="C599" s="15"/>
      <c r="D599" s="16"/>
      <c r="E599" s="17"/>
      <c r="F599" s="17"/>
      <c r="H599" s="19"/>
      <c r="I599" s="47"/>
      <c r="J599" s="48"/>
      <c r="K599" s="49"/>
    </row>
    <row r="600" spans="1:11" ht="12.75" hidden="1" x14ac:dyDescent="0.2">
      <c r="A600" s="16"/>
      <c r="B600" s="16"/>
      <c r="C600" s="15"/>
      <c r="D600" s="16"/>
      <c r="E600" s="17"/>
      <c r="F600" s="17"/>
      <c r="H600" s="19"/>
      <c r="I600" s="47"/>
      <c r="J600" s="48"/>
      <c r="K600" s="49"/>
    </row>
    <row r="601" spans="1:11" ht="12.75" hidden="1" x14ac:dyDescent="0.2">
      <c r="A601" s="16"/>
      <c r="B601" s="16"/>
      <c r="C601" s="15"/>
      <c r="D601" s="16"/>
      <c r="E601" s="17"/>
      <c r="F601" s="17"/>
      <c r="H601" s="19"/>
      <c r="I601" s="47"/>
      <c r="J601" s="48"/>
      <c r="K601" s="49"/>
    </row>
    <row r="602" spans="1:11" ht="12.75" hidden="1" x14ac:dyDescent="0.2">
      <c r="A602" s="16"/>
      <c r="B602" s="16"/>
      <c r="C602" s="15"/>
      <c r="D602" s="16"/>
      <c r="E602" s="17"/>
      <c r="F602" s="17"/>
      <c r="H602" s="19"/>
      <c r="I602" s="47"/>
      <c r="J602" s="48"/>
      <c r="K602" s="49"/>
    </row>
    <row r="603" spans="1:11" ht="12.75" hidden="1" x14ac:dyDescent="0.2">
      <c r="A603" s="16"/>
      <c r="B603" s="16"/>
      <c r="C603" s="15"/>
      <c r="D603" s="16"/>
      <c r="E603" s="17"/>
      <c r="F603" s="17"/>
      <c r="H603" s="19"/>
      <c r="I603" s="47"/>
      <c r="J603" s="48"/>
      <c r="K603" s="49"/>
    </row>
    <row r="604" spans="1:11" ht="12.75" hidden="1" x14ac:dyDescent="0.2">
      <c r="A604" s="16"/>
      <c r="B604" s="16"/>
      <c r="C604" s="15"/>
      <c r="D604" s="16"/>
      <c r="E604" s="17"/>
      <c r="F604" s="17"/>
      <c r="H604" s="19"/>
      <c r="I604" s="47"/>
      <c r="J604" s="48"/>
      <c r="K604" s="49"/>
    </row>
    <row r="605" spans="1:11" ht="12.75" hidden="1" x14ac:dyDescent="0.2">
      <c r="A605" s="16"/>
      <c r="B605" s="16"/>
      <c r="C605" s="15"/>
      <c r="D605" s="16"/>
      <c r="E605" s="17"/>
      <c r="F605" s="17"/>
      <c r="H605" s="19"/>
      <c r="I605" s="47"/>
      <c r="J605" s="48"/>
      <c r="K605" s="49"/>
    </row>
    <row r="606" spans="1:11" ht="12.75" hidden="1" x14ac:dyDescent="0.2">
      <c r="A606" s="16"/>
      <c r="B606" s="16"/>
      <c r="C606" s="15"/>
      <c r="D606" s="16"/>
      <c r="E606" s="17"/>
      <c r="F606" s="17"/>
      <c r="H606" s="19"/>
      <c r="I606" s="47"/>
      <c r="J606" s="48"/>
      <c r="K606" s="49"/>
    </row>
    <row r="607" spans="1:11" ht="12.75" hidden="1" x14ac:dyDescent="0.2">
      <c r="A607" s="16"/>
      <c r="B607" s="16"/>
      <c r="C607" s="15"/>
      <c r="D607" s="16"/>
      <c r="E607" s="17"/>
      <c r="F607" s="17"/>
      <c r="H607" s="19"/>
      <c r="I607" s="47"/>
      <c r="J607" s="48"/>
      <c r="K607" s="49"/>
    </row>
    <row r="608" spans="1:11" ht="12.75" hidden="1" x14ac:dyDescent="0.2">
      <c r="A608" s="16"/>
      <c r="B608" s="16"/>
      <c r="C608" s="15"/>
      <c r="D608" s="16"/>
      <c r="E608" s="17"/>
      <c r="F608" s="17"/>
      <c r="H608" s="19"/>
      <c r="I608" s="47"/>
      <c r="J608" s="48"/>
      <c r="K608" s="49"/>
    </row>
    <row r="609" spans="1:11" ht="12.75" hidden="1" x14ac:dyDescent="0.2">
      <c r="A609" s="16"/>
      <c r="B609" s="16"/>
      <c r="C609" s="15"/>
      <c r="D609" s="16"/>
      <c r="E609" s="17"/>
      <c r="F609" s="17"/>
      <c r="H609" s="19"/>
      <c r="I609" s="47"/>
      <c r="J609" s="48"/>
      <c r="K609" s="49"/>
    </row>
    <row r="610" spans="1:11" ht="12.75" hidden="1" x14ac:dyDescent="0.2">
      <c r="A610" s="16"/>
      <c r="B610" s="16"/>
      <c r="C610" s="15"/>
      <c r="D610" s="16"/>
      <c r="E610" s="17"/>
      <c r="F610" s="17"/>
      <c r="H610" s="19"/>
      <c r="I610" s="47"/>
      <c r="J610" s="48"/>
      <c r="K610" s="49"/>
    </row>
    <row r="611" spans="1:11" ht="12.75" hidden="1" x14ac:dyDescent="0.2">
      <c r="A611" s="16"/>
      <c r="B611" s="16"/>
      <c r="C611" s="15"/>
      <c r="D611" s="16"/>
      <c r="E611" s="17"/>
      <c r="F611" s="17"/>
      <c r="H611" s="19"/>
      <c r="I611" s="47"/>
      <c r="J611" s="48"/>
      <c r="K611" s="49"/>
    </row>
    <row r="612" spans="1:11" ht="12.75" hidden="1" x14ac:dyDescent="0.2">
      <c r="A612" s="16"/>
      <c r="B612" s="16"/>
      <c r="C612" s="15"/>
      <c r="D612" s="16"/>
      <c r="E612" s="17"/>
      <c r="F612" s="17"/>
      <c r="H612" s="19"/>
      <c r="I612" s="47"/>
      <c r="J612" s="48"/>
      <c r="K612" s="49"/>
    </row>
    <row r="613" spans="1:11" ht="12.75" hidden="1" x14ac:dyDescent="0.2">
      <c r="A613" s="16"/>
      <c r="B613" s="16"/>
      <c r="C613" s="15"/>
      <c r="D613" s="16"/>
      <c r="E613" s="17"/>
      <c r="F613" s="17"/>
      <c r="H613" s="19"/>
      <c r="I613" s="47"/>
      <c r="J613" s="48"/>
      <c r="K613" s="49"/>
    </row>
    <row r="614" spans="1:11" ht="12.75" hidden="1" x14ac:dyDescent="0.2">
      <c r="A614" s="16"/>
      <c r="B614" s="16"/>
      <c r="C614" s="15"/>
      <c r="D614" s="16"/>
      <c r="E614" s="17"/>
      <c r="F614" s="17"/>
      <c r="H614" s="19"/>
      <c r="I614" s="47"/>
      <c r="J614" s="48"/>
      <c r="K614" s="49"/>
    </row>
    <row r="615" spans="1:11" ht="12.75" hidden="1" x14ac:dyDescent="0.2">
      <c r="A615" s="16"/>
      <c r="B615" s="16"/>
      <c r="C615" s="15"/>
      <c r="D615" s="16"/>
      <c r="E615" s="17"/>
      <c r="F615" s="17"/>
      <c r="H615" s="19"/>
      <c r="I615" s="47"/>
      <c r="J615" s="48"/>
      <c r="K615" s="49"/>
    </row>
    <row r="616" spans="1:11" ht="12.75" hidden="1" x14ac:dyDescent="0.2">
      <c r="A616" s="16"/>
      <c r="B616" s="16"/>
      <c r="C616" s="15"/>
      <c r="D616" s="16"/>
      <c r="E616" s="17"/>
      <c r="F616" s="17"/>
      <c r="H616" s="19"/>
      <c r="I616" s="47"/>
      <c r="J616" s="48"/>
      <c r="K616" s="49"/>
    </row>
    <row r="617" spans="1:11" ht="12.75" hidden="1" x14ac:dyDescent="0.2">
      <c r="A617" s="16"/>
      <c r="B617" s="16"/>
      <c r="C617" s="15"/>
      <c r="D617" s="16"/>
      <c r="E617" s="17"/>
      <c r="F617" s="17"/>
      <c r="H617" s="19"/>
      <c r="I617" s="47"/>
      <c r="J617" s="48"/>
      <c r="K617" s="49"/>
    </row>
    <row r="618" spans="1:11" ht="12.75" hidden="1" x14ac:dyDescent="0.2">
      <c r="A618" s="16"/>
      <c r="B618" s="16"/>
      <c r="C618" s="15"/>
      <c r="D618" s="16"/>
      <c r="E618" s="17"/>
      <c r="F618" s="17"/>
      <c r="H618" s="19"/>
      <c r="I618" s="47"/>
      <c r="J618" s="48"/>
      <c r="K618" s="49"/>
    </row>
    <row r="619" spans="1:11" ht="12.75" hidden="1" x14ac:dyDescent="0.2">
      <c r="A619" s="16"/>
      <c r="B619" s="16"/>
      <c r="C619" s="15"/>
      <c r="D619" s="16"/>
      <c r="E619" s="17"/>
      <c r="F619" s="17"/>
      <c r="H619" s="19"/>
      <c r="I619" s="47"/>
      <c r="J619" s="48"/>
      <c r="K619" s="49"/>
    </row>
    <row r="620" spans="1:11" ht="12.75" hidden="1" x14ac:dyDescent="0.2">
      <c r="A620" s="16"/>
      <c r="B620" s="16"/>
      <c r="C620" s="15"/>
      <c r="D620" s="16"/>
      <c r="E620" s="17"/>
      <c r="F620" s="17"/>
      <c r="H620" s="19"/>
      <c r="I620" s="47"/>
      <c r="J620" s="48"/>
      <c r="K620" s="49"/>
    </row>
    <row r="621" spans="1:11" ht="12.75" hidden="1" x14ac:dyDescent="0.2">
      <c r="A621" s="16"/>
      <c r="B621" s="16"/>
      <c r="C621" s="15"/>
      <c r="D621" s="16"/>
      <c r="E621" s="17"/>
      <c r="F621" s="17"/>
      <c r="H621" s="19"/>
      <c r="I621" s="47"/>
      <c r="J621" s="48"/>
      <c r="K621" s="49"/>
    </row>
    <row r="622" spans="1:11" ht="12.75" hidden="1" x14ac:dyDescent="0.2">
      <c r="A622" s="16"/>
      <c r="B622" s="16"/>
      <c r="C622" s="15"/>
      <c r="D622" s="16"/>
      <c r="E622" s="17"/>
      <c r="F622" s="17"/>
      <c r="H622" s="19"/>
      <c r="I622" s="47"/>
      <c r="J622" s="48"/>
      <c r="K622" s="49"/>
    </row>
    <row r="623" spans="1:11" ht="12.75" hidden="1" x14ac:dyDescent="0.2">
      <c r="A623" s="16"/>
      <c r="B623" s="16"/>
      <c r="C623" s="15"/>
      <c r="D623" s="16"/>
      <c r="E623" s="17"/>
      <c r="F623" s="17"/>
      <c r="H623" s="19"/>
      <c r="I623" s="47"/>
      <c r="J623" s="48"/>
      <c r="K623" s="49"/>
    </row>
    <row r="624" spans="1:11" ht="12.75" hidden="1" x14ac:dyDescent="0.2">
      <c r="A624" s="16"/>
      <c r="B624" s="16"/>
      <c r="C624" s="15"/>
      <c r="D624" s="16"/>
      <c r="E624" s="17"/>
      <c r="F624" s="17"/>
      <c r="H624" s="19"/>
      <c r="I624" s="47"/>
      <c r="J624" s="48"/>
      <c r="K624" s="49"/>
    </row>
    <row r="625" spans="1:11" ht="12.75" hidden="1" x14ac:dyDescent="0.2">
      <c r="A625" s="16"/>
      <c r="B625" s="16"/>
      <c r="C625" s="15"/>
      <c r="D625" s="16"/>
      <c r="E625" s="17"/>
      <c r="F625" s="17"/>
      <c r="H625" s="19"/>
      <c r="I625" s="47"/>
      <c r="J625" s="48"/>
      <c r="K625" s="49"/>
    </row>
    <row r="626" spans="1:11" ht="12.75" hidden="1" x14ac:dyDescent="0.2">
      <c r="A626" s="16"/>
      <c r="B626" s="16"/>
      <c r="C626" s="15"/>
      <c r="D626" s="16"/>
      <c r="E626" s="17"/>
      <c r="F626" s="17"/>
      <c r="H626" s="19"/>
      <c r="I626" s="47"/>
      <c r="J626" s="48"/>
      <c r="K626" s="49"/>
    </row>
    <row r="627" spans="1:11" ht="12.75" hidden="1" x14ac:dyDescent="0.2">
      <c r="A627" s="16"/>
      <c r="B627" s="16"/>
      <c r="C627" s="15"/>
      <c r="D627" s="16"/>
      <c r="E627" s="17"/>
      <c r="F627" s="17"/>
      <c r="H627" s="19"/>
      <c r="I627" s="47"/>
      <c r="J627" s="48"/>
      <c r="K627" s="49"/>
    </row>
    <row r="628" spans="1:11" ht="12.75" hidden="1" x14ac:dyDescent="0.2">
      <c r="A628" s="16"/>
      <c r="B628" s="16"/>
      <c r="C628" s="15"/>
      <c r="D628" s="16"/>
      <c r="E628" s="17"/>
      <c r="F628" s="17"/>
      <c r="H628" s="19"/>
      <c r="I628" s="47"/>
      <c r="J628" s="48"/>
      <c r="K628" s="49"/>
    </row>
    <row r="629" spans="1:11" ht="12.75" hidden="1" x14ac:dyDescent="0.2">
      <c r="A629" s="16"/>
      <c r="B629" s="16"/>
      <c r="C629" s="15"/>
      <c r="D629" s="16"/>
      <c r="E629" s="17"/>
      <c r="F629" s="17"/>
      <c r="H629" s="19"/>
      <c r="I629" s="47"/>
      <c r="J629" s="48"/>
      <c r="K629" s="49"/>
    </row>
    <row r="630" spans="1:11" ht="12.75" hidden="1" x14ac:dyDescent="0.2">
      <c r="A630" s="16"/>
      <c r="B630" s="16"/>
      <c r="C630" s="15"/>
      <c r="D630" s="16"/>
      <c r="E630" s="17"/>
      <c r="F630" s="17"/>
      <c r="H630" s="19"/>
      <c r="I630" s="47"/>
      <c r="J630" s="48"/>
      <c r="K630" s="49"/>
    </row>
    <row r="631" spans="1:11" ht="12.75" hidden="1" x14ac:dyDescent="0.2">
      <c r="A631" s="16"/>
      <c r="B631" s="16"/>
      <c r="C631" s="15"/>
      <c r="D631" s="16"/>
      <c r="E631" s="17"/>
      <c r="F631" s="17"/>
      <c r="H631" s="19"/>
      <c r="I631" s="47"/>
      <c r="J631" s="48"/>
      <c r="K631" s="49"/>
    </row>
    <row r="632" spans="1:11" ht="12.75" hidden="1" x14ac:dyDescent="0.2">
      <c r="A632" s="16"/>
      <c r="B632" s="16"/>
      <c r="C632" s="15"/>
      <c r="D632" s="16"/>
      <c r="E632" s="17"/>
      <c r="F632" s="17"/>
      <c r="H632" s="19"/>
      <c r="I632" s="47"/>
      <c r="J632" s="48"/>
      <c r="K632" s="49"/>
    </row>
    <row r="633" spans="1:11" ht="12.75" hidden="1" x14ac:dyDescent="0.2">
      <c r="A633" s="16"/>
      <c r="B633" s="16"/>
      <c r="C633" s="15"/>
      <c r="D633" s="16"/>
      <c r="E633" s="17"/>
      <c r="F633" s="17"/>
      <c r="H633" s="19"/>
      <c r="I633" s="47"/>
      <c r="J633" s="48"/>
      <c r="K633" s="49"/>
    </row>
    <row r="634" spans="1:11" ht="12.75" hidden="1" x14ac:dyDescent="0.2">
      <c r="A634" s="16"/>
      <c r="B634" s="16"/>
      <c r="C634" s="15"/>
      <c r="D634" s="16"/>
      <c r="E634" s="17"/>
      <c r="F634" s="17"/>
      <c r="H634" s="19"/>
      <c r="I634" s="47"/>
      <c r="J634" s="48"/>
      <c r="K634" s="49"/>
    </row>
    <row r="635" spans="1:11" ht="12.75" hidden="1" x14ac:dyDescent="0.2">
      <c r="A635" s="16"/>
      <c r="B635" s="16"/>
      <c r="C635" s="15"/>
      <c r="D635" s="16"/>
      <c r="E635" s="17"/>
      <c r="F635" s="17"/>
      <c r="H635" s="19"/>
      <c r="I635" s="47"/>
      <c r="J635" s="48"/>
      <c r="K635" s="49"/>
    </row>
    <row r="636" spans="1:11" ht="12.75" hidden="1" x14ac:dyDescent="0.2">
      <c r="A636" s="16"/>
      <c r="B636" s="16"/>
      <c r="C636" s="15"/>
      <c r="D636" s="16"/>
      <c r="E636" s="17"/>
      <c r="F636" s="17"/>
      <c r="H636" s="19"/>
      <c r="I636" s="47"/>
      <c r="J636" s="48"/>
      <c r="K636" s="49"/>
    </row>
    <row r="637" spans="1:11" ht="12.75" hidden="1" x14ac:dyDescent="0.2">
      <c r="A637" s="16"/>
      <c r="B637" s="16"/>
      <c r="C637" s="15"/>
      <c r="D637" s="16"/>
      <c r="E637" s="17"/>
      <c r="F637" s="17"/>
      <c r="H637" s="19"/>
      <c r="I637" s="47"/>
      <c r="J637" s="48"/>
      <c r="K637" s="49"/>
    </row>
    <row r="638" spans="1:11" ht="12.75" hidden="1" x14ac:dyDescent="0.2">
      <c r="A638" s="16"/>
      <c r="B638" s="16"/>
      <c r="C638" s="15"/>
      <c r="D638" s="16"/>
      <c r="E638" s="17"/>
      <c r="F638" s="17"/>
      <c r="H638" s="19"/>
      <c r="I638" s="47"/>
      <c r="J638" s="48"/>
      <c r="K638" s="49"/>
    </row>
    <row r="639" spans="1:11" ht="12.75" hidden="1" x14ac:dyDescent="0.2">
      <c r="A639" s="16"/>
      <c r="B639" s="16"/>
      <c r="C639" s="15"/>
      <c r="D639" s="16"/>
      <c r="E639" s="17"/>
      <c r="F639" s="17"/>
      <c r="H639" s="19"/>
      <c r="I639" s="47"/>
      <c r="J639" s="48"/>
      <c r="K639" s="49"/>
    </row>
    <row r="640" spans="1:11" ht="12.75" hidden="1" x14ac:dyDescent="0.2">
      <c r="A640" s="16"/>
      <c r="B640" s="16"/>
      <c r="C640" s="15"/>
      <c r="D640" s="16"/>
      <c r="E640" s="17"/>
      <c r="F640" s="17"/>
      <c r="H640" s="19"/>
      <c r="I640" s="47"/>
      <c r="J640" s="48"/>
      <c r="K640" s="49"/>
    </row>
    <row r="641" spans="1:11" ht="12.75" hidden="1" x14ac:dyDescent="0.2">
      <c r="A641" s="16"/>
      <c r="B641" s="16"/>
      <c r="C641" s="15"/>
      <c r="D641" s="16"/>
      <c r="E641" s="17"/>
      <c r="F641" s="17"/>
      <c r="H641" s="19"/>
      <c r="I641" s="47"/>
      <c r="J641" s="48"/>
      <c r="K641" s="49"/>
    </row>
    <row r="642" spans="1:11" ht="12.75" hidden="1" x14ac:dyDescent="0.2">
      <c r="A642" s="16"/>
      <c r="B642" s="16"/>
      <c r="C642" s="15"/>
      <c r="D642" s="16"/>
      <c r="E642" s="17"/>
      <c r="F642" s="17"/>
      <c r="H642" s="19"/>
      <c r="I642" s="47"/>
      <c r="J642" s="48"/>
      <c r="K642" s="49"/>
    </row>
    <row r="643" spans="1:11" ht="12.75" hidden="1" x14ac:dyDescent="0.2">
      <c r="A643" s="16"/>
      <c r="B643" s="16"/>
      <c r="C643" s="15"/>
      <c r="D643" s="16"/>
      <c r="E643" s="17"/>
      <c r="F643" s="17"/>
      <c r="H643" s="19"/>
      <c r="I643" s="47"/>
      <c r="J643" s="48"/>
      <c r="K643" s="49"/>
    </row>
    <row r="644" spans="1:11" ht="12.75" hidden="1" x14ac:dyDescent="0.2">
      <c r="A644" s="16"/>
      <c r="B644" s="16"/>
      <c r="C644" s="15"/>
      <c r="D644" s="16"/>
      <c r="E644" s="17"/>
      <c r="F644" s="17"/>
      <c r="H644" s="19"/>
      <c r="I644" s="47"/>
      <c r="J644" s="48"/>
      <c r="K644" s="49"/>
    </row>
    <row r="645" spans="1:11" ht="12.75" hidden="1" x14ac:dyDescent="0.2">
      <c r="A645" s="16"/>
      <c r="B645" s="16"/>
      <c r="C645" s="15"/>
      <c r="D645" s="16"/>
      <c r="E645" s="17"/>
      <c r="F645" s="17"/>
      <c r="H645" s="19"/>
      <c r="I645" s="47"/>
      <c r="J645" s="48"/>
      <c r="K645" s="49"/>
    </row>
    <row r="646" spans="1:11" ht="12.75" hidden="1" x14ac:dyDescent="0.2">
      <c r="A646" s="16"/>
      <c r="B646" s="16"/>
      <c r="C646" s="15"/>
      <c r="D646" s="16"/>
      <c r="E646" s="17"/>
      <c r="F646" s="17"/>
      <c r="H646" s="19"/>
      <c r="I646" s="47"/>
      <c r="J646" s="48"/>
      <c r="K646" s="49"/>
    </row>
    <row r="647" spans="1:11" ht="12.75" hidden="1" x14ac:dyDescent="0.2">
      <c r="A647" s="16"/>
      <c r="B647" s="16"/>
      <c r="C647" s="15"/>
      <c r="D647" s="16"/>
      <c r="E647" s="17"/>
      <c r="F647" s="17"/>
      <c r="H647" s="19"/>
      <c r="I647" s="47"/>
      <c r="J647" s="48"/>
      <c r="K647" s="49"/>
    </row>
    <row r="648" spans="1:11" ht="12.75" hidden="1" x14ac:dyDescent="0.2">
      <c r="A648" s="16"/>
      <c r="B648" s="16"/>
      <c r="C648" s="15"/>
      <c r="D648" s="16"/>
      <c r="E648" s="17"/>
      <c r="F648" s="17"/>
      <c r="H648" s="19"/>
      <c r="I648" s="47"/>
      <c r="J648" s="48"/>
      <c r="K648" s="49"/>
    </row>
    <row r="649" spans="1:11" ht="12.75" hidden="1" x14ac:dyDescent="0.2">
      <c r="A649" s="16"/>
      <c r="B649" s="16"/>
      <c r="C649" s="15"/>
      <c r="D649" s="16"/>
      <c r="E649" s="17"/>
      <c r="F649" s="17"/>
      <c r="H649" s="19"/>
      <c r="I649" s="47"/>
      <c r="J649" s="48"/>
      <c r="K649" s="49"/>
    </row>
    <row r="650" spans="1:11" ht="12.75" hidden="1" x14ac:dyDescent="0.2">
      <c r="A650" s="16"/>
      <c r="B650" s="16"/>
      <c r="C650" s="15"/>
      <c r="D650" s="16"/>
      <c r="E650" s="17"/>
      <c r="F650" s="17"/>
      <c r="H650" s="19"/>
      <c r="I650" s="47"/>
      <c r="J650" s="48"/>
      <c r="K650" s="49"/>
    </row>
    <row r="651" spans="1:11" ht="12.75" hidden="1" x14ac:dyDescent="0.2">
      <c r="A651" s="16"/>
      <c r="B651" s="16"/>
      <c r="C651" s="15"/>
      <c r="D651" s="16"/>
      <c r="E651" s="17"/>
      <c r="F651" s="17"/>
      <c r="H651" s="19"/>
      <c r="I651" s="47"/>
      <c r="J651" s="48"/>
      <c r="K651" s="49"/>
    </row>
    <row r="652" spans="1:11" ht="12.75" hidden="1" x14ac:dyDescent="0.2">
      <c r="A652" s="16"/>
      <c r="B652" s="16"/>
      <c r="C652" s="15"/>
      <c r="D652" s="16"/>
      <c r="E652" s="17"/>
      <c r="F652" s="17"/>
      <c r="H652" s="19"/>
      <c r="I652" s="47"/>
      <c r="J652" s="48"/>
      <c r="K652" s="49"/>
    </row>
    <row r="653" spans="1:11" ht="12.75" hidden="1" x14ac:dyDescent="0.2">
      <c r="A653" s="16"/>
      <c r="B653" s="16"/>
      <c r="C653" s="15"/>
      <c r="D653" s="16"/>
      <c r="E653" s="17"/>
      <c r="F653" s="17"/>
      <c r="H653" s="19"/>
      <c r="I653" s="47"/>
      <c r="J653" s="48"/>
      <c r="K653" s="49"/>
    </row>
    <row r="654" spans="1:11" ht="12.75" hidden="1" x14ac:dyDescent="0.2">
      <c r="A654" s="16"/>
      <c r="B654" s="16"/>
      <c r="C654" s="15"/>
      <c r="D654" s="16"/>
      <c r="E654" s="17"/>
      <c r="F654" s="17"/>
      <c r="H654" s="19"/>
      <c r="I654" s="47"/>
      <c r="J654" s="48"/>
      <c r="K654" s="49"/>
    </row>
    <row r="655" spans="1:11" ht="12.75" hidden="1" x14ac:dyDescent="0.2">
      <c r="A655" s="16"/>
      <c r="B655" s="16"/>
      <c r="C655" s="15"/>
      <c r="D655" s="16"/>
      <c r="E655" s="17"/>
      <c r="F655" s="17"/>
      <c r="H655" s="19"/>
      <c r="I655" s="47"/>
      <c r="J655" s="48"/>
      <c r="K655" s="49"/>
    </row>
    <row r="656" spans="1:11" ht="12.75" hidden="1" x14ac:dyDescent="0.2">
      <c r="A656" s="16"/>
      <c r="B656" s="16"/>
      <c r="C656" s="15"/>
      <c r="D656" s="16"/>
      <c r="E656" s="17"/>
      <c r="F656" s="17"/>
      <c r="H656" s="19"/>
      <c r="I656" s="47"/>
      <c r="J656" s="48"/>
      <c r="K656" s="49"/>
    </row>
    <row r="657" spans="1:11" ht="12.75" hidden="1" x14ac:dyDescent="0.2">
      <c r="A657" s="16"/>
      <c r="B657" s="16"/>
      <c r="C657" s="15"/>
      <c r="D657" s="16"/>
      <c r="E657" s="17"/>
      <c r="F657" s="17"/>
      <c r="H657" s="19"/>
      <c r="I657" s="47"/>
      <c r="J657" s="48"/>
      <c r="K657" s="49"/>
    </row>
    <row r="658" spans="1:11" ht="12.75" hidden="1" x14ac:dyDescent="0.2">
      <c r="A658" s="16"/>
      <c r="B658" s="16"/>
      <c r="C658" s="15"/>
      <c r="D658" s="16"/>
      <c r="E658" s="17"/>
      <c r="F658" s="17"/>
      <c r="H658" s="19"/>
      <c r="I658" s="47"/>
      <c r="J658" s="48"/>
      <c r="K658" s="49"/>
    </row>
    <row r="659" spans="1:11" ht="12.75" hidden="1" x14ac:dyDescent="0.2">
      <c r="A659" s="16"/>
      <c r="B659" s="16"/>
      <c r="C659" s="15"/>
      <c r="D659" s="16"/>
      <c r="E659" s="17"/>
      <c r="F659" s="17"/>
      <c r="H659" s="19"/>
      <c r="I659" s="47"/>
      <c r="J659" s="48"/>
      <c r="K659" s="49"/>
    </row>
    <row r="660" spans="1:11" ht="12.75" hidden="1" x14ac:dyDescent="0.2">
      <c r="A660" s="16"/>
      <c r="B660" s="16"/>
      <c r="C660" s="15"/>
      <c r="D660" s="16"/>
      <c r="E660" s="17"/>
      <c r="F660" s="17"/>
      <c r="H660" s="19"/>
      <c r="I660" s="47"/>
      <c r="J660" s="48"/>
      <c r="K660" s="49"/>
    </row>
    <row r="661" spans="1:11" ht="12.75" hidden="1" x14ac:dyDescent="0.2">
      <c r="A661" s="16"/>
      <c r="B661" s="16"/>
      <c r="C661" s="15"/>
      <c r="D661" s="16"/>
      <c r="E661" s="17"/>
      <c r="F661" s="17"/>
      <c r="H661" s="19"/>
      <c r="I661" s="47"/>
      <c r="J661" s="48"/>
      <c r="K661" s="49"/>
    </row>
    <row r="662" spans="1:11" ht="12.75" hidden="1" x14ac:dyDescent="0.2">
      <c r="A662" s="16"/>
      <c r="B662" s="16"/>
      <c r="C662" s="15"/>
      <c r="D662" s="16"/>
      <c r="E662" s="17"/>
      <c r="F662" s="17"/>
      <c r="H662" s="19"/>
      <c r="I662" s="47"/>
      <c r="J662" s="48"/>
      <c r="K662" s="49"/>
    </row>
    <row r="663" spans="1:11" ht="12.75" hidden="1" x14ac:dyDescent="0.2">
      <c r="A663" s="16"/>
      <c r="B663" s="16"/>
      <c r="C663" s="15"/>
      <c r="D663" s="16"/>
      <c r="E663" s="17"/>
      <c r="F663" s="17"/>
      <c r="H663" s="19"/>
      <c r="I663" s="47"/>
      <c r="J663" s="48"/>
      <c r="K663" s="49"/>
    </row>
    <row r="664" spans="1:11" ht="12.75" hidden="1" x14ac:dyDescent="0.2">
      <c r="A664" s="16"/>
      <c r="B664" s="16"/>
      <c r="C664" s="15"/>
      <c r="D664" s="16"/>
      <c r="E664" s="17"/>
      <c r="F664" s="17"/>
      <c r="H664" s="19"/>
      <c r="I664" s="47"/>
      <c r="J664" s="48"/>
      <c r="K664" s="49"/>
    </row>
    <row r="665" spans="1:11" ht="12.75" hidden="1" x14ac:dyDescent="0.2">
      <c r="A665" s="16"/>
      <c r="B665" s="16"/>
      <c r="C665" s="15"/>
      <c r="D665" s="16"/>
      <c r="E665" s="17"/>
      <c r="F665" s="17"/>
      <c r="H665" s="19"/>
      <c r="I665" s="47"/>
      <c r="J665" s="48"/>
      <c r="K665" s="49"/>
    </row>
    <row r="666" spans="1:11" ht="12.75" hidden="1" x14ac:dyDescent="0.2">
      <c r="A666" s="16"/>
      <c r="B666" s="16"/>
      <c r="C666" s="15"/>
      <c r="D666" s="16"/>
      <c r="E666" s="17"/>
      <c r="F666" s="17"/>
      <c r="H666" s="19"/>
      <c r="I666" s="47"/>
      <c r="J666" s="48"/>
      <c r="K666" s="49"/>
    </row>
    <row r="667" spans="1:11" ht="12.75" hidden="1" x14ac:dyDescent="0.2">
      <c r="A667" s="16"/>
      <c r="B667" s="16"/>
      <c r="C667" s="15"/>
      <c r="D667" s="16"/>
      <c r="E667" s="17"/>
      <c r="F667" s="17"/>
      <c r="H667" s="19"/>
      <c r="I667" s="47"/>
      <c r="J667" s="48"/>
      <c r="K667" s="49"/>
    </row>
    <row r="668" spans="1:11" ht="12.75" hidden="1" x14ac:dyDescent="0.2">
      <c r="A668" s="16"/>
      <c r="B668" s="16"/>
      <c r="C668" s="15"/>
      <c r="D668" s="16"/>
      <c r="E668" s="17"/>
      <c r="F668" s="17"/>
      <c r="H668" s="19"/>
      <c r="I668" s="47"/>
      <c r="J668" s="48"/>
      <c r="K668" s="49"/>
    </row>
    <row r="669" spans="1:11" ht="12.75" hidden="1" x14ac:dyDescent="0.2">
      <c r="A669" s="16"/>
      <c r="B669" s="16"/>
      <c r="C669" s="15"/>
      <c r="D669" s="16"/>
      <c r="E669" s="17"/>
      <c r="F669" s="17"/>
      <c r="H669" s="19"/>
      <c r="I669" s="47"/>
      <c r="J669" s="48"/>
      <c r="K669" s="49"/>
    </row>
    <row r="670" spans="1:11" ht="12.75" hidden="1" x14ac:dyDescent="0.2">
      <c r="A670" s="16"/>
      <c r="B670" s="16"/>
      <c r="C670" s="15"/>
      <c r="D670" s="16"/>
      <c r="E670" s="17"/>
      <c r="F670" s="17"/>
      <c r="H670" s="19"/>
      <c r="I670" s="47"/>
      <c r="J670" s="48"/>
      <c r="K670" s="49"/>
    </row>
    <row r="671" spans="1:11" ht="12.75" hidden="1" x14ac:dyDescent="0.2">
      <c r="A671" s="16"/>
      <c r="B671" s="16"/>
      <c r="C671" s="15"/>
      <c r="D671" s="16"/>
      <c r="E671" s="17"/>
      <c r="F671" s="17"/>
      <c r="H671" s="19"/>
      <c r="I671" s="47"/>
      <c r="J671" s="48"/>
      <c r="K671" s="49"/>
    </row>
    <row r="672" spans="1:11" ht="12.75" hidden="1" x14ac:dyDescent="0.2">
      <c r="A672" s="16"/>
      <c r="B672" s="16"/>
      <c r="C672" s="15"/>
      <c r="D672" s="16"/>
      <c r="E672" s="17"/>
      <c r="F672" s="17"/>
      <c r="H672" s="19"/>
      <c r="I672" s="47"/>
      <c r="J672" s="48"/>
      <c r="K672" s="49"/>
    </row>
    <row r="673" spans="1:11" ht="12.75" hidden="1" x14ac:dyDescent="0.2">
      <c r="A673" s="16"/>
      <c r="B673" s="16"/>
      <c r="C673" s="15"/>
      <c r="D673" s="16"/>
      <c r="E673" s="17"/>
      <c r="F673" s="17"/>
      <c r="H673" s="19"/>
      <c r="I673" s="47"/>
      <c r="J673" s="48"/>
      <c r="K673" s="49"/>
    </row>
    <row r="674" spans="1:11" ht="12.75" hidden="1" x14ac:dyDescent="0.2">
      <c r="A674" s="16"/>
      <c r="B674" s="16"/>
      <c r="C674" s="15"/>
      <c r="D674" s="16"/>
      <c r="E674" s="17"/>
      <c r="F674" s="17"/>
      <c r="H674" s="19"/>
      <c r="I674" s="47"/>
      <c r="J674" s="48"/>
      <c r="K674" s="49"/>
    </row>
    <row r="675" spans="1:11" ht="12.75" hidden="1" x14ac:dyDescent="0.2">
      <c r="A675" s="16"/>
      <c r="B675" s="16"/>
      <c r="C675" s="15"/>
      <c r="D675" s="16"/>
      <c r="E675" s="17"/>
      <c r="F675" s="17"/>
      <c r="H675" s="19"/>
      <c r="I675" s="47"/>
      <c r="J675" s="48"/>
      <c r="K675" s="49"/>
    </row>
    <row r="676" spans="1:11" ht="12.75" hidden="1" x14ac:dyDescent="0.2">
      <c r="A676" s="16"/>
      <c r="B676" s="16"/>
      <c r="C676" s="15"/>
      <c r="D676" s="16"/>
      <c r="E676" s="17"/>
      <c r="F676" s="17"/>
      <c r="H676" s="19"/>
      <c r="I676" s="47"/>
      <c r="J676" s="48"/>
      <c r="K676" s="49"/>
    </row>
    <row r="677" spans="1:11" ht="12.75" hidden="1" x14ac:dyDescent="0.2">
      <c r="A677" s="16"/>
      <c r="B677" s="16"/>
      <c r="C677" s="15"/>
      <c r="D677" s="16"/>
      <c r="E677" s="17"/>
      <c r="F677" s="17"/>
      <c r="H677" s="19"/>
      <c r="I677" s="47"/>
      <c r="J677" s="48"/>
      <c r="K677" s="49"/>
    </row>
    <row r="678" spans="1:11" ht="12.75" hidden="1" x14ac:dyDescent="0.2">
      <c r="A678" s="16"/>
      <c r="B678" s="16"/>
      <c r="C678" s="15"/>
      <c r="D678" s="16"/>
      <c r="E678" s="17"/>
      <c r="F678" s="17"/>
      <c r="H678" s="19"/>
      <c r="I678" s="47"/>
      <c r="J678" s="48"/>
      <c r="K678" s="49"/>
    </row>
    <row r="679" spans="1:11" ht="12.75" hidden="1" x14ac:dyDescent="0.2">
      <c r="A679" s="16"/>
      <c r="B679" s="16"/>
      <c r="C679" s="15"/>
      <c r="D679" s="16"/>
      <c r="E679" s="17"/>
      <c r="F679" s="17"/>
      <c r="H679" s="19"/>
      <c r="I679" s="47"/>
      <c r="J679" s="48"/>
      <c r="K679" s="49"/>
    </row>
    <row r="680" spans="1:11" ht="12.75" hidden="1" x14ac:dyDescent="0.2">
      <c r="A680" s="16"/>
      <c r="B680" s="16"/>
      <c r="C680" s="15"/>
      <c r="D680" s="16"/>
      <c r="E680" s="17"/>
      <c r="F680" s="17"/>
      <c r="H680" s="19"/>
      <c r="I680" s="47"/>
      <c r="J680" s="48"/>
      <c r="K680" s="49"/>
    </row>
    <row r="681" spans="1:11" ht="12.75" hidden="1" x14ac:dyDescent="0.2">
      <c r="A681" s="16"/>
      <c r="B681" s="16"/>
      <c r="C681" s="15"/>
      <c r="D681" s="16"/>
      <c r="E681" s="17"/>
      <c r="F681" s="17"/>
      <c r="H681" s="19"/>
      <c r="I681" s="47"/>
      <c r="J681" s="48"/>
      <c r="K681" s="49"/>
    </row>
    <row r="682" spans="1:11" ht="12.75" hidden="1" x14ac:dyDescent="0.2">
      <c r="A682" s="16"/>
      <c r="B682" s="16"/>
      <c r="C682" s="15"/>
      <c r="D682" s="16"/>
      <c r="E682" s="17"/>
      <c r="F682" s="17"/>
      <c r="H682" s="19"/>
      <c r="I682" s="47"/>
      <c r="J682" s="48"/>
      <c r="K682" s="49"/>
    </row>
    <row r="683" spans="1:11" ht="12.75" hidden="1" x14ac:dyDescent="0.2">
      <c r="A683" s="16"/>
      <c r="B683" s="16"/>
      <c r="C683" s="15"/>
      <c r="D683" s="16"/>
      <c r="E683" s="17"/>
      <c r="F683" s="17"/>
      <c r="H683" s="19"/>
      <c r="I683" s="47"/>
      <c r="J683" s="48"/>
      <c r="K683" s="49"/>
    </row>
    <row r="684" spans="1:11" ht="12.75" hidden="1" x14ac:dyDescent="0.2">
      <c r="A684" s="16"/>
      <c r="B684" s="16"/>
      <c r="C684" s="15"/>
      <c r="D684" s="16"/>
      <c r="E684" s="17"/>
      <c r="F684" s="17"/>
      <c r="H684" s="19"/>
      <c r="I684" s="47"/>
      <c r="J684" s="48"/>
      <c r="K684" s="49"/>
    </row>
    <row r="685" spans="1:11" ht="12.75" hidden="1" x14ac:dyDescent="0.2">
      <c r="A685" s="16"/>
      <c r="B685" s="16"/>
      <c r="C685" s="15"/>
      <c r="D685" s="16"/>
      <c r="E685" s="17"/>
      <c r="F685" s="17"/>
      <c r="H685" s="19"/>
      <c r="I685" s="47"/>
      <c r="J685" s="48"/>
      <c r="K685" s="49"/>
    </row>
    <row r="686" spans="1:11" ht="12.75" hidden="1" x14ac:dyDescent="0.2">
      <c r="A686" s="16"/>
      <c r="B686" s="16"/>
      <c r="C686" s="15"/>
      <c r="D686" s="16"/>
      <c r="E686" s="17"/>
      <c r="F686" s="17"/>
      <c r="H686" s="19"/>
      <c r="I686" s="47"/>
      <c r="J686" s="48"/>
      <c r="K686" s="49"/>
    </row>
    <row r="687" spans="1:11" ht="12.75" hidden="1" x14ac:dyDescent="0.2">
      <c r="A687" s="16"/>
      <c r="B687" s="16"/>
      <c r="C687" s="15"/>
      <c r="D687" s="16"/>
      <c r="E687" s="17"/>
      <c r="F687" s="17"/>
      <c r="H687" s="19"/>
      <c r="I687" s="47"/>
      <c r="J687" s="48"/>
      <c r="K687" s="49"/>
    </row>
    <row r="688" spans="1:11" ht="12.75" hidden="1" x14ac:dyDescent="0.2">
      <c r="A688" s="16"/>
      <c r="B688" s="16"/>
      <c r="C688" s="15"/>
      <c r="D688" s="16"/>
      <c r="E688" s="17"/>
      <c r="F688" s="17"/>
      <c r="H688" s="19"/>
      <c r="I688" s="47"/>
      <c r="J688" s="48"/>
      <c r="K688" s="49"/>
    </row>
    <row r="689" spans="1:11" ht="12.75" hidden="1" x14ac:dyDescent="0.2">
      <c r="A689" s="16"/>
      <c r="B689" s="16"/>
      <c r="C689" s="15"/>
      <c r="D689" s="16"/>
      <c r="E689" s="17"/>
      <c r="F689" s="17"/>
      <c r="H689" s="19"/>
      <c r="I689" s="47"/>
      <c r="J689" s="48"/>
      <c r="K689" s="49"/>
    </row>
    <row r="690" spans="1:11" ht="12.75" hidden="1" x14ac:dyDescent="0.2">
      <c r="A690" s="16"/>
      <c r="B690" s="16"/>
      <c r="C690" s="15"/>
      <c r="D690" s="16"/>
      <c r="E690" s="17"/>
      <c r="F690" s="17"/>
      <c r="H690" s="19"/>
      <c r="I690" s="47"/>
      <c r="J690" s="48"/>
      <c r="K690" s="49"/>
    </row>
    <row r="691" spans="1:11" ht="12.75" hidden="1" x14ac:dyDescent="0.2">
      <c r="A691" s="16"/>
      <c r="B691" s="16"/>
      <c r="C691" s="15"/>
      <c r="D691" s="16"/>
      <c r="E691" s="17"/>
      <c r="F691" s="17"/>
      <c r="H691" s="19"/>
      <c r="I691" s="47"/>
      <c r="J691" s="48"/>
      <c r="K691" s="49"/>
    </row>
    <row r="692" spans="1:11" ht="12.75" hidden="1" x14ac:dyDescent="0.2">
      <c r="A692" s="16"/>
      <c r="B692" s="16"/>
      <c r="C692" s="15"/>
      <c r="D692" s="16"/>
      <c r="E692" s="17"/>
      <c r="F692" s="17"/>
      <c r="H692" s="19"/>
      <c r="I692" s="47"/>
      <c r="J692" s="48"/>
      <c r="K692" s="49"/>
    </row>
    <row r="693" spans="1:11" ht="12.75" hidden="1" x14ac:dyDescent="0.2">
      <c r="A693" s="16"/>
      <c r="B693" s="16"/>
      <c r="C693" s="15"/>
      <c r="D693" s="16"/>
      <c r="E693" s="17"/>
      <c r="F693" s="17"/>
      <c r="H693" s="19"/>
      <c r="I693" s="47"/>
      <c r="J693" s="48"/>
      <c r="K693" s="49"/>
    </row>
    <row r="694" spans="1:11" ht="12.75" hidden="1" x14ac:dyDescent="0.2">
      <c r="A694" s="16"/>
      <c r="B694" s="16"/>
      <c r="C694" s="15"/>
      <c r="D694" s="16"/>
      <c r="E694" s="17"/>
      <c r="F694" s="17"/>
      <c r="H694" s="19"/>
      <c r="I694" s="47"/>
      <c r="J694" s="48"/>
      <c r="K694" s="49"/>
    </row>
    <row r="695" spans="1:11" ht="12.75" hidden="1" x14ac:dyDescent="0.2">
      <c r="A695" s="16"/>
      <c r="B695" s="16"/>
      <c r="C695" s="15"/>
      <c r="D695" s="16"/>
      <c r="E695" s="17"/>
      <c r="F695" s="17"/>
      <c r="H695" s="19"/>
      <c r="I695" s="47"/>
      <c r="J695" s="48"/>
      <c r="K695" s="49"/>
    </row>
    <row r="696" spans="1:11" ht="12.75" hidden="1" x14ac:dyDescent="0.2">
      <c r="A696" s="16"/>
      <c r="B696" s="16"/>
      <c r="C696" s="15"/>
      <c r="D696" s="16"/>
      <c r="E696" s="17"/>
      <c r="F696" s="17"/>
      <c r="H696" s="19"/>
      <c r="I696" s="47"/>
      <c r="J696" s="48"/>
      <c r="K696" s="49"/>
    </row>
    <row r="697" spans="1:11" ht="12.75" hidden="1" x14ac:dyDescent="0.2">
      <c r="A697" s="16"/>
      <c r="B697" s="16"/>
      <c r="C697" s="15"/>
      <c r="D697" s="16"/>
      <c r="E697" s="17"/>
      <c r="F697" s="17"/>
      <c r="H697" s="19"/>
      <c r="I697" s="47"/>
      <c r="J697" s="48"/>
      <c r="K697" s="49"/>
    </row>
    <row r="698" spans="1:11" ht="12.75" hidden="1" x14ac:dyDescent="0.2">
      <c r="A698" s="16"/>
      <c r="B698" s="16"/>
      <c r="C698" s="15"/>
      <c r="D698" s="16"/>
      <c r="E698" s="17"/>
      <c r="F698" s="17"/>
      <c r="H698" s="19"/>
      <c r="I698" s="47"/>
      <c r="J698" s="48"/>
      <c r="K698" s="49"/>
    </row>
    <row r="699" spans="1:11" ht="12.75" hidden="1" x14ac:dyDescent="0.2">
      <c r="A699" s="16"/>
      <c r="B699" s="16"/>
      <c r="C699" s="15"/>
      <c r="D699" s="16"/>
      <c r="E699" s="17"/>
      <c r="F699" s="17"/>
      <c r="H699" s="19"/>
      <c r="I699" s="47"/>
      <c r="J699" s="48"/>
      <c r="K699" s="49"/>
    </row>
    <row r="700" spans="1:11" ht="12.75" hidden="1" x14ac:dyDescent="0.2">
      <c r="A700" s="16"/>
      <c r="B700" s="16"/>
      <c r="C700" s="15"/>
      <c r="D700" s="16"/>
      <c r="E700" s="17"/>
      <c r="F700" s="17"/>
      <c r="H700" s="19"/>
      <c r="I700" s="47"/>
      <c r="J700" s="48"/>
      <c r="K700" s="49"/>
    </row>
    <row r="701" spans="1:11" ht="12.75" hidden="1" x14ac:dyDescent="0.2">
      <c r="A701" s="16"/>
      <c r="B701" s="16"/>
      <c r="C701" s="15"/>
      <c r="D701" s="16"/>
      <c r="E701" s="17"/>
      <c r="F701" s="17"/>
      <c r="H701" s="19"/>
      <c r="I701" s="47"/>
      <c r="J701" s="48"/>
      <c r="K701" s="49"/>
    </row>
    <row r="702" spans="1:11" ht="12.75" hidden="1" x14ac:dyDescent="0.2">
      <c r="A702" s="16"/>
      <c r="B702" s="16"/>
      <c r="C702" s="15"/>
      <c r="D702" s="16"/>
      <c r="E702" s="17"/>
      <c r="F702" s="17"/>
      <c r="H702" s="19"/>
      <c r="I702" s="47"/>
      <c r="J702" s="48"/>
      <c r="K702" s="49"/>
    </row>
    <row r="703" spans="1:11" ht="12.75" hidden="1" x14ac:dyDescent="0.2">
      <c r="A703" s="16"/>
      <c r="B703" s="16"/>
      <c r="C703" s="15"/>
      <c r="D703" s="16"/>
      <c r="E703" s="17"/>
      <c r="F703" s="17"/>
      <c r="H703" s="19"/>
      <c r="I703" s="47"/>
      <c r="J703" s="48"/>
      <c r="K703" s="49"/>
    </row>
    <row r="704" spans="1:11" ht="12.75" hidden="1" x14ac:dyDescent="0.2">
      <c r="A704" s="16"/>
      <c r="B704" s="16"/>
      <c r="C704" s="15"/>
      <c r="D704" s="16"/>
      <c r="E704" s="17"/>
      <c r="F704" s="17"/>
      <c r="H704" s="19"/>
      <c r="I704" s="47"/>
      <c r="J704" s="48"/>
      <c r="K704" s="49"/>
    </row>
    <row r="705" spans="1:11" ht="12.75" hidden="1" x14ac:dyDescent="0.2">
      <c r="A705" s="16"/>
      <c r="B705" s="16"/>
      <c r="C705" s="15"/>
      <c r="D705" s="16"/>
      <c r="E705" s="17"/>
      <c r="F705" s="17"/>
      <c r="H705" s="19"/>
      <c r="I705" s="47"/>
      <c r="J705" s="48"/>
      <c r="K705" s="49"/>
    </row>
    <row r="706" spans="1:11" ht="12.75" hidden="1" x14ac:dyDescent="0.2">
      <c r="A706" s="16"/>
      <c r="B706" s="16"/>
      <c r="C706" s="15"/>
      <c r="D706" s="16"/>
      <c r="E706" s="17"/>
      <c r="F706" s="17"/>
      <c r="H706" s="19"/>
      <c r="I706" s="47"/>
      <c r="J706" s="48"/>
      <c r="K706" s="49"/>
    </row>
    <row r="707" spans="1:11" ht="12.75" hidden="1" x14ac:dyDescent="0.2">
      <c r="A707" s="16"/>
      <c r="B707" s="16"/>
      <c r="C707" s="15"/>
      <c r="D707" s="16"/>
      <c r="E707" s="17"/>
      <c r="F707" s="17"/>
      <c r="H707" s="19"/>
      <c r="I707" s="47"/>
      <c r="J707" s="48"/>
      <c r="K707" s="49"/>
    </row>
    <row r="708" spans="1:11" ht="12.75" hidden="1" x14ac:dyDescent="0.2">
      <c r="A708" s="16"/>
      <c r="B708" s="16"/>
      <c r="C708" s="15"/>
      <c r="D708" s="16"/>
      <c r="E708" s="17"/>
      <c r="F708" s="17"/>
      <c r="H708" s="19"/>
      <c r="I708" s="47"/>
      <c r="J708" s="48"/>
      <c r="K708" s="49"/>
    </row>
    <row r="709" spans="1:11" ht="12.75" hidden="1" x14ac:dyDescent="0.2">
      <c r="A709" s="16"/>
      <c r="B709" s="16"/>
      <c r="C709" s="15"/>
      <c r="D709" s="16"/>
      <c r="E709" s="17"/>
      <c r="F709" s="17"/>
      <c r="H709" s="19"/>
      <c r="I709" s="47"/>
      <c r="J709" s="48"/>
      <c r="K709" s="49"/>
    </row>
    <row r="710" spans="1:11" ht="12.75" hidden="1" x14ac:dyDescent="0.2">
      <c r="A710" s="16"/>
      <c r="B710" s="16"/>
      <c r="C710" s="15"/>
      <c r="D710" s="16"/>
      <c r="E710" s="17"/>
      <c r="F710" s="17"/>
      <c r="H710" s="19"/>
      <c r="I710" s="47"/>
      <c r="J710" s="48"/>
      <c r="K710" s="49"/>
    </row>
    <row r="711" spans="1:11" ht="12.75" hidden="1" x14ac:dyDescent="0.2">
      <c r="A711" s="16"/>
      <c r="B711" s="16"/>
      <c r="C711" s="15"/>
      <c r="D711" s="16"/>
      <c r="E711" s="17"/>
      <c r="F711" s="17"/>
      <c r="H711" s="19"/>
      <c r="I711" s="47"/>
      <c r="J711" s="48"/>
      <c r="K711" s="49"/>
    </row>
    <row r="712" spans="1:11" ht="12.75" hidden="1" x14ac:dyDescent="0.2">
      <c r="A712" s="16"/>
      <c r="B712" s="16"/>
      <c r="C712" s="15"/>
      <c r="D712" s="16"/>
      <c r="E712" s="17"/>
      <c r="F712" s="17"/>
      <c r="H712" s="19"/>
      <c r="I712" s="47"/>
      <c r="J712" s="48"/>
      <c r="K712" s="49"/>
    </row>
    <row r="713" spans="1:11" ht="12.75" hidden="1" x14ac:dyDescent="0.2">
      <c r="A713" s="16"/>
      <c r="B713" s="16"/>
      <c r="C713" s="15"/>
      <c r="D713" s="16"/>
      <c r="E713" s="17"/>
      <c r="F713" s="17"/>
      <c r="H713" s="19"/>
      <c r="I713" s="47"/>
      <c r="J713" s="48"/>
      <c r="K713" s="49"/>
    </row>
    <row r="714" spans="1:11" ht="12.75" hidden="1" x14ac:dyDescent="0.2">
      <c r="A714" s="16"/>
      <c r="B714" s="16"/>
      <c r="C714" s="15"/>
      <c r="D714" s="16"/>
      <c r="E714" s="17"/>
      <c r="F714" s="17"/>
      <c r="H714" s="19"/>
      <c r="I714" s="47"/>
      <c r="J714" s="48"/>
      <c r="K714" s="49"/>
    </row>
    <row r="715" spans="1:11" ht="12.75" hidden="1" x14ac:dyDescent="0.2">
      <c r="A715" s="16"/>
      <c r="B715" s="16"/>
      <c r="C715" s="15"/>
      <c r="D715" s="16"/>
      <c r="E715" s="17"/>
      <c r="F715" s="17"/>
      <c r="H715" s="19"/>
      <c r="I715" s="47"/>
      <c r="J715" s="48"/>
      <c r="K715" s="49"/>
    </row>
    <row r="716" spans="1:11" ht="12.75" hidden="1" x14ac:dyDescent="0.2">
      <c r="A716" s="16"/>
      <c r="B716" s="16"/>
      <c r="C716" s="15"/>
      <c r="D716" s="16"/>
      <c r="E716" s="17"/>
      <c r="F716" s="17"/>
      <c r="H716" s="19"/>
      <c r="I716" s="47"/>
      <c r="J716" s="48"/>
      <c r="K716" s="49"/>
    </row>
    <row r="717" spans="1:11" ht="12.75" hidden="1" x14ac:dyDescent="0.2">
      <c r="A717" s="16"/>
      <c r="B717" s="16"/>
      <c r="C717" s="15"/>
      <c r="D717" s="16"/>
      <c r="E717" s="17"/>
      <c r="F717" s="17"/>
      <c r="H717" s="19"/>
      <c r="I717" s="47"/>
      <c r="J717" s="48"/>
      <c r="K717" s="49"/>
    </row>
    <row r="718" spans="1:11" ht="12.75" hidden="1" x14ac:dyDescent="0.2">
      <c r="A718" s="16"/>
      <c r="B718" s="16"/>
      <c r="C718" s="15"/>
      <c r="D718" s="16"/>
      <c r="E718" s="17"/>
      <c r="F718" s="17"/>
      <c r="H718" s="19"/>
      <c r="I718" s="47"/>
      <c r="J718" s="48"/>
      <c r="K718" s="49"/>
    </row>
    <row r="719" spans="1:11" ht="12.75" hidden="1" x14ac:dyDescent="0.2">
      <c r="A719" s="16"/>
      <c r="B719" s="16"/>
      <c r="C719" s="15"/>
      <c r="D719" s="16"/>
      <c r="E719" s="17"/>
      <c r="F719" s="17"/>
      <c r="H719" s="19"/>
      <c r="I719" s="47"/>
      <c r="J719" s="48"/>
      <c r="K719" s="49"/>
    </row>
    <row r="720" spans="1:11" ht="12.75" hidden="1" x14ac:dyDescent="0.2">
      <c r="A720" s="16"/>
      <c r="B720" s="16"/>
      <c r="C720" s="15"/>
      <c r="D720" s="16"/>
      <c r="E720" s="17"/>
      <c r="F720" s="17"/>
      <c r="H720" s="19"/>
      <c r="I720" s="47"/>
      <c r="J720" s="48"/>
      <c r="K720" s="49"/>
    </row>
    <row r="721" spans="1:11" ht="12.75" hidden="1" x14ac:dyDescent="0.2">
      <c r="A721" s="16"/>
      <c r="B721" s="16"/>
      <c r="C721" s="15"/>
      <c r="D721" s="16"/>
      <c r="E721" s="17"/>
      <c r="F721" s="17"/>
      <c r="H721" s="19"/>
      <c r="I721" s="47"/>
      <c r="J721" s="48"/>
      <c r="K721" s="49"/>
    </row>
    <row r="722" spans="1:11" ht="12.75" hidden="1" x14ac:dyDescent="0.2">
      <c r="A722" s="16"/>
      <c r="B722" s="16"/>
      <c r="C722" s="15"/>
      <c r="D722" s="16"/>
      <c r="E722" s="17"/>
      <c r="F722" s="17"/>
      <c r="H722" s="19"/>
      <c r="I722" s="47"/>
      <c r="J722" s="48"/>
      <c r="K722" s="49"/>
    </row>
    <row r="723" spans="1:11" ht="12.75" hidden="1" x14ac:dyDescent="0.2">
      <c r="A723" s="16"/>
      <c r="B723" s="16"/>
      <c r="C723" s="15"/>
      <c r="D723" s="16"/>
      <c r="E723" s="17"/>
      <c r="F723" s="17"/>
      <c r="H723" s="19"/>
      <c r="I723" s="47"/>
      <c r="J723" s="48"/>
      <c r="K723" s="49"/>
    </row>
    <row r="724" spans="1:11" ht="12.75" hidden="1" x14ac:dyDescent="0.2">
      <c r="A724" s="16"/>
      <c r="B724" s="16"/>
      <c r="C724" s="15"/>
      <c r="D724" s="16"/>
      <c r="E724" s="17"/>
      <c r="F724" s="17"/>
      <c r="H724" s="19"/>
      <c r="I724" s="47"/>
      <c r="J724" s="48"/>
      <c r="K724" s="49"/>
    </row>
    <row r="725" spans="1:11" ht="12.75" hidden="1" x14ac:dyDescent="0.2">
      <c r="A725" s="16"/>
      <c r="B725" s="16"/>
      <c r="C725" s="15"/>
      <c r="D725" s="16"/>
      <c r="E725" s="17"/>
      <c r="F725" s="17"/>
      <c r="H725" s="19"/>
      <c r="I725" s="47"/>
      <c r="J725" s="48"/>
      <c r="K725" s="49"/>
    </row>
    <row r="726" spans="1:11" ht="12.75" hidden="1" x14ac:dyDescent="0.2">
      <c r="A726" s="16"/>
      <c r="B726" s="16"/>
      <c r="C726" s="15"/>
      <c r="D726" s="16"/>
      <c r="E726" s="17"/>
      <c r="F726" s="17"/>
      <c r="H726" s="19"/>
      <c r="I726" s="47"/>
      <c r="J726" s="48"/>
      <c r="K726" s="49"/>
    </row>
    <row r="727" spans="1:11" ht="12.75" hidden="1" x14ac:dyDescent="0.2">
      <c r="A727" s="16"/>
      <c r="B727" s="16"/>
      <c r="C727" s="15"/>
      <c r="D727" s="16"/>
      <c r="E727" s="17"/>
      <c r="F727" s="17"/>
      <c r="H727" s="19"/>
      <c r="I727" s="47"/>
      <c r="J727" s="48"/>
      <c r="K727" s="49"/>
    </row>
    <row r="728" spans="1:11" ht="12.75" hidden="1" x14ac:dyDescent="0.2">
      <c r="A728" s="16"/>
      <c r="B728" s="16"/>
      <c r="C728" s="15"/>
      <c r="D728" s="16"/>
      <c r="E728" s="17"/>
      <c r="F728" s="17"/>
      <c r="H728" s="19"/>
      <c r="I728" s="47"/>
      <c r="J728" s="48"/>
      <c r="K728" s="49"/>
    </row>
    <row r="729" spans="1:11" ht="12.75" hidden="1" x14ac:dyDescent="0.2">
      <c r="A729" s="16"/>
      <c r="B729" s="16"/>
      <c r="C729" s="15"/>
      <c r="D729" s="16"/>
      <c r="E729" s="17"/>
      <c r="F729" s="17"/>
      <c r="H729" s="19"/>
      <c r="I729" s="47"/>
      <c r="J729" s="48"/>
      <c r="K729" s="49"/>
    </row>
    <row r="730" spans="1:11" ht="12.75" hidden="1" x14ac:dyDescent="0.2">
      <c r="A730" s="16"/>
      <c r="B730" s="16"/>
      <c r="C730" s="15"/>
      <c r="D730" s="16"/>
      <c r="E730" s="17"/>
      <c r="F730" s="17"/>
      <c r="H730" s="19"/>
      <c r="I730" s="47"/>
      <c r="J730" s="48"/>
      <c r="K730" s="49"/>
    </row>
    <row r="731" spans="1:11" ht="12.75" hidden="1" x14ac:dyDescent="0.2">
      <c r="A731" s="16"/>
      <c r="B731" s="16"/>
      <c r="C731" s="15"/>
      <c r="D731" s="16"/>
      <c r="E731" s="17"/>
      <c r="F731" s="17"/>
      <c r="H731" s="19"/>
      <c r="I731" s="47"/>
      <c r="J731" s="48"/>
      <c r="K731" s="49"/>
    </row>
    <row r="732" spans="1:11" ht="12.75" hidden="1" x14ac:dyDescent="0.2">
      <c r="A732" s="16"/>
      <c r="B732" s="16"/>
      <c r="C732" s="15"/>
      <c r="D732" s="16"/>
      <c r="E732" s="17"/>
      <c r="F732" s="17"/>
      <c r="H732" s="19"/>
      <c r="I732" s="47"/>
      <c r="J732" s="48"/>
      <c r="K732" s="49"/>
    </row>
    <row r="733" spans="1:11" ht="12.75" hidden="1" x14ac:dyDescent="0.2">
      <c r="A733" s="16"/>
      <c r="B733" s="16"/>
      <c r="C733" s="15"/>
      <c r="D733" s="16"/>
      <c r="E733" s="17"/>
      <c r="F733" s="17"/>
      <c r="H733" s="19"/>
      <c r="I733" s="47"/>
      <c r="J733" s="48"/>
      <c r="K733" s="49"/>
    </row>
    <row r="734" spans="1:11" ht="12.75" hidden="1" x14ac:dyDescent="0.2">
      <c r="A734" s="16"/>
      <c r="B734" s="16"/>
      <c r="C734" s="15"/>
      <c r="D734" s="16"/>
      <c r="E734" s="17"/>
      <c r="F734" s="17"/>
      <c r="H734" s="19"/>
      <c r="I734" s="47"/>
      <c r="J734" s="48"/>
      <c r="K734" s="49"/>
    </row>
    <row r="735" spans="1:11" ht="12.75" hidden="1" x14ac:dyDescent="0.2">
      <c r="A735" s="16"/>
      <c r="B735" s="16"/>
      <c r="C735" s="15"/>
      <c r="D735" s="16"/>
      <c r="E735" s="17"/>
      <c r="F735" s="17"/>
      <c r="H735" s="19"/>
      <c r="I735" s="47"/>
      <c r="J735" s="48"/>
      <c r="K735" s="49"/>
    </row>
    <row r="736" spans="1:11" ht="12.75" hidden="1" x14ac:dyDescent="0.2">
      <c r="A736" s="16"/>
      <c r="B736" s="16"/>
      <c r="C736" s="15"/>
      <c r="D736" s="16"/>
      <c r="E736" s="17"/>
      <c r="F736" s="17"/>
      <c r="H736" s="19"/>
      <c r="I736" s="47"/>
      <c r="J736" s="48"/>
      <c r="K736" s="49"/>
    </row>
    <row r="737" spans="1:11" ht="12.75" hidden="1" x14ac:dyDescent="0.2">
      <c r="A737" s="16"/>
      <c r="B737" s="16"/>
      <c r="C737" s="15"/>
      <c r="D737" s="16"/>
      <c r="E737" s="17"/>
      <c r="F737" s="17"/>
      <c r="H737" s="19"/>
      <c r="I737" s="47"/>
      <c r="J737" s="48"/>
      <c r="K737" s="49"/>
    </row>
    <row r="738" spans="1:11" ht="12.75" hidden="1" x14ac:dyDescent="0.2">
      <c r="A738" s="16"/>
      <c r="B738" s="16"/>
      <c r="C738" s="15"/>
      <c r="D738" s="16"/>
      <c r="E738" s="17"/>
      <c r="F738" s="17"/>
      <c r="H738" s="19"/>
      <c r="I738" s="47"/>
      <c r="J738" s="48"/>
      <c r="K738" s="49"/>
    </row>
    <row r="739" spans="1:11" ht="12.75" hidden="1" x14ac:dyDescent="0.2">
      <c r="A739" s="16"/>
      <c r="B739" s="16"/>
      <c r="C739" s="15"/>
      <c r="D739" s="16"/>
      <c r="E739" s="17"/>
      <c r="F739" s="17"/>
      <c r="H739" s="19"/>
      <c r="I739" s="47"/>
      <c r="J739" s="48"/>
      <c r="K739" s="49"/>
    </row>
    <row r="740" spans="1:11" ht="12.75" hidden="1" x14ac:dyDescent="0.2">
      <c r="A740" s="16"/>
      <c r="B740" s="16"/>
      <c r="C740" s="15"/>
      <c r="D740" s="16"/>
      <c r="E740" s="17"/>
      <c r="F740" s="17"/>
      <c r="H740" s="19"/>
      <c r="I740" s="47"/>
      <c r="J740" s="48"/>
      <c r="K740" s="49"/>
    </row>
    <row r="741" spans="1:11" ht="12.75" hidden="1" x14ac:dyDescent="0.2">
      <c r="A741" s="16"/>
      <c r="B741" s="16"/>
      <c r="C741" s="15"/>
      <c r="D741" s="16"/>
      <c r="E741" s="17"/>
      <c r="F741" s="17"/>
      <c r="H741" s="19"/>
      <c r="I741" s="47"/>
      <c r="J741" s="48"/>
      <c r="K741" s="49"/>
    </row>
    <row r="742" spans="1:11" ht="12.75" hidden="1" x14ac:dyDescent="0.2">
      <c r="A742" s="16"/>
      <c r="B742" s="16"/>
      <c r="C742" s="15"/>
      <c r="D742" s="16"/>
      <c r="E742" s="17"/>
      <c r="F742" s="17"/>
      <c r="H742" s="19"/>
      <c r="I742" s="47"/>
      <c r="J742" s="48"/>
      <c r="K742" s="49"/>
    </row>
    <row r="743" spans="1:11" ht="12.75" hidden="1" x14ac:dyDescent="0.2">
      <c r="A743" s="16"/>
      <c r="B743" s="16"/>
      <c r="C743" s="15"/>
      <c r="D743" s="16"/>
      <c r="E743" s="17"/>
      <c r="F743" s="17"/>
      <c r="H743" s="19"/>
      <c r="I743" s="47"/>
      <c r="J743" s="48"/>
      <c r="K743" s="49"/>
    </row>
    <row r="744" spans="1:11" ht="12.75" hidden="1" x14ac:dyDescent="0.2">
      <c r="A744" s="16"/>
      <c r="B744" s="16"/>
      <c r="C744" s="15"/>
      <c r="D744" s="16"/>
      <c r="E744" s="17"/>
      <c r="F744" s="17"/>
      <c r="H744" s="19"/>
      <c r="I744" s="47"/>
      <c r="J744" s="48"/>
      <c r="K744" s="49"/>
    </row>
    <row r="745" spans="1:11" ht="12.75" hidden="1" x14ac:dyDescent="0.2">
      <c r="A745" s="16"/>
      <c r="B745" s="16"/>
      <c r="C745" s="15"/>
      <c r="D745" s="16"/>
      <c r="E745" s="17"/>
      <c r="F745" s="17"/>
      <c r="H745" s="19"/>
      <c r="I745" s="47"/>
      <c r="J745" s="48"/>
      <c r="K745" s="49"/>
    </row>
    <row r="746" spans="1:11" ht="12.75" hidden="1" x14ac:dyDescent="0.2">
      <c r="A746" s="16"/>
      <c r="B746" s="16"/>
      <c r="C746" s="15"/>
      <c r="D746" s="16"/>
      <c r="E746" s="17"/>
      <c r="F746" s="17"/>
      <c r="H746" s="19"/>
      <c r="I746" s="47"/>
      <c r="J746" s="48"/>
      <c r="K746" s="49"/>
    </row>
    <row r="747" spans="1:11" ht="12.75" hidden="1" x14ac:dyDescent="0.2">
      <c r="A747" s="16"/>
      <c r="B747" s="16"/>
      <c r="C747" s="15"/>
      <c r="D747" s="16"/>
      <c r="E747" s="17"/>
      <c r="F747" s="17"/>
      <c r="H747" s="19"/>
      <c r="I747" s="47"/>
      <c r="J747" s="48"/>
      <c r="K747" s="49"/>
    </row>
    <row r="748" spans="1:11" ht="12.75" hidden="1" x14ac:dyDescent="0.2">
      <c r="A748" s="16"/>
      <c r="B748" s="16"/>
      <c r="C748" s="15"/>
      <c r="D748" s="16"/>
      <c r="E748" s="17"/>
      <c r="F748" s="17"/>
      <c r="H748" s="19"/>
      <c r="I748" s="47"/>
      <c r="J748" s="48"/>
      <c r="K748" s="49"/>
    </row>
    <row r="749" spans="1:11" ht="12.75" hidden="1" x14ac:dyDescent="0.2">
      <c r="A749" s="16"/>
      <c r="B749" s="16"/>
      <c r="C749" s="15"/>
      <c r="D749" s="16"/>
      <c r="E749" s="17"/>
      <c r="F749" s="17"/>
      <c r="H749" s="19"/>
      <c r="I749" s="47"/>
      <c r="J749" s="48"/>
      <c r="K749" s="49"/>
    </row>
    <row r="750" spans="1:11" ht="12.75" hidden="1" x14ac:dyDescent="0.2">
      <c r="A750" s="16"/>
      <c r="B750" s="16"/>
      <c r="C750" s="15"/>
      <c r="D750" s="16"/>
      <c r="E750" s="17"/>
      <c r="F750" s="17"/>
      <c r="H750" s="19"/>
      <c r="I750" s="47"/>
      <c r="J750" s="48"/>
      <c r="K750" s="49"/>
    </row>
    <row r="751" spans="1:11" ht="12.75" hidden="1" x14ac:dyDescent="0.2">
      <c r="A751" s="16"/>
      <c r="B751" s="16"/>
      <c r="C751" s="15"/>
      <c r="D751" s="16"/>
      <c r="E751" s="17"/>
      <c r="F751" s="17"/>
      <c r="H751" s="19"/>
      <c r="I751" s="47"/>
      <c r="J751" s="48"/>
      <c r="K751" s="49"/>
    </row>
    <row r="752" spans="1:11" ht="12.75" hidden="1" x14ac:dyDescent="0.2">
      <c r="A752" s="16"/>
      <c r="B752" s="16"/>
      <c r="C752" s="15"/>
      <c r="D752" s="16"/>
      <c r="E752" s="17"/>
      <c r="F752" s="17"/>
      <c r="H752" s="19"/>
      <c r="I752" s="47"/>
      <c r="J752" s="48"/>
      <c r="K752" s="49"/>
    </row>
    <row r="753" spans="1:11" ht="12.75" hidden="1" x14ac:dyDescent="0.2">
      <c r="A753" s="16"/>
      <c r="B753" s="16"/>
      <c r="C753" s="15"/>
      <c r="D753" s="16"/>
      <c r="E753" s="17"/>
      <c r="F753" s="17"/>
      <c r="H753" s="19"/>
      <c r="I753" s="47"/>
      <c r="J753" s="48"/>
      <c r="K753" s="49"/>
    </row>
    <row r="754" spans="1:11" ht="12.75" hidden="1" x14ac:dyDescent="0.2">
      <c r="A754" s="16"/>
      <c r="B754" s="16"/>
      <c r="C754" s="15"/>
      <c r="D754" s="16"/>
      <c r="E754" s="17"/>
      <c r="F754" s="17"/>
      <c r="H754" s="19"/>
      <c r="I754" s="47"/>
      <c r="J754" s="48"/>
      <c r="K754" s="49"/>
    </row>
    <row r="755" spans="1:11" ht="12.75" hidden="1" x14ac:dyDescent="0.2">
      <c r="A755" s="16"/>
      <c r="B755" s="16"/>
      <c r="C755" s="15"/>
      <c r="D755" s="16"/>
      <c r="E755" s="17"/>
      <c r="F755" s="17"/>
      <c r="H755" s="19"/>
      <c r="I755" s="47"/>
      <c r="J755" s="48"/>
      <c r="K755" s="49"/>
    </row>
    <row r="756" spans="1:11" ht="12.75" hidden="1" x14ac:dyDescent="0.2">
      <c r="A756" s="16"/>
      <c r="B756" s="16"/>
      <c r="C756" s="15"/>
      <c r="D756" s="16"/>
      <c r="E756" s="17"/>
      <c r="F756" s="17"/>
      <c r="H756" s="19"/>
      <c r="I756" s="47"/>
      <c r="J756" s="48"/>
      <c r="K756" s="49"/>
    </row>
    <row r="757" spans="1:11" ht="12.75" hidden="1" x14ac:dyDescent="0.2">
      <c r="A757" s="16"/>
      <c r="B757" s="16"/>
      <c r="C757" s="15"/>
      <c r="D757" s="16"/>
      <c r="E757" s="17"/>
      <c r="F757" s="17"/>
      <c r="H757" s="19"/>
      <c r="I757" s="47"/>
      <c r="J757" s="48"/>
      <c r="K757" s="49"/>
    </row>
    <row r="758" spans="1:11" ht="12.75" hidden="1" x14ac:dyDescent="0.2">
      <c r="A758" s="16"/>
      <c r="B758" s="16"/>
      <c r="C758" s="15"/>
      <c r="D758" s="16"/>
      <c r="E758" s="17"/>
      <c r="F758" s="17"/>
      <c r="H758" s="19"/>
      <c r="I758" s="47"/>
      <c r="J758" s="48"/>
      <c r="K758" s="49"/>
    </row>
    <row r="759" spans="1:11" ht="12.75" hidden="1" x14ac:dyDescent="0.2">
      <c r="A759" s="16"/>
      <c r="B759" s="16"/>
      <c r="C759" s="15"/>
      <c r="D759" s="16"/>
      <c r="E759" s="17"/>
      <c r="F759" s="17"/>
      <c r="H759" s="19"/>
      <c r="I759" s="47"/>
      <c r="J759" s="48"/>
      <c r="K759" s="49"/>
    </row>
    <row r="760" spans="1:11" ht="12.75" hidden="1" x14ac:dyDescent="0.2">
      <c r="A760" s="16"/>
      <c r="B760" s="16"/>
      <c r="C760" s="15"/>
      <c r="D760" s="16"/>
      <c r="E760" s="17"/>
      <c r="F760" s="17"/>
      <c r="H760" s="19"/>
      <c r="I760" s="47"/>
      <c r="J760" s="48"/>
      <c r="K760" s="49"/>
    </row>
    <row r="761" spans="1:11" ht="12.75" hidden="1" x14ac:dyDescent="0.2">
      <c r="A761" s="16"/>
      <c r="B761" s="16"/>
      <c r="C761" s="15"/>
      <c r="D761" s="16"/>
      <c r="E761" s="17"/>
      <c r="F761" s="17"/>
      <c r="H761" s="19"/>
      <c r="I761" s="47"/>
      <c r="J761" s="48"/>
      <c r="K761" s="49"/>
    </row>
    <row r="762" spans="1:11" ht="12.75" hidden="1" x14ac:dyDescent="0.2">
      <c r="A762" s="16"/>
      <c r="B762" s="16"/>
      <c r="C762" s="15"/>
      <c r="D762" s="16"/>
      <c r="E762" s="17"/>
      <c r="F762" s="17"/>
      <c r="H762" s="19"/>
      <c r="I762" s="47"/>
      <c r="J762" s="48"/>
      <c r="K762" s="49"/>
    </row>
    <row r="763" spans="1:11" ht="12.75" hidden="1" x14ac:dyDescent="0.2">
      <c r="A763" s="16"/>
      <c r="B763" s="16"/>
      <c r="C763" s="15"/>
      <c r="D763" s="16"/>
      <c r="E763" s="17"/>
      <c r="F763" s="17"/>
      <c r="H763" s="19"/>
      <c r="I763" s="47"/>
      <c r="J763" s="48"/>
      <c r="K763" s="49"/>
    </row>
    <row r="764" spans="1:11" ht="12.75" hidden="1" x14ac:dyDescent="0.2">
      <c r="A764" s="16"/>
      <c r="B764" s="16"/>
      <c r="C764" s="15"/>
      <c r="D764" s="16"/>
      <c r="E764" s="17"/>
      <c r="F764" s="17"/>
      <c r="H764" s="19"/>
      <c r="I764" s="47"/>
      <c r="J764" s="48"/>
      <c r="K764" s="49"/>
    </row>
    <row r="765" spans="1:11" ht="12.75" hidden="1" x14ac:dyDescent="0.2">
      <c r="A765" s="16"/>
      <c r="B765" s="16"/>
      <c r="C765" s="15"/>
      <c r="D765" s="16"/>
      <c r="E765" s="17"/>
      <c r="F765" s="17"/>
      <c r="H765" s="19"/>
      <c r="I765" s="47"/>
      <c r="J765" s="48"/>
      <c r="K765" s="49"/>
    </row>
    <row r="766" spans="1:11" ht="12.75" hidden="1" x14ac:dyDescent="0.2">
      <c r="A766" s="16"/>
      <c r="B766" s="16"/>
      <c r="C766" s="15"/>
      <c r="D766" s="16"/>
      <c r="E766" s="17"/>
      <c r="F766" s="17"/>
      <c r="H766" s="19"/>
      <c r="I766" s="47"/>
      <c r="J766" s="48"/>
      <c r="K766" s="49"/>
    </row>
    <row r="767" spans="1:11" ht="12.75" hidden="1" x14ac:dyDescent="0.2">
      <c r="A767" s="16"/>
      <c r="B767" s="16"/>
      <c r="C767" s="15"/>
      <c r="D767" s="16"/>
      <c r="E767" s="17"/>
      <c r="F767" s="17"/>
      <c r="H767" s="19"/>
      <c r="I767" s="47"/>
      <c r="J767" s="48"/>
      <c r="K767" s="49"/>
    </row>
    <row r="768" spans="1:11" ht="12.75" hidden="1" x14ac:dyDescent="0.2">
      <c r="A768" s="16"/>
      <c r="B768" s="16"/>
      <c r="C768" s="15"/>
      <c r="D768" s="16"/>
      <c r="E768" s="17"/>
      <c r="F768" s="17"/>
      <c r="H768" s="19"/>
      <c r="I768" s="47"/>
      <c r="J768" s="48"/>
      <c r="K768" s="49"/>
    </row>
    <row r="769" spans="1:11" ht="12.75" hidden="1" x14ac:dyDescent="0.2">
      <c r="A769" s="16"/>
      <c r="B769" s="16"/>
      <c r="C769" s="15"/>
      <c r="D769" s="16"/>
      <c r="E769" s="17"/>
      <c r="F769" s="17"/>
      <c r="H769" s="19"/>
      <c r="I769" s="47"/>
      <c r="J769" s="48"/>
      <c r="K769" s="49"/>
    </row>
    <row r="770" spans="1:11" ht="12.75" hidden="1" x14ac:dyDescent="0.2">
      <c r="A770" s="16"/>
      <c r="B770" s="16"/>
      <c r="C770" s="15"/>
      <c r="D770" s="16"/>
      <c r="E770" s="17"/>
      <c r="F770" s="17"/>
      <c r="H770" s="19"/>
      <c r="I770" s="47"/>
      <c r="J770" s="48"/>
      <c r="K770" s="49"/>
    </row>
    <row r="771" spans="1:11" ht="12.75" hidden="1" x14ac:dyDescent="0.2">
      <c r="A771" s="16"/>
      <c r="B771" s="16"/>
      <c r="C771" s="15"/>
      <c r="D771" s="16"/>
      <c r="E771" s="17"/>
      <c r="F771" s="17"/>
      <c r="H771" s="19"/>
      <c r="I771" s="47"/>
      <c r="J771" s="48"/>
      <c r="K771" s="49"/>
    </row>
    <row r="772" spans="1:11" ht="12.75" hidden="1" x14ac:dyDescent="0.2">
      <c r="A772" s="16"/>
      <c r="B772" s="16"/>
      <c r="C772" s="15"/>
      <c r="D772" s="16"/>
      <c r="E772" s="17"/>
      <c r="F772" s="17"/>
      <c r="H772" s="19"/>
      <c r="I772" s="47"/>
      <c r="J772" s="48"/>
      <c r="K772" s="49"/>
    </row>
    <row r="773" spans="1:11" ht="12.75" hidden="1" x14ac:dyDescent="0.2">
      <c r="A773" s="16"/>
      <c r="B773" s="16"/>
      <c r="C773" s="15"/>
      <c r="D773" s="16"/>
      <c r="E773" s="17"/>
      <c r="F773" s="17"/>
      <c r="H773" s="19"/>
      <c r="I773" s="47"/>
      <c r="J773" s="48"/>
      <c r="K773" s="49"/>
    </row>
    <row r="774" spans="1:11" ht="12.75" hidden="1" x14ac:dyDescent="0.2">
      <c r="A774" s="16"/>
      <c r="B774" s="16"/>
      <c r="C774" s="15"/>
      <c r="D774" s="16"/>
      <c r="E774" s="17"/>
      <c r="F774" s="17"/>
      <c r="H774" s="19"/>
      <c r="I774" s="47"/>
      <c r="J774" s="48"/>
      <c r="K774" s="49"/>
    </row>
    <row r="775" spans="1:11" ht="12.75" hidden="1" x14ac:dyDescent="0.2">
      <c r="A775" s="16"/>
      <c r="B775" s="16"/>
      <c r="C775" s="15"/>
      <c r="D775" s="16"/>
      <c r="E775" s="17"/>
      <c r="F775" s="17"/>
      <c r="H775" s="19"/>
      <c r="I775" s="47"/>
      <c r="J775" s="48"/>
      <c r="K775" s="49"/>
    </row>
    <row r="776" spans="1:11" ht="12.75" hidden="1" x14ac:dyDescent="0.2">
      <c r="A776" s="16"/>
      <c r="B776" s="16"/>
      <c r="C776" s="15"/>
      <c r="D776" s="16"/>
      <c r="E776" s="17"/>
      <c r="F776" s="17"/>
      <c r="H776" s="19"/>
      <c r="I776" s="47"/>
      <c r="J776" s="48"/>
      <c r="K776" s="49"/>
    </row>
    <row r="777" spans="1:11" ht="12.75" hidden="1" x14ac:dyDescent="0.2">
      <c r="A777" s="16"/>
      <c r="B777" s="16"/>
      <c r="C777" s="15"/>
      <c r="D777" s="16"/>
      <c r="E777" s="17"/>
      <c r="F777" s="17"/>
      <c r="H777" s="19"/>
      <c r="I777" s="47"/>
      <c r="J777" s="48"/>
      <c r="K777" s="49"/>
    </row>
    <row r="778" spans="1:11" ht="12.75" hidden="1" x14ac:dyDescent="0.2">
      <c r="A778" s="16"/>
      <c r="B778" s="16"/>
      <c r="C778" s="15"/>
      <c r="D778" s="16"/>
      <c r="E778" s="17"/>
      <c r="F778" s="17"/>
      <c r="H778" s="19"/>
      <c r="I778" s="47"/>
      <c r="J778" s="48"/>
      <c r="K778" s="49"/>
    </row>
    <row r="779" spans="1:11" ht="12.75" hidden="1" x14ac:dyDescent="0.2">
      <c r="A779" s="16"/>
      <c r="B779" s="16"/>
      <c r="C779" s="15"/>
      <c r="D779" s="16"/>
      <c r="E779" s="17"/>
      <c r="F779" s="17"/>
      <c r="H779" s="19"/>
      <c r="I779" s="47"/>
      <c r="J779" s="48"/>
      <c r="K779" s="49"/>
    </row>
    <row r="780" spans="1:11" ht="12.75" hidden="1" x14ac:dyDescent="0.2">
      <c r="A780" s="16"/>
      <c r="B780" s="16"/>
      <c r="C780" s="15"/>
      <c r="D780" s="16"/>
      <c r="E780" s="17"/>
      <c r="F780" s="17"/>
      <c r="H780" s="19"/>
      <c r="I780" s="47"/>
      <c r="J780" s="48"/>
      <c r="K780" s="49"/>
    </row>
    <row r="781" spans="1:11" ht="12.75" hidden="1" x14ac:dyDescent="0.2">
      <c r="A781" s="16"/>
      <c r="B781" s="16"/>
      <c r="C781" s="15"/>
      <c r="D781" s="16"/>
      <c r="E781" s="17"/>
      <c r="F781" s="17"/>
      <c r="H781" s="19"/>
      <c r="I781" s="47"/>
      <c r="J781" s="48"/>
      <c r="K781" s="49"/>
    </row>
    <row r="782" spans="1:11" ht="12.75" hidden="1" x14ac:dyDescent="0.2">
      <c r="A782" s="16"/>
      <c r="B782" s="16"/>
      <c r="C782" s="15"/>
      <c r="D782" s="16"/>
      <c r="E782" s="17"/>
      <c r="F782" s="17"/>
      <c r="H782" s="19"/>
      <c r="I782" s="47"/>
      <c r="J782" s="48"/>
      <c r="K782" s="49"/>
    </row>
    <row r="783" spans="1:11" ht="12.75" hidden="1" x14ac:dyDescent="0.2">
      <c r="A783" s="16"/>
      <c r="B783" s="16"/>
      <c r="C783" s="15"/>
      <c r="D783" s="16"/>
      <c r="E783" s="17"/>
      <c r="F783" s="17"/>
      <c r="H783" s="19"/>
      <c r="I783" s="47"/>
      <c r="J783" s="48"/>
      <c r="K783" s="49"/>
    </row>
    <row r="784" spans="1:11" ht="12.75" hidden="1" x14ac:dyDescent="0.2">
      <c r="A784" s="16"/>
      <c r="B784" s="16"/>
      <c r="C784" s="15"/>
      <c r="D784" s="16"/>
      <c r="E784" s="17"/>
      <c r="F784" s="17"/>
      <c r="H784" s="19"/>
      <c r="I784" s="47"/>
      <c r="J784" s="48"/>
      <c r="K784" s="49"/>
    </row>
    <row r="785" spans="1:11" ht="12.75" hidden="1" x14ac:dyDescent="0.2">
      <c r="A785" s="16"/>
      <c r="B785" s="16"/>
      <c r="C785" s="15"/>
      <c r="D785" s="16"/>
      <c r="E785" s="17"/>
      <c r="F785" s="17"/>
      <c r="H785" s="19"/>
      <c r="I785" s="47"/>
      <c r="J785" s="48"/>
      <c r="K785" s="49"/>
    </row>
    <row r="786" spans="1:11" ht="12.75" hidden="1" x14ac:dyDescent="0.2">
      <c r="A786" s="16"/>
      <c r="B786" s="16"/>
      <c r="C786" s="15"/>
      <c r="D786" s="16"/>
      <c r="E786" s="17"/>
      <c r="F786" s="17"/>
      <c r="H786" s="19"/>
      <c r="I786" s="47"/>
      <c r="J786" s="48"/>
      <c r="K786" s="49"/>
    </row>
    <row r="787" spans="1:11" ht="12.75" hidden="1" x14ac:dyDescent="0.2">
      <c r="A787" s="16"/>
      <c r="B787" s="16"/>
      <c r="C787" s="15"/>
      <c r="D787" s="16"/>
      <c r="E787" s="17"/>
      <c r="F787" s="17"/>
      <c r="H787" s="19"/>
      <c r="I787" s="47"/>
      <c r="J787" s="48"/>
      <c r="K787" s="49"/>
    </row>
    <row r="788" spans="1:11" ht="12.75" hidden="1" x14ac:dyDescent="0.2">
      <c r="A788" s="16"/>
      <c r="B788" s="16"/>
      <c r="C788" s="15"/>
      <c r="D788" s="16"/>
      <c r="E788" s="17"/>
      <c r="F788" s="17"/>
      <c r="H788" s="19"/>
      <c r="I788" s="47"/>
      <c r="J788" s="48"/>
      <c r="K788" s="49"/>
    </row>
    <row r="789" spans="1:11" ht="12.75" hidden="1" x14ac:dyDescent="0.2">
      <c r="A789" s="16"/>
      <c r="B789" s="16"/>
      <c r="C789" s="15"/>
      <c r="D789" s="16"/>
      <c r="E789" s="17"/>
      <c r="F789" s="17"/>
      <c r="H789" s="19"/>
      <c r="I789" s="47"/>
      <c r="J789" s="48"/>
      <c r="K789" s="49"/>
    </row>
    <row r="790" spans="1:11" ht="12.75" hidden="1" x14ac:dyDescent="0.2">
      <c r="A790" s="16"/>
      <c r="B790" s="16"/>
      <c r="C790" s="15"/>
      <c r="D790" s="16"/>
      <c r="E790" s="17"/>
      <c r="F790" s="17"/>
      <c r="H790" s="19"/>
      <c r="I790" s="47"/>
      <c r="J790" s="48"/>
      <c r="K790" s="49"/>
    </row>
    <row r="791" spans="1:11" ht="12.75" hidden="1" x14ac:dyDescent="0.2">
      <c r="A791" s="16"/>
      <c r="B791" s="16"/>
      <c r="C791" s="15"/>
      <c r="D791" s="16"/>
      <c r="E791" s="17"/>
      <c r="F791" s="17"/>
      <c r="H791" s="19"/>
      <c r="I791" s="47"/>
      <c r="J791" s="48"/>
      <c r="K791" s="49"/>
    </row>
    <row r="792" spans="1:11" ht="12.75" hidden="1" x14ac:dyDescent="0.2">
      <c r="A792" s="16"/>
      <c r="B792" s="16"/>
      <c r="C792" s="15"/>
      <c r="D792" s="16"/>
      <c r="E792" s="17"/>
      <c r="F792" s="17"/>
      <c r="H792" s="19"/>
      <c r="I792" s="47"/>
      <c r="J792" s="48"/>
      <c r="K792" s="49"/>
    </row>
    <row r="793" spans="1:11" ht="12.75" hidden="1" x14ac:dyDescent="0.2">
      <c r="A793" s="16"/>
      <c r="B793" s="16"/>
      <c r="C793" s="15"/>
      <c r="D793" s="16"/>
      <c r="E793" s="17"/>
      <c r="F793" s="17"/>
      <c r="H793" s="19"/>
      <c r="I793" s="47"/>
      <c r="J793" s="48"/>
      <c r="K793" s="49"/>
    </row>
    <row r="794" spans="1:11" ht="12.75" hidden="1" x14ac:dyDescent="0.2">
      <c r="A794" s="16"/>
      <c r="B794" s="16"/>
      <c r="C794" s="15"/>
      <c r="D794" s="16"/>
      <c r="E794" s="17"/>
      <c r="F794" s="17"/>
      <c r="H794" s="19"/>
      <c r="I794" s="47"/>
      <c r="J794" s="48"/>
      <c r="K794" s="49"/>
    </row>
    <row r="795" spans="1:11" ht="12.75" hidden="1" x14ac:dyDescent="0.2">
      <c r="A795" s="16"/>
      <c r="B795" s="16"/>
      <c r="C795" s="15"/>
      <c r="D795" s="16"/>
      <c r="E795" s="17"/>
      <c r="F795" s="17"/>
      <c r="H795" s="19"/>
      <c r="I795" s="47"/>
      <c r="J795" s="48"/>
      <c r="K795" s="49"/>
    </row>
    <row r="796" spans="1:11" ht="12.75" hidden="1" x14ac:dyDescent="0.2">
      <c r="A796" s="16"/>
      <c r="B796" s="16"/>
      <c r="C796" s="15"/>
      <c r="D796" s="16"/>
      <c r="E796" s="17"/>
      <c r="F796" s="17"/>
      <c r="H796" s="19"/>
      <c r="I796" s="47"/>
      <c r="J796" s="48"/>
      <c r="K796" s="49"/>
    </row>
    <row r="797" spans="1:11" ht="12.75" hidden="1" x14ac:dyDescent="0.2">
      <c r="A797" s="16"/>
      <c r="B797" s="16"/>
      <c r="C797" s="15"/>
      <c r="D797" s="16"/>
      <c r="E797" s="17"/>
      <c r="F797" s="17"/>
      <c r="H797" s="19"/>
      <c r="I797" s="47"/>
      <c r="J797" s="48"/>
      <c r="K797" s="49"/>
    </row>
    <row r="798" spans="1:11" ht="12.75" hidden="1" x14ac:dyDescent="0.2">
      <c r="A798" s="16"/>
      <c r="B798" s="16"/>
      <c r="C798" s="15"/>
      <c r="D798" s="16"/>
      <c r="E798" s="17"/>
      <c r="F798" s="17"/>
      <c r="H798" s="19"/>
      <c r="I798" s="47"/>
      <c r="J798" s="48"/>
      <c r="K798" s="49"/>
    </row>
    <row r="799" spans="1:11" ht="12.75" hidden="1" x14ac:dyDescent="0.2">
      <c r="A799" s="16"/>
      <c r="B799" s="16"/>
      <c r="C799" s="15"/>
      <c r="D799" s="16"/>
      <c r="E799" s="17"/>
      <c r="F799" s="17"/>
      <c r="H799" s="19"/>
      <c r="I799" s="47"/>
      <c r="J799" s="48"/>
      <c r="K799" s="49"/>
    </row>
    <row r="800" spans="1:11" ht="12.75" hidden="1" x14ac:dyDescent="0.2">
      <c r="A800" s="16"/>
      <c r="B800" s="16"/>
      <c r="C800" s="15"/>
      <c r="D800" s="16"/>
      <c r="E800" s="17"/>
      <c r="F800" s="17"/>
      <c r="H800" s="19"/>
      <c r="I800" s="47"/>
      <c r="J800" s="48"/>
      <c r="K800" s="49"/>
    </row>
    <row r="801" spans="1:11" ht="12.75" hidden="1" x14ac:dyDescent="0.2">
      <c r="A801" s="16"/>
      <c r="B801" s="16"/>
      <c r="C801" s="15"/>
      <c r="D801" s="16"/>
      <c r="E801" s="17"/>
      <c r="F801" s="17"/>
      <c r="H801" s="19"/>
      <c r="I801" s="47"/>
      <c r="J801" s="48"/>
      <c r="K801" s="49"/>
    </row>
    <row r="802" spans="1:11" ht="12.75" hidden="1" x14ac:dyDescent="0.2">
      <c r="A802" s="16"/>
      <c r="B802" s="16"/>
      <c r="C802" s="15"/>
      <c r="D802" s="16"/>
      <c r="E802" s="17"/>
      <c r="F802" s="17"/>
      <c r="H802" s="19"/>
      <c r="I802" s="47"/>
      <c r="J802" s="48"/>
      <c r="K802" s="49"/>
    </row>
    <row r="803" spans="1:11" ht="12.75" hidden="1" x14ac:dyDescent="0.2">
      <c r="A803" s="16"/>
      <c r="B803" s="16"/>
      <c r="C803" s="15"/>
      <c r="D803" s="16"/>
      <c r="E803" s="17"/>
      <c r="F803" s="17"/>
      <c r="H803" s="19"/>
      <c r="I803" s="47"/>
      <c r="J803" s="48"/>
      <c r="K803" s="49"/>
    </row>
    <row r="804" spans="1:11" ht="12.75" hidden="1" x14ac:dyDescent="0.2">
      <c r="A804" s="16"/>
      <c r="B804" s="16"/>
      <c r="C804" s="15"/>
      <c r="D804" s="16"/>
      <c r="E804" s="17"/>
      <c r="F804" s="17"/>
      <c r="H804" s="19"/>
      <c r="I804" s="47"/>
      <c r="J804" s="48"/>
      <c r="K804" s="49"/>
    </row>
    <row r="805" spans="1:11" ht="12.75" hidden="1" x14ac:dyDescent="0.2">
      <c r="A805" s="16"/>
      <c r="B805" s="16"/>
      <c r="C805" s="15"/>
      <c r="D805" s="16"/>
      <c r="E805" s="17"/>
      <c r="F805" s="17"/>
      <c r="H805" s="19"/>
      <c r="I805" s="47"/>
      <c r="J805" s="48"/>
      <c r="K805" s="49"/>
    </row>
    <row r="806" spans="1:11" ht="12.75" hidden="1" x14ac:dyDescent="0.2">
      <c r="A806" s="16"/>
      <c r="B806" s="16"/>
      <c r="C806" s="15"/>
      <c r="D806" s="16"/>
      <c r="E806" s="17"/>
      <c r="F806" s="17"/>
      <c r="H806" s="19"/>
      <c r="I806" s="47"/>
      <c r="J806" s="48"/>
      <c r="K806" s="49"/>
    </row>
    <row r="807" spans="1:11" ht="12.75" hidden="1" x14ac:dyDescent="0.2">
      <c r="A807" s="16"/>
      <c r="B807" s="16"/>
      <c r="C807" s="15"/>
      <c r="D807" s="16"/>
      <c r="E807" s="17"/>
      <c r="F807" s="17"/>
      <c r="H807" s="19"/>
      <c r="I807" s="47"/>
      <c r="J807" s="48"/>
      <c r="K807" s="49"/>
    </row>
    <row r="808" spans="1:11" ht="12.75" hidden="1" x14ac:dyDescent="0.2">
      <c r="A808" s="16"/>
      <c r="B808" s="16"/>
      <c r="C808" s="15"/>
      <c r="D808" s="16"/>
      <c r="E808" s="17"/>
      <c r="F808" s="17"/>
      <c r="H808" s="19"/>
      <c r="I808" s="47"/>
      <c r="J808" s="48"/>
      <c r="K808" s="49"/>
    </row>
    <row r="809" spans="1:11" ht="12.75" hidden="1" x14ac:dyDescent="0.2">
      <c r="A809" s="16"/>
      <c r="B809" s="16"/>
      <c r="C809" s="15"/>
      <c r="D809" s="16"/>
      <c r="E809" s="17"/>
      <c r="F809" s="17"/>
      <c r="H809" s="19"/>
      <c r="I809" s="47"/>
      <c r="J809" s="48"/>
      <c r="K809" s="49"/>
    </row>
    <row r="810" spans="1:11" ht="12.75" hidden="1" x14ac:dyDescent="0.2">
      <c r="A810" s="16"/>
      <c r="B810" s="16"/>
      <c r="C810" s="15"/>
      <c r="D810" s="16"/>
      <c r="E810" s="17"/>
      <c r="F810" s="17"/>
      <c r="H810" s="19"/>
      <c r="I810" s="47"/>
      <c r="J810" s="48"/>
      <c r="K810" s="49"/>
    </row>
    <row r="811" spans="1:11" ht="12.75" hidden="1" x14ac:dyDescent="0.2">
      <c r="A811" s="16"/>
      <c r="B811" s="16"/>
      <c r="C811" s="15"/>
      <c r="D811" s="16"/>
      <c r="E811" s="17"/>
      <c r="F811" s="17"/>
      <c r="H811" s="19"/>
      <c r="I811" s="47"/>
      <c r="J811" s="48"/>
      <c r="K811" s="49"/>
    </row>
    <row r="812" spans="1:11" ht="12.75" hidden="1" x14ac:dyDescent="0.2">
      <c r="A812" s="16"/>
      <c r="B812" s="16"/>
      <c r="C812" s="15"/>
      <c r="D812" s="16"/>
      <c r="E812" s="17"/>
      <c r="F812" s="17"/>
      <c r="H812" s="19"/>
      <c r="I812" s="47"/>
      <c r="J812" s="48"/>
      <c r="K812" s="49"/>
    </row>
    <row r="813" spans="1:11" ht="12.75" hidden="1" x14ac:dyDescent="0.2">
      <c r="A813" s="16"/>
      <c r="B813" s="16"/>
      <c r="C813" s="15"/>
      <c r="D813" s="16"/>
      <c r="E813" s="17"/>
      <c r="F813" s="17"/>
      <c r="H813" s="19"/>
      <c r="I813" s="47"/>
      <c r="J813" s="48"/>
      <c r="K813" s="49"/>
    </row>
    <row r="814" spans="1:11" ht="12.75" hidden="1" x14ac:dyDescent="0.2">
      <c r="A814" s="16"/>
      <c r="B814" s="16"/>
      <c r="C814" s="15"/>
      <c r="D814" s="16"/>
      <c r="E814" s="17"/>
      <c r="F814" s="17"/>
      <c r="H814" s="19"/>
      <c r="I814" s="47"/>
      <c r="J814" s="48"/>
      <c r="K814" s="49"/>
    </row>
    <row r="815" spans="1:11" ht="12.75" hidden="1" x14ac:dyDescent="0.2">
      <c r="A815" s="16"/>
      <c r="B815" s="16"/>
      <c r="C815" s="15"/>
      <c r="D815" s="16"/>
      <c r="E815" s="17"/>
      <c r="F815" s="17"/>
      <c r="H815" s="19"/>
      <c r="I815" s="47"/>
      <c r="J815" s="48"/>
      <c r="K815" s="49"/>
    </row>
    <row r="816" spans="1:11" ht="12.75" hidden="1" x14ac:dyDescent="0.2">
      <c r="A816" s="16"/>
      <c r="B816" s="16"/>
      <c r="C816" s="15"/>
      <c r="D816" s="16"/>
      <c r="E816" s="17"/>
      <c r="F816" s="17"/>
      <c r="H816" s="19"/>
      <c r="I816" s="47"/>
      <c r="J816" s="48"/>
      <c r="K816" s="49"/>
    </row>
    <row r="817" spans="1:11" ht="12.75" hidden="1" x14ac:dyDescent="0.2">
      <c r="A817" s="16"/>
      <c r="B817" s="16"/>
      <c r="C817" s="15"/>
      <c r="D817" s="16"/>
      <c r="E817" s="17"/>
      <c r="F817" s="17"/>
      <c r="H817" s="19"/>
      <c r="I817" s="47"/>
      <c r="J817" s="48"/>
      <c r="K817" s="49"/>
    </row>
    <row r="818" spans="1:11" ht="12.75" hidden="1" x14ac:dyDescent="0.2">
      <c r="A818" s="16"/>
      <c r="B818" s="16"/>
      <c r="C818" s="15"/>
      <c r="D818" s="16"/>
      <c r="E818" s="17"/>
      <c r="F818" s="17"/>
      <c r="H818" s="19"/>
      <c r="I818" s="47"/>
      <c r="J818" s="48"/>
      <c r="K818" s="49"/>
    </row>
    <row r="819" spans="1:11" ht="12.75" hidden="1" x14ac:dyDescent="0.2">
      <c r="A819" s="16"/>
      <c r="B819" s="16"/>
      <c r="C819" s="15"/>
      <c r="D819" s="16"/>
      <c r="E819" s="17"/>
      <c r="F819" s="17"/>
      <c r="H819" s="19"/>
      <c r="I819" s="47"/>
      <c r="J819" s="48"/>
      <c r="K819" s="49"/>
    </row>
    <row r="820" spans="1:11" ht="12.75" hidden="1" x14ac:dyDescent="0.2">
      <c r="A820" s="16"/>
      <c r="B820" s="16"/>
      <c r="C820" s="15"/>
      <c r="D820" s="16"/>
      <c r="E820" s="17"/>
      <c r="F820" s="17"/>
      <c r="H820" s="19"/>
      <c r="I820" s="47"/>
      <c r="J820" s="48"/>
      <c r="K820" s="49"/>
    </row>
    <row r="821" spans="1:11" ht="12.75" hidden="1" x14ac:dyDescent="0.2">
      <c r="A821" s="16"/>
      <c r="B821" s="16"/>
      <c r="C821" s="15"/>
      <c r="D821" s="16"/>
      <c r="E821" s="17"/>
      <c r="F821" s="17"/>
      <c r="H821" s="19"/>
      <c r="I821" s="47"/>
      <c r="J821" s="48"/>
      <c r="K821" s="49"/>
    </row>
    <row r="822" spans="1:11" ht="12.75" hidden="1" x14ac:dyDescent="0.2">
      <c r="A822" s="16"/>
      <c r="B822" s="16"/>
      <c r="C822" s="15"/>
      <c r="D822" s="16"/>
      <c r="E822" s="17"/>
      <c r="F822" s="17"/>
      <c r="H822" s="19"/>
      <c r="I822" s="47"/>
      <c r="J822" s="48"/>
      <c r="K822" s="49"/>
    </row>
    <row r="823" spans="1:11" ht="12.75" hidden="1" x14ac:dyDescent="0.2">
      <c r="A823" s="16"/>
      <c r="B823" s="16"/>
      <c r="C823" s="15"/>
      <c r="D823" s="16"/>
      <c r="E823" s="17"/>
      <c r="F823" s="17"/>
      <c r="H823" s="19"/>
      <c r="I823" s="47"/>
      <c r="J823" s="48"/>
      <c r="K823" s="49"/>
    </row>
    <row r="824" spans="1:11" ht="12.75" hidden="1" x14ac:dyDescent="0.2">
      <c r="A824" s="16"/>
      <c r="B824" s="16"/>
      <c r="C824" s="15"/>
      <c r="D824" s="16"/>
      <c r="E824" s="17"/>
      <c r="F824" s="17"/>
      <c r="H824" s="19"/>
      <c r="I824" s="47"/>
      <c r="J824" s="48"/>
      <c r="K824" s="49"/>
    </row>
    <row r="825" spans="1:11" ht="12.75" hidden="1" x14ac:dyDescent="0.2">
      <c r="A825" s="16"/>
      <c r="B825" s="16"/>
      <c r="C825" s="15"/>
      <c r="D825" s="16"/>
      <c r="E825" s="17"/>
      <c r="F825" s="17"/>
      <c r="H825" s="19"/>
      <c r="I825" s="47"/>
      <c r="J825" s="48"/>
      <c r="K825" s="49"/>
    </row>
    <row r="826" spans="1:11" ht="12.75" hidden="1" x14ac:dyDescent="0.2">
      <c r="A826" s="16"/>
      <c r="B826" s="16"/>
      <c r="C826" s="15"/>
      <c r="D826" s="16"/>
      <c r="E826" s="17"/>
      <c r="F826" s="17"/>
      <c r="H826" s="19"/>
      <c r="I826" s="47"/>
      <c r="J826" s="48"/>
      <c r="K826" s="49"/>
    </row>
    <row r="827" spans="1:11" ht="12.75" hidden="1" x14ac:dyDescent="0.2">
      <c r="A827" s="16"/>
      <c r="B827" s="16"/>
      <c r="C827" s="15"/>
      <c r="D827" s="16"/>
      <c r="E827" s="17"/>
      <c r="F827" s="17"/>
      <c r="H827" s="19"/>
      <c r="I827" s="47"/>
      <c r="J827" s="48"/>
      <c r="K827" s="49"/>
    </row>
    <row r="828" spans="1:11" ht="12.75" hidden="1" x14ac:dyDescent="0.2">
      <c r="A828" s="16"/>
      <c r="B828" s="16"/>
      <c r="C828" s="15"/>
      <c r="D828" s="16"/>
      <c r="E828" s="17"/>
      <c r="F828" s="17"/>
      <c r="H828" s="19"/>
      <c r="I828" s="47"/>
      <c r="J828" s="48"/>
      <c r="K828" s="49"/>
    </row>
    <row r="829" spans="1:11" ht="12.75" hidden="1" x14ac:dyDescent="0.2">
      <c r="A829" s="16"/>
      <c r="B829" s="16"/>
      <c r="C829" s="15"/>
      <c r="D829" s="16"/>
      <c r="E829" s="17"/>
      <c r="F829" s="17"/>
      <c r="H829" s="19"/>
      <c r="I829" s="47"/>
      <c r="J829" s="48"/>
      <c r="K829" s="49"/>
    </row>
    <row r="830" spans="1:11" ht="12.75" hidden="1" x14ac:dyDescent="0.2">
      <c r="A830" s="16"/>
      <c r="B830" s="16"/>
      <c r="C830" s="15"/>
      <c r="D830" s="16"/>
      <c r="E830" s="17"/>
      <c r="F830" s="17"/>
      <c r="H830" s="19"/>
      <c r="I830" s="47"/>
      <c r="J830" s="48"/>
      <c r="K830" s="49"/>
    </row>
    <row r="831" spans="1:11" ht="12.75" hidden="1" x14ac:dyDescent="0.2">
      <c r="A831" s="16"/>
      <c r="B831" s="16"/>
      <c r="C831" s="15"/>
      <c r="D831" s="16"/>
      <c r="E831" s="17"/>
      <c r="F831" s="17"/>
      <c r="H831" s="19"/>
      <c r="I831" s="47"/>
      <c r="J831" s="48"/>
      <c r="K831" s="49"/>
    </row>
    <row r="832" spans="1:11" ht="12.75" hidden="1" x14ac:dyDescent="0.2">
      <c r="A832" s="16"/>
      <c r="B832" s="16"/>
      <c r="C832" s="15"/>
      <c r="D832" s="16"/>
      <c r="E832" s="17"/>
      <c r="F832" s="17"/>
      <c r="H832" s="19"/>
      <c r="I832" s="47"/>
      <c r="J832" s="48"/>
      <c r="K832" s="49"/>
    </row>
    <row r="833" spans="1:11" ht="12.75" hidden="1" x14ac:dyDescent="0.2">
      <c r="A833" s="16"/>
      <c r="B833" s="16"/>
      <c r="C833" s="15"/>
      <c r="D833" s="16"/>
      <c r="E833" s="17"/>
      <c r="F833" s="17"/>
      <c r="H833" s="19"/>
      <c r="I833" s="47"/>
      <c r="J833" s="48"/>
      <c r="K833" s="49"/>
    </row>
    <row r="834" spans="1:11" ht="12.75" hidden="1" x14ac:dyDescent="0.2">
      <c r="A834" s="16"/>
      <c r="B834" s="16"/>
      <c r="C834" s="15"/>
      <c r="D834" s="16"/>
      <c r="E834" s="17"/>
      <c r="F834" s="17"/>
      <c r="H834" s="19"/>
      <c r="I834" s="47"/>
      <c r="J834" s="48"/>
      <c r="K834" s="49"/>
    </row>
    <row r="835" spans="1:11" ht="12.75" hidden="1" x14ac:dyDescent="0.2">
      <c r="A835" s="16"/>
      <c r="B835" s="16"/>
      <c r="C835" s="15"/>
      <c r="D835" s="16"/>
      <c r="E835" s="17"/>
      <c r="F835" s="17"/>
      <c r="H835" s="19"/>
      <c r="I835" s="47"/>
      <c r="J835" s="48"/>
      <c r="K835" s="49"/>
    </row>
    <row r="836" spans="1:11" ht="12.75" hidden="1" x14ac:dyDescent="0.2">
      <c r="A836" s="16"/>
      <c r="B836" s="16"/>
      <c r="C836" s="15"/>
      <c r="D836" s="16"/>
      <c r="E836" s="17"/>
      <c r="F836" s="17"/>
      <c r="H836" s="19"/>
      <c r="I836" s="47"/>
      <c r="J836" s="48"/>
      <c r="K836" s="49"/>
    </row>
    <row r="837" spans="1:11" ht="12.75" hidden="1" x14ac:dyDescent="0.2">
      <c r="A837" s="16"/>
      <c r="B837" s="16"/>
      <c r="C837" s="15"/>
      <c r="D837" s="16"/>
      <c r="E837" s="17"/>
      <c r="F837" s="17"/>
      <c r="H837" s="19"/>
      <c r="I837" s="47"/>
      <c r="J837" s="48"/>
      <c r="K837" s="49"/>
    </row>
    <row r="838" spans="1:11" ht="12.75" hidden="1" x14ac:dyDescent="0.2">
      <c r="A838" s="16"/>
      <c r="B838" s="16"/>
      <c r="C838" s="15"/>
      <c r="D838" s="16"/>
      <c r="E838" s="17"/>
      <c r="F838" s="17"/>
      <c r="H838" s="19"/>
      <c r="I838" s="47"/>
      <c r="J838" s="48"/>
      <c r="K838" s="49"/>
    </row>
    <row r="839" spans="1:11" ht="12.75" hidden="1" x14ac:dyDescent="0.2">
      <c r="A839" s="16"/>
      <c r="B839" s="16"/>
      <c r="C839" s="15"/>
      <c r="D839" s="16"/>
      <c r="E839" s="17"/>
      <c r="F839" s="17"/>
      <c r="H839" s="19"/>
      <c r="I839" s="47"/>
      <c r="J839" s="48"/>
      <c r="K839" s="49"/>
    </row>
    <row r="840" spans="1:11" ht="12.75" hidden="1" x14ac:dyDescent="0.2">
      <c r="A840" s="16"/>
      <c r="B840" s="16"/>
      <c r="C840" s="15"/>
      <c r="D840" s="16"/>
      <c r="E840" s="17"/>
      <c r="F840" s="17"/>
      <c r="H840" s="19"/>
      <c r="I840" s="47"/>
      <c r="J840" s="48"/>
      <c r="K840" s="49"/>
    </row>
    <row r="841" spans="1:11" ht="12.75" hidden="1" x14ac:dyDescent="0.2">
      <c r="A841" s="16"/>
      <c r="B841" s="16"/>
      <c r="C841" s="15"/>
      <c r="D841" s="16"/>
      <c r="E841" s="17"/>
      <c r="F841" s="17"/>
      <c r="H841" s="19"/>
      <c r="I841" s="47"/>
      <c r="J841" s="48"/>
      <c r="K841" s="49"/>
    </row>
    <row r="842" spans="1:11" ht="12.75" hidden="1" x14ac:dyDescent="0.2">
      <c r="A842" s="16"/>
      <c r="B842" s="16"/>
      <c r="C842" s="15"/>
      <c r="D842" s="16"/>
      <c r="E842" s="17"/>
      <c r="F842" s="17"/>
      <c r="H842" s="19"/>
      <c r="I842" s="47"/>
      <c r="J842" s="48"/>
      <c r="K842" s="49"/>
    </row>
    <row r="843" spans="1:11" ht="12.75" hidden="1" x14ac:dyDescent="0.2">
      <c r="A843" s="16"/>
      <c r="B843" s="16"/>
      <c r="C843" s="15"/>
      <c r="D843" s="16"/>
      <c r="E843" s="17"/>
      <c r="F843" s="17"/>
      <c r="H843" s="19"/>
      <c r="I843" s="47"/>
      <c r="J843" s="48"/>
      <c r="K843" s="49"/>
    </row>
    <row r="844" spans="1:11" ht="12.75" hidden="1" x14ac:dyDescent="0.2">
      <c r="A844" s="16"/>
      <c r="B844" s="16"/>
      <c r="C844" s="15"/>
      <c r="D844" s="16"/>
      <c r="E844" s="17"/>
      <c r="F844" s="17"/>
      <c r="H844" s="19"/>
      <c r="I844" s="47"/>
      <c r="J844" s="48"/>
      <c r="K844" s="49"/>
    </row>
    <row r="845" spans="1:11" ht="12.75" hidden="1" x14ac:dyDescent="0.2">
      <c r="A845" s="16"/>
      <c r="B845" s="16"/>
      <c r="C845" s="15"/>
      <c r="D845" s="16"/>
      <c r="E845" s="17"/>
      <c r="F845" s="17"/>
      <c r="H845" s="19"/>
      <c r="I845" s="47"/>
      <c r="J845" s="48"/>
      <c r="K845" s="49"/>
    </row>
    <row r="846" spans="1:11" ht="12.75" hidden="1" x14ac:dyDescent="0.2">
      <c r="A846" s="16"/>
      <c r="B846" s="16"/>
      <c r="C846" s="15"/>
      <c r="D846" s="16"/>
      <c r="E846" s="17"/>
      <c r="F846" s="17"/>
      <c r="H846" s="19"/>
      <c r="I846" s="47"/>
      <c r="J846" s="48"/>
      <c r="K846" s="49"/>
    </row>
    <row r="847" spans="1:11" ht="12.75" hidden="1" x14ac:dyDescent="0.2">
      <c r="A847" s="16"/>
      <c r="B847" s="16"/>
      <c r="C847" s="15"/>
      <c r="D847" s="16"/>
      <c r="E847" s="17"/>
      <c r="F847" s="17"/>
      <c r="H847" s="19"/>
      <c r="I847" s="47"/>
      <c r="J847" s="48"/>
      <c r="K847" s="49"/>
    </row>
    <row r="848" spans="1:11" ht="12.75" hidden="1" x14ac:dyDescent="0.2">
      <c r="A848" s="16"/>
      <c r="B848" s="16"/>
      <c r="C848" s="15"/>
      <c r="D848" s="16"/>
      <c r="E848" s="17"/>
      <c r="F848" s="17"/>
      <c r="H848" s="19"/>
      <c r="I848" s="47"/>
      <c r="J848" s="48"/>
      <c r="K848" s="49"/>
    </row>
    <row r="849" spans="1:11" ht="12.75" hidden="1" x14ac:dyDescent="0.2">
      <c r="A849" s="16"/>
      <c r="B849" s="16"/>
      <c r="C849" s="15"/>
      <c r="D849" s="16"/>
      <c r="E849" s="17"/>
      <c r="F849" s="17"/>
      <c r="H849" s="19"/>
      <c r="I849" s="47"/>
      <c r="J849" s="48"/>
      <c r="K849" s="49"/>
    </row>
    <row r="850" spans="1:11" ht="12.75" hidden="1" x14ac:dyDescent="0.2">
      <c r="A850" s="16"/>
      <c r="B850" s="16"/>
      <c r="C850" s="15"/>
      <c r="D850" s="16"/>
      <c r="E850" s="17"/>
      <c r="F850" s="17"/>
      <c r="H850" s="19"/>
      <c r="I850" s="47"/>
      <c r="J850" s="48"/>
      <c r="K850" s="49"/>
    </row>
    <row r="851" spans="1:11" ht="12.75" hidden="1" x14ac:dyDescent="0.2">
      <c r="A851" s="16"/>
      <c r="B851" s="16"/>
      <c r="C851" s="15"/>
      <c r="D851" s="16"/>
      <c r="E851" s="17"/>
      <c r="F851" s="17"/>
      <c r="H851" s="19"/>
      <c r="I851" s="47"/>
      <c r="J851" s="48"/>
      <c r="K851" s="49"/>
    </row>
    <row r="852" spans="1:11" ht="12.75" hidden="1" x14ac:dyDescent="0.2">
      <c r="A852" s="16"/>
      <c r="B852" s="16"/>
      <c r="C852" s="15"/>
      <c r="D852" s="16"/>
      <c r="E852" s="17"/>
      <c r="F852" s="17"/>
      <c r="H852" s="19"/>
      <c r="I852" s="47"/>
      <c r="J852" s="48"/>
      <c r="K852" s="49"/>
    </row>
    <row r="853" spans="1:11" ht="12.75" hidden="1" x14ac:dyDescent="0.2">
      <c r="A853" s="16"/>
      <c r="B853" s="16"/>
      <c r="C853" s="15"/>
      <c r="D853" s="16"/>
      <c r="E853" s="17"/>
      <c r="F853" s="17"/>
      <c r="H853" s="50"/>
      <c r="I853" s="51"/>
      <c r="J853" s="52"/>
      <c r="K853" s="53"/>
    </row>
  </sheetData>
  <autoFilter ref="A6:I215" xr:uid="{00000000-0009-0000-0000-000007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6:C853">
    <cfRule type="cellIs" dxfId="29" priority="4" operator="lessThan">
      <formula>"92%"</formula>
    </cfRule>
  </conditionalFormatting>
  <conditionalFormatting sqref="C7:C215">
    <cfRule type="cellIs" dxfId="28" priority="1" operator="lessThan">
      <formula>"90%"</formula>
    </cfRule>
    <cfRule type="cellIs" dxfId="27" priority="2" operator="lessThan">
      <formula>"94%"</formula>
    </cfRule>
  </conditionalFormatting>
  <conditionalFormatting sqref="K1:K853">
    <cfRule type="cellIs" dxfId="26" priority="3" operator="lessThan">
      <formula>0</formula>
    </cfRule>
  </conditionalFormatting>
  <dataValidations count="1">
    <dataValidation type="list" allowBlank="1" sqref="E7:E215" xr:uid="{00000000-0002-0000-0700-000000000000}">
      <formula1>"Weather,Health,Safety,Other"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73763"/>
    <outlinePr summaryBelow="0" summaryRight="0"/>
    <pageSetUpPr fitToPage="1"/>
  </sheetPr>
  <dimension ref="A1:K853"/>
  <sheetViews>
    <sheetView workbookViewId="0"/>
  </sheetViews>
  <sheetFormatPr defaultColWidth="12.5703125" defaultRowHeight="15.75" customHeight="1" x14ac:dyDescent="0.2"/>
  <cols>
    <col min="1" max="1" width="9.42578125" customWidth="1"/>
    <col min="2" max="2" width="17.85546875" customWidth="1"/>
    <col min="3" max="3" width="11.5703125" customWidth="1"/>
    <col min="4" max="4" width="14.42578125" customWidth="1"/>
    <col min="5" max="5" width="16.42578125" customWidth="1"/>
    <col min="6" max="6" width="45.85546875" customWidth="1"/>
    <col min="7" max="7" width="12.42578125" customWidth="1"/>
    <col min="8" max="10" width="16.28515625" customWidth="1"/>
    <col min="11" max="11" width="17.42578125" customWidth="1"/>
  </cols>
  <sheetData>
    <row r="1" spans="1:11" ht="12.75" x14ac:dyDescent="0.2">
      <c r="A1" s="58"/>
      <c r="B1" s="58"/>
      <c r="C1" s="58"/>
      <c r="D1" s="58"/>
      <c r="E1" s="58"/>
      <c r="F1" s="58"/>
      <c r="G1" s="58"/>
      <c r="H1" s="59"/>
      <c r="I1" s="59"/>
      <c r="J1" s="60"/>
      <c r="K1" s="55">
        <f>SUM(K7:K215)</f>
        <v>40.897600000007515</v>
      </c>
    </row>
    <row r="2" spans="1:11" x14ac:dyDescent="0.25">
      <c r="A2" s="122" t="s">
        <v>100</v>
      </c>
      <c r="B2" s="119"/>
      <c r="C2" s="119"/>
      <c r="D2" s="119"/>
      <c r="E2" s="119"/>
      <c r="F2" s="119"/>
      <c r="G2" s="119"/>
      <c r="H2" s="123" t="s">
        <v>0</v>
      </c>
      <c r="I2" s="124"/>
      <c r="J2" s="5" t="s">
        <v>9</v>
      </c>
      <c r="K2" s="125" t="s">
        <v>101</v>
      </c>
    </row>
    <row r="3" spans="1:11" ht="23.25" x14ac:dyDescent="0.3">
      <c r="A3" s="119"/>
      <c r="B3" s="119"/>
      <c r="C3" s="119"/>
      <c r="D3" s="119"/>
      <c r="E3" s="119"/>
      <c r="F3" s="119"/>
      <c r="G3" s="119"/>
      <c r="H3" s="126">
        <f>SUM(I7:I128)</f>
        <v>318273.85150000005</v>
      </c>
      <c r="I3" s="124"/>
      <c r="J3" s="127">
        <v>0.95</v>
      </c>
      <c r="K3" s="124"/>
    </row>
    <row r="4" spans="1:11" ht="12.75" x14ac:dyDescent="0.2">
      <c r="A4" s="119"/>
      <c r="B4" s="119"/>
      <c r="C4" s="119"/>
      <c r="D4" s="119"/>
      <c r="E4" s="119"/>
      <c r="F4" s="119"/>
      <c r="G4" s="119"/>
      <c r="H4" s="129" t="s">
        <v>11</v>
      </c>
      <c r="I4" s="119"/>
      <c r="J4" s="128"/>
      <c r="K4" s="124"/>
    </row>
    <row r="5" spans="1:11" ht="15" x14ac:dyDescent="0.35">
      <c r="A5" s="119"/>
      <c r="B5" s="119"/>
      <c r="C5" s="119"/>
      <c r="D5" s="119"/>
      <c r="E5" s="119"/>
      <c r="F5" s="119"/>
      <c r="G5" s="119"/>
      <c r="H5" s="130">
        <v>55</v>
      </c>
      <c r="I5" s="119"/>
      <c r="J5" s="128"/>
      <c r="K5" s="124"/>
    </row>
    <row r="6" spans="1:11" ht="24" x14ac:dyDescent="0.2">
      <c r="A6" s="6" t="s">
        <v>12</v>
      </c>
      <c r="B6" s="7" t="s">
        <v>13</v>
      </c>
      <c r="C6" s="8" t="s">
        <v>14</v>
      </c>
      <c r="D6" s="7" t="s">
        <v>15</v>
      </c>
      <c r="E6" s="9" t="s">
        <v>16</v>
      </c>
      <c r="F6" s="7" t="s">
        <v>17</v>
      </c>
      <c r="G6" s="7" t="s">
        <v>18</v>
      </c>
      <c r="H6" s="10" t="s">
        <v>19</v>
      </c>
      <c r="I6" s="11" t="s">
        <v>20</v>
      </c>
      <c r="J6" s="12" t="s">
        <v>21</v>
      </c>
      <c r="K6" s="124"/>
    </row>
    <row r="7" spans="1:11" ht="12.75" x14ac:dyDescent="0.2">
      <c r="A7" s="13">
        <v>45516</v>
      </c>
      <c r="B7" s="14" t="s">
        <v>3</v>
      </c>
      <c r="C7" s="15">
        <v>1</v>
      </c>
      <c r="D7" s="16" t="s">
        <v>23</v>
      </c>
      <c r="E7" s="17"/>
      <c r="F7" s="17" t="s">
        <v>102</v>
      </c>
      <c r="G7" s="18">
        <v>1213</v>
      </c>
      <c r="H7" s="19">
        <f t="shared" ref="H7:H215" si="0">G7-(C7*G7)</f>
        <v>0</v>
      </c>
      <c r="I7" s="20">
        <f t="shared" ref="I7:I215" si="1">H7*$H$5</f>
        <v>0</v>
      </c>
      <c r="J7" s="21">
        <v>0</v>
      </c>
      <c r="K7" s="22">
        <f t="shared" ref="K7:K215" si="2">J7-H7</f>
        <v>0</v>
      </c>
    </row>
    <row r="8" spans="1:11" ht="12.75" x14ac:dyDescent="0.2">
      <c r="A8" s="13">
        <v>45517</v>
      </c>
      <c r="B8" s="14" t="s">
        <v>4</v>
      </c>
      <c r="C8" s="15">
        <v>0.98509999999999998</v>
      </c>
      <c r="D8" s="16" t="s">
        <v>23</v>
      </c>
      <c r="E8" s="17"/>
      <c r="F8" s="17" t="s">
        <v>103</v>
      </c>
      <c r="G8" s="18">
        <v>1271</v>
      </c>
      <c r="H8" s="19">
        <f t="shared" si="0"/>
        <v>18.937900000000127</v>
      </c>
      <c r="I8" s="20">
        <f t="shared" si="1"/>
        <v>1041.584500000007</v>
      </c>
      <c r="J8" s="21">
        <f t="shared" ref="J8:J215" si="3">G8-(G8*J$3)</f>
        <v>63.549999999999955</v>
      </c>
      <c r="K8" s="22">
        <f t="shared" si="2"/>
        <v>44.612099999999828</v>
      </c>
    </row>
    <row r="9" spans="1:11" ht="12.75" x14ac:dyDescent="0.2">
      <c r="A9" s="13">
        <v>45518</v>
      </c>
      <c r="B9" s="14" t="s">
        <v>5</v>
      </c>
      <c r="C9" s="15">
        <v>0.98299999999999998</v>
      </c>
      <c r="D9" s="16" t="s">
        <v>23</v>
      </c>
      <c r="E9" s="17"/>
      <c r="F9" s="17"/>
      <c r="G9" s="18">
        <v>1293</v>
      </c>
      <c r="H9" s="19">
        <f t="shared" si="0"/>
        <v>21.980999999999995</v>
      </c>
      <c r="I9" s="20">
        <f t="shared" si="1"/>
        <v>1208.9549999999997</v>
      </c>
      <c r="J9" s="21">
        <f t="shared" si="3"/>
        <v>64.650000000000091</v>
      </c>
      <c r="K9" s="22">
        <f t="shared" si="2"/>
        <v>42.669000000000096</v>
      </c>
    </row>
    <row r="10" spans="1:11" ht="12.75" x14ac:dyDescent="0.2">
      <c r="A10" s="13">
        <v>45519</v>
      </c>
      <c r="B10" s="14" t="s">
        <v>6</v>
      </c>
      <c r="C10" s="15">
        <v>0.97689999999999999</v>
      </c>
      <c r="D10" s="16" t="s">
        <v>23</v>
      </c>
      <c r="E10" s="17"/>
      <c r="F10" s="17" t="s">
        <v>104</v>
      </c>
      <c r="G10" s="18">
        <v>1301</v>
      </c>
      <c r="H10" s="19">
        <f t="shared" si="0"/>
        <v>30.053100000000086</v>
      </c>
      <c r="I10" s="20">
        <f t="shared" si="1"/>
        <v>1652.9205000000047</v>
      </c>
      <c r="J10" s="21">
        <f t="shared" si="3"/>
        <v>65.049999999999955</v>
      </c>
      <c r="K10" s="22">
        <f t="shared" si="2"/>
        <v>34.996899999999869</v>
      </c>
    </row>
    <row r="11" spans="1:11" ht="12.75" x14ac:dyDescent="0.2">
      <c r="A11" s="13">
        <v>45520</v>
      </c>
      <c r="B11" s="14" t="s">
        <v>7</v>
      </c>
      <c r="C11" s="15">
        <v>0.95650000000000002</v>
      </c>
      <c r="D11" s="16" t="s">
        <v>23</v>
      </c>
      <c r="E11" s="17"/>
      <c r="F11" s="17" t="s">
        <v>105</v>
      </c>
      <c r="G11" s="18">
        <v>1310</v>
      </c>
      <c r="H11" s="19">
        <f t="shared" si="0"/>
        <v>56.9849999999999</v>
      </c>
      <c r="I11" s="20">
        <f t="shared" si="1"/>
        <v>3134.1749999999947</v>
      </c>
      <c r="J11" s="21">
        <f t="shared" si="3"/>
        <v>65.5</v>
      </c>
      <c r="K11" s="22">
        <f t="shared" si="2"/>
        <v>8.5150000000001</v>
      </c>
    </row>
    <row r="12" spans="1:11" ht="12.75" x14ac:dyDescent="0.2">
      <c r="A12" s="13">
        <v>45523</v>
      </c>
      <c r="B12" s="14" t="s">
        <v>3</v>
      </c>
      <c r="C12" s="15">
        <v>0.96970000000000001</v>
      </c>
      <c r="D12" s="16" t="s">
        <v>23</v>
      </c>
      <c r="E12" s="17"/>
      <c r="F12" s="17"/>
      <c r="G12" s="18">
        <v>1322</v>
      </c>
      <c r="H12" s="19">
        <f t="shared" si="0"/>
        <v>40.056599999999889</v>
      </c>
      <c r="I12" s="20">
        <f t="shared" si="1"/>
        <v>2203.1129999999939</v>
      </c>
      <c r="J12" s="21">
        <f t="shared" si="3"/>
        <v>66.100000000000136</v>
      </c>
      <c r="K12" s="22">
        <f t="shared" si="2"/>
        <v>26.043400000000247</v>
      </c>
    </row>
    <row r="13" spans="1:11" ht="12.75" x14ac:dyDescent="0.2">
      <c r="A13" s="13">
        <v>45524</v>
      </c>
      <c r="B13" s="14" t="s">
        <v>4</v>
      </c>
      <c r="C13" s="15">
        <v>0.96760000000000002</v>
      </c>
      <c r="D13" s="16" t="s">
        <v>23</v>
      </c>
      <c r="E13" s="17"/>
      <c r="F13" s="17"/>
      <c r="G13" s="18">
        <v>1327</v>
      </c>
      <c r="H13" s="19">
        <f t="shared" si="0"/>
        <v>42.994799999999941</v>
      </c>
      <c r="I13" s="20">
        <f t="shared" si="1"/>
        <v>2364.7139999999968</v>
      </c>
      <c r="J13" s="21">
        <f t="shared" si="3"/>
        <v>66.350000000000136</v>
      </c>
      <c r="K13" s="22">
        <f t="shared" si="2"/>
        <v>23.355200000000195</v>
      </c>
    </row>
    <row r="14" spans="1:11" ht="12.75" x14ac:dyDescent="0.2">
      <c r="A14" s="13">
        <v>45525</v>
      </c>
      <c r="B14" s="14" t="s">
        <v>5</v>
      </c>
      <c r="C14" s="15">
        <v>0.94820000000000004</v>
      </c>
      <c r="D14" s="16" t="s">
        <v>23</v>
      </c>
      <c r="E14" s="17"/>
      <c r="F14" s="17"/>
      <c r="G14" s="18">
        <v>1332</v>
      </c>
      <c r="H14" s="19">
        <f t="shared" si="0"/>
        <v>68.99759999999992</v>
      </c>
      <c r="I14" s="20">
        <f t="shared" si="1"/>
        <v>3794.8679999999958</v>
      </c>
      <c r="J14" s="21">
        <f t="shared" si="3"/>
        <v>66.600000000000136</v>
      </c>
      <c r="K14" s="22">
        <f t="shared" si="2"/>
        <v>-2.3975999999997839</v>
      </c>
    </row>
    <row r="15" spans="1:11" ht="12.75" x14ac:dyDescent="0.2">
      <c r="A15" s="13">
        <v>45526</v>
      </c>
      <c r="B15" s="14" t="s">
        <v>6</v>
      </c>
      <c r="C15" s="15">
        <v>0.96399999999999997</v>
      </c>
      <c r="D15" s="16" t="s">
        <v>23</v>
      </c>
      <c r="E15" s="17" t="s">
        <v>25</v>
      </c>
      <c r="F15" s="17"/>
      <c r="G15" s="18">
        <v>1335</v>
      </c>
      <c r="H15" s="19">
        <f t="shared" si="0"/>
        <v>48.059999999999945</v>
      </c>
      <c r="I15" s="20">
        <f t="shared" si="1"/>
        <v>2643.299999999997</v>
      </c>
      <c r="J15" s="21">
        <f t="shared" si="3"/>
        <v>66.75</v>
      </c>
      <c r="K15" s="22">
        <f t="shared" si="2"/>
        <v>18.690000000000055</v>
      </c>
    </row>
    <row r="16" spans="1:11" ht="12.75" x14ac:dyDescent="0.2">
      <c r="A16" s="13">
        <v>45527</v>
      </c>
      <c r="B16" s="14" t="s">
        <v>7</v>
      </c>
      <c r="C16" s="15">
        <v>0.94540000000000002</v>
      </c>
      <c r="D16" s="16" t="s">
        <v>23</v>
      </c>
      <c r="E16" s="17" t="s">
        <v>25</v>
      </c>
      <c r="F16" s="17" t="s">
        <v>106</v>
      </c>
      <c r="G16" s="18">
        <v>1338</v>
      </c>
      <c r="H16" s="19">
        <f t="shared" si="0"/>
        <v>73.054799999999886</v>
      </c>
      <c r="I16" s="20">
        <f t="shared" si="1"/>
        <v>4018.0139999999938</v>
      </c>
      <c r="J16" s="21">
        <f t="shared" si="3"/>
        <v>66.900000000000091</v>
      </c>
      <c r="K16" s="22">
        <f t="shared" si="2"/>
        <v>-6.1547999999997955</v>
      </c>
    </row>
    <row r="17" spans="1:11" ht="12.75" x14ac:dyDescent="0.2">
      <c r="A17" s="13">
        <v>45530</v>
      </c>
      <c r="B17" s="14" t="s">
        <v>3</v>
      </c>
      <c r="C17" s="15">
        <v>0.94869999999999999</v>
      </c>
      <c r="D17" s="16" t="s">
        <v>23</v>
      </c>
      <c r="E17" s="17" t="s">
        <v>43</v>
      </c>
      <c r="F17" s="17" t="s">
        <v>107</v>
      </c>
      <c r="G17" s="18">
        <v>1345</v>
      </c>
      <c r="H17" s="19">
        <f t="shared" si="0"/>
        <v>68.998499999999922</v>
      </c>
      <c r="I17" s="20">
        <f t="shared" si="1"/>
        <v>3794.9174999999959</v>
      </c>
      <c r="J17" s="21">
        <f t="shared" si="3"/>
        <v>67.25</v>
      </c>
      <c r="K17" s="22">
        <f t="shared" si="2"/>
        <v>-1.7484999999999218</v>
      </c>
    </row>
    <row r="18" spans="1:11" ht="12.75" x14ac:dyDescent="0.2">
      <c r="A18" s="13">
        <v>45531</v>
      </c>
      <c r="B18" s="14" t="s">
        <v>4</v>
      </c>
      <c r="C18" s="15">
        <v>0.96289999999999998</v>
      </c>
      <c r="D18" s="16" t="s">
        <v>23</v>
      </c>
      <c r="E18" s="17"/>
      <c r="F18" s="17"/>
      <c r="G18" s="18">
        <v>1348</v>
      </c>
      <c r="H18" s="19">
        <f t="shared" si="0"/>
        <v>50.010800000000017</v>
      </c>
      <c r="I18" s="20">
        <f t="shared" si="1"/>
        <v>2750.594000000001</v>
      </c>
      <c r="J18" s="21">
        <f t="shared" si="3"/>
        <v>67.400000000000091</v>
      </c>
      <c r="K18" s="22">
        <f t="shared" si="2"/>
        <v>17.389200000000073</v>
      </c>
    </row>
    <row r="19" spans="1:11" ht="12.75" x14ac:dyDescent="0.2">
      <c r="A19" s="13">
        <v>45532</v>
      </c>
      <c r="B19" s="14" t="s">
        <v>5</v>
      </c>
      <c r="C19" s="15">
        <v>0.96440000000000003</v>
      </c>
      <c r="D19" s="16" t="s">
        <v>23</v>
      </c>
      <c r="E19" s="17"/>
      <c r="F19" s="23" t="s">
        <v>108</v>
      </c>
      <c r="G19" s="18">
        <v>1348</v>
      </c>
      <c r="H19" s="19">
        <f t="shared" si="0"/>
        <v>47.988799999999856</v>
      </c>
      <c r="I19" s="20">
        <f t="shared" si="1"/>
        <v>2639.3839999999918</v>
      </c>
      <c r="J19" s="21">
        <f t="shared" si="3"/>
        <v>67.400000000000091</v>
      </c>
      <c r="K19" s="22">
        <f t="shared" si="2"/>
        <v>19.411200000000235</v>
      </c>
    </row>
    <row r="20" spans="1:11" ht="12.75" x14ac:dyDescent="0.2">
      <c r="A20" s="13">
        <v>45533</v>
      </c>
      <c r="B20" s="14" t="s">
        <v>6</v>
      </c>
      <c r="C20" s="15">
        <v>0.95699999999999996</v>
      </c>
      <c r="D20" s="16" t="s">
        <v>23</v>
      </c>
      <c r="E20" s="17"/>
      <c r="F20" s="17" t="s">
        <v>109</v>
      </c>
      <c r="G20" s="18">
        <v>1348</v>
      </c>
      <c r="H20" s="19">
        <f t="shared" si="0"/>
        <v>57.963999999999942</v>
      </c>
      <c r="I20" s="20">
        <f t="shared" si="1"/>
        <v>3188.0199999999968</v>
      </c>
      <c r="J20" s="21">
        <f t="shared" si="3"/>
        <v>67.400000000000091</v>
      </c>
      <c r="K20" s="22">
        <f t="shared" si="2"/>
        <v>9.4360000000001492</v>
      </c>
    </row>
    <row r="21" spans="1:11" ht="12.75" x14ac:dyDescent="0.2">
      <c r="A21" s="13">
        <v>45534</v>
      </c>
      <c r="B21" s="14" t="s">
        <v>7</v>
      </c>
      <c r="C21" s="15">
        <v>0.9466</v>
      </c>
      <c r="D21" s="16"/>
      <c r="E21" s="17"/>
      <c r="F21" s="17" t="s">
        <v>110</v>
      </c>
      <c r="G21" s="18">
        <v>1348</v>
      </c>
      <c r="H21" s="19">
        <f t="shared" si="0"/>
        <v>71.983199999999897</v>
      </c>
      <c r="I21" s="20">
        <f t="shared" si="1"/>
        <v>3959.0759999999946</v>
      </c>
      <c r="J21" s="21">
        <f t="shared" si="3"/>
        <v>67.400000000000091</v>
      </c>
      <c r="K21" s="22">
        <f t="shared" si="2"/>
        <v>-4.5831999999998061</v>
      </c>
    </row>
    <row r="22" spans="1:11" ht="12.75" x14ac:dyDescent="0.2">
      <c r="A22" s="24">
        <v>45537</v>
      </c>
      <c r="B22" s="25" t="s">
        <v>3</v>
      </c>
      <c r="C22" s="26"/>
      <c r="D22" s="27"/>
      <c r="E22" s="28"/>
      <c r="F22" s="28"/>
      <c r="G22" s="29"/>
      <c r="H22" s="19">
        <f t="shared" si="0"/>
        <v>0</v>
      </c>
      <c r="I22" s="20">
        <f t="shared" si="1"/>
        <v>0</v>
      </c>
      <c r="J22" s="21">
        <f t="shared" si="3"/>
        <v>0</v>
      </c>
      <c r="K22" s="22">
        <f t="shared" si="2"/>
        <v>0</v>
      </c>
    </row>
    <row r="23" spans="1:11" ht="12.75" x14ac:dyDescent="0.2">
      <c r="A23" s="13">
        <v>45538</v>
      </c>
      <c r="B23" s="14" t="s">
        <v>4</v>
      </c>
      <c r="C23" s="15">
        <v>0.95279999999999998</v>
      </c>
      <c r="D23" s="16"/>
      <c r="E23" s="17"/>
      <c r="F23" s="17"/>
      <c r="G23" s="18">
        <v>1357</v>
      </c>
      <c r="H23" s="19">
        <f t="shared" si="0"/>
        <v>64.050400000000081</v>
      </c>
      <c r="I23" s="20">
        <f t="shared" si="1"/>
        <v>3522.7720000000045</v>
      </c>
      <c r="J23" s="21">
        <f t="shared" si="3"/>
        <v>67.850000000000136</v>
      </c>
      <c r="K23" s="22">
        <f t="shared" si="2"/>
        <v>3.7996000000000549</v>
      </c>
    </row>
    <row r="24" spans="1:11" ht="12.75" x14ac:dyDescent="0.2">
      <c r="A24" s="13">
        <v>45539</v>
      </c>
      <c r="B24" s="14" t="s">
        <v>5</v>
      </c>
      <c r="C24" s="15">
        <v>0.96460000000000001</v>
      </c>
      <c r="D24" s="16"/>
      <c r="E24" s="17"/>
      <c r="F24" s="17"/>
      <c r="G24" s="18">
        <v>1357</v>
      </c>
      <c r="H24" s="19">
        <f t="shared" si="0"/>
        <v>48.037800000000061</v>
      </c>
      <c r="I24" s="20">
        <f t="shared" si="1"/>
        <v>2642.0790000000034</v>
      </c>
      <c r="J24" s="21">
        <f t="shared" si="3"/>
        <v>67.850000000000136</v>
      </c>
      <c r="K24" s="22">
        <f t="shared" si="2"/>
        <v>19.812200000000075</v>
      </c>
    </row>
    <row r="25" spans="1:11" ht="12.75" x14ac:dyDescent="0.2">
      <c r="A25" s="13">
        <v>45540</v>
      </c>
      <c r="B25" s="14" t="s">
        <v>6</v>
      </c>
      <c r="C25" s="15">
        <v>0.96030000000000004</v>
      </c>
      <c r="D25" s="16"/>
      <c r="E25" s="17"/>
      <c r="F25" s="17" t="s">
        <v>111</v>
      </c>
      <c r="G25" s="18">
        <v>1359</v>
      </c>
      <c r="H25" s="19">
        <f t="shared" si="0"/>
        <v>53.952299999999923</v>
      </c>
      <c r="I25" s="20">
        <f t="shared" si="1"/>
        <v>2967.3764999999958</v>
      </c>
      <c r="J25" s="21">
        <f t="shared" si="3"/>
        <v>67.950000000000045</v>
      </c>
      <c r="K25" s="22">
        <f t="shared" si="2"/>
        <v>13.997700000000123</v>
      </c>
    </row>
    <row r="26" spans="1:11" ht="12.75" x14ac:dyDescent="0.2">
      <c r="A26" s="13">
        <v>45541</v>
      </c>
      <c r="B26" s="14" t="s">
        <v>7</v>
      </c>
      <c r="C26" s="15">
        <v>0.94789999999999996</v>
      </c>
      <c r="D26" s="16"/>
      <c r="E26" s="17"/>
      <c r="F26" s="17" t="s">
        <v>112</v>
      </c>
      <c r="G26" s="18">
        <v>1362</v>
      </c>
      <c r="H26" s="19">
        <f t="shared" si="0"/>
        <v>70.960199999999986</v>
      </c>
      <c r="I26" s="20">
        <f t="shared" si="1"/>
        <v>3902.8109999999992</v>
      </c>
      <c r="J26" s="21">
        <f t="shared" si="3"/>
        <v>68.100000000000136</v>
      </c>
      <c r="K26" s="22">
        <f t="shared" si="2"/>
        <v>-2.8601999999998498</v>
      </c>
    </row>
    <row r="27" spans="1:11" ht="12.75" x14ac:dyDescent="0.2">
      <c r="A27" s="13">
        <v>45544</v>
      </c>
      <c r="B27" s="14" t="s">
        <v>3</v>
      </c>
      <c r="C27" s="15">
        <v>0.96550000000000002</v>
      </c>
      <c r="D27" s="16"/>
      <c r="E27" s="17"/>
      <c r="F27" s="17"/>
      <c r="G27" s="18">
        <v>1361</v>
      </c>
      <c r="H27" s="19">
        <f t="shared" si="0"/>
        <v>46.954500000000053</v>
      </c>
      <c r="I27" s="20">
        <f t="shared" si="1"/>
        <v>2582.4975000000031</v>
      </c>
      <c r="J27" s="21">
        <f t="shared" si="3"/>
        <v>68.049999999999955</v>
      </c>
      <c r="K27" s="22">
        <f t="shared" si="2"/>
        <v>21.095499999999902</v>
      </c>
    </row>
    <row r="28" spans="1:11" ht="12.75" x14ac:dyDescent="0.2">
      <c r="A28" s="13">
        <v>45545</v>
      </c>
      <c r="B28" s="14" t="s">
        <v>4</v>
      </c>
      <c r="C28" s="15">
        <v>0.96619999999999995</v>
      </c>
      <c r="D28" s="16"/>
      <c r="E28" s="17"/>
      <c r="F28" s="17"/>
      <c r="G28" s="18">
        <v>1361</v>
      </c>
      <c r="H28" s="19">
        <f t="shared" si="0"/>
        <v>46.001800000000003</v>
      </c>
      <c r="I28" s="20">
        <f t="shared" si="1"/>
        <v>2530.0990000000002</v>
      </c>
      <c r="J28" s="21">
        <f t="shared" si="3"/>
        <v>68.049999999999955</v>
      </c>
      <c r="K28" s="22">
        <f t="shared" si="2"/>
        <v>22.048199999999952</v>
      </c>
    </row>
    <row r="29" spans="1:11" ht="12.75" x14ac:dyDescent="0.2">
      <c r="A29" s="13">
        <v>45546</v>
      </c>
      <c r="B29" s="14" t="s">
        <v>5</v>
      </c>
      <c r="C29" s="15">
        <v>0.95740000000000003</v>
      </c>
      <c r="D29" s="16"/>
      <c r="E29" s="17"/>
      <c r="F29" s="17" t="s">
        <v>113</v>
      </c>
      <c r="G29" s="18">
        <v>1362</v>
      </c>
      <c r="H29" s="19">
        <f t="shared" si="0"/>
        <v>58.021199999999908</v>
      </c>
      <c r="I29" s="20">
        <f t="shared" si="1"/>
        <v>3191.1659999999947</v>
      </c>
      <c r="J29" s="21">
        <f t="shared" si="3"/>
        <v>68.100000000000136</v>
      </c>
      <c r="K29" s="22">
        <f t="shared" si="2"/>
        <v>10.078800000000228</v>
      </c>
    </row>
    <row r="30" spans="1:11" ht="12.75" x14ac:dyDescent="0.2">
      <c r="A30" s="13">
        <v>45547</v>
      </c>
      <c r="B30" s="14" t="s">
        <v>6</v>
      </c>
      <c r="C30" s="15">
        <v>0.96330000000000005</v>
      </c>
      <c r="D30" s="16"/>
      <c r="E30" s="17"/>
      <c r="F30" s="17"/>
      <c r="G30" s="18">
        <v>1363</v>
      </c>
      <c r="H30" s="19">
        <f t="shared" si="0"/>
        <v>50.022099999999909</v>
      </c>
      <c r="I30" s="20">
        <f t="shared" si="1"/>
        <v>2751.2154999999948</v>
      </c>
      <c r="J30" s="21">
        <f t="shared" si="3"/>
        <v>68.150000000000091</v>
      </c>
      <c r="K30" s="22">
        <f t="shared" si="2"/>
        <v>18.127900000000182</v>
      </c>
    </row>
    <row r="31" spans="1:11" ht="12.75" x14ac:dyDescent="0.2">
      <c r="A31" s="13">
        <v>45548</v>
      </c>
      <c r="B31" s="14" t="s">
        <v>7</v>
      </c>
      <c r="C31" s="15">
        <v>0.9405</v>
      </c>
      <c r="D31" s="16"/>
      <c r="E31" s="17"/>
      <c r="F31" s="17" t="s">
        <v>114</v>
      </c>
      <c r="G31" s="18">
        <v>1362</v>
      </c>
      <c r="H31" s="19">
        <f t="shared" si="0"/>
        <v>81.038999999999987</v>
      </c>
      <c r="I31" s="20">
        <f t="shared" si="1"/>
        <v>4457.1449999999995</v>
      </c>
      <c r="J31" s="21">
        <f t="shared" si="3"/>
        <v>68.100000000000136</v>
      </c>
      <c r="K31" s="22">
        <f t="shared" si="2"/>
        <v>-12.938999999999851</v>
      </c>
    </row>
    <row r="32" spans="1:11" ht="12.75" x14ac:dyDescent="0.2">
      <c r="A32" s="30">
        <v>45551</v>
      </c>
      <c r="B32" s="31" t="s">
        <v>3</v>
      </c>
      <c r="C32" s="32"/>
      <c r="D32" s="33"/>
      <c r="E32" s="34"/>
      <c r="F32" s="34"/>
      <c r="G32" s="35"/>
      <c r="H32" s="19">
        <f t="shared" si="0"/>
        <v>0</v>
      </c>
      <c r="I32" s="20">
        <f t="shared" si="1"/>
        <v>0</v>
      </c>
      <c r="J32" s="21">
        <f t="shared" si="3"/>
        <v>0</v>
      </c>
      <c r="K32" s="22">
        <f t="shared" si="2"/>
        <v>0</v>
      </c>
    </row>
    <row r="33" spans="1:11" ht="12.75" x14ac:dyDescent="0.2">
      <c r="A33" s="13">
        <v>45552</v>
      </c>
      <c r="B33" s="14" t="s">
        <v>4</v>
      </c>
      <c r="C33" s="15">
        <v>0.95960000000000001</v>
      </c>
      <c r="D33" s="16"/>
      <c r="E33" s="17"/>
      <c r="F33" s="17"/>
      <c r="G33" s="18">
        <v>1362</v>
      </c>
      <c r="H33" s="19">
        <f t="shared" si="0"/>
        <v>55.024799999999914</v>
      </c>
      <c r="I33" s="20">
        <f t="shared" si="1"/>
        <v>3026.363999999995</v>
      </c>
      <c r="J33" s="21">
        <f t="shared" si="3"/>
        <v>68.100000000000136</v>
      </c>
      <c r="K33" s="22">
        <f t="shared" si="2"/>
        <v>13.075200000000223</v>
      </c>
    </row>
    <row r="34" spans="1:11" ht="12.75" x14ac:dyDescent="0.2">
      <c r="A34" s="13">
        <v>45553</v>
      </c>
      <c r="B34" s="14" t="s">
        <v>5</v>
      </c>
      <c r="C34" s="15">
        <v>0.9647</v>
      </c>
      <c r="D34" s="16"/>
      <c r="E34" s="17"/>
      <c r="F34" s="17"/>
      <c r="G34" s="18">
        <v>1361</v>
      </c>
      <c r="H34" s="19">
        <f t="shared" si="0"/>
        <v>48.043300000000045</v>
      </c>
      <c r="I34" s="20">
        <f t="shared" si="1"/>
        <v>2642.3815000000022</v>
      </c>
      <c r="J34" s="21">
        <f t="shared" si="3"/>
        <v>68.049999999999955</v>
      </c>
      <c r="K34" s="22">
        <f t="shared" si="2"/>
        <v>20.00669999999991</v>
      </c>
    </row>
    <row r="35" spans="1:11" ht="12.75" x14ac:dyDescent="0.2">
      <c r="A35" s="13">
        <v>45554</v>
      </c>
      <c r="B35" s="14" t="s">
        <v>6</v>
      </c>
      <c r="C35" s="15">
        <v>0.97209999999999996</v>
      </c>
      <c r="D35" s="16"/>
      <c r="E35" s="17"/>
      <c r="F35" s="17" t="s">
        <v>115</v>
      </c>
      <c r="G35" s="18">
        <v>1361</v>
      </c>
      <c r="H35" s="19">
        <f t="shared" si="0"/>
        <v>37.971900000000005</v>
      </c>
      <c r="I35" s="20">
        <f t="shared" si="1"/>
        <v>2088.4545000000003</v>
      </c>
      <c r="J35" s="21">
        <f t="shared" si="3"/>
        <v>68.049999999999955</v>
      </c>
      <c r="K35" s="22">
        <f t="shared" si="2"/>
        <v>30.078099999999949</v>
      </c>
    </row>
    <row r="36" spans="1:11" ht="12.75" x14ac:dyDescent="0.2">
      <c r="A36" s="61">
        <v>45555</v>
      </c>
      <c r="B36" s="62" t="s">
        <v>7</v>
      </c>
      <c r="C36" s="63">
        <v>0.95499999999999996</v>
      </c>
      <c r="D36" s="64" t="s">
        <v>116</v>
      </c>
      <c r="E36" s="65"/>
      <c r="F36" s="65" t="s">
        <v>117</v>
      </c>
      <c r="G36" s="66">
        <v>1357</v>
      </c>
      <c r="H36" s="19">
        <f t="shared" si="0"/>
        <v>61.065000000000055</v>
      </c>
      <c r="I36" s="20">
        <f t="shared" si="1"/>
        <v>3358.575000000003</v>
      </c>
      <c r="J36" s="21">
        <f t="shared" si="3"/>
        <v>67.850000000000136</v>
      </c>
      <c r="K36" s="22">
        <f t="shared" si="2"/>
        <v>6.7850000000000819</v>
      </c>
    </row>
    <row r="37" spans="1:11" ht="12.75" x14ac:dyDescent="0.2">
      <c r="A37" s="13">
        <v>45558</v>
      </c>
      <c r="B37" s="14" t="s">
        <v>3</v>
      </c>
      <c r="C37" s="15">
        <v>0.95069999999999999</v>
      </c>
      <c r="D37" s="16"/>
      <c r="E37" s="17"/>
      <c r="F37" s="17"/>
      <c r="G37" s="18">
        <v>1359</v>
      </c>
      <c r="H37" s="19">
        <f t="shared" si="0"/>
        <v>66.998700000000099</v>
      </c>
      <c r="I37" s="20">
        <f t="shared" si="1"/>
        <v>3684.9285000000054</v>
      </c>
      <c r="J37" s="21">
        <f t="shared" si="3"/>
        <v>67.950000000000045</v>
      </c>
      <c r="K37" s="22">
        <f t="shared" si="2"/>
        <v>0.95129999999994652</v>
      </c>
    </row>
    <row r="38" spans="1:11" ht="25.5" x14ac:dyDescent="0.2">
      <c r="A38" s="13">
        <v>45559</v>
      </c>
      <c r="B38" s="14" t="s">
        <v>4</v>
      </c>
      <c r="C38" s="15">
        <v>0.96760000000000002</v>
      </c>
      <c r="D38" s="16"/>
      <c r="E38" s="17"/>
      <c r="F38" s="17" t="s">
        <v>118</v>
      </c>
      <c r="G38" s="18">
        <v>1359</v>
      </c>
      <c r="H38" s="19">
        <f t="shared" si="0"/>
        <v>44.031600000000026</v>
      </c>
      <c r="I38" s="20">
        <f t="shared" si="1"/>
        <v>2421.7380000000012</v>
      </c>
      <c r="J38" s="21">
        <f t="shared" si="3"/>
        <v>67.950000000000045</v>
      </c>
      <c r="K38" s="22">
        <f t="shared" si="2"/>
        <v>23.91840000000002</v>
      </c>
    </row>
    <row r="39" spans="1:11" ht="12.75" x14ac:dyDescent="0.2">
      <c r="A39" s="13">
        <v>45560</v>
      </c>
      <c r="B39" s="14" t="s">
        <v>5</v>
      </c>
      <c r="C39" s="15">
        <v>0.96389999999999998</v>
      </c>
      <c r="D39" s="16"/>
      <c r="E39" s="17"/>
      <c r="F39" s="17" t="s">
        <v>119</v>
      </c>
      <c r="G39" s="18">
        <v>1359</v>
      </c>
      <c r="H39" s="19">
        <f t="shared" si="0"/>
        <v>49.059899999999971</v>
      </c>
      <c r="I39" s="20">
        <f t="shared" si="1"/>
        <v>2698.2944999999982</v>
      </c>
      <c r="J39" s="21">
        <f t="shared" si="3"/>
        <v>67.950000000000045</v>
      </c>
      <c r="K39" s="22">
        <f t="shared" si="2"/>
        <v>18.890100000000075</v>
      </c>
    </row>
    <row r="40" spans="1:11" ht="12.75" x14ac:dyDescent="0.2">
      <c r="A40" s="13">
        <v>45561</v>
      </c>
      <c r="B40" s="14" t="s">
        <v>6</v>
      </c>
      <c r="C40" s="15">
        <v>0.96250000000000002</v>
      </c>
      <c r="D40" s="16"/>
      <c r="E40" s="17"/>
      <c r="F40" s="17" t="s">
        <v>120</v>
      </c>
      <c r="G40" s="18">
        <v>1360</v>
      </c>
      <c r="H40" s="19">
        <f t="shared" si="0"/>
        <v>51</v>
      </c>
      <c r="I40" s="20">
        <f t="shared" si="1"/>
        <v>2805</v>
      </c>
      <c r="J40" s="21">
        <f t="shared" si="3"/>
        <v>68</v>
      </c>
      <c r="K40" s="22">
        <f t="shared" si="2"/>
        <v>17</v>
      </c>
    </row>
    <row r="41" spans="1:11" ht="12.75" x14ac:dyDescent="0.2">
      <c r="A41" s="13">
        <v>45562</v>
      </c>
      <c r="B41" s="14" t="s">
        <v>7</v>
      </c>
      <c r="C41" s="15">
        <v>0.94779999999999998</v>
      </c>
      <c r="D41" s="16"/>
      <c r="E41" s="17"/>
      <c r="F41" s="17"/>
      <c r="G41" s="18">
        <v>1359</v>
      </c>
      <c r="H41" s="19">
        <f t="shared" si="0"/>
        <v>70.939800000000105</v>
      </c>
      <c r="I41" s="20">
        <f t="shared" si="1"/>
        <v>3901.6890000000058</v>
      </c>
      <c r="J41" s="21">
        <f t="shared" si="3"/>
        <v>67.950000000000045</v>
      </c>
      <c r="K41" s="22">
        <f t="shared" si="2"/>
        <v>-2.9898000000000593</v>
      </c>
    </row>
    <row r="42" spans="1:11" ht="12.75" x14ac:dyDescent="0.2">
      <c r="A42" s="13">
        <v>45565</v>
      </c>
      <c r="B42" s="14" t="s">
        <v>3</v>
      </c>
      <c r="C42" s="15">
        <v>0.95299999999999996</v>
      </c>
      <c r="D42" s="16"/>
      <c r="E42" s="17"/>
      <c r="F42" s="17"/>
      <c r="G42" s="18">
        <v>1361</v>
      </c>
      <c r="H42" s="19">
        <f t="shared" si="0"/>
        <v>63.967000000000098</v>
      </c>
      <c r="I42" s="20">
        <f t="shared" si="1"/>
        <v>3518.1850000000054</v>
      </c>
      <c r="J42" s="21">
        <f t="shared" si="3"/>
        <v>68.049999999999955</v>
      </c>
      <c r="K42" s="22">
        <f t="shared" si="2"/>
        <v>4.0829999999998563</v>
      </c>
    </row>
    <row r="43" spans="1:11" ht="12.75" x14ac:dyDescent="0.2">
      <c r="A43" s="13">
        <v>45566</v>
      </c>
      <c r="B43" s="14" t="s">
        <v>4</v>
      </c>
      <c r="C43" s="15">
        <v>0.96399999999999997</v>
      </c>
      <c r="D43" s="16"/>
      <c r="E43" s="17"/>
      <c r="F43" s="17" t="s">
        <v>121</v>
      </c>
      <c r="G43" s="18">
        <v>1361</v>
      </c>
      <c r="H43" s="19">
        <f t="shared" si="0"/>
        <v>48.996000000000095</v>
      </c>
      <c r="I43" s="20">
        <f t="shared" si="1"/>
        <v>2694.7800000000052</v>
      </c>
      <c r="J43" s="21">
        <f t="shared" si="3"/>
        <v>68.049999999999955</v>
      </c>
      <c r="K43" s="22">
        <f t="shared" si="2"/>
        <v>19.05399999999986</v>
      </c>
    </row>
    <row r="44" spans="1:11" ht="12.75" x14ac:dyDescent="0.2">
      <c r="A44" s="13">
        <v>45567</v>
      </c>
      <c r="B44" s="14" t="s">
        <v>5</v>
      </c>
      <c r="C44" s="15">
        <v>0.96850000000000003</v>
      </c>
      <c r="D44" s="16"/>
      <c r="E44" s="17"/>
      <c r="F44" s="17" t="s">
        <v>122</v>
      </c>
      <c r="G44" s="18">
        <v>1363</v>
      </c>
      <c r="H44" s="19">
        <f t="shared" si="0"/>
        <v>42.934500000000071</v>
      </c>
      <c r="I44" s="20">
        <f t="shared" si="1"/>
        <v>2361.3975000000037</v>
      </c>
      <c r="J44" s="21">
        <f t="shared" si="3"/>
        <v>68.150000000000091</v>
      </c>
      <c r="K44" s="22">
        <f t="shared" si="2"/>
        <v>25.21550000000002</v>
      </c>
    </row>
    <row r="45" spans="1:11" ht="12.75" x14ac:dyDescent="0.2">
      <c r="A45" s="13">
        <v>45568</v>
      </c>
      <c r="B45" s="14" t="s">
        <v>6</v>
      </c>
      <c r="C45" s="15">
        <v>0.96399999999999997</v>
      </c>
      <c r="D45" s="16"/>
      <c r="E45" s="17"/>
      <c r="F45" s="17"/>
      <c r="G45" s="18">
        <v>1363</v>
      </c>
      <c r="H45" s="19">
        <f t="shared" si="0"/>
        <v>49.067999999999984</v>
      </c>
      <c r="I45" s="20">
        <f t="shared" si="1"/>
        <v>2698.7399999999989</v>
      </c>
      <c r="J45" s="21">
        <f t="shared" si="3"/>
        <v>68.150000000000091</v>
      </c>
      <c r="K45" s="22">
        <f t="shared" si="2"/>
        <v>19.082000000000107</v>
      </c>
    </row>
    <row r="46" spans="1:11" ht="12.75" x14ac:dyDescent="0.2">
      <c r="A46" s="13">
        <v>45569</v>
      </c>
      <c r="B46" s="14" t="s">
        <v>7</v>
      </c>
      <c r="C46" s="15">
        <v>0.94059999999999999</v>
      </c>
      <c r="D46" s="16"/>
      <c r="E46" s="17"/>
      <c r="F46" s="67" t="s">
        <v>123</v>
      </c>
      <c r="G46" s="18">
        <v>1363</v>
      </c>
      <c r="H46" s="19">
        <f t="shared" si="0"/>
        <v>80.962199999999939</v>
      </c>
      <c r="I46" s="20">
        <f t="shared" si="1"/>
        <v>4452.9209999999966</v>
      </c>
      <c r="J46" s="21">
        <f t="shared" si="3"/>
        <v>68.150000000000091</v>
      </c>
      <c r="K46" s="22">
        <f t="shared" si="2"/>
        <v>-12.812199999999848</v>
      </c>
    </row>
    <row r="47" spans="1:11" ht="12.75" x14ac:dyDescent="0.2">
      <c r="A47" s="24">
        <v>45572</v>
      </c>
      <c r="B47" s="25" t="s">
        <v>3</v>
      </c>
      <c r="C47" s="26"/>
      <c r="D47" s="27"/>
      <c r="E47" s="28"/>
      <c r="F47" s="28"/>
      <c r="G47" s="29"/>
      <c r="H47" s="19">
        <f t="shared" si="0"/>
        <v>0</v>
      </c>
      <c r="I47" s="20">
        <f t="shared" si="1"/>
        <v>0</v>
      </c>
      <c r="J47" s="21">
        <f t="shared" si="3"/>
        <v>0</v>
      </c>
      <c r="K47" s="22">
        <f t="shared" si="2"/>
        <v>0</v>
      </c>
    </row>
    <row r="48" spans="1:11" ht="12.75" x14ac:dyDescent="0.2">
      <c r="A48" s="24">
        <v>45573</v>
      </c>
      <c r="B48" s="25" t="s">
        <v>4</v>
      </c>
      <c r="C48" s="26"/>
      <c r="D48" s="27"/>
      <c r="E48" s="28"/>
      <c r="F48" s="28"/>
      <c r="G48" s="29"/>
      <c r="H48" s="19">
        <f t="shared" si="0"/>
        <v>0</v>
      </c>
      <c r="I48" s="20">
        <f t="shared" si="1"/>
        <v>0</v>
      </c>
      <c r="J48" s="21">
        <f t="shared" si="3"/>
        <v>0</v>
      </c>
      <c r="K48" s="22">
        <f t="shared" si="2"/>
        <v>0</v>
      </c>
    </row>
    <row r="49" spans="1:11" ht="12.75" x14ac:dyDescent="0.2">
      <c r="A49" s="24">
        <v>45574</v>
      </c>
      <c r="B49" s="25" t="s">
        <v>5</v>
      </c>
      <c r="C49" s="26"/>
      <c r="D49" s="27"/>
      <c r="E49" s="28"/>
      <c r="F49" s="28"/>
      <c r="G49" s="29"/>
      <c r="H49" s="19">
        <f t="shared" si="0"/>
        <v>0</v>
      </c>
      <c r="I49" s="20">
        <f t="shared" si="1"/>
        <v>0</v>
      </c>
      <c r="J49" s="21">
        <f t="shared" si="3"/>
        <v>0</v>
      </c>
      <c r="K49" s="22">
        <f t="shared" si="2"/>
        <v>0</v>
      </c>
    </row>
    <row r="50" spans="1:11" ht="12.75" x14ac:dyDescent="0.2">
      <c r="A50" s="24">
        <v>45575</v>
      </c>
      <c r="B50" s="25" t="s">
        <v>6</v>
      </c>
      <c r="C50" s="26"/>
      <c r="D50" s="27"/>
      <c r="E50" s="28"/>
      <c r="F50" s="28"/>
      <c r="G50" s="29"/>
      <c r="H50" s="19">
        <f t="shared" si="0"/>
        <v>0</v>
      </c>
      <c r="I50" s="20">
        <f t="shared" si="1"/>
        <v>0</v>
      </c>
      <c r="J50" s="21">
        <f t="shared" si="3"/>
        <v>0</v>
      </c>
      <c r="K50" s="22">
        <f t="shared" si="2"/>
        <v>0</v>
      </c>
    </row>
    <row r="51" spans="1:11" ht="12.75" x14ac:dyDescent="0.2">
      <c r="A51" s="24">
        <v>45576</v>
      </c>
      <c r="B51" s="25" t="s">
        <v>7</v>
      </c>
      <c r="C51" s="26"/>
      <c r="D51" s="27"/>
      <c r="E51" s="28"/>
      <c r="F51" s="28"/>
      <c r="G51" s="29"/>
      <c r="H51" s="19">
        <f t="shared" si="0"/>
        <v>0</v>
      </c>
      <c r="I51" s="20">
        <f t="shared" si="1"/>
        <v>0</v>
      </c>
      <c r="J51" s="21">
        <f t="shared" si="3"/>
        <v>0</v>
      </c>
      <c r="K51" s="22">
        <f t="shared" si="2"/>
        <v>0</v>
      </c>
    </row>
    <row r="52" spans="1:11" ht="12.75" x14ac:dyDescent="0.2">
      <c r="A52" s="13">
        <v>45579</v>
      </c>
      <c r="B52" s="14" t="s">
        <v>3</v>
      </c>
      <c r="C52" s="15">
        <v>0.94199999999999995</v>
      </c>
      <c r="D52" s="16"/>
      <c r="E52" s="17"/>
      <c r="F52" s="17" t="s">
        <v>124</v>
      </c>
      <c r="G52" s="18">
        <v>1363</v>
      </c>
      <c r="H52" s="19">
        <f t="shared" si="0"/>
        <v>79.054000000000087</v>
      </c>
      <c r="I52" s="20">
        <f t="shared" si="1"/>
        <v>4347.9700000000048</v>
      </c>
      <c r="J52" s="21">
        <f t="shared" si="3"/>
        <v>68.150000000000091</v>
      </c>
      <c r="K52" s="22">
        <f t="shared" si="2"/>
        <v>-10.903999999999996</v>
      </c>
    </row>
    <row r="53" spans="1:11" ht="12.75" x14ac:dyDescent="0.2">
      <c r="A53" s="13">
        <v>45580</v>
      </c>
      <c r="B53" s="14" t="s">
        <v>4</v>
      </c>
      <c r="C53" s="15">
        <v>0.96109999999999995</v>
      </c>
      <c r="D53" s="16"/>
      <c r="E53" s="17"/>
      <c r="F53" s="17" t="s">
        <v>125</v>
      </c>
      <c r="G53" s="18">
        <v>1363</v>
      </c>
      <c r="H53" s="19">
        <f t="shared" si="0"/>
        <v>53.020700000000033</v>
      </c>
      <c r="I53" s="20">
        <f t="shared" si="1"/>
        <v>2916.1385000000018</v>
      </c>
      <c r="J53" s="21">
        <f t="shared" si="3"/>
        <v>68.150000000000091</v>
      </c>
      <c r="K53" s="22">
        <f t="shared" si="2"/>
        <v>15.129300000000057</v>
      </c>
    </row>
    <row r="54" spans="1:11" ht="12.75" x14ac:dyDescent="0.2">
      <c r="A54" s="13">
        <v>45581</v>
      </c>
      <c r="B54" s="14" t="s">
        <v>5</v>
      </c>
      <c r="C54" s="15">
        <v>0.96850000000000003</v>
      </c>
      <c r="D54" s="16"/>
      <c r="E54" s="17"/>
      <c r="F54" s="17" t="s">
        <v>126</v>
      </c>
      <c r="G54" s="18">
        <v>1364</v>
      </c>
      <c r="H54" s="19">
        <f t="shared" si="0"/>
        <v>42.965999999999894</v>
      </c>
      <c r="I54" s="20">
        <f t="shared" si="1"/>
        <v>2363.1299999999942</v>
      </c>
      <c r="J54" s="21">
        <f t="shared" si="3"/>
        <v>68.200000000000045</v>
      </c>
      <c r="K54" s="22">
        <f t="shared" si="2"/>
        <v>25.234000000000151</v>
      </c>
    </row>
    <row r="55" spans="1:11" ht="12.75" x14ac:dyDescent="0.2">
      <c r="A55" s="13">
        <v>45582</v>
      </c>
      <c r="B55" s="14" t="s">
        <v>6</v>
      </c>
      <c r="C55" s="15">
        <v>0.96850000000000003</v>
      </c>
      <c r="D55" s="16"/>
      <c r="E55" s="17"/>
      <c r="F55" s="17"/>
      <c r="G55" s="18">
        <v>1364</v>
      </c>
      <c r="H55" s="19">
        <f t="shared" si="0"/>
        <v>42.965999999999894</v>
      </c>
      <c r="I55" s="20">
        <f t="shared" si="1"/>
        <v>2363.1299999999942</v>
      </c>
      <c r="J55" s="21">
        <f t="shared" si="3"/>
        <v>68.200000000000045</v>
      </c>
      <c r="K55" s="22">
        <f t="shared" si="2"/>
        <v>25.234000000000151</v>
      </c>
    </row>
    <row r="56" spans="1:11" ht="25.5" x14ac:dyDescent="0.2">
      <c r="A56" s="13">
        <v>45583</v>
      </c>
      <c r="B56" s="14" t="s">
        <v>7</v>
      </c>
      <c r="C56" s="15">
        <v>0.95669999999999999</v>
      </c>
      <c r="D56" s="16"/>
      <c r="E56" s="17"/>
      <c r="F56" s="17" t="s">
        <v>127</v>
      </c>
      <c r="G56" s="18">
        <v>1362</v>
      </c>
      <c r="H56" s="19">
        <f t="shared" si="0"/>
        <v>58.974600000000009</v>
      </c>
      <c r="I56" s="20">
        <f t="shared" si="1"/>
        <v>3243.6030000000005</v>
      </c>
      <c r="J56" s="21">
        <f t="shared" si="3"/>
        <v>68.100000000000136</v>
      </c>
      <c r="K56" s="22">
        <f t="shared" si="2"/>
        <v>9.125400000000127</v>
      </c>
    </row>
    <row r="57" spans="1:11" ht="12.75" x14ac:dyDescent="0.2">
      <c r="A57" s="13">
        <v>45586</v>
      </c>
      <c r="B57" s="14" t="s">
        <v>3</v>
      </c>
      <c r="C57" s="15">
        <v>0.96389999999999998</v>
      </c>
      <c r="D57" s="16"/>
      <c r="E57" s="17"/>
      <c r="F57" s="17"/>
      <c r="G57" s="18">
        <v>1358</v>
      </c>
      <c r="H57" s="19">
        <f t="shared" si="0"/>
        <v>49.023799999999937</v>
      </c>
      <c r="I57" s="20">
        <f t="shared" si="1"/>
        <v>2696.3089999999966</v>
      </c>
      <c r="J57" s="21">
        <f t="shared" si="3"/>
        <v>67.900000000000091</v>
      </c>
      <c r="K57" s="22">
        <f t="shared" si="2"/>
        <v>18.876200000000154</v>
      </c>
    </row>
    <row r="58" spans="1:11" ht="12.75" x14ac:dyDescent="0.2">
      <c r="A58" s="13">
        <v>45587</v>
      </c>
      <c r="B58" s="14" t="s">
        <v>4</v>
      </c>
      <c r="C58" s="68">
        <v>0.9536</v>
      </c>
      <c r="D58" s="16"/>
      <c r="E58" s="17"/>
      <c r="F58" s="17" t="s">
        <v>128</v>
      </c>
      <c r="G58" s="18">
        <v>1359</v>
      </c>
      <c r="H58" s="19">
        <f t="shared" si="0"/>
        <v>63.057600000000093</v>
      </c>
      <c r="I58" s="20">
        <f t="shared" si="1"/>
        <v>3468.1680000000051</v>
      </c>
      <c r="J58" s="21">
        <f t="shared" si="3"/>
        <v>67.950000000000045</v>
      </c>
      <c r="K58" s="22">
        <f t="shared" si="2"/>
        <v>4.8923999999999523</v>
      </c>
    </row>
    <row r="59" spans="1:11" ht="12.75" x14ac:dyDescent="0.2">
      <c r="A59" s="13">
        <v>45588</v>
      </c>
      <c r="B59" s="14" t="s">
        <v>5</v>
      </c>
      <c r="C59" s="15">
        <v>0.96179999999999999</v>
      </c>
      <c r="D59" s="16"/>
      <c r="E59" s="17"/>
      <c r="F59" s="17"/>
      <c r="G59" s="18">
        <v>1360</v>
      </c>
      <c r="H59" s="19">
        <f t="shared" si="0"/>
        <v>51.951999999999998</v>
      </c>
      <c r="I59" s="20">
        <f t="shared" si="1"/>
        <v>2857.3599999999997</v>
      </c>
      <c r="J59" s="21">
        <f t="shared" si="3"/>
        <v>68</v>
      </c>
      <c r="K59" s="22">
        <f t="shared" si="2"/>
        <v>16.048000000000002</v>
      </c>
    </row>
    <row r="60" spans="1:11" ht="12.75" x14ac:dyDescent="0.2">
      <c r="A60" s="13">
        <v>45589</v>
      </c>
      <c r="B60" s="14" t="s">
        <v>6</v>
      </c>
      <c r="C60" s="68">
        <v>0.96099999999999997</v>
      </c>
      <c r="D60" s="16"/>
      <c r="E60" s="17"/>
      <c r="F60" s="17"/>
      <c r="G60" s="18">
        <v>1359</v>
      </c>
      <c r="H60" s="19">
        <f t="shared" si="0"/>
        <v>53.000999999999976</v>
      </c>
      <c r="I60" s="20">
        <f t="shared" si="1"/>
        <v>2915.0549999999985</v>
      </c>
      <c r="J60" s="21">
        <f t="shared" si="3"/>
        <v>67.950000000000045</v>
      </c>
      <c r="K60" s="22">
        <f t="shared" si="2"/>
        <v>14.949000000000069</v>
      </c>
    </row>
    <row r="61" spans="1:11" ht="12.75" x14ac:dyDescent="0.2">
      <c r="A61" s="13">
        <v>45590</v>
      </c>
      <c r="B61" s="14" t="s">
        <v>7</v>
      </c>
      <c r="C61" s="15">
        <v>0.93820000000000003</v>
      </c>
      <c r="D61" s="16"/>
      <c r="E61" s="17" t="s">
        <v>30</v>
      </c>
      <c r="F61" s="17"/>
      <c r="G61" s="18">
        <v>1359</v>
      </c>
      <c r="H61" s="19">
        <f t="shared" si="0"/>
        <v>83.986200000000053</v>
      </c>
      <c r="I61" s="20">
        <f t="shared" si="1"/>
        <v>4619.2410000000027</v>
      </c>
      <c r="J61" s="21">
        <f t="shared" si="3"/>
        <v>67.950000000000045</v>
      </c>
      <c r="K61" s="22">
        <f t="shared" si="2"/>
        <v>-16.036200000000008</v>
      </c>
    </row>
    <row r="62" spans="1:11" ht="12.75" x14ac:dyDescent="0.2">
      <c r="A62" s="13">
        <v>45593</v>
      </c>
      <c r="B62" s="14" t="s">
        <v>3</v>
      </c>
      <c r="C62" s="15">
        <v>0.95</v>
      </c>
      <c r="D62" s="16"/>
      <c r="E62" s="17"/>
      <c r="F62" s="17" t="s">
        <v>129</v>
      </c>
      <c r="G62" s="18">
        <v>1361</v>
      </c>
      <c r="H62" s="19">
        <f t="shared" si="0"/>
        <v>68.049999999999955</v>
      </c>
      <c r="I62" s="20">
        <f t="shared" si="1"/>
        <v>3742.7499999999973</v>
      </c>
      <c r="J62" s="21">
        <f t="shared" si="3"/>
        <v>68.049999999999955</v>
      </c>
      <c r="K62" s="22">
        <f t="shared" si="2"/>
        <v>0</v>
      </c>
    </row>
    <row r="63" spans="1:11" ht="25.5" x14ac:dyDescent="0.2">
      <c r="A63" s="13">
        <v>45594</v>
      </c>
      <c r="B63" s="14" t="s">
        <v>4</v>
      </c>
      <c r="C63" s="15">
        <v>0.96689999999999998</v>
      </c>
      <c r="D63" s="16"/>
      <c r="E63" s="17"/>
      <c r="F63" s="17" t="s">
        <v>130</v>
      </c>
      <c r="G63" s="18">
        <v>1360</v>
      </c>
      <c r="H63" s="19">
        <f t="shared" si="0"/>
        <v>45.016000000000076</v>
      </c>
      <c r="I63" s="20">
        <f t="shared" si="1"/>
        <v>2475.8800000000042</v>
      </c>
      <c r="J63" s="21">
        <f t="shared" si="3"/>
        <v>68</v>
      </c>
      <c r="K63" s="22">
        <f t="shared" si="2"/>
        <v>22.983999999999924</v>
      </c>
    </row>
    <row r="64" spans="1:11" ht="12.75" x14ac:dyDescent="0.2">
      <c r="A64" s="13">
        <v>45595</v>
      </c>
      <c r="B64" s="14" t="s">
        <v>5</v>
      </c>
      <c r="C64" s="15">
        <v>0.96909999999999996</v>
      </c>
      <c r="D64" s="16"/>
      <c r="E64" s="17"/>
      <c r="F64" s="17" t="s">
        <v>131</v>
      </c>
      <c r="G64" s="18">
        <v>1358</v>
      </c>
      <c r="H64" s="19">
        <f t="shared" si="0"/>
        <v>41.962199999999939</v>
      </c>
      <c r="I64" s="20">
        <f t="shared" si="1"/>
        <v>2307.9209999999966</v>
      </c>
      <c r="J64" s="21">
        <f t="shared" si="3"/>
        <v>67.900000000000091</v>
      </c>
      <c r="K64" s="22">
        <f t="shared" si="2"/>
        <v>25.937800000000152</v>
      </c>
    </row>
    <row r="65" spans="1:11" ht="25.5" x14ac:dyDescent="0.2">
      <c r="A65" s="13">
        <v>45596</v>
      </c>
      <c r="B65" s="14" t="s">
        <v>6</v>
      </c>
      <c r="C65" s="15">
        <v>0.95660000000000001</v>
      </c>
      <c r="D65" s="16"/>
      <c r="E65" s="17"/>
      <c r="F65" s="17" t="s">
        <v>132</v>
      </c>
      <c r="G65" s="18">
        <v>1358</v>
      </c>
      <c r="H65" s="19">
        <f t="shared" si="0"/>
        <v>58.937200000000075</v>
      </c>
      <c r="I65" s="20">
        <f t="shared" si="1"/>
        <v>3241.5460000000039</v>
      </c>
      <c r="J65" s="21">
        <f t="shared" si="3"/>
        <v>67.900000000000091</v>
      </c>
      <c r="K65" s="22">
        <f t="shared" si="2"/>
        <v>8.9628000000000156</v>
      </c>
    </row>
    <row r="66" spans="1:11" ht="12.75" x14ac:dyDescent="0.2">
      <c r="A66" s="13">
        <v>45597</v>
      </c>
      <c r="B66" s="14" t="s">
        <v>7</v>
      </c>
      <c r="C66" s="15">
        <v>0.9204</v>
      </c>
      <c r="D66" s="16"/>
      <c r="E66" s="17" t="s">
        <v>30</v>
      </c>
      <c r="F66" s="17" t="s">
        <v>133</v>
      </c>
      <c r="G66" s="18">
        <v>1356</v>
      </c>
      <c r="H66" s="19">
        <f t="shared" si="0"/>
        <v>107.93759999999997</v>
      </c>
      <c r="I66" s="20">
        <f t="shared" si="1"/>
        <v>5936.5679999999984</v>
      </c>
      <c r="J66" s="21">
        <f t="shared" si="3"/>
        <v>67.799999999999955</v>
      </c>
      <c r="K66" s="22">
        <f t="shared" si="2"/>
        <v>-40.13760000000002</v>
      </c>
    </row>
    <row r="67" spans="1:11" ht="12.75" x14ac:dyDescent="0.2">
      <c r="A67" s="38">
        <v>45600</v>
      </c>
      <c r="B67" s="39" t="s">
        <v>3</v>
      </c>
      <c r="C67" s="40"/>
      <c r="D67" s="41"/>
      <c r="E67" s="42"/>
      <c r="F67" s="42"/>
      <c r="G67" s="43"/>
      <c r="H67" s="19">
        <f t="shared" si="0"/>
        <v>0</v>
      </c>
      <c r="I67" s="20">
        <f t="shared" si="1"/>
        <v>0</v>
      </c>
      <c r="J67" s="21">
        <f t="shared" si="3"/>
        <v>0</v>
      </c>
      <c r="K67" s="22">
        <f t="shared" si="2"/>
        <v>0</v>
      </c>
    </row>
    <row r="68" spans="1:11" ht="12.75" x14ac:dyDescent="0.2">
      <c r="A68" s="30">
        <v>45601</v>
      </c>
      <c r="B68" s="31" t="s">
        <v>4</v>
      </c>
      <c r="C68" s="32"/>
      <c r="D68" s="33"/>
      <c r="E68" s="34"/>
      <c r="F68" s="34"/>
      <c r="G68" s="35"/>
      <c r="H68" s="19">
        <f t="shared" si="0"/>
        <v>0</v>
      </c>
      <c r="I68" s="20">
        <f t="shared" si="1"/>
        <v>0</v>
      </c>
      <c r="J68" s="21">
        <f t="shared" si="3"/>
        <v>0</v>
      </c>
      <c r="K68" s="22">
        <f t="shared" si="2"/>
        <v>0</v>
      </c>
    </row>
    <row r="69" spans="1:11" ht="25.5" x14ac:dyDescent="0.2">
      <c r="A69" s="13">
        <v>45602</v>
      </c>
      <c r="B69" s="14" t="s">
        <v>5</v>
      </c>
      <c r="C69" s="15">
        <v>0.96760000000000002</v>
      </c>
      <c r="D69" s="16"/>
      <c r="E69" s="17"/>
      <c r="F69" s="17" t="s">
        <v>134</v>
      </c>
      <c r="G69" s="18">
        <v>1312</v>
      </c>
      <c r="H69" s="19">
        <f t="shared" si="0"/>
        <v>42.508800000000065</v>
      </c>
      <c r="I69" s="20">
        <f t="shared" si="1"/>
        <v>2337.9840000000036</v>
      </c>
      <c r="J69" s="21">
        <f t="shared" si="3"/>
        <v>65.600000000000136</v>
      </c>
      <c r="K69" s="22">
        <f t="shared" si="2"/>
        <v>23.091200000000072</v>
      </c>
    </row>
    <row r="70" spans="1:11" ht="12.75" x14ac:dyDescent="0.2">
      <c r="A70" s="13">
        <v>45603</v>
      </c>
      <c r="B70" s="14" t="s">
        <v>6</v>
      </c>
      <c r="C70" s="15">
        <v>0.96460000000000001</v>
      </c>
      <c r="D70" s="23"/>
      <c r="E70" s="17"/>
      <c r="F70" s="17" t="s">
        <v>135</v>
      </c>
      <c r="G70" s="18">
        <v>1355</v>
      </c>
      <c r="H70" s="19">
        <f t="shared" si="0"/>
        <v>47.966999999999871</v>
      </c>
      <c r="I70" s="20">
        <f t="shared" si="1"/>
        <v>2638.1849999999931</v>
      </c>
      <c r="J70" s="21">
        <f t="shared" si="3"/>
        <v>67.75</v>
      </c>
      <c r="K70" s="22">
        <f t="shared" si="2"/>
        <v>19.783000000000129</v>
      </c>
    </row>
    <row r="71" spans="1:11" ht="12.75" x14ac:dyDescent="0.2">
      <c r="A71" s="61">
        <v>45604</v>
      </c>
      <c r="B71" s="62" t="s">
        <v>7</v>
      </c>
      <c r="C71" s="63">
        <v>0.95350000000000001</v>
      </c>
      <c r="D71" s="64" t="s">
        <v>136</v>
      </c>
      <c r="E71" s="65"/>
      <c r="F71" s="65"/>
      <c r="G71" s="66">
        <v>1354</v>
      </c>
      <c r="H71" s="19">
        <f t="shared" si="0"/>
        <v>62.961000000000013</v>
      </c>
      <c r="I71" s="20">
        <f t="shared" si="1"/>
        <v>3462.8550000000005</v>
      </c>
      <c r="J71" s="21">
        <f t="shared" si="3"/>
        <v>67.700000000000045</v>
      </c>
      <c r="K71" s="22">
        <f t="shared" si="2"/>
        <v>4.7390000000000327</v>
      </c>
    </row>
    <row r="72" spans="1:11" ht="12.75" x14ac:dyDescent="0.2">
      <c r="A72" s="13">
        <v>45607</v>
      </c>
      <c r="B72" s="14" t="s">
        <v>3</v>
      </c>
      <c r="C72" s="15">
        <v>0.9506</v>
      </c>
      <c r="D72" s="67"/>
      <c r="E72" s="17"/>
      <c r="F72" s="17"/>
      <c r="G72" s="18">
        <v>1356</v>
      </c>
      <c r="H72" s="19">
        <f t="shared" si="0"/>
        <v>66.986400000000003</v>
      </c>
      <c r="I72" s="20">
        <f t="shared" si="1"/>
        <v>3684.2520000000004</v>
      </c>
      <c r="J72" s="21">
        <f t="shared" si="3"/>
        <v>67.799999999999955</v>
      </c>
      <c r="K72" s="22">
        <f t="shared" si="2"/>
        <v>0.81359999999995125</v>
      </c>
    </row>
    <row r="73" spans="1:11" ht="12.75" x14ac:dyDescent="0.2">
      <c r="A73" s="13">
        <v>45608</v>
      </c>
      <c r="B73" s="14" t="s">
        <v>4</v>
      </c>
      <c r="C73" s="15">
        <v>0.96830000000000005</v>
      </c>
      <c r="D73" s="16"/>
      <c r="E73" s="17"/>
      <c r="F73" s="17" t="s">
        <v>137</v>
      </c>
      <c r="G73" s="18">
        <v>1357</v>
      </c>
      <c r="H73" s="19">
        <f t="shared" si="0"/>
        <v>43.01689999999985</v>
      </c>
      <c r="I73" s="20">
        <f t="shared" si="1"/>
        <v>2365.929499999992</v>
      </c>
      <c r="J73" s="21">
        <f t="shared" si="3"/>
        <v>67.850000000000136</v>
      </c>
      <c r="K73" s="22">
        <f t="shared" si="2"/>
        <v>24.833100000000286</v>
      </c>
    </row>
    <row r="74" spans="1:11" ht="12.75" x14ac:dyDescent="0.2">
      <c r="A74" s="13">
        <v>45609</v>
      </c>
      <c r="B74" s="14" t="s">
        <v>5</v>
      </c>
      <c r="C74" s="15">
        <v>0.94469999999999998</v>
      </c>
      <c r="D74" s="16"/>
      <c r="E74" s="17"/>
      <c r="F74" s="17"/>
      <c r="G74" s="18">
        <v>1357</v>
      </c>
      <c r="H74" s="19">
        <f t="shared" si="0"/>
        <v>75.042100000000119</v>
      </c>
      <c r="I74" s="20">
        <f t="shared" si="1"/>
        <v>4127.3155000000061</v>
      </c>
      <c r="J74" s="21">
        <f t="shared" si="3"/>
        <v>67.850000000000136</v>
      </c>
      <c r="K74" s="22">
        <f t="shared" si="2"/>
        <v>-7.1920999999999822</v>
      </c>
    </row>
    <row r="75" spans="1:11" ht="12.75" x14ac:dyDescent="0.2">
      <c r="A75" s="13">
        <v>45610</v>
      </c>
      <c r="B75" s="14" t="s">
        <v>6</v>
      </c>
      <c r="C75" s="15">
        <v>0.94920000000000004</v>
      </c>
      <c r="D75" s="16"/>
      <c r="E75" s="17"/>
      <c r="F75" s="17"/>
      <c r="G75" s="18">
        <v>1357</v>
      </c>
      <c r="H75" s="19">
        <f t="shared" si="0"/>
        <v>68.935600000000022</v>
      </c>
      <c r="I75" s="20">
        <f t="shared" si="1"/>
        <v>3791.4580000000014</v>
      </c>
      <c r="J75" s="21">
        <f t="shared" si="3"/>
        <v>67.850000000000136</v>
      </c>
      <c r="K75" s="22">
        <f t="shared" si="2"/>
        <v>-1.0855999999998858</v>
      </c>
    </row>
    <row r="76" spans="1:11" ht="12.75" x14ac:dyDescent="0.2">
      <c r="A76" s="13">
        <v>45611</v>
      </c>
      <c r="B76" s="14" t="s">
        <v>7</v>
      </c>
      <c r="C76" s="15">
        <v>0.94620000000000004</v>
      </c>
      <c r="D76" s="16"/>
      <c r="E76" s="17"/>
      <c r="F76" s="17"/>
      <c r="G76" s="18">
        <v>1357</v>
      </c>
      <c r="H76" s="19">
        <f t="shared" si="0"/>
        <v>73.006599999999935</v>
      </c>
      <c r="I76" s="20">
        <f t="shared" si="1"/>
        <v>4015.3629999999966</v>
      </c>
      <c r="J76" s="21">
        <f t="shared" si="3"/>
        <v>67.850000000000136</v>
      </c>
      <c r="K76" s="22">
        <f t="shared" si="2"/>
        <v>-5.1565999999997985</v>
      </c>
    </row>
    <row r="77" spans="1:11" ht="12.75" x14ac:dyDescent="0.2">
      <c r="A77" s="13">
        <v>45614</v>
      </c>
      <c r="B77" s="14" t="s">
        <v>3</v>
      </c>
      <c r="C77" s="15">
        <v>0.94479999999999997</v>
      </c>
      <c r="D77" s="16"/>
      <c r="E77" s="17"/>
      <c r="F77" s="17" t="s">
        <v>138</v>
      </c>
      <c r="G77" s="18">
        <v>1358</v>
      </c>
      <c r="H77" s="19">
        <f t="shared" si="0"/>
        <v>74.961600000000089</v>
      </c>
      <c r="I77" s="20">
        <f t="shared" si="1"/>
        <v>4122.8880000000045</v>
      </c>
      <c r="J77" s="21">
        <f t="shared" si="3"/>
        <v>67.900000000000091</v>
      </c>
      <c r="K77" s="22">
        <f t="shared" si="2"/>
        <v>-7.0615999999999985</v>
      </c>
    </row>
    <row r="78" spans="1:11" ht="12.75" x14ac:dyDescent="0.2">
      <c r="A78" s="13">
        <v>45615</v>
      </c>
      <c r="B78" s="14" t="s">
        <v>4</v>
      </c>
      <c r="C78" s="15">
        <v>0.9587</v>
      </c>
      <c r="D78" s="16"/>
      <c r="E78" s="17"/>
      <c r="F78" s="17" t="s">
        <v>139</v>
      </c>
      <c r="G78" s="18">
        <v>1356</v>
      </c>
      <c r="H78" s="19">
        <f t="shared" si="0"/>
        <v>56.002799999999979</v>
      </c>
      <c r="I78" s="20">
        <f t="shared" si="1"/>
        <v>3080.1539999999986</v>
      </c>
      <c r="J78" s="21">
        <f t="shared" si="3"/>
        <v>67.799999999999955</v>
      </c>
      <c r="K78" s="22">
        <f t="shared" si="2"/>
        <v>11.797199999999975</v>
      </c>
    </row>
    <row r="79" spans="1:11" ht="12.75" x14ac:dyDescent="0.2">
      <c r="A79" s="13">
        <v>45616</v>
      </c>
      <c r="B79" s="14" t="s">
        <v>5</v>
      </c>
      <c r="C79" s="15">
        <v>0.95209999999999995</v>
      </c>
      <c r="D79" s="16"/>
      <c r="E79" s="17"/>
      <c r="F79" s="17"/>
      <c r="G79" s="18">
        <v>1356</v>
      </c>
      <c r="H79" s="19">
        <f t="shared" si="0"/>
        <v>64.952400000000125</v>
      </c>
      <c r="I79" s="20">
        <f t="shared" si="1"/>
        <v>3572.3820000000069</v>
      </c>
      <c r="J79" s="21">
        <f t="shared" si="3"/>
        <v>67.799999999999955</v>
      </c>
      <c r="K79" s="22">
        <f t="shared" si="2"/>
        <v>2.8475999999998294</v>
      </c>
    </row>
    <row r="80" spans="1:11" ht="12.75" x14ac:dyDescent="0.2">
      <c r="A80" s="13">
        <v>45617</v>
      </c>
      <c r="B80" s="14" t="s">
        <v>6</v>
      </c>
      <c r="C80" s="15">
        <v>0.95499999999999996</v>
      </c>
      <c r="D80" s="16"/>
      <c r="E80" s="17"/>
      <c r="F80" s="17"/>
      <c r="G80" s="18">
        <v>1357</v>
      </c>
      <c r="H80" s="19">
        <f t="shared" si="0"/>
        <v>61.065000000000055</v>
      </c>
      <c r="I80" s="20">
        <f t="shared" si="1"/>
        <v>3358.575000000003</v>
      </c>
      <c r="J80" s="21">
        <f t="shared" si="3"/>
        <v>67.850000000000136</v>
      </c>
      <c r="K80" s="22">
        <f t="shared" si="2"/>
        <v>6.7850000000000819</v>
      </c>
    </row>
    <row r="81" spans="1:11" ht="12.75" x14ac:dyDescent="0.2">
      <c r="A81" s="13">
        <v>45618</v>
      </c>
      <c r="B81" s="14" t="s">
        <v>7</v>
      </c>
      <c r="C81" s="15">
        <v>0.92849999999999999</v>
      </c>
      <c r="D81" s="16"/>
      <c r="E81" s="17" t="s">
        <v>30</v>
      </c>
      <c r="F81" s="17" t="s">
        <v>140</v>
      </c>
      <c r="G81" s="18">
        <v>1357</v>
      </c>
      <c r="H81" s="19">
        <f t="shared" si="0"/>
        <v>97.025499999999965</v>
      </c>
      <c r="I81" s="20">
        <f t="shared" si="1"/>
        <v>5336.4024999999983</v>
      </c>
      <c r="J81" s="21">
        <f t="shared" si="3"/>
        <v>67.850000000000136</v>
      </c>
      <c r="K81" s="22">
        <f t="shared" si="2"/>
        <v>-29.175499999999829</v>
      </c>
    </row>
    <row r="82" spans="1:11" ht="12.75" x14ac:dyDescent="0.2">
      <c r="A82" s="30">
        <v>45621</v>
      </c>
      <c r="B82" s="31" t="s">
        <v>3</v>
      </c>
      <c r="C82" s="32"/>
      <c r="D82" s="33"/>
      <c r="E82" s="34"/>
      <c r="F82" s="34"/>
      <c r="G82" s="35"/>
      <c r="H82" s="19">
        <f t="shared" si="0"/>
        <v>0</v>
      </c>
      <c r="I82" s="20">
        <f t="shared" si="1"/>
        <v>0</v>
      </c>
      <c r="J82" s="21">
        <f t="shared" si="3"/>
        <v>0</v>
      </c>
      <c r="K82" s="22">
        <f t="shared" si="2"/>
        <v>0</v>
      </c>
    </row>
    <row r="83" spans="1:11" ht="12.75" x14ac:dyDescent="0.2">
      <c r="A83" s="30">
        <v>45622</v>
      </c>
      <c r="B83" s="31" t="s">
        <v>4</v>
      </c>
      <c r="C83" s="32"/>
      <c r="D83" s="33"/>
      <c r="E83" s="34"/>
      <c r="F83" s="34"/>
      <c r="G83" s="35"/>
      <c r="H83" s="19">
        <f t="shared" si="0"/>
        <v>0</v>
      </c>
      <c r="I83" s="20">
        <f t="shared" si="1"/>
        <v>0</v>
      </c>
      <c r="J83" s="21">
        <f t="shared" si="3"/>
        <v>0</v>
      </c>
      <c r="K83" s="22">
        <f t="shared" si="2"/>
        <v>0</v>
      </c>
    </row>
    <row r="84" spans="1:11" ht="12.75" x14ac:dyDescent="0.2">
      <c r="A84" s="30">
        <v>45623</v>
      </c>
      <c r="B84" s="31" t="s">
        <v>5</v>
      </c>
      <c r="C84" s="32"/>
      <c r="D84" s="33"/>
      <c r="E84" s="34"/>
      <c r="F84" s="34"/>
      <c r="G84" s="35"/>
      <c r="H84" s="19">
        <f t="shared" si="0"/>
        <v>0</v>
      </c>
      <c r="I84" s="20">
        <f t="shared" si="1"/>
        <v>0</v>
      </c>
      <c r="J84" s="21">
        <f t="shared" si="3"/>
        <v>0</v>
      </c>
      <c r="K84" s="22">
        <f t="shared" si="2"/>
        <v>0</v>
      </c>
    </row>
    <row r="85" spans="1:11" ht="12.75" x14ac:dyDescent="0.2">
      <c r="A85" s="30">
        <v>45624</v>
      </c>
      <c r="B85" s="31" t="s">
        <v>6</v>
      </c>
      <c r="C85" s="32"/>
      <c r="D85" s="33"/>
      <c r="E85" s="34"/>
      <c r="F85" s="34"/>
      <c r="G85" s="35"/>
      <c r="H85" s="19">
        <f t="shared" si="0"/>
        <v>0</v>
      </c>
      <c r="I85" s="20">
        <f t="shared" si="1"/>
        <v>0</v>
      </c>
      <c r="J85" s="21">
        <f t="shared" si="3"/>
        <v>0</v>
      </c>
      <c r="K85" s="22">
        <f t="shared" si="2"/>
        <v>0</v>
      </c>
    </row>
    <row r="86" spans="1:11" ht="12.75" x14ac:dyDescent="0.2">
      <c r="A86" s="30">
        <v>45625</v>
      </c>
      <c r="B86" s="31" t="s">
        <v>7</v>
      </c>
      <c r="C86" s="32"/>
      <c r="D86" s="33"/>
      <c r="E86" s="34"/>
      <c r="F86" s="34"/>
      <c r="G86" s="35"/>
      <c r="H86" s="19">
        <f t="shared" si="0"/>
        <v>0</v>
      </c>
      <c r="I86" s="20">
        <f t="shared" si="1"/>
        <v>0</v>
      </c>
      <c r="J86" s="21">
        <f t="shared" si="3"/>
        <v>0</v>
      </c>
      <c r="K86" s="22">
        <f t="shared" si="2"/>
        <v>0</v>
      </c>
    </row>
    <row r="87" spans="1:11" ht="12.75" x14ac:dyDescent="0.2">
      <c r="A87" s="13">
        <v>45628</v>
      </c>
      <c r="B87" s="14" t="s">
        <v>3</v>
      </c>
      <c r="C87" s="15">
        <v>0.95199999999999996</v>
      </c>
      <c r="D87" s="16"/>
      <c r="E87" s="17"/>
      <c r="F87" s="17" t="s">
        <v>124</v>
      </c>
      <c r="G87" s="18">
        <v>1355</v>
      </c>
      <c r="H87" s="19">
        <f t="shared" si="0"/>
        <v>65.039999999999964</v>
      </c>
      <c r="I87" s="20">
        <f t="shared" si="1"/>
        <v>3577.199999999998</v>
      </c>
      <c r="J87" s="21">
        <f t="shared" si="3"/>
        <v>67.75</v>
      </c>
      <c r="K87" s="22">
        <f t="shared" si="2"/>
        <v>2.7100000000000364</v>
      </c>
    </row>
    <row r="88" spans="1:11" ht="12.75" x14ac:dyDescent="0.2">
      <c r="A88" s="13">
        <v>45629</v>
      </c>
      <c r="B88" s="14" t="s">
        <v>4</v>
      </c>
      <c r="C88" s="15">
        <v>0.95799999999999996</v>
      </c>
      <c r="D88" s="16"/>
      <c r="E88" s="17"/>
      <c r="F88" s="17" t="s">
        <v>137</v>
      </c>
      <c r="G88" s="18">
        <v>1356</v>
      </c>
      <c r="H88" s="19">
        <f t="shared" si="0"/>
        <v>56.951999999999998</v>
      </c>
      <c r="I88" s="20">
        <f t="shared" si="1"/>
        <v>3132.3599999999997</v>
      </c>
      <c r="J88" s="21">
        <f t="shared" si="3"/>
        <v>67.799999999999955</v>
      </c>
      <c r="K88" s="22">
        <f t="shared" si="2"/>
        <v>10.847999999999956</v>
      </c>
    </row>
    <row r="89" spans="1:11" ht="12.75" x14ac:dyDescent="0.2">
      <c r="A89" s="13">
        <v>45630</v>
      </c>
      <c r="B89" s="14" t="s">
        <v>5</v>
      </c>
      <c r="C89" s="15">
        <v>0.95350000000000001</v>
      </c>
      <c r="D89" s="16"/>
      <c r="E89" s="17"/>
      <c r="F89" s="17" t="s">
        <v>141</v>
      </c>
      <c r="G89" s="18">
        <v>1356</v>
      </c>
      <c r="H89" s="19">
        <f t="shared" si="0"/>
        <v>63.054000000000087</v>
      </c>
      <c r="I89" s="20">
        <f t="shared" si="1"/>
        <v>3467.9700000000048</v>
      </c>
      <c r="J89" s="21">
        <f t="shared" si="3"/>
        <v>67.799999999999955</v>
      </c>
      <c r="K89" s="22">
        <f t="shared" si="2"/>
        <v>4.7459999999998672</v>
      </c>
    </row>
    <row r="90" spans="1:11" ht="12.75" x14ac:dyDescent="0.2">
      <c r="A90" s="13">
        <v>45631</v>
      </c>
      <c r="B90" s="14" t="s">
        <v>6</v>
      </c>
      <c r="C90" s="15">
        <v>0.95279999999999998</v>
      </c>
      <c r="D90" s="16"/>
      <c r="E90" s="17"/>
      <c r="F90" s="17"/>
      <c r="G90" s="18">
        <v>1357</v>
      </c>
      <c r="H90" s="19">
        <f t="shared" si="0"/>
        <v>64.050400000000081</v>
      </c>
      <c r="I90" s="20">
        <f t="shared" si="1"/>
        <v>3522.7720000000045</v>
      </c>
      <c r="J90" s="21">
        <f t="shared" si="3"/>
        <v>67.850000000000136</v>
      </c>
      <c r="K90" s="22">
        <f t="shared" si="2"/>
        <v>3.7996000000000549</v>
      </c>
    </row>
    <row r="91" spans="1:11" ht="25.5" x14ac:dyDescent="0.2">
      <c r="A91" s="13">
        <v>45632</v>
      </c>
      <c r="B91" s="14" t="s">
        <v>7</v>
      </c>
      <c r="C91" s="15">
        <v>0.94840000000000002</v>
      </c>
      <c r="D91" s="69"/>
      <c r="E91" s="17"/>
      <c r="F91" s="17" t="s">
        <v>142</v>
      </c>
      <c r="G91" s="18">
        <v>1357</v>
      </c>
      <c r="H91" s="19">
        <f t="shared" si="0"/>
        <v>70.021199999999908</v>
      </c>
      <c r="I91" s="20">
        <f t="shared" si="1"/>
        <v>3851.1659999999947</v>
      </c>
      <c r="J91" s="21">
        <f t="shared" si="3"/>
        <v>67.850000000000136</v>
      </c>
      <c r="K91" s="22">
        <f t="shared" si="2"/>
        <v>-2.1711999999997715</v>
      </c>
    </row>
    <row r="92" spans="1:11" ht="12.75" x14ac:dyDescent="0.2">
      <c r="A92" s="13">
        <v>45635</v>
      </c>
      <c r="B92" s="14" t="s">
        <v>3</v>
      </c>
      <c r="C92" s="15">
        <v>0.94540000000000002</v>
      </c>
      <c r="D92" s="16"/>
      <c r="E92" s="17"/>
      <c r="F92" s="17" t="s">
        <v>143</v>
      </c>
      <c r="G92" s="18">
        <v>1356</v>
      </c>
      <c r="H92" s="19">
        <f t="shared" si="0"/>
        <v>74.037599999999884</v>
      </c>
      <c r="I92" s="20">
        <f t="shared" si="1"/>
        <v>4072.0679999999938</v>
      </c>
      <c r="J92" s="21">
        <f t="shared" si="3"/>
        <v>67.799999999999955</v>
      </c>
      <c r="K92" s="22">
        <f t="shared" si="2"/>
        <v>-6.2375999999999294</v>
      </c>
    </row>
    <row r="93" spans="1:11" ht="12.75" x14ac:dyDescent="0.2">
      <c r="A93" s="13">
        <v>45636</v>
      </c>
      <c r="B93" s="14" t="s">
        <v>4</v>
      </c>
      <c r="C93" s="15">
        <v>0.94620000000000004</v>
      </c>
      <c r="D93" s="16"/>
      <c r="E93" s="17"/>
      <c r="F93" s="17" t="s">
        <v>144</v>
      </c>
      <c r="G93" s="18">
        <v>1357</v>
      </c>
      <c r="H93" s="19">
        <f t="shared" si="0"/>
        <v>73.006599999999935</v>
      </c>
      <c r="I93" s="20">
        <f t="shared" si="1"/>
        <v>4015.3629999999966</v>
      </c>
      <c r="J93" s="21">
        <f t="shared" si="3"/>
        <v>67.850000000000136</v>
      </c>
      <c r="K93" s="22">
        <f t="shared" si="2"/>
        <v>-5.1565999999997985</v>
      </c>
    </row>
    <row r="94" spans="1:11" ht="12.75" x14ac:dyDescent="0.2">
      <c r="A94" s="13">
        <v>45637</v>
      </c>
      <c r="B94" s="14" t="s">
        <v>5</v>
      </c>
      <c r="C94" s="15">
        <v>0.94399999999999995</v>
      </c>
      <c r="D94" s="16"/>
      <c r="E94" s="17"/>
      <c r="F94" s="17" t="s">
        <v>145</v>
      </c>
      <c r="G94" s="18">
        <v>1357</v>
      </c>
      <c r="H94" s="19">
        <f t="shared" si="0"/>
        <v>75.991999999999962</v>
      </c>
      <c r="I94" s="20">
        <f t="shared" si="1"/>
        <v>4179.5599999999977</v>
      </c>
      <c r="J94" s="21">
        <f t="shared" si="3"/>
        <v>67.850000000000136</v>
      </c>
      <c r="K94" s="22">
        <f t="shared" si="2"/>
        <v>-8.1419999999998254</v>
      </c>
    </row>
    <row r="95" spans="1:11" ht="12.75" x14ac:dyDescent="0.2">
      <c r="A95" s="13">
        <v>45638</v>
      </c>
      <c r="B95" s="14" t="s">
        <v>6</v>
      </c>
      <c r="C95" s="15">
        <v>0.94540000000000002</v>
      </c>
      <c r="D95" s="16"/>
      <c r="E95" s="17"/>
      <c r="F95" s="17" t="s">
        <v>146</v>
      </c>
      <c r="G95" s="18">
        <v>1356</v>
      </c>
      <c r="H95" s="19">
        <f t="shared" si="0"/>
        <v>74.037599999999884</v>
      </c>
      <c r="I95" s="20">
        <f t="shared" si="1"/>
        <v>4072.0679999999938</v>
      </c>
      <c r="J95" s="21">
        <f t="shared" si="3"/>
        <v>67.799999999999955</v>
      </c>
      <c r="K95" s="22">
        <f t="shared" si="2"/>
        <v>-6.2375999999999294</v>
      </c>
    </row>
    <row r="96" spans="1:11" ht="12.75" x14ac:dyDescent="0.2">
      <c r="A96" s="13">
        <v>45639</v>
      </c>
      <c r="B96" s="14" t="s">
        <v>7</v>
      </c>
      <c r="C96" s="15">
        <v>0.9425</v>
      </c>
      <c r="D96" s="69"/>
      <c r="E96" s="17"/>
      <c r="F96" s="17" t="s">
        <v>147</v>
      </c>
      <c r="G96" s="18">
        <v>1356</v>
      </c>
      <c r="H96" s="19">
        <f t="shared" si="0"/>
        <v>77.970000000000027</v>
      </c>
      <c r="I96" s="20">
        <f t="shared" si="1"/>
        <v>4288.3500000000013</v>
      </c>
      <c r="J96" s="21">
        <f t="shared" si="3"/>
        <v>67.799999999999955</v>
      </c>
      <c r="K96" s="22">
        <f t="shared" si="2"/>
        <v>-10.170000000000073</v>
      </c>
    </row>
    <row r="97" spans="1:11" ht="12.75" x14ac:dyDescent="0.2">
      <c r="A97" s="13">
        <v>45642</v>
      </c>
      <c r="B97" s="14" t="s">
        <v>3</v>
      </c>
      <c r="C97" s="15">
        <v>0.9476</v>
      </c>
      <c r="D97" s="16"/>
      <c r="E97" s="17"/>
      <c r="F97" s="17"/>
      <c r="G97" s="18">
        <v>1356</v>
      </c>
      <c r="H97" s="19">
        <f t="shared" si="0"/>
        <v>71.054399999999987</v>
      </c>
      <c r="I97" s="20">
        <f t="shared" si="1"/>
        <v>3907.9919999999993</v>
      </c>
      <c r="J97" s="21">
        <f t="shared" si="3"/>
        <v>67.799999999999955</v>
      </c>
      <c r="K97" s="22">
        <f t="shared" si="2"/>
        <v>-3.2544000000000324</v>
      </c>
    </row>
    <row r="98" spans="1:11" ht="12.75" x14ac:dyDescent="0.2">
      <c r="A98" s="13">
        <v>45643</v>
      </c>
      <c r="B98" s="14" t="s">
        <v>4</v>
      </c>
      <c r="C98" s="15">
        <v>0.95950000000000002</v>
      </c>
      <c r="D98" s="69"/>
      <c r="E98" s="17"/>
      <c r="F98" s="17"/>
      <c r="G98" s="18">
        <v>1359</v>
      </c>
      <c r="H98" s="19">
        <f t="shared" si="0"/>
        <v>55.039499999999862</v>
      </c>
      <c r="I98" s="20">
        <f t="shared" si="1"/>
        <v>3027.1724999999924</v>
      </c>
      <c r="J98" s="21">
        <f t="shared" si="3"/>
        <v>67.950000000000045</v>
      </c>
      <c r="K98" s="22">
        <f t="shared" si="2"/>
        <v>12.910500000000184</v>
      </c>
    </row>
    <row r="99" spans="1:11" ht="12.75" x14ac:dyDescent="0.2">
      <c r="A99" s="13">
        <v>45644</v>
      </c>
      <c r="B99" s="14" t="s">
        <v>5</v>
      </c>
      <c r="C99" s="15">
        <v>0.9536</v>
      </c>
      <c r="D99" s="16"/>
      <c r="E99" s="17"/>
      <c r="F99" s="17"/>
      <c r="G99" s="18">
        <v>1358</v>
      </c>
      <c r="H99" s="19">
        <f t="shared" si="0"/>
        <v>63.011199999999917</v>
      </c>
      <c r="I99" s="20">
        <f t="shared" si="1"/>
        <v>3465.6159999999954</v>
      </c>
      <c r="J99" s="21">
        <f t="shared" si="3"/>
        <v>67.900000000000091</v>
      </c>
      <c r="K99" s="22">
        <f t="shared" si="2"/>
        <v>4.8888000000001739</v>
      </c>
    </row>
    <row r="100" spans="1:11" ht="12.75" x14ac:dyDescent="0.2">
      <c r="A100" s="13">
        <v>45645</v>
      </c>
      <c r="B100" s="14" t="s">
        <v>6</v>
      </c>
      <c r="C100" s="15">
        <v>0.94179999999999997</v>
      </c>
      <c r="D100" s="16"/>
      <c r="E100" s="17"/>
      <c r="F100" s="17" t="s">
        <v>148</v>
      </c>
      <c r="G100" s="18">
        <v>1358</v>
      </c>
      <c r="H100" s="19">
        <f t="shared" si="0"/>
        <v>79.035599999999931</v>
      </c>
      <c r="I100" s="20">
        <f t="shared" si="1"/>
        <v>4346.957999999996</v>
      </c>
      <c r="J100" s="21">
        <f t="shared" si="3"/>
        <v>67.900000000000091</v>
      </c>
      <c r="K100" s="22">
        <f t="shared" si="2"/>
        <v>-11.13559999999984</v>
      </c>
    </row>
    <row r="101" spans="1:11" ht="25.5" x14ac:dyDescent="0.2">
      <c r="A101" s="13">
        <v>45646</v>
      </c>
      <c r="B101" s="14" t="s">
        <v>7</v>
      </c>
      <c r="C101" s="15">
        <v>0.90129999999999999</v>
      </c>
      <c r="D101" s="16"/>
      <c r="E101" s="17" t="s">
        <v>30</v>
      </c>
      <c r="F101" s="17" t="s">
        <v>149</v>
      </c>
      <c r="G101" s="18">
        <v>1358</v>
      </c>
      <c r="H101" s="19">
        <f t="shared" si="0"/>
        <v>134.03459999999995</v>
      </c>
      <c r="I101" s="20">
        <f t="shared" si="1"/>
        <v>7371.9029999999975</v>
      </c>
      <c r="J101" s="21">
        <f t="shared" si="3"/>
        <v>67.900000000000091</v>
      </c>
      <c r="K101" s="22">
        <f t="shared" si="2"/>
        <v>-66.134599999999864</v>
      </c>
    </row>
    <row r="102" spans="1:11" ht="12.75" x14ac:dyDescent="0.2">
      <c r="A102" s="24">
        <v>45649</v>
      </c>
      <c r="B102" s="25" t="s">
        <v>3</v>
      </c>
      <c r="C102" s="26"/>
      <c r="D102" s="27"/>
      <c r="E102" s="28"/>
      <c r="F102" s="28"/>
      <c r="G102" s="29"/>
      <c r="H102" s="19">
        <f t="shared" si="0"/>
        <v>0</v>
      </c>
      <c r="I102" s="20">
        <f t="shared" si="1"/>
        <v>0</v>
      </c>
      <c r="J102" s="21">
        <f t="shared" si="3"/>
        <v>0</v>
      </c>
      <c r="K102" s="22">
        <f t="shared" si="2"/>
        <v>0</v>
      </c>
    </row>
    <row r="103" spans="1:11" ht="12.75" x14ac:dyDescent="0.2">
      <c r="A103" s="24">
        <v>45650</v>
      </c>
      <c r="B103" s="25" t="s">
        <v>4</v>
      </c>
      <c r="C103" s="26"/>
      <c r="D103" s="27"/>
      <c r="E103" s="28"/>
      <c r="F103" s="28"/>
      <c r="G103" s="29"/>
      <c r="H103" s="19">
        <f t="shared" si="0"/>
        <v>0</v>
      </c>
      <c r="I103" s="20">
        <f t="shared" si="1"/>
        <v>0</v>
      </c>
      <c r="J103" s="21">
        <f t="shared" si="3"/>
        <v>0</v>
      </c>
      <c r="K103" s="22">
        <f t="shared" si="2"/>
        <v>0</v>
      </c>
    </row>
    <row r="104" spans="1:11" ht="12.75" x14ac:dyDescent="0.2">
      <c r="A104" s="24">
        <v>45651</v>
      </c>
      <c r="B104" s="25" t="s">
        <v>5</v>
      </c>
      <c r="C104" s="26"/>
      <c r="D104" s="27"/>
      <c r="E104" s="28"/>
      <c r="F104" s="28"/>
      <c r="G104" s="29"/>
      <c r="H104" s="19">
        <f t="shared" si="0"/>
        <v>0</v>
      </c>
      <c r="I104" s="20">
        <f t="shared" si="1"/>
        <v>0</v>
      </c>
      <c r="J104" s="21">
        <f t="shared" si="3"/>
        <v>0</v>
      </c>
      <c r="K104" s="22">
        <f t="shared" si="2"/>
        <v>0</v>
      </c>
    </row>
    <row r="105" spans="1:11" ht="12.75" x14ac:dyDescent="0.2">
      <c r="A105" s="24">
        <v>45652</v>
      </c>
      <c r="B105" s="25" t="s">
        <v>6</v>
      </c>
      <c r="C105" s="26"/>
      <c r="D105" s="27"/>
      <c r="E105" s="28"/>
      <c r="F105" s="28"/>
      <c r="G105" s="29"/>
      <c r="H105" s="19">
        <f t="shared" si="0"/>
        <v>0</v>
      </c>
      <c r="I105" s="20">
        <f t="shared" si="1"/>
        <v>0</v>
      </c>
      <c r="J105" s="21">
        <f t="shared" si="3"/>
        <v>0</v>
      </c>
      <c r="K105" s="22">
        <f t="shared" si="2"/>
        <v>0</v>
      </c>
    </row>
    <row r="106" spans="1:11" ht="12.75" x14ac:dyDescent="0.2">
      <c r="A106" s="24">
        <v>45653</v>
      </c>
      <c r="B106" s="25" t="s">
        <v>7</v>
      </c>
      <c r="C106" s="26"/>
      <c r="D106" s="27"/>
      <c r="E106" s="28"/>
      <c r="F106" s="28"/>
      <c r="G106" s="29"/>
      <c r="H106" s="19">
        <f t="shared" si="0"/>
        <v>0</v>
      </c>
      <c r="I106" s="20">
        <f t="shared" si="1"/>
        <v>0</v>
      </c>
      <c r="J106" s="21">
        <f t="shared" si="3"/>
        <v>0</v>
      </c>
      <c r="K106" s="22">
        <f t="shared" si="2"/>
        <v>0</v>
      </c>
    </row>
    <row r="107" spans="1:11" ht="12.75" x14ac:dyDescent="0.2">
      <c r="A107" s="24">
        <v>45656</v>
      </c>
      <c r="B107" s="25" t="s">
        <v>3</v>
      </c>
      <c r="C107" s="26"/>
      <c r="D107" s="27"/>
      <c r="E107" s="28"/>
      <c r="F107" s="28"/>
      <c r="G107" s="29"/>
      <c r="H107" s="19">
        <f t="shared" si="0"/>
        <v>0</v>
      </c>
      <c r="I107" s="20">
        <f t="shared" si="1"/>
        <v>0</v>
      </c>
      <c r="J107" s="21">
        <f t="shared" si="3"/>
        <v>0</v>
      </c>
      <c r="K107" s="22">
        <f t="shared" si="2"/>
        <v>0</v>
      </c>
    </row>
    <row r="108" spans="1:11" ht="12.75" x14ac:dyDescent="0.2">
      <c r="A108" s="24">
        <v>45657</v>
      </c>
      <c r="B108" s="25" t="s">
        <v>4</v>
      </c>
      <c r="C108" s="26"/>
      <c r="D108" s="27"/>
      <c r="E108" s="28"/>
      <c r="F108" s="28"/>
      <c r="G108" s="29"/>
      <c r="H108" s="19">
        <f t="shared" si="0"/>
        <v>0</v>
      </c>
      <c r="I108" s="20">
        <f t="shared" si="1"/>
        <v>0</v>
      </c>
      <c r="J108" s="21">
        <f t="shared" si="3"/>
        <v>0</v>
      </c>
      <c r="K108" s="22">
        <f t="shared" si="2"/>
        <v>0</v>
      </c>
    </row>
    <row r="109" spans="1:11" ht="12.75" x14ac:dyDescent="0.2">
      <c r="A109" s="24">
        <v>45658</v>
      </c>
      <c r="B109" s="25" t="s">
        <v>5</v>
      </c>
      <c r="C109" s="26"/>
      <c r="D109" s="27"/>
      <c r="E109" s="28"/>
      <c r="F109" s="28"/>
      <c r="G109" s="29"/>
      <c r="H109" s="19">
        <f t="shared" si="0"/>
        <v>0</v>
      </c>
      <c r="I109" s="20">
        <f t="shared" si="1"/>
        <v>0</v>
      </c>
      <c r="J109" s="21">
        <f t="shared" si="3"/>
        <v>0</v>
      </c>
      <c r="K109" s="22">
        <f t="shared" si="2"/>
        <v>0</v>
      </c>
    </row>
    <row r="110" spans="1:11" ht="12.75" x14ac:dyDescent="0.2">
      <c r="A110" s="24">
        <v>45659</v>
      </c>
      <c r="B110" s="25" t="s">
        <v>6</v>
      </c>
      <c r="C110" s="26"/>
      <c r="D110" s="27"/>
      <c r="E110" s="28"/>
      <c r="F110" s="28"/>
      <c r="G110" s="29"/>
      <c r="H110" s="19">
        <f t="shared" si="0"/>
        <v>0</v>
      </c>
      <c r="I110" s="20">
        <f t="shared" si="1"/>
        <v>0</v>
      </c>
      <c r="J110" s="21">
        <f t="shared" si="3"/>
        <v>0</v>
      </c>
      <c r="K110" s="22">
        <f t="shared" si="2"/>
        <v>0</v>
      </c>
    </row>
    <row r="111" spans="1:11" ht="12.75" x14ac:dyDescent="0.2">
      <c r="A111" s="24">
        <v>45660</v>
      </c>
      <c r="B111" s="25" t="s">
        <v>7</v>
      </c>
      <c r="C111" s="26"/>
      <c r="D111" s="27"/>
      <c r="E111" s="28"/>
      <c r="F111" s="28"/>
      <c r="G111" s="29"/>
      <c r="H111" s="19">
        <f t="shared" si="0"/>
        <v>0</v>
      </c>
      <c r="I111" s="20">
        <f t="shared" si="1"/>
        <v>0</v>
      </c>
      <c r="J111" s="21">
        <f t="shared" si="3"/>
        <v>0</v>
      </c>
      <c r="K111" s="22">
        <f t="shared" si="2"/>
        <v>0</v>
      </c>
    </row>
    <row r="112" spans="1:11" ht="12.75" x14ac:dyDescent="0.2">
      <c r="A112" s="30">
        <v>45663</v>
      </c>
      <c r="B112" s="31" t="s">
        <v>3</v>
      </c>
      <c r="C112" s="32"/>
      <c r="D112" s="33"/>
      <c r="E112" s="34"/>
      <c r="F112" s="34"/>
      <c r="G112" s="35"/>
      <c r="H112" s="19">
        <f t="shared" si="0"/>
        <v>0</v>
      </c>
      <c r="I112" s="20">
        <f t="shared" si="1"/>
        <v>0</v>
      </c>
      <c r="J112" s="21">
        <f t="shared" si="3"/>
        <v>0</v>
      </c>
      <c r="K112" s="22">
        <f t="shared" si="2"/>
        <v>0</v>
      </c>
    </row>
    <row r="113" spans="1:11" ht="12.75" x14ac:dyDescent="0.2">
      <c r="A113" s="30">
        <v>45664</v>
      </c>
      <c r="B113" s="31" t="s">
        <v>4</v>
      </c>
      <c r="C113" s="32"/>
      <c r="D113" s="33"/>
      <c r="E113" s="34"/>
      <c r="F113" s="34"/>
      <c r="G113" s="35"/>
      <c r="H113" s="19">
        <f t="shared" si="0"/>
        <v>0</v>
      </c>
      <c r="I113" s="20">
        <f t="shared" si="1"/>
        <v>0</v>
      </c>
      <c r="J113" s="21">
        <f t="shared" si="3"/>
        <v>0</v>
      </c>
      <c r="K113" s="22">
        <f t="shared" si="2"/>
        <v>0</v>
      </c>
    </row>
    <row r="114" spans="1:11" ht="12.75" x14ac:dyDescent="0.2">
      <c r="A114" s="13">
        <v>45665</v>
      </c>
      <c r="B114" s="14" t="s">
        <v>5</v>
      </c>
      <c r="C114" s="15">
        <v>0.94689999999999996</v>
      </c>
      <c r="D114" s="16"/>
      <c r="E114" s="17"/>
      <c r="F114" s="17" t="s">
        <v>150</v>
      </c>
      <c r="G114" s="18">
        <v>1355</v>
      </c>
      <c r="H114" s="19">
        <f t="shared" si="0"/>
        <v>71.950500000000147</v>
      </c>
      <c r="I114" s="20">
        <f t="shared" si="1"/>
        <v>3957.2775000000083</v>
      </c>
      <c r="J114" s="21">
        <f t="shared" si="3"/>
        <v>67.75</v>
      </c>
      <c r="K114" s="22">
        <f t="shared" si="2"/>
        <v>-4.2005000000001473</v>
      </c>
    </row>
    <row r="115" spans="1:11" ht="12.75" x14ac:dyDescent="0.2">
      <c r="A115" s="13">
        <v>45666</v>
      </c>
      <c r="B115" s="14" t="s">
        <v>6</v>
      </c>
      <c r="C115" s="15">
        <v>0.93510000000000004</v>
      </c>
      <c r="D115" s="16"/>
      <c r="E115" s="17" t="s">
        <v>43</v>
      </c>
      <c r="F115" s="17" t="s">
        <v>151</v>
      </c>
      <c r="G115" s="18">
        <v>1357</v>
      </c>
      <c r="H115" s="19">
        <f t="shared" si="0"/>
        <v>88.069299999999885</v>
      </c>
      <c r="I115" s="20">
        <f t="shared" si="1"/>
        <v>4843.8114999999934</v>
      </c>
      <c r="J115" s="21">
        <f t="shared" si="3"/>
        <v>67.850000000000136</v>
      </c>
      <c r="K115" s="22">
        <f t="shared" si="2"/>
        <v>-20.219299999999748</v>
      </c>
    </row>
    <row r="116" spans="1:11" ht="25.5" x14ac:dyDescent="0.2">
      <c r="A116" s="61">
        <v>45667</v>
      </c>
      <c r="B116" s="62" t="s">
        <v>7</v>
      </c>
      <c r="C116" s="63">
        <v>0.93279999999999996</v>
      </c>
      <c r="D116" s="64" t="s">
        <v>152</v>
      </c>
      <c r="E116" s="65" t="s">
        <v>43</v>
      </c>
      <c r="F116" s="65" t="s">
        <v>153</v>
      </c>
      <c r="G116" s="66">
        <v>1354</v>
      </c>
      <c r="H116" s="19">
        <f t="shared" si="0"/>
        <v>90.988800000000083</v>
      </c>
      <c r="I116" s="20">
        <f t="shared" si="1"/>
        <v>5004.3840000000046</v>
      </c>
      <c r="J116" s="21">
        <f t="shared" si="3"/>
        <v>67.700000000000045</v>
      </c>
      <c r="K116" s="22">
        <f t="shared" si="2"/>
        <v>-23.288800000000037</v>
      </c>
    </row>
    <row r="117" spans="1:11" ht="12.75" x14ac:dyDescent="0.2">
      <c r="A117" s="13">
        <v>45670</v>
      </c>
      <c r="B117" s="14" t="s">
        <v>3</v>
      </c>
      <c r="C117" s="15">
        <v>0.94920000000000004</v>
      </c>
      <c r="D117" s="16"/>
      <c r="E117" s="17"/>
      <c r="F117" s="17"/>
      <c r="G117" s="18">
        <v>1357</v>
      </c>
      <c r="H117" s="19">
        <f t="shared" si="0"/>
        <v>68.935600000000022</v>
      </c>
      <c r="I117" s="20">
        <f t="shared" si="1"/>
        <v>3791.4580000000014</v>
      </c>
      <c r="J117" s="21">
        <f t="shared" si="3"/>
        <v>67.850000000000136</v>
      </c>
      <c r="K117" s="22">
        <f t="shared" si="2"/>
        <v>-1.0855999999998858</v>
      </c>
    </row>
    <row r="118" spans="1:11" ht="12.75" x14ac:dyDescent="0.2">
      <c r="A118" s="13">
        <v>45671</v>
      </c>
      <c r="B118" s="14" t="s">
        <v>4</v>
      </c>
      <c r="C118" s="15">
        <v>0.95140000000000002</v>
      </c>
      <c r="D118" s="16"/>
      <c r="E118" s="17"/>
      <c r="F118" s="17" t="s">
        <v>154</v>
      </c>
      <c r="G118" s="18">
        <v>1358</v>
      </c>
      <c r="H118" s="19">
        <f t="shared" si="0"/>
        <v>65.998800000000074</v>
      </c>
      <c r="I118" s="20">
        <f t="shared" si="1"/>
        <v>3629.9340000000038</v>
      </c>
      <c r="J118" s="21">
        <f t="shared" si="3"/>
        <v>67.900000000000091</v>
      </c>
      <c r="K118" s="22">
        <f t="shared" si="2"/>
        <v>1.9012000000000171</v>
      </c>
    </row>
    <row r="119" spans="1:11" ht="12.75" x14ac:dyDescent="0.2">
      <c r="A119" s="13">
        <v>45672</v>
      </c>
      <c r="B119" s="14" t="s">
        <v>5</v>
      </c>
      <c r="C119" s="70">
        <v>0.95879999999999999</v>
      </c>
      <c r="D119" s="16"/>
      <c r="E119" s="17"/>
      <c r="F119" s="17"/>
      <c r="G119" s="18">
        <v>1360</v>
      </c>
      <c r="H119" s="19">
        <f t="shared" si="0"/>
        <v>56.031999999999925</v>
      </c>
      <c r="I119" s="20">
        <f t="shared" si="1"/>
        <v>3081.7599999999957</v>
      </c>
      <c r="J119" s="21">
        <f t="shared" si="3"/>
        <v>68</v>
      </c>
      <c r="K119" s="22">
        <f t="shared" si="2"/>
        <v>11.968000000000075</v>
      </c>
    </row>
    <row r="120" spans="1:11" ht="12.75" x14ac:dyDescent="0.2">
      <c r="A120" s="13">
        <v>45673</v>
      </c>
      <c r="B120" s="14" t="s">
        <v>6</v>
      </c>
      <c r="C120" s="15">
        <v>0.95660000000000001</v>
      </c>
      <c r="D120" s="16"/>
      <c r="E120" s="17"/>
      <c r="F120" s="17" t="s">
        <v>155</v>
      </c>
      <c r="G120" s="18">
        <v>1358</v>
      </c>
      <c r="H120" s="19">
        <f t="shared" si="0"/>
        <v>58.937200000000075</v>
      </c>
      <c r="I120" s="20">
        <f t="shared" si="1"/>
        <v>3241.5460000000039</v>
      </c>
      <c r="J120" s="21">
        <f t="shared" si="3"/>
        <v>67.900000000000091</v>
      </c>
      <c r="K120" s="22">
        <f t="shared" si="2"/>
        <v>8.9628000000000156</v>
      </c>
    </row>
    <row r="121" spans="1:11" ht="12.75" x14ac:dyDescent="0.2">
      <c r="A121" s="13">
        <v>45674</v>
      </c>
      <c r="B121" s="14" t="s">
        <v>7</v>
      </c>
      <c r="C121" s="15">
        <v>0.94699999999999995</v>
      </c>
      <c r="D121" s="16"/>
      <c r="E121" s="17"/>
      <c r="F121" s="17" t="s">
        <v>156</v>
      </c>
      <c r="G121" s="18">
        <v>1358</v>
      </c>
      <c r="H121" s="19">
        <f t="shared" si="0"/>
        <v>71.97400000000016</v>
      </c>
      <c r="I121" s="20">
        <f t="shared" si="1"/>
        <v>3958.5700000000088</v>
      </c>
      <c r="J121" s="21">
        <f t="shared" si="3"/>
        <v>67.900000000000091</v>
      </c>
      <c r="K121" s="22">
        <f t="shared" si="2"/>
        <v>-4.0740000000000691</v>
      </c>
    </row>
    <row r="122" spans="1:11" ht="12.75" x14ac:dyDescent="0.2">
      <c r="A122" s="24">
        <v>45677</v>
      </c>
      <c r="B122" s="25" t="s">
        <v>3</v>
      </c>
      <c r="C122" s="26"/>
      <c r="D122" s="27"/>
      <c r="E122" s="28"/>
      <c r="F122" s="28"/>
      <c r="G122" s="29"/>
      <c r="H122" s="19">
        <f t="shared" si="0"/>
        <v>0</v>
      </c>
      <c r="I122" s="20">
        <f t="shared" si="1"/>
        <v>0</v>
      </c>
      <c r="J122" s="21">
        <f t="shared" si="3"/>
        <v>0</v>
      </c>
      <c r="K122" s="22">
        <f t="shared" si="2"/>
        <v>0</v>
      </c>
    </row>
    <row r="123" spans="1:11" ht="12.75" x14ac:dyDescent="0.2">
      <c r="A123" s="13">
        <v>45678</v>
      </c>
      <c r="B123" s="14" t="s">
        <v>4</v>
      </c>
      <c r="C123" s="15"/>
      <c r="D123" s="16"/>
      <c r="E123" s="17" t="s">
        <v>43</v>
      </c>
      <c r="F123" s="17" t="s">
        <v>157</v>
      </c>
      <c r="H123" s="19">
        <f t="shared" si="0"/>
        <v>0</v>
      </c>
      <c r="I123" s="20">
        <f t="shared" si="1"/>
        <v>0</v>
      </c>
      <c r="J123" s="21">
        <f t="shared" si="3"/>
        <v>0</v>
      </c>
      <c r="K123" s="22">
        <f t="shared" si="2"/>
        <v>0</v>
      </c>
    </row>
    <row r="124" spans="1:11" ht="12.75" x14ac:dyDescent="0.2">
      <c r="A124" s="13">
        <v>45679</v>
      </c>
      <c r="B124" s="14" t="s">
        <v>5</v>
      </c>
      <c r="C124" s="15"/>
      <c r="D124" s="16"/>
      <c r="E124" s="17" t="s">
        <v>43</v>
      </c>
      <c r="F124" s="17" t="s">
        <v>158</v>
      </c>
      <c r="H124" s="19">
        <f t="shared" si="0"/>
        <v>0</v>
      </c>
      <c r="I124" s="20">
        <f t="shared" si="1"/>
        <v>0</v>
      </c>
      <c r="J124" s="21">
        <f t="shared" si="3"/>
        <v>0</v>
      </c>
      <c r="K124" s="22">
        <f t="shared" si="2"/>
        <v>0</v>
      </c>
    </row>
    <row r="125" spans="1:11" ht="12.75" x14ac:dyDescent="0.2">
      <c r="A125" s="13">
        <v>45680</v>
      </c>
      <c r="B125" s="14" t="s">
        <v>6</v>
      </c>
      <c r="C125" s="15">
        <v>0.86819999999999997</v>
      </c>
      <c r="D125" s="16"/>
      <c r="E125" s="17" t="s">
        <v>43</v>
      </c>
      <c r="F125" s="17" t="s">
        <v>159</v>
      </c>
      <c r="G125" s="18">
        <v>1358</v>
      </c>
      <c r="H125" s="19">
        <f t="shared" si="0"/>
        <v>178.98440000000005</v>
      </c>
      <c r="I125" s="20">
        <f t="shared" si="1"/>
        <v>9844.1420000000035</v>
      </c>
      <c r="J125" s="21">
        <f t="shared" si="3"/>
        <v>67.900000000000091</v>
      </c>
      <c r="K125" s="22">
        <f t="shared" si="2"/>
        <v>-111.08439999999996</v>
      </c>
    </row>
    <row r="126" spans="1:11" ht="25.5" x14ac:dyDescent="0.2">
      <c r="A126" s="13">
        <v>45681</v>
      </c>
      <c r="B126" s="14" t="s">
        <v>7</v>
      </c>
      <c r="C126" s="15">
        <v>0.93669999999999998</v>
      </c>
      <c r="D126" s="16"/>
      <c r="E126" s="17"/>
      <c r="F126" s="17" t="s">
        <v>160</v>
      </c>
      <c r="G126" s="18">
        <v>1359</v>
      </c>
      <c r="H126" s="19">
        <f t="shared" si="0"/>
        <v>86.024699999999939</v>
      </c>
      <c r="I126" s="20">
        <f t="shared" si="1"/>
        <v>4731.3584999999966</v>
      </c>
      <c r="J126" s="21">
        <f t="shared" si="3"/>
        <v>67.950000000000045</v>
      </c>
      <c r="K126" s="22">
        <f t="shared" si="2"/>
        <v>-18.074699999999893</v>
      </c>
    </row>
    <row r="127" spans="1:11" ht="12.75" x14ac:dyDescent="0.2">
      <c r="A127" s="13">
        <v>45684</v>
      </c>
      <c r="B127" s="14" t="s">
        <v>3</v>
      </c>
      <c r="C127" s="15">
        <v>0.95</v>
      </c>
      <c r="D127" s="16"/>
      <c r="E127" s="17"/>
      <c r="F127" s="17"/>
      <c r="G127" s="18">
        <v>1360</v>
      </c>
      <c r="H127" s="19">
        <f t="shared" si="0"/>
        <v>68</v>
      </c>
      <c r="I127" s="20">
        <f t="shared" si="1"/>
        <v>3740</v>
      </c>
      <c r="J127" s="21">
        <f t="shared" si="3"/>
        <v>68</v>
      </c>
      <c r="K127" s="22">
        <f t="shared" si="2"/>
        <v>0</v>
      </c>
    </row>
    <row r="128" spans="1:11" ht="12.75" x14ac:dyDescent="0.2">
      <c r="A128" s="13">
        <v>45685</v>
      </c>
      <c r="B128" s="14" t="s">
        <v>4</v>
      </c>
      <c r="C128" s="15">
        <v>0.95369999999999999</v>
      </c>
      <c r="D128" s="16"/>
      <c r="E128" s="17"/>
      <c r="F128" s="17"/>
      <c r="G128" s="18">
        <v>1362</v>
      </c>
      <c r="H128" s="19">
        <f t="shared" si="0"/>
        <v>63.060600000000022</v>
      </c>
      <c r="I128" s="20">
        <f t="shared" si="1"/>
        <v>3468.3330000000014</v>
      </c>
      <c r="J128" s="21">
        <f t="shared" si="3"/>
        <v>68.100000000000136</v>
      </c>
      <c r="K128" s="22">
        <f t="shared" si="2"/>
        <v>5.0394000000001142</v>
      </c>
    </row>
    <row r="129" spans="1:11" ht="12.75" x14ac:dyDescent="0.2">
      <c r="A129" s="13">
        <v>45686</v>
      </c>
      <c r="B129" s="14" t="s">
        <v>5</v>
      </c>
      <c r="C129" s="15">
        <v>0.94420000000000004</v>
      </c>
      <c r="D129" s="16"/>
      <c r="E129" s="17"/>
      <c r="F129" s="17"/>
      <c r="G129" s="18">
        <v>1361</v>
      </c>
      <c r="H129" s="19">
        <f t="shared" si="0"/>
        <v>75.94380000000001</v>
      </c>
      <c r="I129" s="20">
        <f t="shared" si="1"/>
        <v>4176.9090000000006</v>
      </c>
      <c r="J129" s="21">
        <f t="shared" si="3"/>
        <v>68.049999999999955</v>
      </c>
      <c r="K129" s="22">
        <f t="shared" si="2"/>
        <v>-7.8938000000000557</v>
      </c>
    </row>
    <row r="130" spans="1:11" ht="12.75" x14ac:dyDescent="0.2">
      <c r="A130" s="13">
        <v>45687</v>
      </c>
      <c r="B130" s="14" t="s">
        <v>6</v>
      </c>
      <c r="C130" s="68">
        <v>0.94630000000000003</v>
      </c>
      <c r="D130" s="16"/>
      <c r="E130" s="17" t="s">
        <v>43</v>
      </c>
      <c r="F130" s="17" t="s">
        <v>161</v>
      </c>
      <c r="G130" s="18">
        <v>1360</v>
      </c>
      <c r="H130" s="19">
        <f t="shared" si="0"/>
        <v>73.031999999999925</v>
      </c>
      <c r="I130" s="20">
        <f t="shared" si="1"/>
        <v>4016.7599999999957</v>
      </c>
      <c r="J130" s="21">
        <f t="shared" si="3"/>
        <v>68</v>
      </c>
      <c r="K130" s="22">
        <f t="shared" si="2"/>
        <v>-5.0319999999999254</v>
      </c>
    </row>
    <row r="131" spans="1:11" ht="12.75" x14ac:dyDescent="0.2">
      <c r="A131" s="13">
        <v>45688</v>
      </c>
      <c r="B131" s="14" t="s">
        <v>7</v>
      </c>
      <c r="C131" s="68">
        <v>0.94340000000000002</v>
      </c>
      <c r="D131" s="16"/>
      <c r="E131" s="17"/>
      <c r="F131" s="17"/>
      <c r="G131" s="18">
        <v>1360</v>
      </c>
      <c r="H131" s="19">
        <f t="shared" si="0"/>
        <v>76.975999999999885</v>
      </c>
      <c r="I131" s="20">
        <f t="shared" si="1"/>
        <v>4233.6799999999939</v>
      </c>
      <c r="J131" s="21">
        <f t="shared" si="3"/>
        <v>68</v>
      </c>
      <c r="K131" s="22">
        <f t="shared" si="2"/>
        <v>-8.9759999999998854</v>
      </c>
    </row>
    <row r="132" spans="1:11" ht="12.75" x14ac:dyDescent="0.2">
      <c r="A132" s="13">
        <v>45691</v>
      </c>
      <c r="B132" s="14" t="s">
        <v>3</v>
      </c>
      <c r="C132" s="15">
        <v>0.81950000000000001</v>
      </c>
      <c r="D132" s="16"/>
      <c r="E132" s="17" t="s">
        <v>30</v>
      </c>
      <c r="F132" s="17" t="s">
        <v>162</v>
      </c>
      <c r="G132" s="18">
        <v>1357</v>
      </c>
      <c r="H132" s="19">
        <f t="shared" si="0"/>
        <v>244.93849999999998</v>
      </c>
      <c r="I132" s="20">
        <f t="shared" si="1"/>
        <v>13471.617499999998</v>
      </c>
      <c r="J132" s="21">
        <f t="shared" si="3"/>
        <v>67.850000000000136</v>
      </c>
      <c r="K132" s="22">
        <f t="shared" si="2"/>
        <v>-177.08849999999984</v>
      </c>
    </row>
    <row r="133" spans="1:11" ht="12.75" x14ac:dyDescent="0.2">
      <c r="A133" s="13">
        <v>45692</v>
      </c>
      <c r="B133" s="14" t="s">
        <v>4</v>
      </c>
      <c r="C133" s="15">
        <v>0.9536</v>
      </c>
      <c r="D133" s="16"/>
      <c r="E133" s="17"/>
      <c r="F133" s="17" t="s">
        <v>163</v>
      </c>
      <c r="G133" s="18">
        <v>1358</v>
      </c>
      <c r="H133" s="19">
        <f t="shared" si="0"/>
        <v>63.011199999999917</v>
      </c>
      <c r="I133" s="20">
        <f t="shared" si="1"/>
        <v>3465.6159999999954</v>
      </c>
      <c r="J133" s="21">
        <f t="shared" si="3"/>
        <v>67.900000000000091</v>
      </c>
      <c r="K133" s="22">
        <f t="shared" si="2"/>
        <v>4.8888000000001739</v>
      </c>
    </row>
    <row r="134" spans="1:11" ht="12.75" x14ac:dyDescent="0.2">
      <c r="A134" s="13">
        <v>45693</v>
      </c>
      <c r="B134" s="14" t="s">
        <v>5</v>
      </c>
      <c r="C134" s="68">
        <v>0.94789999999999996</v>
      </c>
      <c r="D134" s="16"/>
      <c r="E134" s="17"/>
      <c r="F134" s="17"/>
      <c r="G134" s="18">
        <v>1362</v>
      </c>
      <c r="H134" s="19">
        <f t="shared" si="0"/>
        <v>70.960199999999986</v>
      </c>
      <c r="I134" s="20">
        <f t="shared" si="1"/>
        <v>3902.8109999999992</v>
      </c>
      <c r="J134" s="21">
        <f t="shared" si="3"/>
        <v>68.100000000000136</v>
      </c>
      <c r="K134" s="22">
        <f t="shared" si="2"/>
        <v>-2.8601999999998498</v>
      </c>
    </row>
    <row r="135" spans="1:11" ht="12.75" x14ac:dyDescent="0.2">
      <c r="A135" s="13">
        <v>45694</v>
      </c>
      <c r="B135" s="14" t="s">
        <v>6</v>
      </c>
      <c r="C135" s="68">
        <v>0.94930000000000003</v>
      </c>
      <c r="D135" s="16"/>
      <c r="E135" s="17"/>
      <c r="F135" s="17" t="s">
        <v>164</v>
      </c>
      <c r="G135" s="18">
        <v>1362</v>
      </c>
      <c r="H135" s="19">
        <f t="shared" si="0"/>
        <v>69.053400000000011</v>
      </c>
      <c r="I135" s="20">
        <f t="shared" si="1"/>
        <v>3797.9370000000008</v>
      </c>
      <c r="J135" s="21">
        <f t="shared" si="3"/>
        <v>68.100000000000136</v>
      </c>
      <c r="K135" s="22">
        <f t="shared" si="2"/>
        <v>-0.95339999999987413</v>
      </c>
    </row>
    <row r="136" spans="1:11" ht="12.75" x14ac:dyDescent="0.2">
      <c r="A136" s="13">
        <v>45695</v>
      </c>
      <c r="B136" s="14" t="s">
        <v>7</v>
      </c>
      <c r="C136" s="68">
        <v>0.93759999999999999</v>
      </c>
      <c r="D136" s="16"/>
      <c r="E136" s="17"/>
      <c r="F136" s="17" t="s">
        <v>165</v>
      </c>
      <c r="G136" s="18">
        <v>1362</v>
      </c>
      <c r="H136" s="19">
        <f t="shared" si="0"/>
        <v>84.988800000000083</v>
      </c>
      <c r="I136" s="20">
        <f t="shared" si="1"/>
        <v>4674.3840000000046</v>
      </c>
      <c r="J136" s="21">
        <f t="shared" si="3"/>
        <v>68.100000000000136</v>
      </c>
      <c r="K136" s="22">
        <f t="shared" si="2"/>
        <v>-16.888799999999947</v>
      </c>
    </row>
    <row r="137" spans="1:11" ht="12.75" x14ac:dyDescent="0.2">
      <c r="A137" s="30">
        <v>45698</v>
      </c>
      <c r="B137" s="31" t="s">
        <v>3</v>
      </c>
      <c r="C137" s="32"/>
      <c r="D137" s="33"/>
      <c r="E137" s="34"/>
      <c r="F137" s="34"/>
      <c r="G137" s="35"/>
      <c r="H137" s="19">
        <f t="shared" si="0"/>
        <v>0</v>
      </c>
      <c r="I137" s="20">
        <f t="shared" si="1"/>
        <v>0</v>
      </c>
      <c r="J137" s="21">
        <f t="shared" si="3"/>
        <v>0</v>
      </c>
      <c r="K137" s="22">
        <f t="shared" si="2"/>
        <v>0</v>
      </c>
    </row>
    <row r="138" spans="1:11" ht="12.75" x14ac:dyDescent="0.2">
      <c r="A138" s="30">
        <v>45699</v>
      </c>
      <c r="B138" s="31" t="s">
        <v>4</v>
      </c>
      <c r="C138" s="32"/>
      <c r="D138" s="33"/>
      <c r="E138" s="34"/>
      <c r="F138" s="34"/>
      <c r="G138" s="35"/>
      <c r="H138" s="19">
        <f t="shared" si="0"/>
        <v>0</v>
      </c>
      <c r="I138" s="20">
        <f t="shared" si="1"/>
        <v>0</v>
      </c>
      <c r="J138" s="21">
        <f t="shared" si="3"/>
        <v>0</v>
      </c>
      <c r="K138" s="22">
        <f t="shared" si="2"/>
        <v>0</v>
      </c>
    </row>
    <row r="139" spans="1:11" ht="12.75" x14ac:dyDescent="0.2">
      <c r="A139" s="13">
        <v>45700</v>
      </c>
      <c r="B139" s="14" t="s">
        <v>5</v>
      </c>
      <c r="C139" s="68">
        <v>0.94199999999999995</v>
      </c>
      <c r="D139" s="16"/>
      <c r="E139" s="17"/>
      <c r="F139" s="17" t="s">
        <v>166</v>
      </c>
      <c r="G139" s="18">
        <v>1363</v>
      </c>
      <c r="H139" s="19">
        <f t="shared" si="0"/>
        <v>79.054000000000087</v>
      </c>
      <c r="I139" s="20">
        <f t="shared" si="1"/>
        <v>4347.9700000000048</v>
      </c>
      <c r="J139" s="21">
        <f t="shared" si="3"/>
        <v>68.150000000000091</v>
      </c>
      <c r="K139" s="22">
        <f t="shared" si="2"/>
        <v>-10.903999999999996</v>
      </c>
    </row>
    <row r="140" spans="1:11" ht="12.75" x14ac:dyDescent="0.2">
      <c r="A140" s="13">
        <v>45701</v>
      </c>
      <c r="B140" s="14" t="s">
        <v>6</v>
      </c>
      <c r="C140" s="68">
        <v>0.93689999999999996</v>
      </c>
      <c r="D140" s="16"/>
      <c r="E140" s="17"/>
      <c r="F140" s="17" t="s">
        <v>167</v>
      </c>
      <c r="G140" s="18">
        <v>1363</v>
      </c>
      <c r="H140" s="19">
        <f t="shared" si="0"/>
        <v>86.005300000000034</v>
      </c>
      <c r="I140" s="20">
        <f t="shared" si="1"/>
        <v>4730.2915000000021</v>
      </c>
      <c r="J140" s="21">
        <f t="shared" si="3"/>
        <v>68.150000000000091</v>
      </c>
      <c r="K140" s="22">
        <f t="shared" si="2"/>
        <v>-17.855299999999943</v>
      </c>
    </row>
    <row r="141" spans="1:11" ht="12.75" x14ac:dyDescent="0.2">
      <c r="A141" s="13">
        <v>45702</v>
      </c>
      <c r="B141" s="14" t="s">
        <v>7</v>
      </c>
      <c r="C141" s="68">
        <v>0.9294</v>
      </c>
      <c r="D141" s="16"/>
      <c r="E141" s="17"/>
      <c r="F141" s="17" t="s">
        <v>168</v>
      </c>
      <c r="G141" s="18">
        <v>1359</v>
      </c>
      <c r="H141" s="19">
        <f t="shared" si="0"/>
        <v>95.945400000000063</v>
      </c>
      <c r="I141" s="20">
        <f t="shared" si="1"/>
        <v>5276.997000000003</v>
      </c>
      <c r="J141" s="21">
        <f t="shared" si="3"/>
        <v>67.950000000000045</v>
      </c>
      <c r="K141" s="22">
        <f t="shared" si="2"/>
        <v>-27.995400000000018</v>
      </c>
    </row>
    <row r="142" spans="1:11" ht="12.75" x14ac:dyDescent="0.2">
      <c r="A142" s="38">
        <v>45705</v>
      </c>
      <c r="B142" s="39" t="s">
        <v>3</v>
      </c>
      <c r="C142" s="40"/>
      <c r="D142" s="41"/>
      <c r="E142" s="42"/>
      <c r="F142" s="42"/>
      <c r="G142" s="43"/>
      <c r="H142" s="19">
        <f t="shared" si="0"/>
        <v>0</v>
      </c>
      <c r="I142" s="20">
        <f t="shared" si="1"/>
        <v>0</v>
      </c>
      <c r="J142" s="21">
        <f t="shared" si="3"/>
        <v>0</v>
      </c>
      <c r="K142" s="22">
        <f t="shared" si="2"/>
        <v>0</v>
      </c>
    </row>
    <row r="143" spans="1:11" ht="12.75" x14ac:dyDescent="0.2">
      <c r="A143" s="13">
        <v>45706</v>
      </c>
      <c r="B143" s="14" t="s">
        <v>4</v>
      </c>
      <c r="C143" s="15">
        <v>0.96240000000000003</v>
      </c>
      <c r="D143" s="16"/>
      <c r="E143" s="17"/>
      <c r="F143" s="17" t="s">
        <v>169</v>
      </c>
      <c r="G143" s="18">
        <v>1356</v>
      </c>
      <c r="H143" s="19">
        <f t="shared" si="0"/>
        <v>50.985599999999977</v>
      </c>
      <c r="I143" s="20">
        <f t="shared" si="1"/>
        <v>2804.2079999999987</v>
      </c>
      <c r="J143" s="21">
        <f t="shared" si="3"/>
        <v>67.799999999999955</v>
      </c>
      <c r="K143" s="22">
        <f t="shared" si="2"/>
        <v>16.814399999999978</v>
      </c>
    </row>
    <row r="144" spans="1:11" ht="25.5" x14ac:dyDescent="0.2">
      <c r="A144" s="13">
        <v>45707</v>
      </c>
      <c r="B144" s="14" t="s">
        <v>5</v>
      </c>
      <c r="C144" s="15">
        <v>0.96530000000000005</v>
      </c>
      <c r="D144" s="16"/>
      <c r="E144" s="17"/>
      <c r="F144" s="17" t="s">
        <v>170</v>
      </c>
      <c r="G144" s="18">
        <v>1353</v>
      </c>
      <c r="H144" s="19">
        <f t="shared" si="0"/>
        <v>46.949100000000044</v>
      </c>
      <c r="I144" s="20">
        <f t="shared" si="1"/>
        <v>2582.2005000000026</v>
      </c>
      <c r="J144" s="21">
        <f t="shared" si="3"/>
        <v>67.650000000000091</v>
      </c>
      <c r="K144" s="22">
        <f t="shared" si="2"/>
        <v>20.700900000000047</v>
      </c>
    </row>
    <row r="145" spans="1:11" ht="12.75" x14ac:dyDescent="0.2">
      <c r="A145" s="13">
        <v>45708</v>
      </c>
      <c r="B145" s="14" t="s">
        <v>6</v>
      </c>
      <c r="C145" s="15">
        <v>0.92010000000000003</v>
      </c>
      <c r="D145" s="16"/>
      <c r="E145" s="17"/>
      <c r="F145" s="17" t="s">
        <v>171</v>
      </c>
      <c r="G145" s="18">
        <v>1352</v>
      </c>
      <c r="H145" s="19">
        <f t="shared" si="0"/>
        <v>108.02479999999991</v>
      </c>
      <c r="I145" s="20">
        <f t="shared" si="1"/>
        <v>5941.363999999995</v>
      </c>
      <c r="J145" s="21">
        <f t="shared" si="3"/>
        <v>67.600000000000136</v>
      </c>
      <c r="K145" s="22">
        <f t="shared" si="2"/>
        <v>-40.424799999999777</v>
      </c>
    </row>
    <row r="146" spans="1:11" ht="12.75" x14ac:dyDescent="0.2">
      <c r="A146" s="61">
        <v>45709</v>
      </c>
      <c r="B146" s="62" t="s">
        <v>7</v>
      </c>
      <c r="C146" s="63">
        <v>0.94079999999999997</v>
      </c>
      <c r="D146" s="64" t="s">
        <v>172</v>
      </c>
      <c r="E146" s="65"/>
      <c r="F146" s="65" t="s">
        <v>173</v>
      </c>
      <c r="G146" s="66">
        <v>1352</v>
      </c>
      <c r="H146" s="19">
        <f t="shared" si="0"/>
        <v>80.038400000000138</v>
      </c>
      <c r="I146" s="20">
        <f t="shared" si="1"/>
        <v>4402.1120000000074</v>
      </c>
      <c r="J146" s="21">
        <f t="shared" si="3"/>
        <v>67.600000000000136</v>
      </c>
      <c r="K146" s="22">
        <f t="shared" si="2"/>
        <v>-12.438400000000001</v>
      </c>
    </row>
    <row r="147" spans="1:11" ht="12.75" x14ac:dyDescent="0.2">
      <c r="A147" s="13">
        <v>45712</v>
      </c>
      <c r="B147" s="14" t="s">
        <v>3</v>
      </c>
      <c r="C147" s="15">
        <v>0.9526</v>
      </c>
      <c r="D147" s="16"/>
      <c r="E147" s="17"/>
      <c r="F147" s="17" t="s">
        <v>174</v>
      </c>
      <c r="G147" s="18">
        <v>1350</v>
      </c>
      <c r="H147" s="19">
        <f t="shared" si="0"/>
        <v>63.990000000000009</v>
      </c>
      <c r="I147" s="20">
        <f t="shared" si="1"/>
        <v>3519.4500000000007</v>
      </c>
      <c r="J147" s="21">
        <f t="shared" si="3"/>
        <v>67.5</v>
      </c>
      <c r="K147" s="22">
        <f t="shared" si="2"/>
        <v>3.5099999999999909</v>
      </c>
    </row>
    <row r="148" spans="1:11" ht="12.75" x14ac:dyDescent="0.2">
      <c r="A148" s="13">
        <v>45713</v>
      </c>
      <c r="B148" s="14" t="s">
        <v>4</v>
      </c>
      <c r="C148" s="15">
        <v>0.95850000000000002</v>
      </c>
      <c r="D148" s="16"/>
      <c r="E148" s="17"/>
      <c r="F148" s="17" t="s">
        <v>175</v>
      </c>
      <c r="G148" s="18">
        <v>1350</v>
      </c>
      <c r="H148" s="19">
        <f t="shared" si="0"/>
        <v>56.024999999999864</v>
      </c>
      <c r="I148" s="20">
        <f t="shared" si="1"/>
        <v>3081.3749999999927</v>
      </c>
      <c r="J148" s="21">
        <f t="shared" si="3"/>
        <v>67.5</v>
      </c>
      <c r="K148" s="22">
        <f t="shared" si="2"/>
        <v>11.475000000000136</v>
      </c>
    </row>
    <row r="149" spans="1:11" ht="12.75" x14ac:dyDescent="0.2">
      <c r="A149" s="13">
        <v>45714</v>
      </c>
      <c r="B149" s="14" t="s">
        <v>5</v>
      </c>
      <c r="C149" s="15">
        <v>0.94599999999999995</v>
      </c>
      <c r="D149" s="16"/>
      <c r="E149" s="17"/>
      <c r="F149" s="17" t="s">
        <v>176</v>
      </c>
      <c r="G149" s="18">
        <v>1358</v>
      </c>
      <c r="H149" s="19">
        <f t="shared" si="0"/>
        <v>73.332000000000107</v>
      </c>
      <c r="I149" s="20">
        <f t="shared" si="1"/>
        <v>4033.2600000000057</v>
      </c>
      <c r="J149" s="21">
        <f t="shared" si="3"/>
        <v>67.900000000000091</v>
      </c>
      <c r="K149" s="22">
        <f t="shared" si="2"/>
        <v>-5.4320000000000164</v>
      </c>
    </row>
    <row r="150" spans="1:11" ht="25.5" x14ac:dyDescent="0.2">
      <c r="A150" s="13">
        <v>45715</v>
      </c>
      <c r="B150" s="14" t="s">
        <v>6</v>
      </c>
      <c r="C150" s="15">
        <v>0.94850000000000001</v>
      </c>
      <c r="D150" s="16"/>
      <c r="E150" s="17"/>
      <c r="F150" s="17" t="s">
        <v>177</v>
      </c>
      <c r="G150" s="18">
        <v>1358</v>
      </c>
      <c r="H150" s="19">
        <f t="shared" si="0"/>
        <v>69.936999999999898</v>
      </c>
      <c r="I150" s="20">
        <f t="shared" si="1"/>
        <v>3846.5349999999944</v>
      </c>
      <c r="J150" s="21">
        <f t="shared" si="3"/>
        <v>67.900000000000091</v>
      </c>
      <c r="K150" s="22">
        <f t="shared" si="2"/>
        <v>-2.0369999999998072</v>
      </c>
    </row>
    <row r="151" spans="1:11" ht="12.75" x14ac:dyDescent="0.2">
      <c r="A151" s="13">
        <v>45716</v>
      </c>
      <c r="B151" s="14" t="s">
        <v>7</v>
      </c>
      <c r="C151" s="15">
        <v>0.9415</v>
      </c>
      <c r="D151" s="16"/>
      <c r="E151" s="17"/>
      <c r="F151" s="17" t="s">
        <v>178</v>
      </c>
      <c r="G151" s="18">
        <v>1358</v>
      </c>
      <c r="H151" s="19">
        <f t="shared" si="0"/>
        <v>79.442999999999984</v>
      </c>
      <c r="I151" s="20">
        <f t="shared" si="1"/>
        <v>4369.3649999999989</v>
      </c>
      <c r="J151" s="21">
        <f t="shared" si="3"/>
        <v>67.900000000000091</v>
      </c>
      <c r="K151" s="22">
        <f t="shared" si="2"/>
        <v>-11.542999999999893</v>
      </c>
    </row>
    <row r="152" spans="1:11" ht="12.75" x14ac:dyDescent="0.2">
      <c r="A152" s="13">
        <v>45719</v>
      </c>
      <c r="B152" s="14" t="s">
        <v>3</v>
      </c>
      <c r="C152" s="15">
        <v>0.94230000000000003</v>
      </c>
      <c r="D152" s="16"/>
      <c r="E152" s="17"/>
      <c r="F152" s="17" t="s">
        <v>179</v>
      </c>
      <c r="G152" s="18">
        <v>1358</v>
      </c>
      <c r="H152" s="19">
        <f t="shared" si="0"/>
        <v>78.356600000000071</v>
      </c>
      <c r="I152" s="20">
        <f t="shared" si="1"/>
        <v>4309.6130000000039</v>
      </c>
      <c r="J152" s="21">
        <f t="shared" si="3"/>
        <v>67.900000000000091</v>
      </c>
      <c r="K152" s="22">
        <f t="shared" si="2"/>
        <v>-10.45659999999998</v>
      </c>
    </row>
    <row r="153" spans="1:11" ht="25.5" x14ac:dyDescent="0.2">
      <c r="A153" s="13">
        <v>45720</v>
      </c>
      <c r="B153" s="14" t="s">
        <v>4</v>
      </c>
      <c r="C153" s="15">
        <v>0.89390000000000003</v>
      </c>
      <c r="D153" s="16"/>
      <c r="E153" s="17" t="s">
        <v>43</v>
      </c>
      <c r="F153" s="17" t="s">
        <v>180</v>
      </c>
      <c r="G153" s="18">
        <v>1348</v>
      </c>
      <c r="H153" s="19">
        <f t="shared" si="0"/>
        <v>143.02279999999996</v>
      </c>
      <c r="I153" s="20">
        <f t="shared" si="1"/>
        <v>7866.2539999999981</v>
      </c>
      <c r="J153" s="21">
        <f t="shared" si="3"/>
        <v>67.400000000000091</v>
      </c>
      <c r="K153" s="22">
        <f t="shared" si="2"/>
        <v>-75.62279999999987</v>
      </c>
    </row>
    <row r="154" spans="1:11" ht="12.75" x14ac:dyDescent="0.2">
      <c r="A154" s="13">
        <v>45721</v>
      </c>
      <c r="B154" s="14" t="s">
        <v>5</v>
      </c>
      <c r="C154" s="15">
        <v>0.94850000000000001</v>
      </c>
      <c r="D154" s="16"/>
      <c r="E154" s="17"/>
      <c r="F154" s="17" t="s">
        <v>181</v>
      </c>
      <c r="G154" s="18">
        <v>1346</v>
      </c>
      <c r="H154" s="19">
        <f t="shared" si="0"/>
        <v>69.31899999999996</v>
      </c>
      <c r="I154" s="20">
        <f t="shared" si="1"/>
        <v>3812.5449999999978</v>
      </c>
      <c r="J154" s="21">
        <f t="shared" si="3"/>
        <v>67.299999999999955</v>
      </c>
      <c r="K154" s="22">
        <f t="shared" si="2"/>
        <v>-2.0190000000000055</v>
      </c>
    </row>
    <row r="155" spans="1:11" ht="12.75" x14ac:dyDescent="0.2">
      <c r="A155" s="13">
        <v>45722</v>
      </c>
      <c r="B155" s="14" t="s">
        <v>6</v>
      </c>
      <c r="C155" s="15">
        <v>0.94710000000000005</v>
      </c>
      <c r="D155" s="16"/>
      <c r="E155" s="17"/>
      <c r="F155" s="17" t="s">
        <v>182</v>
      </c>
      <c r="G155" s="18">
        <v>1346</v>
      </c>
      <c r="H155" s="19">
        <f t="shared" si="0"/>
        <v>71.203399999999874</v>
      </c>
      <c r="I155" s="20">
        <f t="shared" si="1"/>
        <v>3916.1869999999931</v>
      </c>
      <c r="J155" s="21">
        <f t="shared" si="3"/>
        <v>67.299999999999955</v>
      </c>
      <c r="K155" s="22">
        <f t="shared" si="2"/>
        <v>-3.9033999999999196</v>
      </c>
    </row>
    <row r="156" spans="1:11" ht="12.75" x14ac:dyDescent="0.2">
      <c r="A156" s="13">
        <v>45723</v>
      </c>
      <c r="B156" s="14" t="s">
        <v>7</v>
      </c>
      <c r="C156" s="15">
        <v>0.94579999999999997</v>
      </c>
      <c r="D156" s="16"/>
      <c r="E156" s="17"/>
      <c r="F156" s="17" t="s">
        <v>183</v>
      </c>
      <c r="G156" s="18">
        <v>1347</v>
      </c>
      <c r="H156" s="19">
        <f t="shared" si="0"/>
        <v>73.007399999999961</v>
      </c>
      <c r="I156" s="20">
        <f t="shared" si="1"/>
        <v>4015.4069999999979</v>
      </c>
      <c r="J156" s="21">
        <f t="shared" si="3"/>
        <v>67.350000000000136</v>
      </c>
      <c r="K156" s="22">
        <f t="shared" si="2"/>
        <v>-5.657399999999825</v>
      </c>
    </row>
    <row r="157" spans="1:11" ht="12.75" x14ac:dyDescent="0.2">
      <c r="A157" s="44">
        <v>45726</v>
      </c>
      <c r="B157" s="45" t="s">
        <v>3</v>
      </c>
      <c r="C157" s="15">
        <v>0.94599999999999995</v>
      </c>
      <c r="D157" s="16"/>
      <c r="E157" s="17"/>
      <c r="F157" s="17" t="s">
        <v>184</v>
      </c>
      <c r="G157" s="18">
        <v>1358</v>
      </c>
      <c r="H157" s="19">
        <f t="shared" si="0"/>
        <v>73.332000000000107</v>
      </c>
      <c r="I157" s="20">
        <f t="shared" si="1"/>
        <v>4033.2600000000057</v>
      </c>
      <c r="J157" s="21">
        <f t="shared" si="3"/>
        <v>67.900000000000091</v>
      </c>
      <c r="K157" s="22">
        <f t="shared" si="2"/>
        <v>-5.4320000000000164</v>
      </c>
    </row>
    <row r="158" spans="1:11" ht="12.75" x14ac:dyDescent="0.2">
      <c r="A158" s="44">
        <v>45727</v>
      </c>
      <c r="B158" s="45" t="s">
        <v>4</v>
      </c>
      <c r="C158" s="15">
        <v>0.9476</v>
      </c>
      <c r="D158" s="16"/>
      <c r="E158" s="17" t="s">
        <v>59</v>
      </c>
      <c r="F158" s="17" t="s">
        <v>185</v>
      </c>
      <c r="G158" s="18">
        <v>1346</v>
      </c>
      <c r="H158" s="19">
        <f t="shared" si="0"/>
        <v>70.5304000000001</v>
      </c>
      <c r="I158" s="20">
        <f t="shared" si="1"/>
        <v>3879.1720000000055</v>
      </c>
      <c r="J158" s="21">
        <f t="shared" si="3"/>
        <v>67.299999999999955</v>
      </c>
      <c r="K158" s="22">
        <f t="shared" si="2"/>
        <v>-3.2304000000001452</v>
      </c>
    </row>
    <row r="159" spans="1:11" ht="12.75" x14ac:dyDescent="0.2">
      <c r="A159" s="44">
        <v>45728</v>
      </c>
      <c r="B159" s="45" t="s">
        <v>5</v>
      </c>
      <c r="C159" s="15"/>
      <c r="D159" s="16"/>
      <c r="E159" s="17"/>
      <c r="F159" s="17"/>
      <c r="H159" s="19">
        <f t="shared" si="0"/>
        <v>0</v>
      </c>
      <c r="I159" s="20">
        <f t="shared" si="1"/>
        <v>0</v>
      </c>
      <c r="J159" s="21">
        <f t="shared" si="3"/>
        <v>0</v>
      </c>
      <c r="K159" s="22">
        <f t="shared" si="2"/>
        <v>0</v>
      </c>
    </row>
    <row r="160" spans="1:11" ht="12.75" x14ac:dyDescent="0.2">
      <c r="A160" s="44">
        <v>45729</v>
      </c>
      <c r="B160" s="45" t="s">
        <v>6</v>
      </c>
      <c r="C160" s="15"/>
      <c r="D160" s="16"/>
      <c r="E160" s="17"/>
      <c r="F160" s="17"/>
      <c r="H160" s="19">
        <f t="shared" si="0"/>
        <v>0</v>
      </c>
      <c r="I160" s="20">
        <f t="shared" si="1"/>
        <v>0</v>
      </c>
      <c r="J160" s="21">
        <f t="shared" si="3"/>
        <v>0</v>
      </c>
      <c r="K160" s="22">
        <f t="shared" si="2"/>
        <v>0</v>
      </c>
    </row>
    <row r="161" spans="1:11" ht="12.75" x14ac:dyDescent="0.2">
      <c r="A161" s="44">
        <v>45730</v>
      </c>
      <c r="B161" s="45" t="s">
        <v>7</v>
      </c>
      <c r="C161" s="15"/>
      <c r="D161" s="16"/>
      <c r="E161" s="17"/>
      <c r="F161" s="17" t="s">
        <v>186</v>
      </c>
      <c r="H161" s="19">
        <f t="shared" si="0"/>
        <v>0</v>
      </c>
      <c r="I161" s="20">
        <f t="shared" si="1"/>
        <v>0</v>
      </c>
      <c r="J161" s="21">
        <f t="shared" si="3"/>
        <v>0</v>
      </c>
      <c r="K161" s="22">
        <f t="shared" si="2"/>
        <v>0</v>
      </c>
    </row>
    <row r="162" spans="1:11" ht="12.75" x14ac:dyDescent="0.2">
      <c r="A162" s="24">
        <v>45733</v>
      </c>
      <c r="B162" s="25" t="s">
        <v>3</v>
      </c>
      <c r="C162" s="26"/>
      <c r="D162" s="27"/>
      <c r="E162" s="28"/>
      <c r="F162" s="28"/>
      <c r="G162" s="29"/>
      <c r="H162" s="19">
        <f t="shared" si="0"/>
        <v>0</v>
      </c>
      <c r="I162" s="20">
        <f t="shared" si="1"/>
        <v>0</v>
      </c>
      <c r="J162" s="21">
        <f t="shared" si="3"/>
        <v>0</v>
      </c>
      <c r="K162" s="22">
        <f t="shared" si="2"/>
        <v>0</v>
      </c>
    </row>
    <row r="163" spans="1:11" ht="12.75" x14ac:dyDescent="0.2">
      <c r="A163" s="24">
        <v>45734</v>
      </c>
      <c r="B163" s="25" t="s">
        <v>4</v>
      </c>
      <c r="C163" s="26"/>
      <c r="D163" s="27"/>
      <c r="E163" s="28"/>
      <c r="F163" s="28"/>
      <c r="G163" s="29"/>
      <c r="H163" s="19">
        <f t="shared" si="0"/>
        <v>0</v>
      </c>
      <c r="I163" s="20">
        <f t="shared" si="1"/>
        <v>0</v>
      </c>
      <c r="J163" s="21">
        <f t="shared" si="3"/>
        <v>0</v>
      </c>
      <c r="K163" s="22">
        <f t="shared" si="2"/>
        <v>0</v>
      </c>
    </row>
    <row r="164" spans="1:11" ht="12.75" x14ac:dyDescent="0.2">
      <c r="A164" s="24">
        <v>45735</v>
      </c>
      <c r="B164" s="25" t="s">
        <v>5</v>
      </c>
      <c r="C164" s="26"/>
      <c r="D164" s="27"/>
      <c r="E164" s="28"/>
      <c r="F164" s="28"/>
      <c r="G164" s="29"/>
      <c r="H164" s="19">
        <f t="shared" si="0"/>
        <v>0</v>
      </c>
      <c r="I164" s="20">
        <f t="shared" si="1"/>
        <v>0</v>
      </c>
      <c r="J164" s="21">
        <f t="shared" si="3"/>
        <v>0</v>
      </c>
      <c r="K164" s="22">
        <f t="shared" si="2"/>
        <v>0</v>
      </c>
    </row>
    <row r="165" spans="1:11" ht="12.75" x14ac:dyDescent="0.2">
      <c r="A165" s="24">
        <v>45736</v>
      </c>
      <c r="B165" s="25" t="s">
        <v>6</v>
      </c>
      <c r="C165" s="26"/>
      <c r="D165" s="27"/>
      <c r="E165" s="28"/>
      <c r="F165" s="28"/>
      <c r="G165" s="29"/>
      <c r="H165" s="19">
        <f t="shared" si="0"/>
        <v>0</v>
      </c>
      <c r="I165" s="20">
        <f t="shared" si="1"/>
        <v>0</v>
      </c>
      <c r="J165" s="21">
        <f t="shared" si="3"/>
        <v>0</v>
      </c>
      <c r="K165" s="22">
        <f t="shared" si="2"/>
        <v>0</v>
      </c>
    </row>
    <row r="166" spans="1:11" ht="12.75" x14ac:dyDescent="0.2">
      <c r="A166" s="24">
        <v>45737</v>
      </c>
      <c r="B166" s="25" t="s">
        <v>7</v>
      </c>
      <c r="C166" s="26"/>
      <c r="D166" s="27"/>
      <c r="E166" s="28"/>
      <c r="F166" s="28"/>
      <c r="G166" s="29"/>
      <c r="H166" s="19">
        <f t="shared" si="0"/>
        <v>0</v>
      </c>
      <c r="I166" s="20">
        <f t="shared" si="1"/>
        <v>0</v>
      </c>
      <c r="J166" s="21">
        <f t="shared" si="3"/>
        <v>0</v>
      </c>
      <c r="K166" s="22">
        <f t="shared" si="2"/>
        <v>0</v>
      </c>
    </row>
    <row r="167" spans="1:11" ht="12.75" x14ac:dyDescent="0.2">
      <c r="A167" s="13">
        <v>45740</v>
      </c>
      <c r="B167" s="14" t="s">
        <v>3</v>
      </c>
      <c r="C167" s="15"/>
      <c r="D167" s="16"/>
      <c r="E167" s="17"/>
      <c r="F167" s="17"/>
      <c r="H167" s="19">
        <f t="shared" si="0"/>
        <v>0</v>
      </c>
      <c r="I167" s="20">
        <f t="shared" si="1"/>
        <v>0</v>
      </c>
      <c r="J167" s="21">
        <f t="shared" si="3"/>
        <v>0</v>
      </c>
      <c r="K167" s="22">
        <f t="shared" si="2"/>
        <v>0</v>
      </c>
    </row>
    <row r="168" spans="1:11" ht="12.75" x14ac:dyDescent="0.2">
      <c r="A168" s="13">
        <v>45741</v>
      </c>
      <c r="B168" s="14" t="s">
        <v>4</v>
      </c>
      <c r="C168" s="15"/>
      <c r="D168" s="16"/>
      <c r="E168" s="17"/>
      <c r="F168" s="17"/>
      <c r="H168" s="19">
        <f t="shared" si="0"/>
        <v>0</v>
      </c>
      <c r="I168" s="20">
        <f t="shared" si="1"/>
        <v>0</v>
      </c>
      <c r="J168" s="21">
        <f t="shared" si="3"/>
        <v>0</v>
      </c>
      <c r="K168" s="22">
        <f t="shared" si="2"/>
        <v>0</v>
      </c>
    </row>
    <row r="169" spans="1:11" ht="12.75" x14ac:dyDescent="0.2">
      <c r="A169" s="13">
        <v>45742</v>
      </c>
      <c r="B169" s="14" t="s">
        <v>5</v>
      </c>
      <c r="C169" s="15"/>
      <c r="D169" s="16"/>
      <c r="E169" s="17"/>
      <c r="F169" s="17"/>
      <c r="H169" s="19">
        <f t="shared" si="0"/>
        <v>0</v>
      </c>
      <c r="I169" s="20">
        <f t="shared" si="1"/>
        <v>0</v>
      </c>
      <c r="J169" s="21">
        <f t="shared" si="3"/>
        <v>0</v>
      </c>
      <c r="K169" s="22">
        <f t="shared" si="2"/>
        <v>0</v>
      </c>
    </row>
    <row r="170" spans="1:11" ht="12.75" x14ac:dyDescent="0.2">
      <c r="A170" s="13">
        <v>45743</v>
      </c>
      <c r="B170" s="14" t="s">
        <v>6</v>
      </c>
      <c r="C170" s="15"/>
      <c r="D170" s="16"/>
      <c r="E170" s="17"/>
      <c r="F170" s="17"/>
      <c r="H170" s="19">
        <f t="shared" si="0"/>
        <v>0</v>
      </c>
      <c r="I170" s="20">
        <f t="shared" si="1"/>
        <v>0</v>
      </c>
      <c r="J170" s="21">
        <f t="shared" si="3"/>
        <v>0</v>
      </c>
      <c r="K170" s="22">
        <f t="shared" si="2"/>
        <v>0</v>
      </c>
    </row>
    <row r="171" spans="1:11" ht="12.75" x14ac:dyDescent="0.2">
      <c r="A171" s="13">
        <v>45744</v>
      </c>
      <c r="B171" s="14" t="s">
        <v>7</v>
      </c>
      <c r="C171" s="15"/>
      <c r="D171" s="16"/>
      <c r="E171" s="17"/>
      <c r="F171" s="17" t="s">
        <v>187</v>
      </c>
      <c r="H171" s="19">
        <f t="shared" si="0"/>
        <v>0</v>
      </c>
      <c r="I171" s="20">
        <f t="shared" si="1"/>
        <v>0</v>
      </c>
      <c r="J171" s="21">
        <f t="shared" si="3"/>
        <v>0</v>
      </c>
      <c r="K171" s="22">
        <f t="shared" si="2"/>
        <v>0</v>
      </c>
    </row>
    <row r="172" spans="1:11" ht="12.75" x14ac:dyDescent="0.2">
      <c r="A172" s="13">
        <v>45747</v>
      </c>
      <c r="B172" s="14" t="s">
        <v>3</v>
      </c>
      <c r="C172" s="15"/>
      <c r="D172" s="16"/>
      <c r="E172" s="17"/>
      <c r="F172" s="17"/>
      <c r="H172" s="19">
        <f t="shared" si="0"/>
        <v>0</v>
      </c>
      <c r="I172" s="20">
        <f t="shared" si="1"/>
        <v>0</v>
      </c>
      <c r="J172" s="21">
        <f t="shared" si="3"/>
        <v>0</v>
      </c>
      <c r="K172" s="22">
        <f t="shared" si="2"/>
        <v>0</v>
      </c>
    </row>
    <row r="173" spans="1:11" ht="12.75" x14ac:dyDescent="0.2">
      <c r="A173" s="13">
        <v>45748</v>
      </c>
      <c r="B173" s="14" t="s">
        <v>4</v>
      </c>
      <c r="C173" s="15"/>
      <c r="D173" s="16"/>
      <c r="E173" s="17"/>
      <c r="F173" s="17"/>
      <c r="H173" s="19">
        <f t="shared" si="0"/>
        <v>0</v>
      </c>
      <c r="I173" s="20">
        <f t="shared" si="1"/>
        <v>0</v>
      </c>
      <c r="J173" s="21">
        <f t="shared" si="3"/>
        <v>0</v>
      </c>
      <c r="K173" s="22">
        <f t="shared" si="2"/>
        <v>0</v>
      </c>
    </row>
    <row r="174" spans="1:11" ht="12.75" x14ac:dyDescent="0.2">
      <c r="A174" s="13">
        <v>45749</v>
      </c>
      <c r="B174" s="14" t="s">
        <v>5</v>
      </c>
      <c r="C174" s="15"/>
      <c r="D174" s="16"/>
      <c r="E174" s="17"/>
      <c r="F174" s="17"/>
      <c r="H174" s="19">
        <f t="shared" si="0"/>
        <v>0</v>
      </c>
      <c r="I174" s="20">
        <f t="shared" si="1"/>
        <v>0</v>
      </c>
      <c r="J174" s="21">
        <f t="shared" si="3"/>
        <v>0</v>
      </c>
      <c r="K174" s="22">
        <f t="shared" si="2"/>
        <v>0</v>
      </c>
    </row>
    <row r="175" spans="1:11" ht="12.75" x14ac:dyDescent="0.2">
      <c r="A175" s="13">
        <v>45750</v>
      </c>
      <c r="B175" s="14" t="s">
        <v>6</v>
      </c>
      <c r="C175" s="15"/>
      <c r="D175" s="16"/>
      <c r="E175" s="17"/>
      <c r="F175" s="17"/>
      <c r="H175" s="19">
        <f t="shared" si="0"/>
        <v>0</v>
      </c>
      <c r="I175" s="20">
        <f t="shared" si="1"/>
        <v>0</v>
      </c>
      <c r="J175" s="21">
        <f t="shared" si="3"/>
        <v>0</v>
      </c>
      <c r="K175" s="22">
        <f t="shared" si="2"/>
        <v>0</v>
      </c>
    </row>
    <row r="176" spans="1:11" ht="12.75" x14ac:dyDescent="0.2">
      <c r="A176" s="13">
        <v>45751</v>
      </c>
      <c r="B176" s="14" t="s">
        <v>7</v>
      </c>
      <c r="C176" s="15"/>
      <c r="D176" s="16"/>
      <c r="E176" s="17"/>
      <c r="F176" s="17"/>
      <c r="H176" s="19">
        <f t="shared" si="0"/>
        <v>0</v>
      </c>
      <c r="I176" s="20">
        <f t="shared" si="1"/>
        <v>0</v>
      </c>
      <c r="J176" s="21">
        <f t="shared" si="3"/>
        <v>0</v>
      </c>
      <c r="K176" s="22">
        <f t="shared" si="2"/>
        <v>0</v>
      </c>
    </row>
    <row r="177" spans="1:11" ht="12.75" x14ac:dyDescent="0.2">
      <c r="A177" s="13">
        <v>45754</v>
      </c>
      <c r="B177" s="14" t="s">
        <v>3</v>
      </c>
      <c r="C177" s="15"/>
      <c r="D177" s="16"/>
      <c r="E177" s="17"/>
      <c r="F177" s="17"/>
      <c r="H177" s="19">
        <f t="shared" si="0"/>
        <v>0</v>
      </c>
      <c r="I177" s="20">
        <f t="shared" si="1"/>
        <v>0</v>
      </c>
      <c r="J177" s="21">
        <f t="shared" si="3"/>
        <v>0</v>
      </c>
      <c r="K177" s="22">
        <f t="shared" si="2"/>
        <v>0</v>
      </c>
    </row>
    <row r="178" spans="1:11" ht="12.75" x14ac:dyDescent="0.2">
      <c r="A178" s="13">
        <v>45755</v>
      </c>
      <c r="B178" s="14" t="s">
        <v>4</v>
      </c>
      <c r="C178" s="15"/>
      <c r="D178" s="16"/>
      <c r="E178" s="17"/>
      <c r="F178" s="17"/>
      <c r="H178" s="19">
        <f t="shared" si="0"/>
        <v>0</v>
      </c>
      <c r="I178" s="20">
        <f t="shared" si="1"/>
        <v>0</v>
      </c>
      <c r="J178" s="21">
        <f t="shared" si="3"/>
        <v>0</v>
      </c>
      <c r="K178" s="22">
        <f t="shared" si="2"/>
        <v>0</v>
      </c>
    </row>
    <row r="179" spans="1:11" ht="12.75" x14ac:dyDescent="0.2">
      <c r="A179" s="13">
        <v>45756</v>
      </c>
      <c r="B179" s="14" t="s">
        <v>5</v>
      </c>
      <c r="C179" s="15"/>
      <c r="D179" s="16"/>
      <c r="E179" s="17"/>
      <c r="F179" s="17" t="s">
        <v>188</v>
      </c>
      <c r="H179" s="19">
        <f t="shared" si="0"/>
        <v>0</v>
      </c>
      <c r="I179" s="20">
        <f t="shared" si="1"/>
        <v>0</v>
      </c>
      <c r="J179" s="21">
        <f t="shared" si="3"/>
        <v>0</v>
      </c>
      <c r="K179" s="22">
        <f t="shared" si="2"/>
        <v>0</v>
      </c>
    </row>
    <row r="180" spans="1:11" ht="12.75" x14ac:dyDescent="0.2">
      <c r="A180" s="13">
        <v>45757</v>
      </c>
      <c r="B180" s="14" t="s">
        <v>6</v>
      </c>
      <c r="C180" s="15"/>
      <c r="D180" s="16"/>
      <c r="E180" s="17"/>
      <c r="F180" s="17"/>
      <c r="H180" s="19">
        <f t="shared" si="0"/>
        <v>0</v>
      </c>
      <c r="I180" s="20">
        <f t="shared" si="1"/>
        <v>0</v>
      </c>
      <c r="J180" s="21">
        <f t="shared" si="3"/>
        <v>0</v>
      </c>
      <c r="K180" s="22">
        <f t="shared" si="2"/>
        <v>0</v>
      </c>
    </row>
    <row r="181" spans="1:11" ht="12.75" x14ac:dyDescent="0.2">
      <c r="A181" s="61">
        <v>45758</v>
      </c>
      <c r="B181" s="62" t="s">
        <v>7</v>
      </c>
      <c r="C181" s="63"/>
      <c r="D181" s="64" t="s">
        <v>189</v>
      </c>
      <c r="E181" s="65"/>
      <c r="F181" s="65"/>
      <c r="G181" s="66"/>
      <c r="H181" s="19">
        <f t="shared" si="0"/>
        <v>0</v>
      </c>
      <c r="I181" s="20">
        <f t="shared" si="1"/>
        <v>0</v>
      </c>
      <c r="J181" s="21">
        <f t="shared" si="3"/>
        <v>0</v>
      </c>
      <c r="K181" s="22">
        <f t="shared" si="2"/>
        <v>0</v>
      </c>
    </row>
    <row r="182" spans="1:11" ht="12.75" x14ac:dyDescent="0.2">
      <c r="A182" s="13">
        <v>45761</v>
      </c>
      <c r="B182" s="14" t="s">
        <v>3</v>
      </c>
      <c r="C182" s="15"/>
      <c r="D182" s="16"/>
      <c r="E182" s="17"/>
      <c r="F182" s="17"/>
      <c r="H182" s="19">
        <f t="shared" si="0"/>
        <v>0</v>
      </c>
      <c r="I182" s="20">
        <f t="shared" si="1"/>
        <v>0</v>
      </c>
      <c r="J182" s="21">
        <f t="shared" si="3"/>
        <v>0</v>
      </c>
      <c r="K182" s="22">
        <f t="shared" si="2"/>
        <v>0</v>
      </c>
    </row>
    <row r="183" spans="1:11" ht="12.75" x14ac:dyDescent="0.2">
      <c r="A183" s="13">
        <v>45762</v>
      </c>
      <c r="B183" s="14" t="s">
        <v>4</v>
      </c>
      <c r="C183" s="15"/>
      <c r="D183" s="16"/>
      <c r="E183" s="17"/>
      <c r="F183" s="17"/>
      <c r="H183" s="19">
        <f t="shared" si="0"/>
        <v>0</v>
      </c>
      <c r="I183" s="20">
        <f t="shared" si="1"/>
        <v>0</v>
      </c>
      <c r="J183" s="21">
        <f t="shared" si="3"/>
        <v>0</v>
      </c>
      <c r="K183" s="22">
        <f t="shared" si="2"/>
        <v>0</v>
      </c>
    </row>
    <row r="184" spans="1:11" ht="12.75" x14ac:dyDescent="0.2">
      <c r="A184" s="13">
        <v>45763</v>
      </c>
      <c r="B184" s="14" t="s">
        <v>5</v>
      </c>
      <c r="C184" s="15"/>
      <c r="D184" s="16"/>
      <c r="E184" s="17"/>
      <c r="F184" s="17"/>
      <c r="H184" s="19">
        <f t="shared" si="0"/>
        <v>0</v>
      </c>
      <c r="I184" s="20">
        <f t="shared" si="1"/>
        <v>0</v>
      </c>
      <c r="J184" s="21">
        <f t="shared" si="3"/>
        <v>0</v>
      </c>
      <c r="K184" s="22">
        <f t="shared" si="2"/>
        <v>0</v>
      </c>
    </row>
    <row r="185" spans="1:11" ht="12.75" x14ac:dyDescent="0.2">
      <c r="A185" s="13">
        <v>45764</v>
      </c>
      <c r="B185" s="14" t="s">
        <v>6</v>
      </c>
      <c r="C185" s="15"/>
      <c r="D185" s="16"/>
      <c r="E185" s="17"/>
      <c r="F185" s="17"/>
      <c r="H185" s="19">
        <f t="shared" si="0"/>
        <v>0</v>
      </c>
      <c r="I185" s="20">
        <f t="shared" si="1"/>
        <v>0</v>
      </c>
      <c r="J185" s="21">
        <f t="shared" si="3"/>
        <v>0</v>
      </c>
      <c r="K185" s="22">
        <f t="shared" si="2"/>
        <v>0</v>
      </c>
    </row>
    <row r="186" spans="1:11" ht="12.75" x14ac:dyDescent="0.2">
      <c r="A186" s="24">
        <v>45765</v>
      </c>
      <c r="B186" s="25" t="s">
        <v>7</v>
      </c>
      <c r="C186" s="26"/>
      <c r="D186" s="27"/>
      <c r="E186" s="28"/>
      <c r="F186" s="28"/>
      <c r="G186" s="29"/>
      <c r="H186" s="19">
        <f t="shared" si="0"/>
        <v>0</v>
      </c>
      <c r="I186" s="20">
        <f t="shared" si="1"/>
        <v>0</v>
      </c>
      <c r="J186" s="21">
        <f t="shared" si="3"/>
        <v>0</v>
      </c>
      <c r="K186" s="22">
        <f t="shared" si="2"/>
        <v>0</v>
      </c>
    </row>
    <row r="187" spans="1:11" ht="12.75" x14ac:dyDescent="0.2">
      <c r="A187" s="24">
        <v>45768</v>
      </c>
      <c r="B187" s="25" t="s">
        <v>3</v>
      </c>
      <c r="C187" s="26"/>
      <c r="D187" s="27"/>
      <c r="E187" s="28"/>
      <c r="F187" s="28"/>
      <c r="G187" s="29"/>
      <c r="H187" s="19">
        <f t="shared" si="0"/>
        <v>0</v>
      </c>
      <c r="I187" s="20">
        <f t="shared" si="1"/>
        <v>0</v>
      </c>
      <c r="J187" s="21">
        <f t="shared" si="3"/>
        <v>0</v>
      </c>
      <c r="K187" s="22">
        <f t="shared" si="2"/>
        <v>0</v>
      </c>
    </row>
    <row r="188" spans="1:11" ht="12.75" x14ac:dyDescent="0.2">
      <c r="A188" s="13">
        <v>45769</v>
      </c>
      <c r="B188" s="14" t="s">
        <v>4</v>
      </c>
      <c r="C188" s="15"/>
      <c r="D188" s="16"/>
      <c r="E188" s="17"/>
      <c r="F188" s="17"/>
      <c r="H188" s="19">
        <f t="shared" si="0"/>
        <v>0</v>
      </c>
      <c r="I188" s="20">
        <f t="shared" si="1"/>
        <v>0</v>
      </c>
      <c r="J188" s="21">
        <f t="shared" si="3"/>
        <v>0</v>
      </c>
      <c r="K188" s="22">
        <f t="shared" si="2"/>
        <v>0</v>
      </c>
    </row>
    <row r="189" spans="1:11" ht="12.75" x14ac:dyDescent="0.2">
      <c r="A189" s="13">
        <v>45770</v>
      </c>
      <c r="B189" s="14" t="s">
        <v>5</v>
      </c>
      <c r="C189" s="15"/>
      <c r="D189" s="16"/>
      <c r="E189" s="17"/>
      <c r="F189" s="17"/>
      <c r="H189" s="19">
        <f t="shared" si="0"/>
        <v>0</v>
      </c>
      <c r="I189" s="20">
        <f t="shared" si="1"/>
        <v>0</v>
      </c>
      <c r="J189" s="21">
        <f t="shared" si="3"/>
        <v>0</v>
      </c>
      <c r="K189" s="22">
        <f t="shared" si="2"/>
        <v>0</v>
      </c>
    </row>
    <row r="190" spans="1:11" ht="12.75" x14ac:dyDescent="0.2">
      <c r="A190" s="13">
        <v>45771</v>
      </c>
      <c r="B190" s="14" t="s">
        <v>6</v>
      </c>
      <c r="C190" s="15"/>
      <c r="D190" s="16"/>
      <c r="E190" s="17"/>
      <c r="F190" s="17"/>
      <c r="H190" s="19">
        <f t="shared" si="0"/>
        <v>0</v>
      </c>
      <c r="I190" s="20">
        <f t="shared" si="1"/>
        <v>0</v>
      </c>
      <c r="J190" s="21">
        <f t="shared" si="3"/>
        <v>0</v>
      </c>
      <c r="K190" s="22">
        <f t="shared" si="2"/>
        <v>0</v>
      </c>
    </row>
    <row r="191" spans="1:11" ht="12.75" x14ac:dyDescent="0.2">
      <c r="A191" s="13">
        <v>45772</v>
      </c>
      <c r="B191" s="14" t="s">
        <v>7</v>
      </c>
      <c r="C191" s="15"/>
      <c r="D191" s="16"/>
      <c r="E191" s="17"/>
      <c r="F191" s="17"/>
      <c r="H191" s="19">
        <f t="shared" si="0"/>
        <v>0</v>
      </c>
      <c r="I191" s="20">
        <f t="shared" si="1"/>
        <v>0</v>
      </c>
      <c r="J191" s="21">
        <f t="shared" si="3"/>
        <v>0</v>
      </c>
      <c r="K191" s="22">
        <f t="shared" si="2"/>
        <v>0</v>
      </c>
    </row>
    <row r="192" spans="1:11" ht="12.75" x14ac:dyDescent="0.2">
      <c r="A192" s="13">
        <v>45775</v>
      </c>
      <c r="B192" s="14" t="s">
        <v>3</v>
      </c>
      <c r="C192" s="15"/>
      <c r="D192" s="16"/>
      <c r="E192" s="17"/>
      <c r="F192" s="17"/>
      <c r="H192" s="19">
        <f t="shared" si="0"/>
        <v>0</v>
      </c>
      <c r="I192" s="20">
        <f t="shared" si="1"/>
        <v>0</v>
      </c>
      <c r="J192" s="21">
        <f t="shared" si="3"/>
        <v>0</v>
      </c>
      <c r="K192" s="22">
        <f t="shared" si="2"/>
        <v>0</v>
      </c>
    </row>
    <row r="193" spans="1:11" ht="12.75" x14ac:dyDescent="0.2">
      <c r="A193" s="13">
        <v>45776</v>
      </c>
      <c r="B193" s="14" t="s">
        <v>4</v>
      </c>
      <c r="C193" s="15"/>
      <c r="D193" s="16"/>
      <c r="E193" s="17"/>
      <c r="F193" s="17" t="s">
        <v>187</v>
      </c>
      <c r="H193" s="19">
        <f t="shared" si="0"/>
        <v>0</v>
      </c>
      <c r="I193" s="20">
        <f t="shared" si="1"/>
        <v>0</v>
      </c>
      <c r="J193" s="21">
        <f t="shared" si="3"/>
        <v>0</v>
      </c>
      <c r="K193" s="22">
        <f t="shared" si="2"/>
        <v>0</v>
      </c>
    </row>
    <row r="194" spans="1:11" ht="12.75" x14ac:dyDescent="0.2">
      <c r="A194" s="13">
        <v>45777</v>
      </c>
      <c r="B194" s="14" t="s">
        <v>5</v>
      </c>
      <c r="C194" s="15"/>
      <c r="D194" s="16"/>
      <c r="E194" s="17"/>
      <c r="F194" s="17"/>
      <c r="H194" s="19">
        <f t="shared" si="0"/>
        <v>0</v>
      </c>
      <c r="I194" s="20">
        <f t="shared" si="1"/>
        <v>0</v>
      </c>
      <c r="J194" s="21">
        <f t="shared" si="3"/>
        <v>0</v>
      </c>
      <c r="K194" s="22">
        <f t="shared" si="2"/>
        <v>0</v>
      </c>
    </row>
    <row r="195" spans="1:11" ht="12.75" x14ac:dyDescent="0.2">
      <c r="A195" s="13">
        <v>45778</v>
      </c>
      <c r="B195" s="14" t="s">
        <v>6</v>
      </c>
      <c r="C195" s="15"/>
      <c r="D195" s="16"/>
      <c r="E195" s="17"/>
      <c r="F195" s="17"/>
      <c r="H195" s="19">
        <f t="shared" si="0"/>
        <v>0</v>
      </c>
      <c r="I195" s="20">
        <f t="shared" si="1"/>
        <v>0</v>
      </c>
      <c r="J195" s="21">
        <f t="shared" si="3"/>
        <v>0</v>
      </c>
      <c r="K195" s="22">
        <f t="shared" si="2"/>
        <v>0</v>
      </c>
    </row>
    <row r="196" spans="1:11" ht="12.75" x14ac:dyDescent="0.2">
      <c r="A196" s="13">
        <v>45779</v>
      </c>
      <c r="B196" s="14" t="s">
        <v>7</v>
      </c>
      <c r="C196" s="15"/>
      <c r="D196" s="16"/>
      <c r="E196" s="17"/>
      <c r="F196" s="17"/>
      <c r="H196" s="19">
        <f t="shared" si="0"/>
        <v>0</v>
      </c>
      <c r="I196" s="20">
        <f t="shared" si="1"/>
        <v>0</v>
      </c>
      <c r="J196" s="21">
        <f t="shared" si="3"/>
        <v>0</v>
      </c>
      <c r="K196" s="22">
        <f t="shared" si="2"/>
        <v>0</v>
      </c>
    </row>
    <row r="197" spans="1:11" ht="12.75" x14ac:dyDescent="0.2">
      <c r="A197" s="13">
        <v>45782</v>
      </c>
      <c r="B197" s="14" t="s">
        <v>3</v>
      </c>
      <c r="C197" s="15"/>
      <c r="D197" s="16"/>
      <c r="E197" s="17"/>
      <c r="F197" s="17"/>
      <c r="H197" s="19">
        <f t="shared" si="0"/>
        <v>0</v>
      </c>
      <c r="I197" s="20">
        <f t="shared" si="1"/>
        <v>0</v>
      </c>
      <c r="J197" s="21">
        <f t="shared" si="3"/>
        <v>0</v>
      </c>
      <c r="K197" s="22">
        <f t="shared" si="2"/>
        <v>0</v>
      </c>
    </row>
    <row r="198" spans="1:11" ht="12.75" x14ac:dyDescent="0.2">
      <c r="A198" s="13">
        <v>45783</v>
      </c>
      <c r="B198" s="14" t="s">
        <v>4</v>
      </c>
      <c r="C198" s="15"/>
      <c r="D198" s="16"/>
      <c r="E198" s="17"/>
      <c r="F198" s="17"/>
      <c r="H198" s="19">
        <f t="shared" si="0"/>
        <v>0</v>
      </c>
      <c r="I198" s="20">
        <f t="shared" si="1"/>
        <v>0</v>
      </c>
      <c r="J198" s="21">
        <f t="shared" si="3"/>
        <v>0</v>
      </c>
      <c r="K198" s="22">
        <f t="shared" si="2"/>
        <v>0</v>
      </c>
    </row>
    <row r="199" spans="1:11" ht="12.75" x14ac:dyDescent="0.2">
      <c r="A199" s="13">
        <v>45784</v>
      </c>
      <c r="B199" s="14" t="s">
        <v>5</v>
      </c>
      <c r="C199" s="15"/>
      <c r="D199" s="16"/>
      <c r="E199" s="17"/>
      <c r="F199" s="17"/>
      <c r="H199" s="19">
        <f t="shared" si="0"/>
        <v>0</v>
      </c>
      <c r="I199" s="20">
        <f t="shared" si="1"/>
        <v>0</v>
      </c>
      <c r="J199" s="21">
        <f t="shared" si="3"/>
        <v>0</v>
      </c>
      <c r="K199" s="22">
        <f t="shared" si="2"/>
        <v>0</v>
      </c>
    </row>
    <row r="200" spans="1:11" ht="12.75" x14ac:dyDescent="0.2">
      <c r="A200" s="13">
        <v>45785</v>
      </c>
      <c r="B200" s="14" t="s">
        <v>6</v>
      </c>
      <c r="C200" s="15"/>
      <c r="D200" s="16"/>
      <c r="E200" s="17"/>
      <c r="F200" s="17"/>
      <c r="H200" s="19">
        <f t="shared" si="0"/>
        <v>0</v>
      </c>
      <c r="I200" s="20">
        <f t="shared" si="1"/>
        <v>0</v>
      </c>
      <c r="J200" s="21">
        <f t="shared" si="3"/>
        <v>0</v>
      </c>
      <c r="K200" s="22">
        <f t="shared" si="2"/>
        <v>0</v>
      </c>
    </row>
    <row r="201" spans="1:11" ht="12.75" x14ac:dyDescent="0.2">
      <c r="A201" s="13">
        <v>45786</v>
      </c>
      <c r="B201" s="14" t="s">
        <v>7</v>
      </c>
      <c r="C201" s="15"/>
      <c r="D201" s="16"/>
      <c r="E201" s="17"/>
      <c r="F201" s="17"/>
      <c r="H201" s="19">
        <f t="shared" si="0"/>
        <v>0</v>
      </c>
      <c r="I201" s="20">
        <f t="shared" si="1"/>
        <v>0</v>
      </c>
      <c r="J201" s="21">
        <f t="shared" si="3"/>
        <v>0</v>
      </c>
      <c r="K201" s="22">
        <f t="shared" si="2"/>
        <v>0</v>
      </c>
    </row>
    <row r="202" spans="1:11" ht="12.75" x14ac:dyDescent="0.2">
      <c r="A202" s="13">
        <v>45789</v>
      </c>
      <c r="B202" s="14" t="s">
        <v>3</v>
      </c>
      <c r="C202" s="15"/>
      <c r="D202" s="16"/>
      <c r="E202" s="17"/>
      <c r="F202" s="17"/>
      <c r="H202" s="19">
        <f t="shared" si="0"/>
        <v>0</v>
      </c>
      <c r="I202" s="20">
        <f t="shared" si="1"/>
        <v>0</v>
      </c>
      <c r="J202" s="21">
        <f t="shared" si="3"/>
        <v>0</v>
      </c>
      <c r="K202" s="22">
        <f t="shared" si="2"/>
        <v>0</v>
      </c>
    </row>
    <row r="203" spans="1:11" ht="12.75" x14ac:dyDescent="0.2">
      <c r="A203" s="13">
        <v>45790</v>
      </c>
      <c r="B203" s="14" t="s">
        <v>4</v>
      </c>
      <c r="C203" s="15"/>
      <c r="D203" s="16"/>
      <c r="E203" s="17"/>
      <c r="F203" s="17"/>
      <c r="H203" s="19">
        <f t="shared" si="0"/>
        <v>0</v>
      </c>
      <c r="I203" s="20">
        <f t="shared" si="1"/>
        <v>0</v>
      </c>
      <c r="J203" s="21">
        <f t="shared" si="3"/>
        <v>0</v>
      </c>
      <c r="K203" s="22">
        <f t="shared" si="2"/>
        <v>0</v>
      </c>
    </row>
    <row r="204" spans="1:11" ht="12.75" x14ac:dyDescent="0.2">
      <c r="A204" s="13">
        <v>45791</v>
      </c>
      <c r="B204" s="14" t="s">
        <v>5</v>
      </c>
      <c r="C204" s="15"/>
      <c r="D204" s="16"/>
      <c r="E204" s="17"/>
      <c r="F204" s="17"/>
      <c r="H204" s="19">
        <f t="shared" si="0"/>
        <v>0</v>
      </c>
      <c r="I204" s="20">
        <f t="shared" si="1"/>
        <v>0</v>
      </c>
      <c r="J204" s="21">
        <f t="shared" si="3"/>
        <v>0</v>
      </c>
      <c r="K204" s="22">
        <f t="shared" si="2"/>
        <v>0</v>
      </c>
    </row>
    <row r="205" spans="1:11" ht="12.75" x14ac:dyDescent="0.2">
      <c r="A205" s="13">
        <v>45792</v>
      </c>
      <c r="B205" s="14" t="s">
        <v>6</v>
      </c>
      <c r="C205" s="15"/>
      <c r="D205" s="16"/>
      <c r="E205" s="17"/>
      <c r="F205" s="17"/>
      <c r="H205" s="19">
        <f t="shared" si="0"/>
        <v>0</v>
      </c>
      <c r="I205" s="20">
        <f t="shared" si="1"/>
        <v>0</v>
      </c>
      <c r="J205" s="21">
        <f t="shared" si="3"/>
        <v>0</v>
      </c>
      <c r="K205" s="22">
        <f t="shared" si="2"/>
        <v>0</v>
      </c>
    </row>
    <row r="206" spans="1:11" ht="12.75" x14ac:dyDescent="0.2">
      <c r="A206" s="13">
        <v>45793</v>
      </c>
      <c r="B206" s="14" t="s">
        <v>7</v>
      </c>
      <c r="C206" s="15"/>
      <c r="D206" s="16"/>
      <c r="E206" s="17"/>
      <c r="F206" s="17"/>
      <c r="H206" s="19">
        <f t="shared" si="0"/>
        <v>0</v>
      </c>
      <c r="I206" s="20">
        <f t="shared" si="1"/>
        <v>0</v>
      </c>
      <c r="J206" s="21">
        <f t="shared" si="3"/>
        <v>0</v>
      </c>
      <c r="K206" s="22">
        <f t="shared" si="2"/>
        <v>0</v>
      </c>
    </row>
    <row r="207" spans="1:11" ht="12.75" x14ac:dyDescent="0.2">
      <c r="A207" s="13">
        <v>45796</v>
      </c>
      <c r="B207" s="14" t="s">
        <v>3</v>
      </c>
      <c r="C207" s="15"/>
      <c r="D207" s="16"/>
      <c r="E207" s="17"/>
      <c r="F207" s="17"/>
      <c r="H207" s="19">
        <f t="shared" si="0"/>
        <v>0</v>
      </c>
      <c r="I207" s="20">
        <f t="shared" si="1"/>
        <v>0</v>
      </c>
      <c r="J207" s="21">
        <f t="shared" si="3"/>
        <v>0</v>
      </c>
      <c r="K207" s="22">
        <f t="shared" si="2"/>
        <v>0</v>
      </c>
    </row>
    <row r="208" spans="1:11" ht="12.75" x14ac:dyDescent="0.2">
      <c r="A208" s="13">
        <v>45797</v>
      </c>
      <c r="B208" s="14" t="s">
        <v>4</v>
      </c>
      <c r="C208" s="15"/>
      <c r="D208" s="16"/>
      <c r="E208" s="17"/>
      <c r="F208" s="17"/>
      <c r="H208" s="19">
        <f t="shared" si="0"/>
        <v>0</v>
      </c>
      <c r="I208" s="20">
        <f t="shared" si="1"/>
        <v>0</v>
      </c>
      <c r="J208" s="21">
        <f t="shared" si="3"/>
        <v>0</v>
      </c>
      <c r="K208" s="22">
        <f t="shared" si="2"/>
        <v>0</v>
      </c>
    </row>
    <row r="209" spans="1:11" ht="12.75" x14ac:dyDescent="0.2">
      <c r="A209" s="13">
        <v>45798</v>
      </c>
      <c r="B209" s="14" t="s">
        <v>5</v>
      </c>
      <c r="C209" s="15"/>
      <c r="D209" s="16"/>
      <c r="E209" s="17"/>
      <c r="F209" s="17"/>
      <c r="H209" s="19">
        <f t="shared" si="0"/>
        <v>0</v>
      </c>
      <c r="I209" s="20">
        <f t="shared" si="1"/>
        <v>0</v>
      </c>
      <c r="J209" s="21">
        <f t="shared" si="3"/>
        <v>0</v>
      </c>
      <c r="K209" s="22">
        <f t="shared" si="2"/>
        <v>0</v>
      </c>
    </row>
    <row r="210" spans="1:11" ht="12.75" x14ac:dyDescent="0.2">
      <c r="A210" s="13">
        <v>45799</v>
      </c>
      <c r="B210" s="14" t="s">
        <v>6</v>
      </c>
      <c r="C210" s="15"/>
      <c r="D210" s="16"/>
      <c r="E210" s="17"/>
      <c r="F210" s="17"/>
      <c r="H210" s="19">
        <f t="shared" si="0"/>
        <v>0</v>
      </c>
      <c r="I210" s="20">
        <f t="shared" si="1"/>
        <v>0</v>
      </c>
      <c r="J210" s="21">
        <f t="shared" si="3"/>
        <v>0</v>
      </c>
      <c r="K210" s="22">
        <f t="shared" si="2"/>
        <v>0</v>
      </c>
    </row>
    <row r="211" spans="1:11" ht="12.75" x14ac:dyDescent="0.2">
      <c r="A211" s="13">
        <v>45800</v>
      </c>
      <c r="B211" s="14" t="s">
        <v>7</v>
      </c>
      <c r="C211" s="15"/>
      <c r="D211" s="16"/>
      <c r="E211" s="17"/>
      <c r="F211" s="17"/>
      <c r="H211" s="19">
        <f t="shared" si="0"/>
        <v>0</v>
      </c>
      <c r="I211" s="20">
        <f t="shared" si="1"/>
        <v>0</v>
      </c>
      <c r="J211" s="21">
        <f t="shared" si="3"/>
        <v>0</v>
      </c>
      <c r="K211" s="22">
        <f t="shared" si="2"/>
        <v>0</v>
      </c>
    </row>
    <row r="212" spans="1:11" ht="12.75" x14ac:dyDescent="0.2">
      <c r="A212" s="24">
        <v>45803</v>
      </c>
      <c r="B212" s="25" t="s">
        <v>3</v>
      </c>
      <c r="C212" s="26"/>
      <c r="D212" s="27"/>
      <c r="E212" s="28"/>
      <c r="F212" s="28"/>
      <c r="G212" s="29"/>
      <c r="H212" s="19">
        <f t="shared" si="0"/>
        <v>0</v>
      </c>
      <c r="I212" s="20">
        <f t="shared" si="1"/>
        <v>0</v>
      </c>
      <c r="J212" s="21">
        <f t="shared" si="3"/>
        <v>0</v>
      </c>
      <c r="K212" s="22">
        <f t="shared" si="2"/>
        <v>0</v>
      </c>
    </row>
    <row r="213" spans="1:11" ht="12.75" x14ac:dyDescent="0.2">
      <c r="A213" s="13">
        <v>45804</v>
      </c>
      <c r="B213" s="14" t="s">
        <v>4</v>
      </c>
      <c r="C213" s="15"/>
      <c r="D213" s="16"/>
      <c r="E213" s="17"/>
      <c r="F213" s="17" t="s">
        <v>187</v>
      </c>
      <c r="H213" s="19">
        <f t="shared" si="0"/>
        <v>0</v>
      </c>
      <c r="I213" s="20">
        <f t="shared" si="1"/>
        <v>0</v>
      </c>
      <c r="J213" s="21">
        <f t="shared" si="3"/>
        <v>0</v>
      </c>
      <c r="K213" s="22">
        <f t="shared" si="2"/>
        <v>0</v>
      </c>
    </row>
    <row r="214" spans="1:11" ht="12.75" x14ac:dyDescent="0.2">
      <c r="A214" s="13">
        <v>45805</v>
      </c>
      <c r="B214" s="14" t="s">
        <v>5</v>
      </c>
      <c r="C214" s="15"/>
      <c r="D214" s="16"/>
      <c r="E214" s="17"/>
      <c r="F214" s="17"/>
      <c r="H214" s="19">
        <f t="shared" si="0"/>
        <v>0</v>
      </c>
      <c r="I214" s="20">
        <f t="shared" si="1"/>
        <v>0</v>
      </c>
      <c r="J214" s="21">
        <f t="shared" si="3"/>
        <v>0</v>
      </c>
      <c r="K214" s="22">
        <f t="shared" si="2"/>
        <v>0</v>
      </c>
    </row>
    <row r="215" spans="1:11" ht="12.75" x14ac:dyDescent="0.2">
      <c r="A215" s="61">
        <v>45806</v>
      </c>
      <c r="B215" s="62" t="s">
        <v>6</v>
      </c>
      <c r="C215" s="63"/>
      <c r="D215" s="64" t="s">
        <v>189</v>
      </c>
      <c r="E215" s="65"/>
      <c r="F215" s="65"/>
      <c r="G215" s="66"/>
      <c r="H215" s="19">
        <f t="shared" si="0"/>
        <v>0</v>
      </c>
      <c r="I215" s="20">
        <f t="shared" si="1"/>
        <v>0</v>
      </c>
      <c r="J215" s="21">
        <f t="shared" si="3"/>
        <v>0</v>
      </c>
      <c r="K215" s="22">
        <f t="shared" si="2"/>
        <v>0</v>
      </c>
    </row>
    <row r="216" spans="1:11" ht="12.75" hidden="1" x14ac:dyDescent="0.2">
      <c r="A216" s="16"/>
      <c r="B216" s="16"/>
      <c r="C216" s="15"/>
      <c r="D216" s="16"/>
      <c r="E216" s="17"/>
      <c r="F216" s="17"/>
      <c r="H216" s="19"/>
      <c r="I216" s="47"/>
      <c r="J216" s="48"/>
      <c r="K216" s="49"/>
    </row>
    <row r="217" spans="1:11" ht="12.75" hidden="1" x14ac:dyDescent="0.2">
      <c r="A217" s="16"/>
      <c r="B217" s="16"/>
      <c r="C217" s="15"/>
      <c r="D217" s="16"/>
      <c r="E217" s="17"/>
      <c r="F217" s="17"/>
      <c r="H217" s="19"/>
      <c r="I217" s="47"/>
      <c r="J217" s="48"/>
      <c r="K217" s="49"/>
    </row>
    <row r="218" spans="1:11" ht="12.75" hidden="1" x14ac:dyDescent="0.2">
      <c r="A218" s="16"/>
      <c r="B218" s="16"/>
      <c r="C218" s="15"/>
      <c r="D218" s="16"/>
      <c r="E218" s="17"/>
      <c r="F218" s="17"/>
      <c r="H218" s="19"/>
      <c r="I218" s="47"/>
      <c r="J218" s="48"/>
      <c r="K218" s="49"/>
    </row>
    <row r="219" spans="1:11" ht="12.75" hidden="1" x14ac:dyDescent="0.2">
      <c r="A219" s="16"/>
      <c r="B219" s="16"/>
      <c r="C219" s="15"/>
      <c r="D219" s="16"/>
      <c r="E219" s="17"/>
      <c r="F219" s="17"/>
      <c r="H219" s="19"/>
      <c r="I219" s="47"/>
      <c r="J219" s="48"/>
      <c r="K219" s="49"/>
    </row>
    <row r="220" spans="1:11" ht="12.75" hidden="1" x14ac:dyDescent="0.2">
      <c r="A220" s="16"/>
      <c r="B220" s="16"/>
      <c r="C220" s="15"/>
      <c r="D220" s="16"/>
      <c r="E220" s="17"/>
      <c r="F220" s="17"/>
      <c r="H220" s="19"/>
      <c r="I220" s="47"/>
      <c r="J220" s="48"/>
      <c r="K220" s="49"/>
    </row>
    <row r="221" spans="1:11" ht="12.75" hidden="1" x14ac:dyDescent="0.2">
      <c r="A221" s="16"/>
      <c r="B221" s="16"/>
      <c r="C221" s="15"/>
      <c r="D221" s="16"/>
      <c r="E221" s="17"/>
      <c r="F221" s="17"/>
      <c r="H221" s="19"/>
      <c r="I221" s="47"/>
      <c r="J221" s="48"/>
      <c r="K221" s="49"/>
    </row>
    <row r="222" spans="1:11" ht="12.75" hidden="1" x14ac:dyDescent="0.2">
      <c r="A222" s="16"/>
      <c r="B222" s="16"/>
      <c r="C222" s="15"/>
      <c r="D222" s="16"/>
      <c r="E222" s="17"/>
      <c r="F222" s="17"/>
      <c r="H222" s="19"/>
      <c r="I222" s="47"/>
      <c r="J222" s="48"/>
      <c r="K222" s="49"/>
    </row>
    <row r="223" spans="1:11" ht="12.75" hidden="1" x14ac:dyDescent="0.2">
      <c r="A223" s="16"/>
      <c r="B223" s="16"/>
      <c r="C223" s="15"/>
      <c r="D223" s="16"/>
      <c r="E223" s="17"/>
      <c r="F223" s="17"/>
      <c r="H223" s="19"/>
      <c r="I223" s="47"/>
      <c r="J223" s="48"/>
      <c r="K223" s="49"/>
    </row>
    <row r="224" spans="1:11" ht="12.75" hidden="1" x14ac:dyDescent="0.2">
      <c r="A224" s="16"/>
      <c r="B224" s="16"/>
      <c r="C224" s="15"/>
      <c r="D224" s="16"/>
      <c r="E224" s="17"/>
      <c r="F224" s="17"/>
      <c r="H224" s="19"/>
      <c r="I224" s="47"/>
      <c r="J224" s="48"/>
      <c r="K224" s="49"/>
    </row>
    <row r="225" spans="1:11" ht="12.75" hidden="1" x14ac:dyDescent="0.2">
      <c r="A225" s="16"/>
      <c r="B225" s="16"/>
      <c r="C225" s="15"/>
      <c r="D225" s="16"/>
      <c r="E225" s="17"/>
      <c r="F225" s="17"/>
      <c r="H225" s="19"/>
      <c r="I225" s="47"/>
      <c r="J225" s="48"/>
      <c r="K225" s="49"/>
    </row>
    <row r="226" spans="1:11" ht="12.75" hidden="1" x14ac:dyDescent="0.2">
      <c r="A226" s="16"/>
      <c r="B226" s="16"/>
      <c r="C226" s="15"/>
      <c r="D226" s="16"/>
      <c r="E226" s="17"/>
      <c r="F226" s="17"/>
      <c r="H226" s="19"/>
      <c r="I226" s="47"/>
      <c r="J226" s="48"/>
      <c r="K226" s="49"/>
    </row>
    <row r="227" spans="1:11" ht="12.75" hidden="1" x14ac:dyDescent="0.2">
      <c r="A227" s="16"/>
      <c r="B227" s="16"/>
      <c r="C227" s="15"/>
      <c r="D227" s="16"/>
      <c r="E227" s="17"/>
      <c r="F227" s="17"/>
      <c r="H227" s="19"/>
      <c r="I227" s="47"/>
      <c r="J227" s="48"/>
      <c r="K227" s="49"/>
    </row>
    <row r="228" spans="1:11" ht="12.75" hidden="1" x14ac:dyDescent="0.2">
      <c r="A228" s="16"/>
      <c r="B228" s="16"/>
      <c r="C228" s="15"/>
      <c r="D228" s="16"/>
      <c r="E228" s="17"/>
      <c r="F228" s="17"/>
      <c r="H228" s="19"/>
      <c r="I228" s="47"/>
      <c r="J228" s="48"/>
      <c r="K228" s="49"/>
    </row>
    <row r="229" spans="1:11" ht="12.75" hidden="1" x14ac:dyDescent="0.2">
      <c r="A229" s="16"/>
      <c r="B229" s="16"/>
      <c r="C229" s="15"/>
      <c r="D229" s="16"/>
      <c r="E229" s="17"/>
      <c r="F229" s="17"/>
      <c r="H229" s="19"/>
      <c r="I229" s="47"/>
      <c r="J229" s="48"/>
      <c r="K229" s="49"/>
    </row>
    <row r="230" spans="1:11" ht="12.75" hidden="1" x14ac:dyDescent="0.2">
      <c r="A230" s="16"/>
      <c r="B230" s="16"/>
      <c r="C230" s="15"/>
      <c r="D230" s="16"/>
      <c r="E230" s="17"/>
      <c r="F230" s="17"/>
      <c r="H230" s="19"/>
      <c r="I230" s="47"/>
      <c r="J230" s="48"/>
      <c r="K230" s="49"/>
    </row>
    <row r="231" spans="1:11" ht="12.75" hidden="1" x14ac:dyDescent="0.2">
      <c r="A231" s="16"/>
      <c r="B231" s="16"/>
      <c r="C231" s="15"/>
      <c r="D231" s="16"/>
      <c r="E231" s="17"/>
      <c r="F231" s="17"/>
      <c r="H231" s="19"/>
      <c r="I231" s="47"/>
      <c r="J231" s="48"/>
      <c r="K231" s="49"/>
    </row>
    <row r="232" spans="1:11" ht="12.75" hidden="1" x14ac:dyDescent="0.2">
      <c r="A232" s="16"/>
      <c r="B232" s="16"/>
      <c r="C232" s="15"/>
      <c r="D232" s="16"/>
      <c r="E232" s="17"/>
      <c r="F232" s="17"/>
      <c r="H232" s="19"/>
      <c r="I232" s="47"/>
      <c r="J232" s="48"/>
      <c r="K232" s="49"/>
    </row>
    <row r="233" spans="1:11" ht="12.75" hidden="1" x14ac:dyDescent="0.2">
      <c r="A233" s="16"/>
      <c r="B233" s="16"/>
      <c r="C233" s="15"/>
      <c r="D233" s="16"/>
      <c r="E233" s="17"/>
      <c r="F233" s="17"/>
      <c r="H233" s="19"/>
      <c r="I233" s="47"/>
      <c r="J233" s="48"/>
      <c r="K233" s="49"/>
    </row>
    <row r="234" spans="1:11" ht="12.75" hidden="1" x14ac:dyDescent="0.2">
      <c r="A234" s="16"/>
      <c r="B234" s="16"/>
      <c r="C234" s="15"/>
      <c r="D234" s="16"/>
      <c r="E234" s="17"/>
      <c r="F234" s="17"/>
      <c r="H234" s="19"/>
      <c r="I234" s="47"/>
      <c r="J234" s="48"/>
      <c r="K234" s="49"/>
    </row>
    <row r="235" spans="1:11" ht="12.75" hidden="1" x14ac:dyDescent="0.2">
      <c r="A235" s="16"/>
      <c r="B235" s="16"/>
      <c r="C235" s="15"/>
      <c r="D235" s="16"/>
      <c r="E235" s="17"/>
      <c r="F235" s="17"/>
      <c r="H235" s="19"/>
      <c r="I235" s="47"/>
      <c r="J235" s="48"/>
      <c r="K235" s="49"/>
    </row>
    <row r="236" spans="1:11" ht="12.75" hidden="1" x14ac:dyDescent="0.2">
      <c r="A236" s="16"/>
      <c r="B236" s="16"/>
      <c r="C236" s="15"/>
      <c r="D236" s="16"/>
      <c r="E236" s="17"/>
      <c r="F236" s="17"/>
      <c r="H236" s="19"/>
      <c r="I236" s="47"/>
      <c r="J236" s="48"/>
      <c r="K236" s="49"/>
    </row>
    <row r="237" spans="1:11" ht="12.75" hidden="1" x14ac:dyDescent="0.2">
      <c r="A237" s="16"/>
      <c r="B237" s="16"/>
      <c r="C237" s="15"/>
      <c r="D237" s="16"/>
      <c r="E237" s="17"/>
      <c r="F237" s="17"/>
      <c r="H237" s="19"/>
      <c r="I237" s="47"/>
      <c r="J237" s="48"/>
      <c r="K237" s="49"/>
    </row>
    <row r="238" spans="1:11" ht="12.75" hidden="1" x14ac:dyDescent="0.2">
      <c r="A238" s="16"/>
      <c r="B238" s="16"/>
      <c r="C238" s="15"/>
      <c r="D238" s="16"/>
      <c r="E238" s="17"/>
      <c r="F238" s="17"/>
      <c r="H238" s="19"/>
      <c r="I238" s="47"/>
      <c r="J238" s="48"/>
      <c r="K238" s="49"/>
    </row>
    <row r="239" spans="1:11" ht="12.75" hidden="1" x14ac:dyDescent="0.2">
      <c r="A239" s="16"/>
      <c r="B239" s="16"/>
      <c r="C239" s="15"/>
      <c r="D239" s="16"/>
      <c r="E239" s="17"/>
      <c r="F239" s="17"/>
      <c r="H239" s="19"/>
      <c r="I239" s="47"/>
      <c r="J239" s="48"/>
      <c r="K239" s="49"/>
    </row>
    <row r="240" spans="1:11" ht="12.75" hidden="1" x14ac:dyDescent="0.2">
      <c r="A240" s="16"/>
      <c r="B240" s="16"/>
      <c r="C240" s="15"/>
      <c r="D240" s="16"/>
      <c r="E240" s="17"/>
      <c r="F240" s="17"/>
      <c r="H240" s="19"/>
      <c r="I240" s="47"/>
      <c r="J240" s="48"/>
      <c r="K240" s="49"/>
    </row>
    <row r="241" spans="1:11" ht="12.75" hidden="1" x14ac:dyDescent="0.2">
      <c r="A241" s="16"/>
      <c r="B241" s="16"/>
      <c r="C241" s="15"/>
      <c r="D241" s="16"/>
      <c r="E241" s="17"/>
      <c r="F241" s="17"/>
      <c r="H241" s="19"/>
      <c r="I241" s="47"/>
      <c r="J241" s="48"/>
      <c r="K241" s="49"/>
    </row>
    <row r="242" spans="1:11" ht="12.75" hidden="1" x14ac:dyDescent="0.2">
      <c r="A242" s="16"/>
      <c r="B242" s="16"/>
      <c r="C242" s="15"/>
      <c r="D242" s="16"/>
      <c r="E242" s="17"/>
      <c r="F242" s="17"/>
      <c r="H242" s="19"/>
      <c r="I242" s="47"/>
      <c r="J242" s="48"/>
      <c r="K242" s="49"/>
    </row>
    <row r="243" spans="1:11" ht="12.75" hidden="1" x14ac:dyDescent="0.2">
      <c r="A243" s="16"/>
      <c r="B243" s="16"/>
      <c r="C243" s="15"/>
      <c r="D243" s="16"/>
      <c r="E243" s="17"/>
      <c r="F243" s="17"/>
      <c r="H243" s="19"/>
      <c r="I243" s="47"/>
      <c r="J243" s="48"/>
      <c r="K243" s="49"/>
    </row>
    <row r="244" spans="1:11" ht="12.75" hidden="1" x14ac:dyDescent="0.2">
      <c r="A244" s="16"/>
      <c r="B244" s="16"/>
      <c r="C244" s="15"/>
      <c r="D244" s="16"/>
      <c r="E244" s="17"/>
      <c r="F244" s="17"/>
      <c r="H244" s="19"/>
      <c r="I244" s="47"/>
      <c r="J244" s="48"/>
      <c r="K244" s="49"/>
    </row>
    <row r="245" spans="1:11" ht="12.75" hidden="1" x14ac:dyDescent="0.2">
      <c r="A245" s="16"/>
      <c r="B245" s="16"/>
      <c r="C245" s="15"/>
      <c r="D245" s="16"/>
      <c r="E245" s="17"/>
      <c r="F245" s="17"/>
      <c r="H245" s="19"/>
      <c r="I245" s="47"/>
      <c r="J245" s="48"/>
      <c r="K245" s="49"/>
    </row>
    <row r="246" spans="1:11" ht="12.75" hidden="1" x14ac:dyDescent="0.2">
      <c r="A246" s="16"/>
      <c r="B246" s="16"/>
      <c r="C246" s="15"/>
      <c r="D246" s="16"/>
      <c r="E246" s="17"/>
      <c r="F246" s="17"/>
      <c r="H246" s="19"/>
      <c r="I246" s="47"/>
      <c r="J246" s="48"/>
      <c r="K246" s="49"/>
    </row>
    <row r="247" spans="1:11" ht="12.75" hidden="1" x14ac:dyDescent="0.2">
      <c r="A247" s="16"/>
      <c r="B247" s="16"/>
      <c r="C247" s="15"/>
      <c r="D247" s="16"/>
      <c r="E247" s="17"/>
      <c r="F247" s="17"/>
      <c r="H247" s="19"/>
      <c r="I247" s="47"/>
      <c r="J247" s="48"/>
      <c r="K247" s="49"/>
    </row>
    <row r="248" spans="1:11" ht="12.75" hidden="1" x14ac:dyDescent="0.2">
      <c r="A248" s="16"/>
      <c r="B248" s="16"/>
      <c r="C248" s="15"/>
      <c r="D248" s="16"/>
      <c r="E248" s="17"/>
      <c r="F248" s="17"/>
      <c r="H248" s="19"/>
      <c r="I248" s="47"/>
      <c r="J248" s="48"/>
      <c r="K248" s="49"/>
    </row>
    <row r="249" spans="1:11" ht="12.75" hidden="1" x14ac:dyDescent="0.2">
      <c r="A249" s="16"/>
      <c r="B249" s="16"/>
      <c r="C249" s="15"/>
      <c r="D249" s="16"/>
      <c r="E249" s="17"/>
      <c r="F249" s="17"/>
      <c r="H249" s="19"/>
      <c r="I249" s="47"/>
      <c r="J249" s="48"/>
      <c r="K249" s="49"/>
    </row>
    <row r="250" spans="1:11" ht="12.75" hidden="1" x14ac:dyDescent="0.2">
      <c r="A250" s="16"/>
      <c r="B250" s="16"/>
      <c r="C250" s="15"/>
      <c r="D250" s="16"/>
      <c r="E250" s="17"/>
      <c r="F250" s="17"/>
      <c r="H250" s="19"/>
      <c r="I250" s="47"/>
      <c r="J250" s="48"/>
      <c r="K250" s="49"/>
    </row>
    <row r="251" spans="1:11" ht="12.75" hidden="1" x14ac:dyDescent="0.2">
      <c r="A251" s="16"/>
      <c r="B251" s="16"/>
      <c r="C251" s="15"/>
      <c r="D251" s="16"/>
      <c r="E251" s="17"/>
      <c r="F251" s="17"/>
      <c r="H251" s="19"/>
      <c r="I251" s="47"/>
      <c r="J251" s="48"/>
      <c r="K251" s="49"/>
    </row>
    <row r="252" spans="1:11" ht="12.75" hidden="1" x14ac:dyDescent="0.2">
      <c r="A252" s="16"/>
      <c r="B252" s="16"/>
      <c r="C252" s="15"/>
      <c r="D252" s="16"/>
      <c r="E252" s="17"/>
      <c r="F252" s="17"/>
      <c r="H252" s="19"/>
      <c r="I252" s="47"/>
      <c r="J252" s="48"/>
      <c r="K252" s="49"/>
    </row>
    <row r="253" spans="1:11" ht="12.75" hidden="1" x14ac:dyDescent="0.2">
      <c r="A253" s="16"/>
      <c r="B253" s="16"/>
      <c r="C253" s="15"/>
      <c r="D253" s="16"/>
      <c r="E253" s="17"/>
      <c r="F253" s="17"/>
      <c r="H253" s="19"/>
      <c r="I253" s="47"/>
      <c r="J253" s="48"/>
      <c r="K253" s="49"/>
    </row>
    <row r="254" spans="1:11" ht="12.75" hidden="1" x14ac:dyDescent="0.2">
      <c r="A254" s="16"/>
      <c r="B254" s="16"/>
      <c r="C254" s="15"/>
      <c r="D254" s="16"/>
      <c r="E254" s="17"/>
      <c r="F254" s="17"/>
      <c r="H254" s="19"/>
      <c r="I254" s="47"/>
      <c r="J254" s="48"/>
      <c r="K254" s="49"/>
    </row>
    <row r="255" spans="1:11" ht="12.75" hidden="1" x14ac:dyDescent="0.2">
      <c r="A255" s="16"/>
      <c r="B255" s="16"/>
      <c r="C255" s="15"/>
      <c r="D255" s="16"/>
      <c r="E255" s="17"/>
      <c r="F255" s="17"/>
      <c r="H255" s="19"/>
      <c r="I255" s="47"/>
      <c r="J255" s="48"/>
      <c r="K255" s="49"/>
    </row>
    <row r="256" spans="1:11" ht="12.75" hidden="1" x14ac:dyDescent="0.2">
      <c r="A256" s="16"/>
      <c r="B256" s="16"/>
      <c r="C256" s="15"/>
      <c r="D256" s="16"/>
      <c r="E256" s="17"/>
      <c r="F256" s="17"/>
      <c r="H256" s="19"/>
      <c r="I256" s="47"/>
      <c r="J256" s="48"/>
      <c r="K256" s="49"/>
    </row>
    <row r="257" spans="1:11" ht="12.75" hidden="1" x14ac:dyDescent="0.2">
      <c r="A257" s="16"/>
      <c r="B257" s="16"/>
      <c r="C257" s="15"/>
      <c r="D257" s="16"/>
      <c r="E257" s="17"/>
      <c r="F257" s="17"/>
      <c r="H257" s="19"/>
      <c r="I257" s="47"/>
      <c r="J257" s="48"/>
      <c r="K257" s="49"/>
    </row>
    <row r="258" spans="1:11" ht="12.75" hidden="1" x14ac:dyDescent="0.2">
      <c r="A258" s="16"/>
      <c r="B258" s="16"/>
      <c r="C258" s="15"/>
      <c r="D258" s="16"/>
      <c r="E258" s="17"/>
      <c r="F258" s="17"/>
      <c r="H258" s="19"/>
      <c r="I258" s="47"/>
      <c r="J258" s="48"/>
      <c r="K258" s="49"/>
    </row>
    <row r="259" spans="1:11" ht="12.75" hidden="1" x14ac:dyDescent="0.2">
      <c r="A259" s="16"/>
      <c r="B259" s="16"/>
      <c r="C259" s="15"/>
      <c r="D259" s="16"/>
      <c r="E259" s="17"/>
      <c r="F259" s="17"/>
      <c r="H259" s="19"/>
      <c r="I259" s="47"/>
      <c r="J259" s="48"/>
      <c r="K259" s="49"/>
    </row>
    <row r="260" spans="1:11" ht="12.75" hidden="1" x14ac:dyDescent="0.2">
      <c r="A260" s="16"/>
      <c r="B260" s="16"/>
      <c r="C260" s="15"/>
      <c r="D260" s="16"/>
      <c r="E260" s="17"/>
      <c r="F260" s="17"/>
      <c r="H260" s="19"/>
      <c r="I260" s="47"/>
      <c r="J260" s="48"/>
      <c r="K260" s="49"/>
    </row>
    <row r="261" spans="1:11" ht="12.75" hidden="1" x14ac:dyDescent="0.2">
      <c r="A261" s="16"/>
      <c r="B261" s="16"/>
      <c r="C261" s="15"/>
      <c r="D261" s="16"/>
      <c r="E261" s="17"/>
      <c r="F261" s="17"/>
      <c r="H261" s="19"/>
      <c r="I261" s="47"/>
      <c r="J261" s="48"/>
      <c r="K261" s="49"/>
    </row>
    <row r="262" spans="1:11" ht="12.75" hidden="1" x14ac:dyDescent="0.2">
      <c r="A262" s="16"/>
      <c r="B262" s="16"/>
      <c r="C262" s="15"/>
      <c r="D262" s="16"/>
      <c r="E262" s="17"/>
      <c r="F262" s="17"/>
      <c r="H262" s="19"/>
      <c r="I262" s="47"/>
      <c r="J262" s="48"/>
      <c r="K262" s="49"/>
    </row>
    <row r="263" spans="1:11" ht="12.75" hidden="1" x14ac:dyDescent="0.2">
      <c r="A263" s="16"/>
      <c r="B263" s="16"/>
      <c r="C263" s="15"/>
      <c r="D263" s="16"/>
      <c r="E263" s="17"/>
      <c r="F263" s="17"/>
      <c r="H263" s="19"/>
      <c r="I263" s="47"/>
      <c r="J263" s="48"/>
      <c r="K263" s="49"/>
    </row>
    <row r="264" spans="1:11" ht="12.75" hidden="1" x14ac:dyDescent="0.2">
      <c r="A264" s="16"/>
      <c r="B264" s="16"/>
      <c r="C264" s="15"/>
      <c r="D264" s="16"/>
      <c r="E264" s="17"/>
      <c r="F264" s="17"/>
      <c r="H264" s="19"/>
      <c r="I264" s="47"/>
      <c r="J264" s="48"/>
      <c r="K264" s="49"/>
    </row>
    <row r="265" spans="1:11" ht="12.75" hidden="1" x14ac:dyDescent="0.2">
      <c r="A265" s="16"/>
      <c r="B265" s="16"/>
      <c r="C265" s="15"/>
      <c r="D265" s="16"/>
      <c r="E265" s="17"/>
      <c r="F265" s="17"/>
      <c r="H265" s="19"/>
      <c r="I265" s="47"/>
      <c r="J265" s="48"/>
      <c r="K265" s="49"/>
    </row>
    <row r="266" spans="1:11" ht="12.75" hidden="1" x14ac:dyDescent="0.2">
      <c r="A266" s="16"/>
      <c r="B266" s="16"/>
      <c r="C266" s="15"/>
      <c r="D266" s="16"/>
      <c r="E266" s="17"/>
      <c r="F266" s="17"/>
      <c r="H266" s="19"/>
      <c r="I266" s="47"/>
      <c r="J266" s="48"/>
      <c r="K266" s="49"/>
    </row>
    <row r="267" spans="1:11" ht="12.75" hidden="1" x14ac:dyDescent="0.2">
      <c r="A267" s="16"/>
      <c r="B267" s="16"/>
      <c r="C267" s="15"/>
      <c r="D267" s="16"/>
      <c r="E267" s="17"/>
      <c r="F267" s="17"/>
      <c r="H267" s="19"/>
      <c r="I267" s="47"/>
      <c r="J267" s="48"/>
      <c r="K267" s="49"/>
    </row>
    <row r="268" spans="1:11" ht="12.75" hidden="1" x14ac:dyDescent="0.2">
      <c r="A268" s="16"/>
      <c r="B268" s="16"/>
      <c r="C268" s="15"/>
      <c r="D268" s="16"/>
      <c r="E268" s="17"/>
      <c r="F268" s="17"/>
      <c r="H268" s="19"/>
      <c r="I268" s="47"/>
      <c r="J268" s="48"/>
      <c r="K268" s="49"/>
    </row>
    <row r="269" spans="1:11" ht="12.75" hidden="1" x14ac:dyDescent="0.2">
      <c r="A269" s="16"/>
      <c r="B269" s="16"/>
      <c r="C269" s="15"/>
      <c r="D269" s="16"/>
      <c r="E269" s="17"/>
      <c r="F269" s="17"/>
      <c r="H269" s="19"/>
      <c r="I269" s="47"/>
      <c r="J269" s="48"/>
      <c r="K269" s="49"/>
    </row>
    <row r="270" spans="1:11" ht="12.75" hidden="1" x14ac:dyDescent="0.2">
      <c r="A270" s="16"/>
      <c r="B270" s="16"/>
      <c r="C270" s="15"/>
      <c r="D270" s="16"/>
      <c r="E270" s="17"/>
      <c r="F270" s="17"/>
      <c r="H270" s="19"/>
      <c r="I270" s="47"/>
      <c r="J270" s="48"/>
      <c r="K270" s="49"/>
    </row>
    <row r="271" spans="1:11" ht="12.75" hidden="1" x14ac:dyDescent="0.2">
      <c r="A271" s="16"/>
      <c r="B271" s="16"/>
      <c r="C271" s="15"/>
      <c r="D271" s="16"/>
      <c r="E271" s="17"/>
      <c r="F271" s="17"/>
      <c r="H271" s="19"/>
      <c r="I271" s="47"/>
      <c r="J271" s="48"/>
      <c r="K271" s="49"/>
    </row>
    <row r="272" spans="1:11" ht="12.75" hidden="1" x14ac:dyDescent="0.2">
      <c r="A272" s="16"/>
      <c r="B272" s="16"/>
      <c r="C272" s="15"/>
      <c r="D272" s="16"/>
      <c r="E272" s="17"/>
      <c r="F272" s="17"/>
      <c r="H272" s="19"/>
      <c r="I272" s="47"/>
      <c r="J272" s="48"/>
      <c r="K272" s="49"/>
    </row>
    <row r="273" spans="1:11" ht="12.75" hidden="1" x14ac:dyDescent="0.2">
      <c r="A273" s="16"/>
      <c r="B273" s="16"/>
      <c r="C273" s="15"/>
      <c r="D273" s="16"/>
      <c r="E273" s="17"/>
      <c r="F273" s="17"/>
      <c r="H273" s="19"/>
      <c r="I273" s="47"/>
      <c r="J273" s="48"/>
      <c r="K273" s="49"/>
    </row>
    <row r="274" spans="1:11" ht="12.75" hidden="1" x14ac:dyDescent="0.2">
      <c r="A274" s="16"/>
      <c r="B274" s="16"/>
      <c r="C274" s="15"/>
      <c r="D274" s="16"/>
      <c r="E274" s="17"/>
      <c r="F274" s="17"/>
      <c r="H274" s="19"/>
      <c r="I274" s="47"/>
      <c r="J274" s="48"/>
      <c r="K274" s="49"/>
    </row>
    <row r="275" spans="1:11" ht="12.75" hidden="1" x14ac:dyDescent="0.2">
      <c r="A275" s="16"/>
      <c r="B275" s="16"/>
      <c r="C275" s="15"/>
      <c r="D275" s="16"/>
      <c r="E275" s="17"/>
      <c r="F275" s="17"/>
      <c r="H275" s="19"/>
      <c r="I275" s="47"/>
      <c r="J275" s="48"/>
      <c r="K275" s="49"/>
    </row>
    <row r="276" spans="1:11" ht="12.75" hidden="1" x14ac:dyDescent="0.2">
      <c r="A276" s="16"/>
      <c r="B276" s="16"/>
      <c r="C276" s="15"/>
      <c r="D276" s="16"/>
      <c r="E276" s="17"/>
      <c r="F276" s="17"/>
      <c r="H276" s="19"/>
      <c r="I276" s="47"/>
      <c r="J276" s="48"/>
      <c r="K276" s="49"/>
    </row>
    <row r="277" spans="1:11" ht="12.75" hidden="1" x14ac:dyDescent="0.2">
      <c r="A277" s="16"/>
      <c r="B277" s="16"/>
      <c r="C277" s="15"/>
      <c r="D277" s="16"/>
      <c r="E277" s="17"/>
      <c r="F277" s="17"/>
      <c r="H277" s="19"/>
      <c r="I277" s="47"/>
      <c r="J277" s="48"/>
      <c r="K277" s="49"/>
    </row>
    <row r="278" spans="1:11" ht="12.75" hidden="1" x14ac:dyDescent="0.2">
      <c r="A278" s="16"/>
      <c r="B278" s="16"/>
      <c r="C278" s="15"/>
      <c r="D278" s="16"/>
      <c r="E278" s="17"/>
      <c r="F278" s="17"/>
      <c r="H278" s="19"/>
      <c r="I278" s="47"/>
      <c r="J278" s="48"/>
      <c r="K278" s="49"/>
    </row>
    <row r="279" spans="1:11" ht="12.75" hidden="1" x14ac:dyDescent="0.2">
      <c r="A279" s="16"/>
      <c r="B279" s="16"/>
      <c r="C279" s="15"/>
      <c r="D279" s="16"/>
      <c r="E279" s="17"/>
      <c r="F279" s="17"/>
      <c r="H279" s="19"/>
      <c r="I279" s="47"/>
      <c r="J279" s="48"/>
      <c r="K279" s="49"/>
    </row>
    <row r="280" spans="1:11" ht="12.75" hidden="1" x14ac:dyDescent="0.2">
      <c r="A280" s="16"/>
      <c r="B280" s="16"/>
      <c r="C280" s="15"/>
      <c r="D280" s="16"/>
      <c r="E280" s="17"/>
      <c r="F280" s="17"/>
      <c r="H280" s="19"/>
      <c r="I280" s="47"/>
      <c r="J280" s="48"/>
      <c r="K280" s="49"/>
    </row>
    <row r="281" spans="1:11" ht="12.75" hidden="1" x14ac:dyDescent="0.2">
      <c r="A281" s="16"/>
      <c r="B281" s="16"/>
      <c r="C281" s="15"/>
      <c r="D281" s="16"/>
      <c r="E281" s="17"/>
      <c r="F281" s="17"/>
      <c r="H281" s="19"/>
      <c r="I281" s="47"/>
      <c r="J281" s="48"/>
      <c r="K281" s="49"/>
    </row>
    <row r="282" spans="1:11" ht="12.75" hidden="1" x14ac:dyDescent="0.2">
      <c r="A282" s="16"/>
      <c r="B282" s="16"/>
      <c r="C282" s="15"/>
      <c r="D282" s="16"/>
      <c r="E282" s="17"/>
      <c r="F282" s="17"/>
      <c r="H282" s="19"/>
      <c r="I282" s="47"/>
      <c r="J282" s="48"/>
      <c r="K282" s="49"/>
    </row>
    <row r="283" spans="1:11" ht="12.75" hidden="1" x14ac:dyDescent="0.2">
      <c r="A283" s="16"/>
      <c r="B283" s="16"/>
      <c r="C283" s="15"/>
      <c r="D283" s="16"/>
      <c r="E283" s="17"/>
      <c r="F283" s="17"/>
      <c r="H283" s="19"/>
      <c r="I283" s="47"/>
      <c r="J283" s="48"/>
      <c r="K283" s="49"/>
    </row>
    <row r="284" spans="1:11" ht="12.75" hidden="1" x14ac:dyDescent="0.2">
      <c r="A284" s="16"/>
      <c r="B284" s="16"/>
      <c r="C284" s="15"/>
      <c r="D284" s="16"/>
      <c r="E284" s="17"/>
      <c r="F284" s="17"/>
      <c r="H284" s="19"/>
      <c r="I284" s="47"/>
      <c r="J284" s="48"/>
      <c r="K284" s="49"/>
    </row>
    <row r="285" spans="1:11" ht="12.75" hidden="1" x14ac:dyDescent="0.2">
      <c r="A285" s="16"/>
      <c r="B285" s="16"/>
      <c r="C285" s="15"/>
      <c r="D285" s="16"/>
      <c r="E285" s="17"/>
      <c r="F285" s="17"/>
      <c r="H285" s="19"/>
      <c r="I285" s="47"/>
      <c r="J285" s="48"/>
      <c r="K285" s="49"/>
    </row>
    <row r="286" spans="1:11" ht="12.75" hidden="1" x14ac:dyDescent="0.2">
      <c r="A286" s="16"/>
      <c r="B286" s="16"/>
      <c r="C286" s="15"/>
      <c r="D286" s="16"/>
      <c r="E286" s="17"/>
      <c r="F286" s="17"/>
      <c r="H286" s="19"/>
      <c r="I286" s="47"/>
      <c r="J286" s="48"/>
      <c r="K286" s="49"/>
    </row>
    <row r="287" spans="1:11" ht="12.75" hidden="1" x14ac:dyDescent="0.2">
      <c r="A287" s="16"/>
      <c r="B287" s="16"/>
      <c r="C287" s="15"/>
      <c r="D287" s="16"/>
      <c r="E287" s="17"/>
      <c r="F287" s="17"/>
      <c r="H287" s="19"/>
      <c r="I287" s="47"/>
      <c r="J287" s="48"/>
      <c r="K287" s="49"/>
    </row>
    <row r="288" spans="1:11" ht="12.75" hidden="1" x14ac:dyDescent="0.2">
      <c r="A288" s="16"/>
      <c r="B288" s="16"/>
      <c r="C288" s="15"/>
      <c r="D288" s="16"/>
      <c r="E288" s="17"/>
      <c r="F288" s="17"/>
      <c r="H288" s="19"/>
      <c r="I288" s="47"/>
      <c r="J288" s="48"/>
      <c r="K288" s="49"/>
    </row>
    <row r="289" spans="1:11" ht="12.75" hidden="1" x14ac:dyDescent="0.2">
      <c r="A289" s="16"/>
      <c r="B289" s="16"/>
      <c r="C289" s="15"/>
      <c r="D289" s="16"/>
      <c r="E289" s="17"/>
      <c r="F289" s="17"/>
      <c r="H289" s="19"/>
      <c r="I289" s="47"/>
      <c r="J289" s="48"/>
      <c r="K289" s="49"/>
    </row>
    <row r="290" spans="1:11" ht="12.75" hidden="1" x14ac:dyDescent="0.2">
      <c r="A290" s="16"/>
      <c r="B290" s="16"/>
      <c r="C290" s="15"/>
      <c r="D290" s="16"/>
      <c r="E290" s="17"/>
      <c r="F290" s="17"/>
      <c r="H290" s="19"/>
      <c r="I290" s="47"/>
      <c r="J290" s="48"/>
      <c r="K290" s="49"/>
    </row>
    <row r="291" spans="1:11" ht="12.75" hidden="1" x14ac:dyDescent="0.2">
      <c r="A291" s="16"/>
      <c r="B291" s="16"/>
      <c r="C291" s="15"/>
      <c r="D291" s="16"/>
      <c r="E291" s="17"/>
      <c r="F291" s="17"/>
      <c r="H291" s="19"/>
      <c r="I291" s="47"/>
      <c r="J291" s="48"/>
      <c r="K291" s="49"/>
    </row>
    <row r="292" spans="1:11" ht="12.75" hidden="1" x14ac:dyDescent="0.2">
      <c r="A292" s="16"/>
      <c r="B292" s="16"/>
      <c r="C292" s="15"/>
      <c r="D292" s="16"/>
      <c r="E292" s="17"/>
      <c r="F292" s="17"/>
      <c r="H292" s="19"/>
      <c r="I292" s="47"/>
      <c r="J292" s="48"/>
      <c r="K292" s="49"/>
    </row>
    <row r="293" spans="1:11" ht="12.75" hidden="1" x14ac:dyDescent="0.2">
      <c r="A293" s="16"/>
      <c r="B293" s="16"/>
      <c r="C293" s="15"/>
      <c r="D293" s="16"/>
      <c r="E293" s="17"/>
      <c r="F293" s="17"/>
      <c r="H293" s="19"/>
      <c r="I293" s="47"/>
      <c r="J293" s="48"/>
      <c r="K293" s="49"/>
    </row>
    <row r="294" spans="1:11" ht="12.75" hidden="1" x14ac:dyDescent="0.2">
      <c r="A294" s="16"/>
      <c r="B294" s="16"/>
      <c r="C294" s="15"/>
      <c r="D294" s="16"/>
      <c r="E294" s="17"/>
      <c r="F294" s="17"/>
      <c r="H294" s="19"/>
      <c r="I294" s="47"/>
      <c r="J294" s="48"/>
      <c r="K294" s="49"/>
    </row>
    <row r="295" spans="1:11" ht="12.75" hidden="1" x14ac:dyDescent="0.2">
      <c r="A295" s="16"/>
      <c r="B295" s="16"/>
      <c r="C295" s="15"/>
      <c r="D295" s="16"/>
      <c r="E295" s="17"/>
      <c r="F295" s="17"/>
      <c r="H295" s="19"/>
      <c r="I295" s="47"/>
      <c r="J295" s="48"/>
      <c r="K295" s="49"/>
    </row>
    <row r="296" spans="1:11" ht="12.75" hidden="1" x14ac:dyDescent="0.2">
      <c r="A296" s="16"/>
      <c r="B296" s="16"/>
      <c r="C296" s="15"/>
      <c r="D296" s="16"/>
      <c r="E296" s="17"/>
      <c r="F296" s="17"/>
      <c r="H296" s="19"/>
      <c r="I296" s="47"/>
      <c r="J296" s="48"/>
      <c r="K296" s="49"/>
    </row>
    <row r="297" spans="1:11" ht="12.75" hidden="1" x14ac:dyDescent="0.2">
      <c r="A297" s="16"/>
      <c r="B297" s="16"/>
      <c r="C297" s="15"/>
      <c r="D297" s="16"/>
      <c r="E297" s="17"/>
      <c r="F297" s="17"/>
      <c r="H297" s="19"/>
      <c r="I297" s="47"/>
      <c r="J297" s="48"/>
      <c r="K297" s="49"/>
    </row>
    <row r="298" spans="1:11" ht="12.75" hidden="1" x14ac:dyDescent="0.2">
      <c r="A298" s="16"/>
      <c r="B298" s="16"/>
      <c r="C298" s="15"/>
      <c r="D298" s="16"/>
      <c r="E298" s="17"/>
      <c r="F298" s="17"/>
      <c r="H298" s="19"/>
      <c r="I298" s="47"/>
      <c r="J298" s="48"/>
      <c r="K298" s="49"/>
    </row>
    <row r="299" spans="1:11" ht="12.75" hidden="1" x14ac:dyDescent="0.2">
      <c r="A299" s="16"/>
      <c r="B299" s="16"/>
      <c r="C299" s="15"/>
      <c r="D299" s="16"/>
      <c r="E299" s="17"/>
      <c r="F299" s="17"/>
      <c r="H299" s="19"/>
      <c r="I299" s="47"/>
      <c r="J299" s="48"/>
      <c r="K299" s="49"/>
    </row>
    <row r="300" spans="1:11" ht="12.75" hidden="1" x14ac:dyDescent="0.2">
      <c r="A300" s="16"/>
      <c r="B300" s="16"/>
      <c r="C300" s="15"/>
      <c r="D300" s="16"/>
      <c r="E300" s="17"/>
      <c r="F300" s="17"/>
      <c r="H300" s="19"/>
      <c r="I300" s="47"/>
      <c r="J300" s="48"/>
      <c r="K300" s="49"/>
    </row>
    <row r="301" spans="1:11" ht="12.75" hidden="1" x14ac:dyDescent="0.2">
      <c r="A301" s="16"/>
      <c r="B301" s="16"/>
      <c r="C301" s="15"/>
      <c r="D301" s="16"/>
      <c r="E301" s="17"/>
      <c r="F301" s="17"/>
      <c r="H301" s="19"/>
      <c r="I301" s="47"/>
      <c r="J301" s="48"/>
      <c r="K301" s="49"/>
    </row>
    <row r="302" spans="1:11" ht="12.75" hidden="1" x14ac:dyDescent="0.2">
      <c r="A302" s="16"/>
      <c r="B302" s="16"/>
      <c r="C302" s="15"/>
      <c r="D302" s="16"/>
      <c r="E302" s="17"/>
      <c r="F302" s="17"/>
      <c r="H302" s="19"/>
      <c r="I302" s="47"/>
      <c r="J302" s="48"/>
      <c r="K302" s="49"/>
    </row>
    <row r="303" spans="1:11" ht="12.75" hidden="1" x14ac:dyDescent="0.2">
      <c r="A303" s="16"/>
      <c r="B303" s="16"/>
      <c r="C303" s="15"/>
      <c r="D303" s="16"/>
      <c r="E303" s="17"/>
      <c r="F303" s="17"/>
      <c r="H303" s="19"/>
      <c r="I303" s="47"/>
      <c r="J303" s="48"/>
      <c r="K303" s="49"/>
    </row>
    <row r="304" spans="1:11" ht="12.75" hidden="1" x14ac:dyDescent="0.2">
      <c r="A304" s="16"/>
      <c r="B304" s="16"/>
      <c r="C304" s="15"/>
      <c r="D304" s="16"/>
      <c r="E304" s="17"/>
      <c r="F304" s="17"/>
      <c r="H304" s="19"/>
      <c r="I304" s="47"/>
      <c r="J304" s="48"/>
      <c r="K304" s="49"/>
    </row>
    <row r="305" spans="1:11" ht="12.75" hidden="1" x14ac:dyDescent="0.2">
      <c r="A305" s="16"/>
      <c r="B305" s="16"/>
      <c r="C305" s="15"/>
      <c r="D305" s="16"/>
      <c r="E305" s="17"/>
      <c r="F305" s="17"/>
      <c r="H305" s="19"/>
      <c r="I305" s="47"/>
      <c r="J305" s="48"/>
      <c r="K305" s="49"/>
    </row>
    <row r="306" spans="1:11" ht="12.75" hidden="1" x14ac:dyDescent="0.2">
      <c r="A306" s="16"/>
      <c r="B306" s="16"/>
      <c r="C306" s="15"/>
      <c r="D306" s="16"/>
      <c r="E306" s="17"/>
      <c r="F306" s="17"/>
      <c r="H306" s="19"/>
      <c r="I306" s="47"/>
      <c r="J306" s="48"/>
      <c r="K306" s="49"/>
    </row>
    <row r="307" spans="1:11" ht="12.75" hidden="1" x14ac:dyDescent="0.2">
      <c r="A307" s="16"/>
      <c r="B307" s="16"/>
      <c r="C307" s="15"/>
      <c r="D307" s="16"/>
      <c r="E307" s="17"/>
      <c r="F307" s="17"/>
      <c r="H307" s="19"/>
      <c r="I307" s="47"/>
      <c r="J307" s="48"/>
      <c r="K307" s="49"/>
    </row>
    <row r="308" spans="1:11" ht="12.75" hidden="1" x14ac:dyDescent="0.2">
      <c r="A308" s="16"/>
      <c r="B308" s="16"/>
      <c r="C308" s="15"/>
      <c r="D308" s="16"/>
      <c r="E308" s="17"/>
      <c r="F308" s="17"/>
      <c r="H308" s="19"/>
      <c r="I308" s="47"/>
      <c r="J308" s="48"/>
      <c r="K308" s="49"/>
    </row>
    <row r="309" spans="1:11" ht="12.75" hidden="1" x14ac:dyDescent="0.2">
      <c r="A309" s="16"/>
      <c r="B309" s="16"/>
      <c r="C309" s="15"/>
      <c r="D309" s="16"/>
      <c r="E309" s="17"/>
      <c r="F309" s="17"/>
      <c r="H309" s="19"/>
      <c r="I309" s="47"/>
      <c r="J309" s="48"/>
      <c r="K309" s="49"/>
    </row>
    <row r="310" spans="1:11" ht="12.75" hidden="1" x14ac:dyDescent="0.2">
      <c r="A310" s="16"/>
      <c r="B310" s="16"/>
      <c r="C310" s="15"/>
      <c r="D310" s="16"/>
      <c r="E310" s="17"/>
      <c r="F310" s="17"/>
      <c r="H310" s="19"/>
      <c r="I310" s="47"/>
      <c r="J310" s="48"/>
      <c r="K310" s="49"/>
    </row>
    <row r="311" spans="1:11" ht="12.75" hidden="1" x14ac:dyDescent="0.2">
      <c r="A311" s="16"/>
      <c r="B311" s="16"/>
      <c r="C311" s="15"/>
      <c r="D311" s="16"/>
      <c r="E311" s="17"/>
      <c r="F311" s="17"/>
      <c r="H311" s="19"/>
      <c r="I311" s="47"/>
      <c r="J311" s="48"/>
      <c r="K311" s="49"/>
    </row>
    <row r="312" spans="1:11" ht="12.75" hidden="1" x14ac:dyDescent="0.2">
      <c r="A312" s="16"/>
      <c r="B312" s="16"/>
      <c r="C312" s="15"/>
      <c r="D312" s="16"/>
      <c r="E312" s="17"/>
      <c r="F312" s="17"/>
      <c r="H312" s="19"/>
      <c r="I312" s="47"/>
      <c r="J312" s="48"/>
      <c r="K312" s="49"/>
    </row>
    <row r="313" spans="1:11" ht="12.75" hidden="1" x14ac:dyDescent="0.2">
      <c r="A313" s="16"/>
      <c r="B313" s="16"/>
      <c r="C313" s="15"/>
      <c r="D313" s="16"/>
      <c r="E313" s="17"/>
      <c r="F313" s="17"/>
      <c r="H313" s="19"/>
      <c r="I313" s="47"/>
      <c r="J313" s="48"/>
      <c r="K313" s="49"/>
    </row>
    <row r="314" spans="1:11" ht="12.75" hidden="1" x14ac:dyDescent="0.2">
      <c r="A314" s="16"/>
      <c r="B314" s="16"/>
      <c r="C314" s="15"/>
      <c r="D314" s="16"/>
      <c r="E314" s="17"/>
      <c r="F314" s="17"/>
      <c r="H314" s="19"/>
      <c r="I314" s="47"/>
      <c r="J314" s="48"/>
      <c r="K314" s="49"/>
    </row>
    <row r="315" spans="1:11" ht="12.75" hidden="1" x14ac:dyDescent="0.2">
      <c r="A315" s="16"/>
      <c r="B315" s="16"/>
      <c r="C315" s="15"/>
      <c r="D315" s="16"/>
      <c r="E315" s="17"/>
      <c r="F315" s="17"/>
      <c r="H315" s="19"/>
      <c r="I315" s="47"/>
      <c r="J315" s="48"/>
      <c r="K315" s="49"/>
    </row>
    <row r="316" spans="1:11" ht="12.75" hidden="1" x14ac:dyDescent="0.2">
      <c r="A316" s="16"/>
      <c r="B316" s="16"/>
      <c r="C316" s="15"/>
      <c r="D316" s="16"/>
      <c r="E316" s="17"/>
      <c r="F316" s="17"/>
      <c r="H316" s="19"/>
      <c r="I316" s="47"/>
      <c r="J316" s="48"/>
      <c r="K316" s="49"/>
    </row>
    <row r="317" spans="1:11" ht="12.75" hidden="1" x14ac:dyDescent="0.2">
      <c r="A317" s="16"/>
      <c r="B317" s="16"/>
      <c r="C317" s="15"/>
      <c r="D317" s="16"/>
      <c r="E317" s="17"/>
      <c r="F317" s="17"/>
      <c r="H317" s="19"/>
      <c r="I317" s="47"/>
      <c r="J317" s="48"/>
      <c r="K317" s="49"/>
    </row>
    <row r="318" spans="1:11" ht="12.75" hidden="1" x14ac:dyDescent="0.2">
      <c r="A318" s="16"/>
      <c r="B318" s="16"/>
      <c r="C318" s="15"/>
      <c r="D318" s="16"/>
      <c r="E318" s="17"/>
      <c r="F318" s="17"/>
      <c r="H318" s="19"/>
      <c r="I318" s="47"/>
      <c r="J318" s="48"/>
      <c r="K318" s="49"/>
    </row>
    <row r="319" spans="1:11" ht="12.75" hidden="1" x14ac:dyDescent="0.2">
      <c r="A319" s="16"/>
      <c r="B319" s="16"/>
      <c r="C319" s="15"/>
      <c r="D319" s="16"/>
      <c r="E319" s="17"/>
      <c r="F319" s="17"/>
      <c r="H319" s="19"/>
      <c r="I319" s="47"/>
      <c r="J319" s="48"/>
      <c r="K319" s="49"/>
    </row>
    <row r="320" spans="1:11" ht="12.75" hidden="1" x14ac:dyDescent="0.2">
      <c r="A320" s="16"/>
      <c r="B320" s="16"/>
      <c r="C320" s="15"/>
      <c r="D320" s="16"/>
      <c r="E320" s="17"/>
      <c r="F320" s="17"/>
      <c r="H320" s="19"/>
      <c r="I320" s="47"/>
      <c r="J320" s="48"/>
      <c r="K320" s="49"/>
    </row>
    <row r="321" spans="1:11" ht="12.75" hidden="1" x14ac:dyDescent="0.2">
      <c r="A321" s="16"/>
      <c r="B321" s="16"/>
      <c r="C321" s="15"/>
      <c r="D321" s="16"/>
      <c r="E321" s="17"/>
      <c r="F321" s="17"/>
      <c r="H321" s="19"/>
      <c r="I321" s="47"/>
      <c r="J321" s="48"/>
      <c r="K321" s="49"/>
    </row>
    <row r="322" spans="1:11" ht="12.75" hidden="1" x14ac:dyDescent="0.2">
      <c r="A322" s="16"/>
      <c r="B322" s="16"/>
      <c r="C322" s="15"/>
      <c r="D322" s="16"/>
      <c r="E322" s="17"/>
      <c r="F322" s="17"/>
      <c r="H322" s="19"/>
      <c r="I322" s="47"/>
      <c r="J322" s="48"/>
      <c r="K322" s="49"/>
    </row>
    <row r="323" spans="1:11" ht="12.75" hidden="1" x14ac:dyDescent="0.2">
      <c r="A323" s="16"/>
      <c r="B323" s="16"/>
      <c r="C323" s="15"/>
      <c r="D323" s="16"/>
      <c r="E323" s="17"/>
      <c r="F323" s="17"/>
      <c r="H323" s="19"/>
      <c r="I323" s="47"/>
      <c r="J323" s="48"/>
      <c r="K323" s="49"/>
    </row>
    <row r="324" spans="1:11" ht="12.75" hidden="1" x14ac:dyDescent="0.2">
      <c r="A324" s="16"/>
      <c r="B324" s="16"/>
      <c r="C324" s="15"/>
      <c r="D324" s="16"/>
      <c r="E324" s="17"/>
      <c r="F324" s="17"/>
      <c r="H324" s="19"/>
      <c r="I324" s="47"/>
      <c r="J324" s="48"/>
      <c r="K324" s="49"/>
    </row>
    <row r="325" spans="1:11" ht="12.75" hidden="1" x14ac:dyDescent="0.2">
      <c r="A325" s="16"/>
      <c r="B325" s="16"/>
      <c r="C325" s="15"/>
      <c r="D325" s="16"/>
      <c r="E325" s="17"/>
      <c r="F325" s="17"/>
      <c r="H325" s="19"/>
      <c r="I325" s="47"/>
      <c r="J325" s="48"/>
      <c r="K325" s="49"/>
    </row>
    <row r="326" spans="1:11" ht="12.75" hidden="1" x14ac:dyDescent="0.2">
      <c r="A326" s="16"/>
      <c r="B326" s="16"/>
      <c r="C326" s="15"/>
      <c r="D326" s="16"/>
      <c r="E326" s="17"/>
      <c r="F326" s="17"/>
      <c r="H326" s="19"/>
      <c r="I326" s="47"/>
      <c r="J326" s="48"/>
      <c r="K326" s="49"/>
    </row>
    <row r="327" spans="1:11" ht="12.75" hidden="1" x14ac:dyDescent="0.2">
      <c r="A327" s="16"/>
      <c r="B327" s="16"/>
      <c r="C327" s="15"/>
      <c r="D327" s="16"/>
      <c r="E327" s="17"/>
      <c r="F327" s="17"/>
      <c r="H327" s="19"/>
      <c r="I327" s="47"/>
      <c r="J327" s="48"/>
      <c r="K327" s="49"/>
    </row>
    <row r="328" spans="1:11" ht="12.75" hidden="1" x14ac:dyDescent="0.2">
      <c r="A328" s="16"/>
      <c r="B328" s="16"/>
      <c r="C328" s="15"/>
      <c r="D328" s="16"/>
      <c r="E328" s="17"/>
      <c r="F328" s="17"/>
      <c r="H328" s="19"/>
      <c r="I328" s="47"/>
      <c r="J328" s="48"/>
      <c r="K328" s="49"/>
    </row>
    <row r="329" spans="1:11" ht="12.75" hidden="1" x14ac:dyDescent="0.2">
      <c r="A329" s="16"/>
      <c r="B329" s="16"/>
      <c r="C329" s="15"/>
      <c r="D329" s="16"/>
      <c r="E329" s="17"/>
      <c r="F329" s="17"/>
      <c r="H329" s="19"/>
      <c r="I329" s="47"/>
      <c r="J329" s="48"/>
      <c r="K329" s="49"/>
    </row>
    <row r="330" spans="1:11" ht="12.75" hidden="1" x14ac:dyDescent="0.2">
      <c r="A330" s="16"/>
      <c r="B330" s="16"/>
      <c r="C330" s="15"/>
      <c r="D330" s="16"/>
      <c r="E330" s="17"/>
      <c r="F330" s="17"/>
      <c r="H330" s="19"/>
      <c r="I330" s="47"/>
      <c r="J330" s="48"/>
      <c r="K330" s="49"/>
    </row>
    <row r="331" spans="1:11" ht="12.75" hidden="1" x14ac:dyDescent="0.2">
      <c r="A331" s="16"/>
      <c r="B331" s="16"/>
      <c r="C331" s="15"/>
      <c r="D331" s="16"/>
      <c r="E331" s="17"/>
      <c r="F331" s="17"/>
      <c r="H331" s="19"/>
      <c r="I331" s="47"/>
      <c r="J331" s="48"/>
      <c r="K331" s="49"/>
    </row>
    <row r="332" spans="1:11" ht="12.75" hidden="1" x14ac:dyDescent="0.2">
      <c r="A332" s="16"/>
      <c r="B332" s="16"/>
      <c r="C332" s="15"/>
      <c r="D332" s="16"/>
      <c r="E332" s="17"/>
      <c r="F332" s="17"/>
      <c r="H332" s="19"/>
      <c r="I332" s="47"/>
      <c r="J332" s="48"/>
      <c r="K332" s="49"/>
    </row>
    <row r="333" spans="1:11" ht="12.75" hidden="1" x14ac:dyDescent="0.2">
      <c r="A333" s="16"/>
      <c r="B333" s="16"/>
      <c r="C333" s="15"/>
      <c r="D333" s="16"/>
      <c r="E333" s="17"/>
      <c r="F333" s="17"/>
      <c r="H333" s="19"/>
      <c r="I333" s="47"/>
      <c r="J333" s="48"/>
      <c r="K333" s="49"/>
    </row>
    <row r="334" spans="1:11" ht="12.75" hidden="1" x14ac:dyDescent="0.2">
      <c r="A334" s="16"/>
      <c r="B334" s="16"/>
      <c r="C334" s="15"/>
      <c r="D334" s="16"/>
      <c r="E334" s="17"/>
      <c r="F334" s="17"/>
      <c r="H334" s="19"/>
      <c r="I334" s="47"/>
      <c r="J334" s="48"/>
      <c r="K334" s="49"/>
    </row>
    <row r="335" spans="1:11" ht="12.75" hidden="1" x14ac:dyDescent="0.2">
      <c r="A335" s="16"/>
      <c r="B335" s="16"/>
      <c r="C335" s="15"/>
      <c r="D335" s="16"/>
      <c r="E335" s="17"/>
      <c r="F335" s="17"/>
      <c r="H335" s="19"/>
      <c r="I335" s="47"/>
      <c r="J335" s="48"/>
      <c r="K335" s="49"/>
    </row>
    <row r="336" spans="1:11" ht="12.75" hidden="1" x14ac:dyDescent="0.2">
      <c r="A336" s="16"/>
      <c r="B336" s="16"/>
      <c r="C336" s="15"/>
      <c r="D336" s="16"/>
      <c r="E336" s="17"/>
      <c r="F336" s="17"/>
      <c r="H336" s="19"/>
      <c r="I336" s="47"/>
      <c r="J336" s="48"/>
      <c r="K336" s="49"/>
    </row>
    <row r="337" spans="1:11" ht="12.75" hidden="1" x14ac:dyDescent="0.2">
      <c r="A337" s="16"/>
      <c r="B337" s="16"/>
      <c r="C337" s="15"/>
      <c r="D337" s="16"/>
      <c r="E337" s="17"/>
      <c r="F337" s="17"/>
      <c r="H337" s="19"/>
      <c r="I337" s="47"/>
      <c r="J337" s="48"/>
      <c r="K337" s="49"/>
    </row>
    <row r="338" spans="1:11" ht="12.75" hidden="1" x14ac:dyDescent="0.2">
      <c r="A338" s="16"/>
      <c r="B338" s="16"/>
      <c r="C338" s="15"/>
      <c r="D338" s="16"/>
      <c r="E338" s="17"/>
      <c r="F338" s="17"/>
      <c r="H338" s="19"/>
      <c r="I338" s="47"/>
      <c r="J338" s="48"/>
      <c r="K338" s="49"/>
    </row>
    <row r="339" spans="1:11" ht="12.75" hidden="1" x14ac:dyDescent="0.2">
      <c r="A339" s="16"/>
      <c r="B339" s="16"/>
      <c r="C339" s="15"/>
      <c r="D339" s="16"/>
      <c r="E339" s="17"/>
      <c r="F339" s="17"/>
      <c r="H339" s="19"/>
      <c r="I339" s="47"/>
      <c r="J339" s="48"/>
      <c r="K339" s="49"/>
    </row>
    <row r="340" spans="1:11" ht="12.75" hidden="1" x14ac:dyDescent="0.2">
      <c r="A340" s="16"/>
      <c r="B340" s="16"/>
      <c r="C340" s="15"/>
      <c r="D340" s="16"/>
      <c r="E340" s="17"/>
      <c r="F340" s="17"/>
      <c r="H340" s="19"/>
      <c r="I340" s="47"/>
      <c r="J340" s="48"/>
      <c r="K340" s="49"/>
    </row>
    <row r="341" spans="1:11" ht="12.75" hidden="1" x14ac:dyDescent="0.2">
      <c r="A341" s="16"/>
      <c r="B341" s="16"/>
      <c r="C341" s="15"/>
      <c r="D341" s="16"/>
      <c r="E341" s="17"/>
      <c r="F341" s="17"/>
      <c r="H341" s="19"/>
      <c r="I341" s="47"/>
      <c r="J341" s="48"/>
      <c r="K341" s="49"/>
    </row>
    <row r="342" spans="1:11" ht="12.75" hidden="1" x14ac:dyDescent="0.2">
      <c r="A342" s="16"/>
      <c r="B342" s="16"/>
      <c r="C342" s="15"/>
      <c r="D342" s="16"/>
      <c r="E342" s="17"/>
      <c r="F342" s="17"/>
      <c r="H342" s="19"/>
      <c r="I342" s="47"/>
      <c r="J342" s="48"/>
      <c r="K342" s="49"/>
    </row>
    <row r="343" spans="1:11" ht="12.75" hidden="1" x14ac:dyDescent="0.2">
      <c r="A343" s="16"/>
      <c r="B343" s="16"/>
      <c r="C343" s="15"/>
      <c r="D343" s="16"/>
      <c r="E343" s="17"/>
      <c r="F343" s="17"/>
      <c r="H343" s="19"/>
      <c r="I343" s="47"/>
      <c r="J343" s="48"/>
      <c r="K343" s="49"/>
    </row>
    <row r="344" spans="1:11" ht="12.75" hidden="1" x14ac:dyDescent="0.2">
      <c r="A344" s="16"/>
      <c r="B344" s="16"/>
      <c r="C344" s="15"/>
      <c r="D344" s="16"/>
      <c r="E344" s="17"/>
      <c r="F344" s="17"/>
      <c r="H344" s="19"/>
      <c r="I344" s="47"/>
      <c r="J344" s="48"/>
      <c r="K344" s="49"/>
    </row>
    <row r="345" spans="1:11" ht="12.75" hidden="1" x14ac:dyDescent="0.2">
      <c r="A345" s="16"/>
      <c r="B345" s="16"/>
      <c r="C345" s="15"/>
      <c r="D345" s="16"/>
      <c r="E345" s="17"/>
      <c r="F345" s="17"/>
      <c r="H345" s="19"/>
      <c r="I345" s="47"/>
      <c r="J345" s="48"/>
      <c r="K345" s="49"/>
    </row>
    <row r="346" spans="1:11" ht="12.75" hidden="1" x14ac:dyDescent="0.2">
      <c r="A346" s="16"/>
      <c r="B346" s="16"/>
      <c r="C346" s="15"/>
      <c r="D346" s="16"/>
      <c r="E346" s="17"/>
      <c r="F346" s="17"/>
      <c r="H346" s="19"/>
      <c r="I346" s="47"/>
      <c r="J346" s="48"/>
      <c r="K346" s="49"/>
    </row>
    <row r="347" spans="1:11" ht="12.75" hidden="1" x14ac:dyDescent="0.2">
      <c r="A347" s="16"/>
      <c r="B347" s="16"/>
      <c r="C347" s="15"/>
      <c r="D347" s="16"/>
      <c r="E347" s="17"/>
      <c r="F347" s="17"/>
      <c r="H347" s="19"/>
      <c r="I347" s="47"/>
      <c r="J347" s="48"/>
      <c r="K347" s="49"/>
    </row>
    <row r="348" spans="1:11" ht="12.75" hidden="1" x14ac:dyDescent="0.2">
      <c r="A348" s="16"/>
      <c r="B348" s="16"/>
      <c r="C348" s="15"/>
      <c r="D348" s="16"/>
      <c r="E348" s="17"/>
      <c r="F348" s="17"/>
      <c r="H348" s="19"/>
      <c r="I348" s="47"/>
      <c r="J348" s="48"/>
      <c r="K348" s="49"/>
    </row>
    <row r="349" spans="1:11" ht="12.75" hidden="1" x14ac:dyDescent="0.2">
      <c r="A349" s="16"/>
      <c r="B349" s="16"/>
      <c r="C349" s="15"/>
      <c r="D349" s="16"/>
      <c r="E349" s="17"/>
      <c r="F349" s="17"/>
      <c r="H349" s="19"/>
      <c r="I349" s="47"/>
      <c r="J349" s="48"/>
      <c r="K349" s="49"/>
    </row>
    <row r="350" spans="1:11" ht="12.75" hidden="1" x14ac:dyDescent="0.2">
      <c r="A350" s="16"/>
      <c r="B350" s="16"/>
      <c r="C350" s="15"/>
      <c r="D350" s="16"/>
      <c r="E350" s="17"/>
      <c r="F350" s="17"/>
      <c r="H350" s="19"/>
      <c r="I350" s="47"/>
      <c r="J350" s="48"/>
      <c r="K350" s="49"/>
    </row>
    <row r="351" spans="1:11" ht="12.75" hidden="1" x14ac:dyDescent="0.2">
      <c r="A351" s="16"/>
      <c r="B351" s="16"/>
      <c r="C351" s="15"/>
      <c r="D351" s="16"/>
      <c r="E351" s="17"/>
      <c r="F351" s="17"/>
      <c r="H351" s="19"/>
      <c r="I351" s="47"/>
      <c r="J351" s="48"/>
      <c r="K351" s="49"/>
    </row>
    <row r="352" spans="1:11" ht="12.75" hidden="1" x14ac:dyDescent="0.2">
      <c r="A352" s="16"/>
      <c r="B352" s="16"/>
      <c r="C352" s="15"/>
      <c r="D352" s="16"/>
      <c r="E352" s="17"/>
      <c r="F352" s="17"/>
      <c r="H352" s="19"/>
      <c r="I352" s="47"/>
      <c r="J352" s="48"/>
      <c r="K352" s="49"/>
    </row>
    <row r="353" spans="1:11" ht="12.75" hidden="1" x14ac:dyDescent="0.2">
      <c r="A353" s="16"/>
      <c r="B353" s="16"/>
      <c r="C353" s="15"/>
      <c r="D353" s="16"/>
      <c r="E353" s="17"/>
      <c r="F353" s="17"/>
      <c r="H353" s="19"/>
      <c r="I353" s="47"/>
      <c r="J353" s="48"/>
      <c r="K353" s="49"/>
    </row>
    <row r="354" spans="1:11" ht="12.75" hidden="1" x14ac:dyDescent="0.2">
      <c r="A354" s="16"/>
      <c r="B354" s="16"/>
      <c r="C354" s="15"/>
      <c r="D354" s="16"/>
      <c r="E354" s="17"/>
      <c r="F354" s="17"/>
      <c r="H354" s="19"/>
      <c r="I354" s="47"/>
      <c r="J354" s="48"/>
      <c r="K354" s="49"/>
    </row>
    <row r="355" spans="1:11" ht="12.75" hidden="1" x14ac:dyDescent="0.2">
      <c r="A355" s="16"/>
      <c r="B355" s="16"/>
      <c r="C355" s="15"/>
      <c r="D355" s="16"/>
      <c r="E355" s="17"/>
      <c r="F355" s="17"/>
      <c r="H355" s="19"/>
      <c r="I355" s="47"/>
      <c r="J355" s="48"/>
      <c r="K355" s="49"/>
    </row>
    <row r="356" spans="1:11" ht="12.75" hidden="1" x14ac:dyDescent="0.2">
      <c r="A356" s="16"/>
      <c r="B356" s="16"/>
      <c r="C356" s="15"/>
      <c r="D356" s="16"/>
      <c r="E356" s="17"/>
      <c r="F356" s="17"/>
      <c r="H356" s="19"/>
      <c r="I356" s="47"/>
      <c r="J356" s="48"/>
      <c r="K356" s="49"/>
    </row>
    <row r="357" spans="1:11" ht="12.75" hidden="1" x14ac:dyDescent="0.2">
      <c r="A357" s="16"/>
      <c r="B357" s="16"/>
      <c r="C357" s="15"/>
      <c r="D357" s="16"/>
      <c r="E357" s="17"/>
      <c r="F357" s="17"/>
      <c r="H357" s="19"/>
      <c r="I357" s="47"/>
      <c r="J357" s="48"/>
      <c r="K357" s="49"/>
    </row>
    <row r="358" spans="1:11" ht="12.75" hidden="1" x14ac:dyDescent="0.2">
      <c r="A358" s="16"/>
      <c r="B358" s="16"/>
      <c r="C358" s="15"/>
      <c r="D358" s="16"/>
      <c r="E358" s="17"/>
      <c r="F358" s="17"/>
      <c r="H358" s="19"/>
      <c r="I358" s="47"/>
      <c r="J358" s="48"/>
      <c r="K358" s="49"/>
    </row>
    <row r="359" spans="1:11" ht="12.75" hidden="1" x14ac:dyDescent="0.2">
      <c r="A359" s="16"/>
      <c r="B359" s="16"/>
      <c r="C359" s="15"/>
      <c r="D359" s="16"/>
      <c r="E359" s="17"/>
      <c r="F359" s="17"/>
      <c r="H359" s="19"/>
      <c r="I359" s="47"/>
      <c r="J359" s="48"/>
      <c r="K359" s="49"/>
    </row>
    <row r="360" spans="1:11" ht="12.75" hidden="1" x14ac:dyDescent="0.2">
      <c r="A360" s="16"/>
      <c r="B360" s="16"/>
      <c r="C360" s="15"/>
      <c r="D360" s="16"/>
      <c r="E360" s="17"/>
      <c r="F360" s="17"/>
      <c r="H360" s="19"/>
      <c r="I360" s="47"/>
      <c r="J360" s="48"/>
      <c r="K360" s="49"/>
    </row>
    <row r="361" spans="1:11" ht="12.75" hidden="1" x14ac:dyDescent="0.2">
      <c r="A361" s="16"/>
      <c r="B361" s="16"/>
      <c r="C361" s="15"/>
      <c r="D361" s="16"/>
      <c r="E361" s="17"/>
      <c r="F361" s="17"/>
      <c r="H361" s="19"/>
      <c r="I361" s="47"/>
      <c r="J361" s="48"/>
      <c r="K361" s="49"/>
    </row>
    <row r="362" spans="1:11" ht="12.75" hidden="1" x14ac:dyDescent="0.2">
      <c r="A362" s="16"/>
      <c r="B362" s="16"/>
      <c r="C362" s="15"/>
      <c r="D362" s="16"/>
      <c r="E362" s="17"/>
      <c r="F362" s="17"/>
      <c r="H362" s="19"/>
      <c r="I362" s="47"/>
      <c r="J362" s="48"/>
      <c r="K362" s="49"/>
    </row>
    <row r="363" spans="1:11" ht="12.75" hidden="1" x14ac:dyDescent="0.2">
      <c r="A363" s="16"/>
      <c r="B363" s="16"/>
      <c r="C363" s="15"/>
      <c r="D363" s="16"/>
      <c r="E363" s="17"/>
      <c r="F363" s="17"/>
      <c r="H363" s="19"/>
      <c r="I363" s="47"/>
      <c r="J363" s="48"/>
      <c r="K363" s="49"/>
    </row>
    <row r="364" spans="1:11" ht="12.75" hidden="1" x14ac:dyDescent="0.2">
      <c r="A364" s="16"/>
      <c r="B364" s="16"/>
      <c r="C364" s="15"/>
      <c r="D364" s="16"/>
      <c r="E364" s="17"/>
      <c r="F364" s="17"/>
      <c r="H364" s="19"/>
      <c r="I364" s="47"/>
      <c r="J364" s="48"/>
      <c r="K364" s="49"/>
    </row>
    <row r="365" spans="1:11" ht="12.75" hidden="1" x14ac:dyDescent="0.2">
      <c r="A365" s="16"/>
      <c r="B365" s="16"/>
      <c r="C365" s="15"/>
      <c r="D365" s="16"/>
      <c r="E365" s="17"/>
      <c r="F365" s="17"/>
      <c r="H365" s="19"/>
      <c r="I365" s="47"/>
      <c r="J365" s="48"/>
      <c r="K365" s="49"/>
    </row>
    <row r="366" spans="1:11" ht="12.75" hidden="1" x14ac:dyDescent="0.2">
      <c r="A366" s="16"/>
      <c r="B366" s="16"/>
      <c r="C366" s="15"/>
      <c r="D366" s="16"/>
      <c r="E366" s="17"/>
      <c r="F366" s="17"/>
      <c r="H366" s="19"/>
      <c r="I366" s="47"/>
      <c r="J366" s="48"/>
      <c r="K366" s="49"/>
    </row>
    <row r="367" spans="1:11" ht="12.75" hidden="1" x14ac:dyDescent="0.2">
      <c r="A367" s="16"/>
      <c r="B367" s="16"/>
      <c r="C367" s="15"/>
      <c r="D367" s="16"/>
      <c r="E367" s="17"/>
      <c r="F367" s="17"/>
      <c r="H367" s="19"/>
      <c r="I367" s="47"/>
      <c r="J367" s="48"/>
      <c r="K367" s="49"/>
    </row>
    <row r="368" spans="1:11" ht="12.75" hidden="1" x14ac:dyDescent="0.2">
      <c r="A368" s="16"/>
      <c r="B368" s="16"/>
      <c r="C368" s="15"/>
      <c r="D368" s="16"/>
      <c r="E368" s="17"/>
      <c r="F368" s="17"/>
      <c r="H368" s="19"/>
      <c r="I368" s="47"/>
      <c r="J368" s="48"/>
      <c r="K368" s="49"/>
    </row>
    <row r="369" spans="1:11" ht="12.75" hidden="1" x14ac:dyDescent="0.2">
      <c r="A369" s="16"/>
      <c r="B369" s="16"/>
      <c r="C369" s="15"/>
      <c r="D369" s="16"/>
      <c r="E369" s="17"/>
      <c r="F369" s="17"/>
      <c r="H369" s="19"/>
      <c r="I369" s="47"/>
      <c r="J369" s="48"/>
      <c r="K369" s="49"/>
    </row>
    <row r="370" spans="1:11" ht="12.75" hidden="1" x14ac:dyDescent="0.2">
      <c r="A370" s="16"/>
      <c r="B370" s="16"/>
      <c r="C370" s="15"/>
      <c r="D370" s="16"/>
      <c r="E370" s="17"/>
      <c r="F370" s="17"/>
      <c r="H370" s="19"/>
      <c r="I370" s="47"/>
      <c r="J370" s="48"/>
      <c r="K370" s="49"/>
    </row>
    <row r="371" spans="1:11" ht="12.75" hidden="1" x14ac:dyDescent="0.2">
      <c r="A371" s="16"/>
      <c r="B371" s="16"/>
      <c r="C371" s="15"/>
      <c r="D371" s="16"/>
      <c r="E371" s="17"/>
      <c r="F371" s="17"/>
      <c r="H371" s="19"/>
      <c r="I371" s="47"/>
      <c r="J371" s="48"/>
      <c r="K371" s="49"/>
    </row>
    <row r="372" spans="1:11" ht="12.75" hidden="1" x14ac:dyDescent="0.2">
      <c r="A372" s="16"/>
      <c r="B372" s="16"/>
      <c r="C372" s="15"/>
      <c r="D372" s="16"/>
      <c r="E372" s="17"/>
      <c r="F372" s="17"/>
      <c r="H372" s="19"/>
      <c r="I372" s="47"/>
      <c r="J372" s="48"/>
      <c r="K372" s="49"/>
    </row>
    <row r="373" spans="1:11" ht="12.75" hidden="1" x14ac:dyDescent="0.2">
      <c r="A373" s="16"/>
      <c r="B373" s="16"/>
      <c r="C373" s="15"/>
      <c r="D373" s="16"/>
      <c r="E373" s="17"/>
      <c r="F373" s="17"/>
      <c r="H373" s="19"/>
      <c r="I373" s="47"/>
      <c r="J373" s="48"/>
      <c r="K373" s="49"/>
    </row>
    <row r="374" spans="1:11" ht="12.75" hidden="1" x14ac:dyDescent="0.2">
      <c r="A374" s="16"/>
      <c r="B374" s="16"/>
      <c r="C374" s="15"/>
      <c r="D374" s="16"/>
      <c r="E374" s="17"/>
      <c r="F374" s="17"/>
      <c r="H374" s="19"/>
      <c r="I374" s="47"/>
      <c r="J374" s="48"/>
      <c r="K374" s="49"/>
    </row>
    <row r="375" spans="1:11" ht="12.75" hidden="1" x14ac:dyDescent="0.2">
      <c r="A375" s="16"/>
      <c r="B375" s="16"/>
      <c r="C375" s="15"/>
      <c r="D375" s="16"/>
      <c r="E375" s="17"/>
      <c r="F375" s="17"/>
      <c r="H375" s="19"/>
      <c r="I375" s="47"/>
      <c r="J375" s="48"/>
      <c r="K375" s="49"/>
    </row>
    <row r="376" spans="1:11" ht="12.75" hidden="1" x14ac:dyDescent="0.2">
      <c r="A376" s="16"/>
      <c r="B376" s="16"/>
      <c r="C376" s="15"/>
      <c r="D376" s="16"/>
      <c r="E376" s="17"/>
      <c r="F376" s="17"/>
      <c r="H376" s="19"/>
      <c r="I376" s="47"/>
      <c r="J376" s="48"/>
      <c r="K376" s="49"/>
    </row>
    <row r="377" spans="1:11" ht="12.75" hidden="1" x14ac:dyDescent="0.2">
      <c r="A377" s="16"/>
      <c r="B377" s="16"/>
      <c r="C377" s="15"/>
      <c r="D377" s="16"/>
      <c r="E377" s="17"/>
      <c r="F377" s="17"/>
      <c r="H377" s="19"/>
      <c r="I377" s="47"/>
      <c r="J377" s="48"/>
      <c r="K377" s="49"/>
    </row>
    <row r="378" spans="1:11" ht="12.75" hidden="1" x14ac:dyDescent="0.2">
      <c r="A378" s="16"/>
      <c r="B378" s="16"/>
      <c r="C378" s="15"/>
      <c r="D378" s="16"/>
      <c r="E378" s="17"/>
      <c r="F378" s="17"/>
      <c r="H378" s="19"/>
      <c r="I378" s="47"/>
      <c r="J378" s="48"/>
      <c r="K378" s="49"/>
    </row>
    <row r="379" spans="1:11" ht="12.75" hidden="1" x14ac:dyDescent="0.2">
      <c r="A379" s="16"/>
      <c r="B379" s="16"/>
      <c r="C379" s="15"/>
      <c r="D379" s="16"/>
      <c r="E379" s="17"/>
      <c r="F379" s="17"/>
      <c r="H379" s="19"/>
      <c r="I379" s="47"/>
      <c r="J379" s="48"/>
      <c r="K379" s="49"/>
    </row>
    <row r="380" spans="1:11" ht="12.75" hidden="1" x14ac:dyDescent="0.2">
      <c r="A380" s="16"/>
      <c r="B380" s="16"/>
      <c r="C380" s="15"/>
      <c r="D380" s="16"/>
      <c r="E380" s="17"/>
      <c r="F380" s="17"/>
      <c r="H380" s="19"/>
      <c r="I380" s="47"/>
      <c r="J380" s="48"/>
      <c r="K380" s="49"/>
    </row>
    <row r="381" spans="1:11" ht="12.75" hidden="1" x14ac:dyDescent="0.2">
      <c r="A381" s="16"/>
      <c r="B381" s="16"/>
      <c r="C381" s="15"/>
      <c r="D381" s="16"/>
      <c r="E381" s="17"/>
      <c r="F381" s="17"/>
      <c r="H381" s="19"/>
      <c r="I381" s="47"/>
      <c r="J381" s="48"/>
      <c r="K381" s="49"/>
    </row>
    <row r="382" spans="1:11" ht="12.75" hidden="1" x14ac:dyDescent="0.2">
      <c r="A382" s="16"/>
      <c r="B382" s="16"/>
      <c r="C382" s="15"/>
      <c r="D382" s="16"/>
      <c r="E382" s="17"/>
      <c r="F382" s="17"/>
      <c r="H382" s="19"/>
      <c r="I382" s="47"/>
      <c r="J382" s="48"/>
      <c r="K382" s="49"/>
    </row>
    <row r="383" spans="1:11" ht="12.75" hidden="1" x14ac:dyDescent="0.2">
      <c r="A383" s="16"/>
      <c r="B383" s="16"/>
      <c r="C383" s="15"/>
      <c r="D383" s="16"/>
      <c r="E383" s="17"/>
      <c r="F383" s="17"/>
      <c r="H383" s="19"/>
      <c r="I383" s="47"/>
      <c r="J383" s="48"/>
      <c r="K383" s="49"/>
    </row>
    <row r="384" spans="1:11" ht="12.75" hidden="1" x14ac:dyDescent="0.2">
      <c r="A384" s="16"/>
      <c r="B384" s="16"/>
      <c r="C384" s="15"/>
      <c r="D384" s="16"/>
      <c r="E384" s="17"/>
      <c r="F384" s="17"/>
      <c r="H384" s="19"/>
      <c r="I384" s="47"/>
      <c r="J384" s="48"/>
      <c r="K384" s="49"/>
    </row>
    <row r="385" spans="1:11" ht="12.75" hidden="1" x14ac:dyDescent="0.2">
      <c r="A385" s="16"/>
      <c r="B385" s="16"/>
      <c r="C385" s="15"/>
      <c r="D385" s="16"/>
      <c r="E385" s="17"/>
      <c r="F385" s="17"/>
      <c r="H385" s="19"/>
      <c r="I385" s="47"/>
      <c r="J385" s="48"/>
      <c r="K385" s="49"/>
    </row>
    <row r="386" spans="1:11" ht="12.75" hidden="1" x14ac:dyDescent="0.2">
      <c r="A386" s="16"/>
      <c r="B386" s="16"/>
      <c r="C386" s="15"/>
      <c r="D386" s="16"/>
      <c r="E386" s="17"/>
      <c r="F386" s="17"/>
      <c r="H386" s="19"/>
      <c r="I386" s="47"/>
      <c r="J386" s="48"/>
      <c r="K386" s="49"/>
    </row>
    <row r="387" spans="1:11" ht="12.75" hidden="1" x14ac:dyDescent="0.2">
      <c r="A387" s="16"/>
      <c r="B387" s="16"/>
      <c r="C387" s="15"/>
      <c r="D387" s="16"/>
      <c r="E387" s="17"/>
      <c r="F387" s="17"/>
      <c r="H387" s="19"/>
      <c r="I387" s="47"/>
      <c r="J387" s="48"/>
      <c r="K387" s="49"/>
    </row>
    <row r="388" spans="1:11" ht="12.75" hidden="1" x14ac:dyDescent="0.2">
      <c r="A388" s="16"/>
      <c r="B388" s="16"/>
      <c r="C388" s="15"/>
      <c r="D388" s="16"/>
      <c r="E388" s="17"/>
      <c r="F388" s="17"/>
      <c r="H388" s="19"/>
      <c r="I388" s="47"/>
      <c r="J388" s="48"/>
      <c r="K388" s="49"/>
    </row>
    <row r="389" spans="1:11" ht="12.75" hidden="1" x14ac:dyDescent="0.2">
      <c r="A389" s="16"/>
      <c r="B389" s="16"/>
      <c r="C389" s="15"/>
      <c r="D389" s="16"/>
      <c r="E389" s="17"/>
      <c r="F389" s="17"/>
      <c r="H389" s="19"/>
      <c r="I389" s="47"/>
      <c r="J389" s="48"/>
      <c r="K389" s="49"/>
    </row>
    <row r="390" spans="1:11" ht="12.75" hidden="1" x14ac:dyDescent="0.2">
      <c r="A390" s="16"/>
      <c r="B390" s="16"/>
      <c r="C390" s="15"/>
      <c r="D390" s="16"/>
      <c r="E390" s="17"/>
      <c r="F390" s="17"/>
      <c r="H390" s="19"/>
      <c r="I390" s="47"/>
      <c r="J390" s="48"/>
      <c r="K390" s="49"/>
    </row>
    <row r="391" spans="1:11" ht="12.75" hidden="1" x14ac:dyDescent="0.2">
      <c r="A391" s="16"/>
      <c r="B391" s="16"/>
      <c r="C391" s="15"/>
      <c r="D391" s="16"/>
      <c r="E391" s="17"/>
      <c r="F391" s="17"/>
      <c r="H391" s="19"/>
      <c r="I391" s="47"/>
      <c r="J391" s="48"/>
      <c r="K391" s="49"/>
    </row>
    <row r="392" spans="1:11" ht="12.75" hidden="1" x14ac:dyDescent="0.2">
      <c r="A392" s="16"/>
      <c r="B392" s="16"/>
      <c r="C392" s="15"/>
      <c r="D392" s="16"/>
      <c r="E392" s="17"/>
      <c r="F392" s="17"/>
      <c r="H392" s="19"/>
      <c r="I392" s="47"/>
      <c r="J392" s="48"/>
      <c r="K392" s="49"/>
    </row>
    <row r="393" spans="1:11" ht="12.75" hidden="1" x14ac:dyDescent="0.2">
      <c r="A393" s="16"/>
      <c r="B393" s="16"/>
      <c r="C393" s="15"/>
      <c r="D393" s="16"/>
      <c r="E393" s="17"/>
      <c r="F393" s="17"/>
      <c r="H393" s="19"/>
      <c r="I393" s="47"/>
      <c r="J393" s="48"/>
      <c r="K393" s="49"/>
    </row>
    <row r="394" spans="1:11" ht="12.75" hidden="1" x14ac:dyDescent="0.2">
      <c r="A394" s="16"/>
      <c r="B394" s="16"/>
      <c r="C394" s="15"/>
      <c r="D394" s="16"/>
      <c r="E394" s="17"/>
      <c r="F394" s="17"/>
      <c r="H394" s="19"/>
      <c r="I394" s="47"/>
      <c r="J394" s="48"/>
      <c r="K394" s="49"/>
    </row>
    <row r="395" spans="1:11" ht="12.75" hidden="1" x14ac:dyDescent="0.2">
      <c r="A395" s="16"/>
      <c r="B395" s="16"/>
      <c r="C395" s="15"/>
      <c r="D395" s="16"/>
      <c r="E395" s="17"/>
      <c r="F395" s="17"/>
      <c r="H395" s="19"/>
      <c r="I395" s="47"/>
      <c r="J395" s="48"/>
      <c r="K395" s="49"/>
    </row>
    <row r="396" spans="1:11" ht="12.75" hidden="1" x14ac:dyDescent="0.2">
      <c r="A396" s="16"/>
      <c r="B396" s="16"/>
      <c r="C396" s="15"/>
      <c r="D396" s="16"/>
      <c r="E396" s="17"/>
      <c r="F396" s="17"/>
      <c r="H396" s="19"/>
      <c r="I396" s="47"/>
      <c r="J396" s="48"/>
      <c r="K396" s="49"/>
    </row>
    <row r="397" spans="1:11" ht="12.75" hidden="1" x14ac:dyDescent="0.2">
      <c r="A397" s="16"/>
      <c r="B397" s="16"/>
      <c r="C397" s="15"/>
      <c r="D397" s="16"/>
      <c r="E397" s="17"/>
      <c r="F397" s="17"/>
      <c r="H397" s="19"/>
      <c r="I397" s="47"/>
      <c r="J397" s="48"/>
      <c r="K397" s="49"/>
    </row>
    <row r="398" spans="1:11" ht="12.75" hidden="1" x14ac:dyDescent="0.2">
      <c r="A398" s="16"/>
      <c r="B398" s="16"/>
      <c r="C398" s="15"/>
      <c r="D398" s="16"/>
      <c r="E398" s="17"/>
      <c r="F398" s="17"/>
      <c r="H398" s="19"/>
      <c r="I398" s="47"/>
      <c r="J398" s="48"/>
      <c r="K398" s="49"/>
    </row>
    <row r="399" spans="1:11" ht="12.75" hidden="1" x14ac:dyDescent="0.2">
      <c r="A399" s="16"/>
      <c r="B399" s="16"/>
      <c r="C399" s="15"/>
      <c r="D399" s="16"/>
      <c r="E399" s="17"/>
      <c r="F399" s="17"/>
      <c r="H399" s="19"/>
      <c r="I399" s="47"/>
      <c r="J399" s="48"/>
      <c r="K399" s="49"/>
    </row>
    <row r="400" spans="1:11" ht="12.75" hidden="1" x14ac:dyDescent="0.2">
      <c r="A400" s="16"/>
      <c r="B400" s="16"/>
      <c r="C400" s="15"/>
      <c r="D400" s="16"/>
      <c r="E400" s="17"/>
      <c r="F400" s="17"/>
      <c r="H400" s="19"/>
      <c r="I400" s="47"/>
      <c r="J400" s="48"/>
      <c r="K400" s="49"/>
    </row>
    <row r="401" spans="1:11" ht="12.75" hidden="1" x14ac:dyDescent="0.2">
      <c r="A401" s="16"/>
      <c r="B401" s="16"/>
      <c r="C401" s="15"/>
      <c r="D401" s="16"/>
      <c r="E401" s="17"/>
      <c r="F401" s="17"/>
      <c r="H401" s="19"/>
      <c r="I401" s="47"/>
      <c r="J401" s="48"/>
      <c r="K401" s="49"/>
    </row>
    <row r="402" spans="1:11" ht="12.75" hidden="1" x14ac:dyDescent="0.2">
      <c r="A402" s="16"/>
      <c r="B402" s="16"/>
      <c r="C402" s="15"/>
      <c r="D402" s="16"/>
      <c r="E402" s="17"/>
      <c r="F402" s="17"/>
      <c r="H402" s="19"/>
      <c r="I402" s="47"/>
      <c r="J402" s="48"/>
      <c r="K402" s="49"/>
    </row>
    <row r="403" spans="1:11" ht="12.75" hidden="1" x14ac:dyDescent="0.2">
      <c r="A403" s="16"/>
      <c r="B403" s="16"/>
      <c r="C403" s="15"/>
      <c r="D403" s="16"/>
      <c r="E403" s="17"/>
      <c r="F403" s="17"/>
      <c r="H403" s="19"/>
      <c r="I403" s="47"/>
      <c r="J403" s="48"/>
      <c r="K403" s="49"/>
    </row>
    <row r="404" spans="1:11" ht="12.75" hidden="1" x14ac:dyDescent="0.2">
      <c r="A404" s="16"/>
      <c r="B404" s="16"/>
      <c r="C404" s="15"/>
      <c r="D404" s="16"/>
      <c r="E404" s="17"/>
      <c r="F404" s="17"/>
      <c r="H404" s="19"/>
      <c r="I404" s="47"/>
      <c r="J404" s="48"/>
      <c r="K404" s="49"/>
    </row>
    <row r="405" spans="1:11" ht="12.75" hidden="1" x14ac:dyDescent="0.2">
      <c r="A405" s="16"/>
      <c r="B405" s="16"/>
      <c r="C405" s="15"/>
      <c r="D405" s="16"/>
      <c r="E405" s="17"/>
      <c r="F405" s="17"/>
      <c r="H405" s="19"/>
      <c r="I405" s="47"/>
      <c r="J405" s="48"/>
      <c r="K405" s="49"/>
    </row>
    <row r="406" spans="1:11" ht="12.75" hidden="1" x14ac:dyDescent="0.2">
      <c r="A406" s="16"/>
      <c r="B406" s="16"/>
      <c r="C406" s="15"/>
      <c r="D406" s="16"/>
      <c r="E406" s="17"/>
      <c r="F406" s="17"/>
      <c r="H406" s="19"/>
      <c r="I406" s="47"/>
      <c r="J406" s="48"/>
      <c r="K406" s="49"/>
    </row>
    <row r="407" spans="1:11" ht="12.75" hidden="1" x14ac:dyDescent="0.2">
      <c r="A407" s="16"/>
      <c r="B407" s="16"/>
      <c r="C407" s="15"/>
      <c r="D407" s="16"/>
      <c r="E407" s="17"/>
      <c r="F407" s="17"/>
      <c r="H407" s="19"/>
      <c r="I407" s="47"/>
      <c r="J407" s="48"/>
      <c r="K407" s="49"/>
    </row>
    <row r="408" spans="1:11" ht="12.75" hidden="1" x14ac:dyDescent="0.2">
      <c r="A408" s="16"/>
      <c r="B408" s="16"/>
      <c r="C408" s="15"/>
      <c r="D408" s="16"/>
      <c r="E408" s="17"/>
      <c r="F408" s="17"/>
      <c r="H408" s="19"/>
      <c r="I408" s="47"/>
      <c r="J408" s="48"/>
      <c r="K408" s="49"/>
    </row>
    <row r="409" spans="1:11" ht="12.75" hidden="1" x14ac:dyDescent="0.2">
      <c r="A409" s="16"/>
      <c r="B409" s="16"/>
      <c r="C409" s="15"/>
      <c r="D409" s="16"/>
      <c r="E409" s="17"/>
      <c r="F409" s="17"/>
      <c r="H409" s="19"/>
      <c r="I409" s="47"/>
      <c r="J409" s="48"/>
      <c r="K409" s="49"/>
    </row>
    <row r="410" spans="1:11" ht="12.75" hidden="1" x14ac:dyDescent="0.2">
      <c r="A410" s="16"/>
      <c r="B410" s="16"/>
      <c r="C410" s="15"/>
      <c r="D410" s="16"/>
      <c r="E410" s="17"/>
      <c r="F410" s="17"/>
      <c r="H410" s="19"/>
      <c r="I410" s="47"/>
      <c r="J410" s="48"/>
      <c r="K410" s="49"/>
    </row>
    <row r="411" spans="1:11" ht="12.75" hidden="1" x14ac:dyDescent="0.2">
      <c r="A411" s="16"/>
      <c r="B411" s="16"/>
      <c r="C411" s="15"/>
      <c r="D411" s="16"/>
      <c r="E411" s="17"/>
      <c r="F411" s="17"/>
      <c r="H411" s="19"/>
      <c r="I411" s="47"/>
      <c r="J411" s="48"/>
      <c r="K411" s="49"/>
    </row>
    <row r="412" spans="1:11" ht="12.75" hidden="1" x14ac:dyDescent="0.2">
      <c r="A412" s="16"/>
      <c r="B412" s="16"/>
      <c r="C412" s="15"/>
      <c r="D412" s="16"/>
      <c r="E412" s="17"/>
      <c r="F412" s="17"/>
      <c r="H412" s="19"/>
      <c r="I412" s="47"/>
      <c r="J412" s="48"/>
      <c r="K412" s="49"/>
    </row>
    <row r="413" spans="1:11" ht="12.75" hidden="1" x14ac:dyDescent="0.2">
      <c r="A413" s="16"/>
      <c r="B413" s="16"/>
      <c r="C413" s="15"/>
      <c r="D413" s="16"/>
      <c r="E413" s="17"/>
      <c r="F413" s="17"/>
      <c r="H413" s="19"/>
      <c r="I413" s="47"/>
      <c r="J413" s="48"/>
      <c r="K413" s="49"/>
    </row>
    <row r="414" spans="1:11" ht="12.75" hidden="1" x14ac:dyDescent="0.2">
      <c r="A414" s="16"/>
      <c r="B414" s="16"/>
      <c r="C414" s="15"/>
      <c r="D414" s="16"/>
      <c r="E414" s="17"/>
      <c r="F414" s="17"/>
      <c r="H414" s="19"/>
      <c r="I414" s="47"/>
      <c r="J414" s="48"/>
      <c r="K414" s="49"/>
    </row>
    <row r="415" spans="1:11" ht="12.75" hidden="1" x14ac:dyDescent="0.2">
      <c r="A415" s="16"/>
      <c r="B415" s="16"/>
      <c r="C415" s="15"/>
      <c r="D415" s="16"/>
      <c r="E415" s="17"/>
      <c r="F415" s="17"/>
      <c r="H415" s="19"/>
      <c r="I415" s="47"/>
      <c r="J415" s="48"/>
      <c r="K415" s="49"/>
    </row>
    <row r="416" spans="1:11" ht="12.75" hidden="1" x14ac:dyDescent="0.2">
      <c r="A416" s="16"/>
      <c r="B416" s="16"/>
      <c r="C416" s="15"/>
      <c r="D416" s="16"/>
      <c r="E416" s="17"/>
      <c r="F416" s="17"/>
      <c r="H416" s="19"/>
      <c r="I416" s="47"/>
      <c r="J416" s="48"/>
      <c r="K416" s="49"/>
    </row>
    <row r="417" spans="1:11" ht="12.75" hidden="1" x14ac:dyDescent="0.2">
      <c r="A417" s="16"/>
      <c r="B417" s="16"/>
      <c r="C417" s="15"/>
      <c r="D417" s="16"/>
      <c r="E417" s="17"/>
      <c r="F417" s="17"/>
      <c r="H417" s="19"/>
      <c r="I417" s="47"/>
      <c r="J417" s="48"/>
      <c r="K417" s="49"/>
    </row>
    <row r="418" spans="1:11" ht="12.75" hidden="1" x14ac:dyDescent="0.2">
      <c r="A418" s="16"/>
      <c r="B418" s="16"/>
      <c r="C418" s="15"/>
      <c r="D418" s="16"/>
      <c r="E418" s="17"/>
      <c r="F418" s="17"/>
      <c r="H418" s="19"/>
      <c r="I418" s="47"/>
      <c r="J418" s="48"/>
      <c r="K418" s="49"/>
    </row>
    <row r="419" spans="1:11" ht="12.75" hidden="1" x14ac:dyDescent="0.2">
      <c r="A419" s="16"/>
      <c r="B419" s="16"/>
      <c r="C419" s="15"/>
      <c r="D419" s="16"/>
      <c r="E419" s="17"/>
      <c r="F419" s="17"/>
      <c r="H419" s="19"/>
      <c r="I419" s="47"/>
      <c r="J419" s="48"/>
      <c r="K419" s="49"/>
    </row>
    <row r="420" spans="1:11" ht="12.75" hidden="1" x14ac:dyDescent="0.2">
      <c r="A420" s="16"/>
      <c r="B420" s="16"/>
      <c r="C420" s="15"/>
      <c r="D420" s="16"/>
      <c r="E420" s="17"/>
      <c r="F420" s="17"/>
      <c r="H420" s="19"/>
      <c r="I420" s="47"/>
      <c r="J420" s="48"/>
      <c r="K420" s="49"/>
    </row>
    <row r="421" spans="1:11" ht="12.75" hidden="1" x14ac:dyDescent="0.2">
      <c r="A421" s="16"/>
      <c r="B421" s="16"/>
      <c r="C421" s="15"/>
      <c r="D421" s="16"/>
      <c r="E421" s="17"/>
      <c r="F421" s="17"/>
      <c r="H421" s="19"/>
      <c r="I421" s="47"/>
      <c r="J421" s="48"/>
      <c r="K421" s="49"/>
    </row>
    <row r="422" spans="1:11" ht="12.75" hidden="1" x14ac:dyDescent="0.2">
      <c r="A422" s="16"/>
      <c r="B422" s="16"/>
      <c r="C422" s="15"/>
      <c r="D422" s="16"/>
      <c r="E422" s="17"/>
      <c r="F422" s="17"/>
      <c r="H422" s="19"/>
      <c r="I422" s="47"/>
      <c r="J422" s="48"/>
      <c r="K422" s="49"/>
    </row>
    <row r="423" spans="1:11" ht="12.75" hidden="1" x14ac:dyDescent="0.2">
      <c r="A423" s="16"/>
      <c r="B423" s="16"/>
      <c r="C423" s="15"/>
      <c r="D423" s="16"/>
      <c r="E423" s="17"/>
      <c r="F423" s="17"/>
      <c r="H423" s="19"/>
      <c r="I423" s="47"/>
      <c r="J423" s="48"/>
      <c r="K423" s="49"/>
    </row>
    <row r="424" spans="1:11" ht="12.75" hidden="1" x14ac:dyDescent="0.2">
      <c r="A424" s="16"/>
      <c r="B424" s="16"/>
      <c r="C424" s="15"/>
      <c r="D424" s="16"/>
      <c r="E424" s="17"/>
      <c r="F424" s="17"/>
      <c r="H424" s="19"/>
      <c r="I424" s="47"/>
      <c r="J424" s="48"/>
      <c r="K424" s="49"/>
    </row>
    <row r="425" spans="1:11" ht="12.75" hidden="1" x14ac:dyDescent="0.2">
      <c r="A425" s="16"/>
      <c r="B425" s="16"/>
      <c r="C425" s="15"/>
      <c r="D425" s="16"/>
      <c r="E425" s="17"/>
      <c r="F425" s="17"/>
      <c r="H425" s="19"/>
      <c r="I425" s="47"/>
      <c r="J425" s="48"/>
      <c r="K425" s="49"/>
    </row>
    <row r="426" spans="1:11" ht="12.75" hidden="1" x14ac:dyDescent="0.2">
      <c r="A426" s="16"/>
      <c r="B426" s="16"/>
      <c r="C426" s="15"/>
      <c r="D426" s="16"/>
      <c r="E426" s="17"/>
      <c r="F426" s="17"/>
      <c r="H426" s="19"/>
      <c r="I426" s="47"/>
      <c r="J426" s="48"/>
      <c r="K426" s="49"/>
    </row>
    <row r="427" spans="1:11" ht="12.75" hidden="1" x14ac:dyDescent="0.2">
      <c r="A427" s="16"/>
      <c r="B427" s="16"/>
      <c r="C427" s="15"/>
      <c r="D427" s="16"/>
      <c r="E427" s="17"/>
      <c r="F427" s="17"/>
      <c r="H427" s="19"/>
      <c r="I427" s="47"/>
      <c r="J427" s="48"/>
      <c r="K427" s="49"/>
    </row>
    <row r="428" spans="1:11" ht="12.75" hidden="1" x14ac:dyDescent="0.2">
      <c r="A428" s="16"/>
      <c r="B428" s="16"/>
      <c r="C428" s="15"/>
      <c r="D428" s="16"/>
      <c r="E428" s="17"/>
      <c r="F428" s="17"/>
      <c r="H428" s="19"/>
      <c r="I428" s="47"/>
      <c r="J428" s="48"/>
      <c r="K428" s="49"/>
    </row>
    <row r="429" spans="1:11" ht="12.75" hidden="1" x14ac:dyDescent="0.2">
      <c r="A429" s="16"/>
      <c r="B429" s="16"/>
      <c r="C429" s="15"/>
      <c r="D429" s="16"/>
      <c r="E429" s="17"/>
      <c r="F429" s="17"/>
      <c r="H429" s="19"/>
      <c r="I429" s="47"/>
      <c r="J429" s="48"/>
      <c r="K429" s="49"/>
    </row>
    <row r="430" spans="1:11" ht="12.75" hidden="1" x14ac:dyDescent="0.2">
      <c r="A430" s="16"/>
      <c r="B430" s="16"/>
      <c r="C430" s="15"/>
      <c r="D430" s="16"/>
      <c r="E430" s="17"/>
      <c r="F430" s="17"/>
      <c r="H430" s="19"/>
      <c r="I430" s="47"/>
      <c r="J430" s="48"/>
      <c r="K430" s="49"/>
    </row>
    <row r="431" spans="1:11" ht="12.75" hidden="1" x14ac:dyDescent="0.2">
      <c r="A431" s="16"/>
      <c r="B431" s="16"/>
      <c r="C431" s="15"/>
      <c r="D431" s="16"/>
      <c r="E431" s="17"/>
      <c r="F431" s="17"/>
      <c r="H431" s="19"/>
      <c r="I431" s="47"/>
      <c r="J431" s="48"/>
      <c r="K431" s="49"/>
    </row>
    <row r="432" spans="1:11" ht="12.75" hidden="1" x14ac:dyDescent="0.2">
      <c r="A432" s="16"/>
      <c r="B432" s="16"/>
      <c r="C432" s="15"/>
      <c r="D432" s="16"/>
      <c r="E432" s="17"/>
      <c r="F432" s="17"/>
      <c r="H432" s="19"/>
      <c r="I432" s="47"/>
      <c r="J432" s="48"/>
      <c r="K432" s="49"/>
    </row>
    <row r="433" spans="1:11" ht="12.75" hidden="1" x14ac:dyDescent="0.2">
      <c r="A433" s="16"/>
      <c r="B433" s="16"/>
      <c r="C433" s="15"/>
      <c r="D433" s="16"/>
      <c r="E433" s="17"/>
      <c r="F433" s="17"/>
      <c r="H433" s="19"/>
      <c r="I433" s="47"/>
      <c r="J433" s="48"/>
      <c r="K433" s="49"/>
    </row>
    <row r="434" spans="1:11" ht="12.75" hidden="1" x14ac:dyDescent="0.2">
      <c r="A434" s="16"/>
      <c r="B434" s="16"/>
      <c r="C434" s="15"/>
      <c r="D434" s="16"/>
      <c r="E434" s="17"/>
      <c r="F434" s="17"/>
      <c r="H434" s="19"/>
      <c r="I434" s="47"/>
      <c r="J434" s="48"/>
      <c r="K434" s="49"/>
    </row>
    <row r="435" spans="1:11" ht="12.75" hidden="1" x14ac:dyDescent="0.2">
      <c r="A435" s="16"/>
      <c r="B435" s="16"/>
      <c r="C435" s="15"/>
      <c r="D435" s="16"/>
      <c r="E435" s="17"/>
      <c r="F435" s="17"/>
      <c r="H435" s="19"/>
      <c r="I435" s="47"/>
      <c r="J435" s="48"/>
      <c r="K435" s="49"/>
    </row>
    <row r="436" spans="1:11" ht="12.75" hidden="1" x14ac:dyDescent="0.2">
      <c r="A436" s="16"/>
      <c r="B436" s="16"/>
      <c r="C436" s="15"/>
      <c r="D436" s="16"/>
      <c r="E436" s="17"/>
      <c r="F436" s="17"/>
      <c r="H436" s="19"/>
      <c r="I436" s="47"/>
      <c r="J436" s="48"/>
      <c r="K436" s="49"/>
    </row>
    <row r="437" spans="1:11" ht="12.75" hidden="1" x14ac:dyDescent="0.2">
      <c r="A437" s="16"/>
      <c r="B437" s="16"/>
      <c r="C437" s="15"/>
      <c r="D437" s="16"/>
      <c r="E437" s="17"/>
      <c r="F437" s="17"/>
      <c r="H437" s="19"/>
      <c r="I437" s="47"/>
      <c r="J437" s="48"/>
      <c r="K437" s="49"/>
    </row>
    <row r="438" spans="1:11" ht="12.75" hidden="1" x14ac:dyDescent="0.2">
      <c r="A438" s="16"/>
      <c r="B438" s="16"/>
      <c r="C438" s="15"/>
      <c r="D438" s="16"/>
      <c r="E438" s="17"/>
      <c r="F438" s="17"/>
      <c r="H438" s="19"/>
      <c r="I438" s="47"/>
      <c r="J438" s="48"/>
      <c r="K438" s="49"/>
    </row>
    <row r="439" spans="1:11" ht="12.75" hidden="1" x14ac:dyDescent="0.2">
      <c r="A439" s="16"/>
      <c r="B439" s="16"/>
      <c r="C439" s="15"/>
      <c r="D439" s="16"/>
      <c r="E439" s="17"/>
      <c r="F439" s="17"/>
      <c r="H439" s="19"/>
      <c r="I439" s="47"/>
      <c r="J439" s="48"/>
      <c r="K439" s="49"/>
    </row>
    <row r="440" spans="1:11" ht="12.75" hidden="1" x14ac:dyDescent="0.2">
      <c r="A440" s="16"/>
      <c r="B440" s="16"/>
      <c r="C440" s="15"/>
      <c r="D440" s="16"/>
      <c r="E440" s="17"/>
      <c r="F440" s="17"/>
      <c r="H440" s="19"/>
      <c r="I440" s="47"/>
      <c r="J440" s="48"/>
      <c r="K440" s="49"/>
    </row>
    <row r="441" spans="1:11" ht="12.75" hidden="1" x14ac:dyDescent="0.2">
      <c r="A441" s="16"/>
      <c r="B441" s="16"/>
      <c r="C441" s="15"/>
      <c r="D441" s="16"/>
      <c r="E441" s="17"/>
      <c r="F441" s="17"/>
      <c r="H441" s="19"/>
      <c r="I441" s="47"/>
      <c r="J441" s="48"/>
      <c r="K441" s="49"/>
    </row>
    <row r="442" spans="1:11" ht="12.75" hidden="1" x14ac:dyDescent="0.2">
      <c r="A442" s="16"/>
      <c r="B442" s="16"/>
      <c r="C442" s="15"/>
      <c r="D442" s="16"/>
      <c r="E442" s="17"/>
      <c r="F442" s="17"/>
      <c r="H442" s="19"/>
      <c r="I442" s="47"/>
      <c r="J442" s="48"/>
      <c r="K442" s="49"/>
    </row>
    <row r="443" spans="1:11" ht="12.75" hidden="1" x14ac:dyDescent="0.2">
      <c r="A443" s="16"/>
      <c r="B443" s="16"/>
      <c r="C443" s="15"/>
      <c r="D443" s="16"/>
      <c r="E443" s="17"/>
      <c r="F443" s="17"/>
      <c r="H443" s="19"/>
      <c r="I443" s="47"/>
      <c r="J443" s="48"/>
      <c r="K443" s="49"/>
    </row>
    <row r="444" spans="1:11" ht="12.75" hidden="1" x14ac:dyDescent="0.2">
      <c r="A444" s="16"/>
      <c r="B444" s="16"/>
      <c r="C444" s="15"/>
      <c r="D444" s="16"/>
      <c r="E444" s="17"/>
      <c r="F444" s="17"/>
      <c r="H444" s="19"/>
      <c r="I444" s="47"/>
      <c r="J444" s="48"/>
      <c r="K444" s="49"/>
    </row>
    <row r="445" spans="1:11" ht="12.75" hidden="1" x14ac:dyDescent="0.2">
      <c r="A445" s="16"/>
      <c r="B445" s="16"/>
      <c r="C445" s="15"/>
      <c r="D445" s="16"/>
      <c r="E445" s="17"/>
      <c r="F445" s="17"/>
      <c r="H445" s="19"/>
      <c r="I445" s="47"/>
      <c r="J445" s="48"/>
      <c r="K445" s="49"/>
    </row>
    <row r="446" spans="1:11" ht="12.75" hidden="1" x14ac:dyDescent="0.2">
      <c r="A446" s="16"/>
      <c r="B446" s="16"/>
      <c r="C446" s="15"/>
      <c r="D446" s="16"/>
      <c r="E446" s="17"/>
      <c r="F446" s="17"/>
      <c r="H446" s="19"/>
      <c r="I446" s="47"/>
      <c r="J446" s="48"/>
      <c r="K446" s="49"/>
    </row>
    <row r="447" spans="1:11" ht="12.75" hidden="1" x14ac:dyDescent="0.2">
      <c r="A447" s="16"/>
      <c r="B447" s="16"/>
      <c r="C447" s="15"/>
      <c r="D447" s="16"/>
      <c r="E447" s="17"/>
      <c r="F447" s="17"/>
      <c r="H447" s="19"/>
      <c r="I447" s="47"/>
      <c r="J447" s="48"/>
      <c r="K447" s="49"/>
    </row>
    <row r="448" spans="1:11" ht="12.75" hidden="1" x14ac:dyDescent="0.2">
      <c r="A448" s="16"/>
      <c r="B448" s="16"/>
      <c r="C448" s="15"/>
      <c r="D448" s="16"/>
      <c r="E448" s="17"/>
      <c r="F448" s="17"/>
      <c r="H448" s="19"/>
      <c r="I448" s="47"/>
      <c r="J448" s="48"/>
      <c r="K448" s="49"/>
    </row>
    <row r="449" spans="1:11" ht="12.75" hidden="1" x14ac:dyDescent="0.2">
      <c r="A449" s="16"/>
      <c r="B449" s="16"/>
      <c r="C449" s="15"/>
      <c r="D449" s="16"/>
      <c r="E449" s="17"/>
      <c r="F449" s="17"/>
      <c r="H449" s="19"/>
      <c r="I449" s="47"/>
      <c r="J449" s="48"/>
      <c r="K449" s="49"/>
    </row>
    <row r="450" spans="1:11" ht="12.75" hidden="1" x14ac:dyDescent="0.2">
      <c r="A450" s="16"/>
      <c r="B450" s="16"/>
      <c r="C450" s="15"/>
      <c r="D450" s="16"/>
      <c r="E450" s="17"/>
      <c r="F450" s="17"/>
      <c r="H450" s="19"/>
      <c r="I450" s="47"/>
      <c r="J450" s="48"/>
      <c r="K450" s="49"/>
    </row>
    <row r="451" spans="1:11" ht="12.75" hidden="1" x14ac:dyDescent="0.2">
      <c r="A451" s="16"/>
      <c r="B451" s="16"/>
      <c r="C451" s="15"/>
      <c r="D451" s="16"/>
      <c r="E451" s="17"/>
      <c r="F451" s="17"/>
      <c r="H451" s="19"/>
      <c r="I451" s="47"/>
      <c r="J451" s="48"/>
      <c r="K451" s="49"/>
    </row>
    <row r="452" spans="1:11" ht="12.75" hidden="1" x14ac:dyDescent="0.2">
      <c r="A452" s="16"/>
      <c r="B452" s="16"/>
      <c r="C452" s="15"/>
      <c r="D452" s="16"/>
      <c r="E452" s="17"/>
      <c r="F452" s="17"/>
      <c r="H452" s="19"/>
      <c r="I452" s="47"/>
      <c r="J452" s="48"/>
      <c r="K452" s="49"/>
    </row>
    <row r="453" spans="1:11" ht="12.75" hidden="1" x14ac:dyDescent="0.2">
      <c r="A453" s="16"/>
      <c r="B453" s="16"/>
      <c r="C453" s="15"/>
      <c r="D453" s="16"/>
      <c r="E453" s="17"/>
      <c r="F453" s="17"/>
      <c r="H453" s="19"/>
      <c r="I453" s="47"/>
      <c r="J453" s="48"/>
      <c r="K453" s="49"/>
    </row>
    <row r="454" spans="1:11" ht="12.75" hidden="1" x14ac:dyDescent="0.2">
      <c r="A454" s="16"/>
      <c r="B454" s="16"/>
      <c r="C454" s="15"/>
      <c r="D454" s="16"/>
      <c r="E454" s="17"/>
      <c r="F454" s="17"/>
      <c r="H454" s="19"/>
      <c r="I454" s="47"/>
      <c r="J454" s="48"/>
      <c r="K454" s="49"/>
    </row>
    <row r="455" spans="1:11" ht="12.75" hidden="1" x14ac:dyDescent="0.2">
      <c r="A455" s="16"/>
      <c r="B455" s="16"/>
      <c r="C455" s="15"/>
      <c r="D455" s="16"/>
      <c r="E455" s="17"/>
      <c r="F455" s="17"/>
      <c r="H455" s="19"/>
      <c r="I455" s="47"/>
      <c r="J455" s="48"/>
      <c r="K455" s="49"/>
    </row>
    <row r="456" spans="1:11" ht="12.75" hidden="1" x14ac:dyDescent="0.2">
      <c r="A456" s="16"/>
      <c r="B456" s="16"/>
      <c r="C456" s="15"/>
      <c r="D456" s="16"/>
      <c r="E456" s="17"/>
      <c r="F456" s="17"/>
      <c r="H456" s="19"/>
      <c r="I456" s="47"/>
      <c r="J456" s="48"/>
      <c r="K456" s="49"/>
    </row>
    <row r="457" spans="1:11" ht="12.75" hidden="1" x14ac:dyDescent="0.2">
      <c r="A457" s="16"/>
      <c r="B457" s="16"/>
      <c r="C457" s="15"/>
      <c r="D457" s="16"/>
      <c r="E457" s="17"/>
      <c r="F457" s="17"/>
      <c r="H457" s="19"/>
      <c r="I457" s="47"/>
      <c r="J457" s="48"/>
      <c r="K457" s="49"/>
    </row>
    <row r="458" spans="1:11" ht="12.75" hidden="1" x14ac:dyDescent="0.2">
      <c r="A458" s="16"/>
      <c r="B458" s="16"/>
      <c r="C458" s="15"/>
      <c r="D458" s="16"/>
      <c r="E458" s="17"/>
      <c r="F458" s="17"/>
      <c r="H458" s="19"/>
      <c r="I458" s="47"/>
      <c r="J458" s="48"/>
      <c r="K458" s="49"/>
    </row>
    <row r="459" spans="1:11" ht="12.75" hidden="1" x14ac:dyDescent="0.2">
      <c r="A459" s="16"/>
      <c r="B459" s="16"/>
      <c r="C459" s="15"/>
      <c r="D459" s="16"/>
      <c r="E459" s="17"/>
      <c r="F459" s="17"/>
      <c r="H459" s="19"/>
      <c r="I459" s="47"/>
      <c r="J459" s="48"/>
      <c r="K459" s="49"/>
    </row>
    <row r="460" spans="1:11" ht="12.75" hidden="1" x14ac:dyDescent="0.2">
      <c r="A460" s="16"/>
      <c r="B460" s="16"/>
      <c r="C460" s="15"/>
      <c r="D460" s="16"/>
      <c r="E460" s="17"/>
      <c r="F460" s="17"/>
      <c r="H460" s="19"/>
      <c r="I460" s="47"/>
      <c r="J460" s="48"/>
      <c r="K460" s="49"/>
    </row>
    <row r="461" spans="1:11" ht="12.75" hidden="1" x14ac:dyDescent="0.2">
      <c r="A461" s="16"/>
      <c r="B461" s="16"/>
      <c r="C461" s="15"/>
      <c r="D461" s="16"/>
      <c r="E461" s="17"/>
      <c r="F461" s="17"/>
      <c r="H461" s="19"/>
      <c r="I461" s="47"/>
      <c r="J461" s="48"/>
      <c r="K461" s="49"/>
    </row>
    <row r="462" spans="1:11" ht="12.75" hidden="1" x14ac:dyDescent="0.2">
      <c r="A462" s="16"/>
      <c r="B462" s="16"/>
      <c r="C462" s="15"/>
      <c r="D462" s="16"/>
      <c r="E462" s="17"/>
      <c r="F462" s="17"/>
      <c r="H462" s="19"/>
      <c r="I462" s="47"/>
      <c r="J462" s="48"/>
      <c r="K462" s="49"/>
    </row>
    <row r="463" spans="1:11" ht="12.75" hidden="1" x14ac:dyDescent="0.2">
      <c r="A463" s="16"/>
      <c r="B463" s="16"/>
      <c r="C463" s="15"/>
      <c r="D463" s="16"/>
      <c r="E463" s="17"/>
      <c r="F463" s="17"/>
      <c r="H463" s="19"/>
      <c r="I463" s="47"/>
      <c r="J463" s="48"/>
      <c r="K463" s="49"/>
    </row>
    <row r="464" spans="1:11" ht="12.75" hidden="1" x14ac:dyDescent="0.2">
      <c r="A464" s="16"/>
      <c r="B464" s="16"/>
      <c r="C464" s="15"/>
      <c r="D464" s="16"/>
      <c r="E464" s="17"/>
      <c r="F464" s="17"/>
      <c r="H464" s="19"/>
      <c r="I464" s="47"/>
      <c r="J464" s="48"/>
      <c r="K464" s="49"/>
    </row>
    <row r="465" spans="1:11" ht="12.75" hidden="1" x14ac:dyDescent="0.2">
      <c r="A465" s="16"/>
      <c r="B465" s="16"/>
      <c r="C465" s="15"/>
      <c r="D465" s="16"/>
      <c r="E465" s="17"/>
      <c r="F465" s="17"/>
      <c r="H465" s="19"/>
      <c r="I465" s="47"/>
      <c r="J465" s="48"/>
      <c r="K465" s="49"/>
    </row>
    <row r="466" spans="1:11" ht="12.75" hidden="1" x14ac:dyDescent="0.2">
      <c r="A466" s="16"/>
      <c r="B466" s="16"/>
      <c r="C466" s="15"/>
      <c r="D466" s="16"/>
      <c r="E466" s="17"/>
      <c r="F466" s="17"/>
      <c r="H466" s="19"/>
      <c r="I466" s="47"/>
      <c r="J466" s="48"/>
      <c r="K466" s="49"/>
    </row>
    <row r="467" spans="1:11" ht="12.75" hidden="1" x14ac:dyDescent="0.2">
      <c r="A467" s="16"/>
      <c r="B467" s="16"/>
      <c r="C467" s="15"/>
      <c r="D467" s="16"/>
      <c r="E467" s="17"/>
      <c r="F467" s="17"/>
      <c r="H467" s="19"/>
      <c r="I467" s="47"/>
      <c r="J467" s="48"/>
      <c r="K467" s="49"/>
    </row>
    <row r="468" spans="1:11" ht="12.75" hidden="1" x14ac:dyDescent="0.2">
      <c r="A468" s="16"/>
      <c r="B468" s="16"/>
      <c r="C468" s="15"/>
      <c r="D468" s="16"/>
      <c r="E468" s="17"/>
      <c r="F468" s="17"/>
      <c r="H468" s="19"/>
      <c r="I468" s="47"/>
      <c r="J468" s="48"/>
      <c r="K468" s="49"/>
    </row>
    <row r="469" spans="1:11" ht="12.75" hidden="1" x14ac:dyDescent="0.2">
      <c r="A469" s="16"/>
      <c r="B469" s="16"/>
      <c r="C469" s="15"/>
      <c r="D469" s="16"/>
      <c r="E469" s="17"/>
      <c r="F469" s="17"/>
      <c r="H469" s="19"/>
      <c r="I469" s="47"/>
      <c r="J469" s="48"/>
      <c r="K469" s="49"/>
    </row>
    <row r="470" spans="1:11" ht="12.75" hidden="1" x14ac:dyDescent="0.2">
      <c r="A470" s="16"/>
      <c r="B470" s="16"/>
      <c r="C470" s="15"/>
      <c r="D470" s="16"/>
      <c r="E470" s="17"/>
      <c r="F470" s="17"/>
      <c r="H470" s="19"/>
      <c r="I470" s="47"/>
      <c r="J470" s="48"/>
      <c r="K470" s="49"/>
    </row>
    <row r="471" spans="1:11" ht="12.75" hidden="1" x14ac:dyDescent="0.2">
      <c r="A471" s="16"/>
      <c r="B471" s="16"/>
      <c r="C471" s="15"/>
      <c r="D471" s="16"/>
      <c r="E471" s="17"/>
      <c r="F471" s="17"/>
      <c r="H471" s="19"/>
      <c r="I471" s="47"/>
      <c r="J471" s="48"/>
      <c r="K471" s="49"/>
    </row>
    <row r="472" spans="1:11" ht="12.75" hidden="1" x14ac:dyDescent="0.2">
      <c r="A472" s="16"/>
      <c r="B472" s="16"/>
      <c r="C472" s="15"/>
      <c r="D472" s="16"/>
      <c r="E472" s="17"/>
      <c r="F472" s="17"/>
      <c r="H472" s="19"/>
      <c r="I472" s="47"/>
      <c r="J472" s="48"/>
      <c r="K472" s="49"/>
    </row>
    <row r="473" spans="1:11" ht="12.75" hidden="1" x14ac:dyDescent="0.2">
      <c r="A473" s="16"/>
      <c r="B473" s="16"/>
      <c r="C473" s="15"/>
      <c r="D473" s="16"/>
      <c r="E473" s="17"/>
      <c r="F473" s="17"/>
      <c r="H473" s="19"/>
      <c r="I473" s="47"/>
      <c r="J473" s="48"/>
      <c r="K473" s="49"/>
    </row>
    <row r="474" spans="1:11" ht="12.75" hidden="1" x14ac:dyDescent="0.2">
      <c r="A474" s="16"/>
      <c r="B474" s="16"/>
      <c r="C474" s="15"/>
      <c r="D474" s="16"/>
      <c r="E474" s="17"/>
      <c r="F474" s="17"/>
      <c r="H474" s="19"/>
      <c r="I474" s="47"/>
      <c r="J474" s="48"/>
      <c r="K474" s="49"/>
    </row>
    <row r="475" spans="1:11" ht="12.75" hidden="1" x14ac:dyDescent="0.2">
      <c r="A475" s="16"/>
      <c r="B475" s="16"/>
      <c r="C475" s="15"/>
      <c r="D475" s="16"/>
      <c r="E475" s="17"/>
      <c r="F475" s="17"/>
      <c r="H475" s="19"/>
      <c r="I475" s="47"/>
      <c r="J475" s="48"/>
      <c r="K475" s="49"/>
    </row>
    <row r="476" spans="1:11" ht="12.75" hidden="1" x14ac:dyDescent="0.2">
      <c r="A476" s="16"/>
      <c r="B476" s="16"/>
      <c r="C476" s="15"/>
      <c r="D476" s="16"/>
      <c r="E476" s="17"/>
      <c r="F476" s="17"/>
      <c r="H476" s="19"/>
      <c r="I476" s="47"/>
      <c r="J476" s="48"/>
      <c r="K476" s="49"/>
    </row>
    <row r="477" spans="1:11" ht="12.75" hidden="1" x14ac:dyDescent="0.2">
      <c r="A477" s="16"/>
      <c r="B477" s="16"/>
      <c r="C477" s="15"/>
      <c r="D477" s="16"/>
      <c r="E477" s="17"/>
      <c r="F477" s="17"/>
      <c r="H477" s="19"/>
      <c r="I477" s="47"/>
      <c r="J477" s="48"/>
      <c r="K477" s="49"/>
    </row>
    <row r="478" spans="1:11" ht="12.75" hidden="1" x14ac:dyDescent="0.2">
      <c r="A478" s="16"/>
      <c r="B478" s="16"/>
      <c r="C478" s="15"/>
      <c r="D478" s="16"/>
      <c r="E478" s="17"/>
      <c r="F478" s="17"/>
      <c r="H478" s="19"/>
      <c r="I478" s="47"/>
      <c r="J478" s="48"/>
      <c r="K478" s="49"/>
    </row>
    <row r="479" spans="1:11" ht="12.75" hidden="1" x14ac:dyDescent="0.2">
      <c r="A479" s="16"/>
      <c r="B479" s="16"/>
      <c r="C479" s="15"/>
      <c r="D479" s="16"/>
      <c r="E479" s="17"/>
      <c r="F479" s="17"/>
      <c r="H479" s="19"/>
      <c r="I479" s="47"/>
      <c r="J479" s="48"/>
      <c r="K479" s="49"/>
    </row>
    <row r="480" spans="1:11" ht="12.75" hidden="1" x14ac:dyDescent="0.2">
      <c r="A480" s="16"/>
      <c r="B480" s="16"/>
      <c r="C480" s="15"/>
      <c r="D480" s="16"/>
      <c r="E480" s="17"/>
      <c r="F480" s="17"/>
      <c r="H480" s="19"/>
      <c r="I480" s="47"/>
      <c r="J480" s="48"/>
      <c r="K480" s="49"/>
    </row>
    <row r="481" spans="1:11" ht="12.75" hidden="1" x14ac:dyDescent="0.2">
      <c r="A481" s="16"/>
      <c r="B481" s="16"/>
      <c r="C481" s="15"/>
      <c r="D481" s="16"/>
      <c r="E481" s="17"/>
      <c r="F481" s="17"/>
      <c r="H481" s="19"/>
      <c r="I481" s="47"/>
      <c r="J481" s="48"/>
      <c r="K481" s="49"/>
    </row>
    <row r="482" spans="1:11" ht="12.75" hidden="1" x14ac:dyDescent="0.2">
      <c r="A482" s="16"/>
      <c r="B482" s="16"/>
      <c r="C482" s="15"/>
      <c r="D482" s="16"/>
      <c r="E482" s="17"/>
      <c r="F482" s="17"/>
      <c r="H482" s="19"/>
      <c r="I482" s="47"/>
      <c r="J482" s="48"/>
      <c r="K482" s="49"/>
    </row>
    <row r="483" spans="1:11" ht="12.75" hidden="1" x14ac:dyDescent="0.2">
      <c r="A483" s="16"/>
      <c r="B483" s="16"/>
      <c r="C483" s="15"/>
      <c r="D483" s="16"/>
      <c r="E483" s="17"/>
      <c r="F483" s="17"/>
      <c r="H483" s="19"/>
      <c r="I483" s="47"/>
      <c r="J483" s="48"/>
      <c r="K483" s="49"/>
    </row>
    <row r="484" spans="1:11" ht="12.75" hidden="1" x14ac:dyDescent="0.2">
      <c r="A484" s="16"/>
      <c r="B484" s="16"/>
      <c r="C484" s="15"/>
      <c r="D484" s="16"/>
      <c r="E484" s="17"/>
      <c r="F484" s="17"/>
      <c r="H484" s="19"/>
      <c r="I484" s="47"/>
      <c r="J484" s="48"/>
      <c r="K484" s="49"/>
    </row>
    <row r="485" spans="1:11" ht="12.75" hidden="1" x14ac:dyDescent="0.2">
      <c r="A485" s="16"/>
      <c r="B485" s="16"/>
      <c r="C485" s="15"/>
      <c r="D485" s="16"/>
      <c r="E485" s="17"/>
      <c r="F485" s="17"/>
      <c r="H485" s="19"/>
      <c r="I485" s="47"/>
      <c r="J485" s="48"/>
      <c r="K485" s="49"/>
    </row>
    <row r="486" spans="1:11" ht="12.75" hidden="1" x14ac:dyDescent="0.2">
      <c r="A486" s="16"/>
      <c r="B486" s="16"/>
      <c r="C486" s="15"/>
      <c r="D486" s="16"/>
      <c r="E486" s="17"/>
      <c r="F486" s="17"/>
      <c r="H486" s="19"/>
      <c r="I486" s="47"/>
      <c r="J486" s="48"/>
      <c r="K486" s="49"/>
    </row>
    <row r="487" spans="1:11" ht="12.75" hidden="1" x14ac:dyDescent="0.2">
      <c r="A487" s="16"/>
      <c r="B487" s="16"/>
      <c r="C487" s="15"/>
      <c r="D487" s="16"/>
      <c r="E487" s="17"/>
      <c r="F487" s="17"/>
      <c r="H487" s="19"/>
      <c r="I487" s="47"/>
      <c r="J487" s="48"/>
      <c r="K487" s="49"/>
    </row>
    <row r="488" spans="1:11" ht="12.75" hidden="1" x14ac:dyDescent="0.2">
      <c r="A488" s="16"/>
      <c r="B488" s="16"/>
      <c r="C488" s="15"/>
      <c r="D488" s="16"/>
      <c r="E488" s="17"/>
      <c r="F488" s="17"/>
      <c r="H488" s="19"/>
      <c r="I488" s="47"/>
      <c r="J488" s="48"/>
      <c r="K488" s="49"/>
    </row>
    <row r="489" spans="1:11" ht="12.75" hidden="1" x14ac:dyDescent="0.2">
      <c r="A489" s="16"/>
      <c r="B489" s="16"/>
      <c r="C489" s="15"/>
      <c r="D489" s="16"/>
      <c r="E489" s="17"/>
      <c r="F489" s="17"/>
      <c r="H489" s="19"/>
      <c r="I489" s="47"/>
      <c r="J489" s="48"/>
      <c r="K489" s="49"/>
    </row>
    <row r="490" spans="1:11" ht="12.75" hidden="1" x14ac:dyDescent="0.2">
      <c r="A490" s="16"/>
      <c r="B490" s="16"/>
      <c r="C490" s="15"/>
      <c r="D490" s="16"/>
      <c r="E490" s="17"/>
      <c r="F490" s="17"/>
      <c r="H490" s="19"/>
      <c r="I490" s="47"/>
      <c r="J490" s="48"/>
      <c r="K490" s="49"/>
    </row>
    <row r="491" spans="1:11" ht="12.75" hidden="1" x14ac:dyDescent="0.2">
      <c r="A491" s="16"/>
      <c r="B491" s="16"/>
      <c r="C491" s="15"/>
      <c r="D491" s="16"/>
      <c r="E491" s="17"/>
      <c r="F491" s="17"/>
      <c r="H491" s="19"/>
      <c r="I491" s="47"/>
      <c r="J491" s="48"/>
      <c r="K491" s="49"/>
    </row>
    <row r="492" spans="1:11" ht="12.75" hidden="1" x14ac:dyDescent="0.2">
      <c r="A492" s="16"/>
      <c r="B492" s="16"/>
      <c r="C492" s="15"/>
      <c r="D492" s="16"/>
      <c r="E492" s="17"/>
      <c r="F492" s="17"/>
      <c r="H492" s="19"/>
      <c r="I492" s="47"/>
      <c r="J492" s="48"/>
      <c r="K492" s="49"/>
    </row>
    <row r="493" spans="1:11" ht="12.75" hidden="1" x14ac:dyDescent="0.2">
      <c r="A493" s="16"/>
      <c r="B493" s="16"/>
      <c r="C493" s="15"/>
      <c r="D493" s="16"/>
      <c r="E493" s="17"/>
      <c r="F493" s="17"/>
      <c r="H493" s="19"/>
      <c r="I493" s="47"/>
      <c r="J493" s="48"/>
      <c r="K493" s="49"/>
    </row>
    <row r="494" spans="1:11" ht="12.75" hidden="1" x14ac:dyDescent="0.2">
      <c r="A494" s="16"/>
      <c r="B494" s="16"/>
      <c r="C494" s="15"/>
      <c r="D494" s="16"/>
      <c r="E494" s="17"/>
      <c r="F494" s="17"/>
      <c r="H494" s="19"/>
      <c r="I494" s="47"/>
      <c r="J494" s="48"/>
      <c r="K494" s="49"/>
    </row>
    <row r="495" spans="1:11" ht="12.75" hidden="1" x14ac:dyDescent="0.2">
      <c r="A495" s="16"/>
      <c r="B495" s="16"/>
      <c r="C495" s="15"/>
      <c r="D495" s="16"/>
      <c r="E495" s="17"/>
      <c r="F495" s="17"/>
      <c r="H495" s="19"/>
      <c r="I495" s="47"/>
      <c r="J495" s="48"/>
      <c r="K495" s="49"/>
    </row>
    <row r="496" spans="1:11" ht="12.75" hidden="1" x14ac:dyDescent="0.2">
      <c r="A496" s="16"/>
      <c r="B496" s="16"/>
      <c r="C496" s="15"/>
      <c r="D496" s="16"/>
      <c r="E496" s="17"/>
      <c r="F496" s="17"/>
      <c r="H496" s="19"/>
      <c r="I496" s="47"/>
      <c r="J496" s="48"/>
      <c r="K496" s="49"/>
    </row>
    <row r="497" spans="1:11" ht="12.75" hidden="1" x14ac:dyDescent="0.2">
      <c r="A497" s="16"/>
      <c r="B497" s="16"/>
      <c r="C497" s="15"/>
      <c r="D497" s="16"/>
      <c r="E497" s="17"/>
      <c r="F497" s="17"/>
      <c r="H497" s="19"/>
      <c r="I497" s="47"/>
      <c r="J497" s="48"/>
      <c r="K497" s="49"/>
    </row>
    <row r="498" spans="1:11" ht="12.75" hidden="1" x14ac:dyDescent="0.2">
      <c r="A498" s="16"/>
      <c r="B498" s="16"/>
      <c r="C498" s="15"/>
      <c r="D498" s="16"/>
      <c r="E498" s="17"/>
      <c r="F498" s="17"/>
      <c r="H498" s="19"/>
      <c r="I498" s="47"/>
      <c r="J498" s="48"/>
      <c r="K498" s="49"/>
    </row>
    <row r="499" spans="1:11" ht="12.75" hidden="1" x14ac:dyDescent="0.2">
      <c r="A499" s="16"/>
      <c r="B499" s="16"/>
      <c r="C499" s="15"/>
      <c r="D499" s="16"/>
      <c r="E499" s="17"/>
      <c r="F499" s="17"/>
      <c r="H499" s="19"/>
      <c r="I499" s="47"/>
      <c r="J499" s="48"/>
      <c r="K499" s="49"/>
    </row>
    <row r="500" spans="1:11" ht="12.75" hidden="1" x14ac:dyDescent="0.2">
      <c r="A500" s="16"/>
      <c r="B500" s="16"/>
      <c r="C500" s="15"/>
      <c r="D500" s="16"/>
      <c r="E500" s="17"/>
      <c r="F500" s="17"/>
      <c r="H500" s="19"/>
      <c r="I500" s="47"/>
      <c r="J500" s="48"/>
      <c r="K500" s="49"/>
    </row>
    <row r="501" spans="1:11" ht="12.75" hidden="1" x14ac:dyDescent="0.2">
      <c r="A501" s="16"/>
      <c r="B501" s="16"/>
      <c r="C501" s="15"/>
      <c r="D501" s="16"/>
      <c r="E501" s="17"/>
      <c r="F501" s="17"/>
      <c r="H501" s="19"/>
      <c r="I501" s="47"/>
      <c r="J501" s="48"/>
      <c r="K501" s="49"/>
    </row>
    <row r="502" spans="1:11" ht="12.75" hidden="1" x14ac:dyDescent="0.2">
      <c r="A502" s="16"/>
      <c r="B502" s="16"/>
      <c r="C502" s="15"/>
      <c r="D502" s="16"/>
      <c r="E502" s="17"/>
      <c r="F502" s="17"/>
      <c r="H502" s="19"/>
      <c r="I502" s="47"/>
      <c r="J502" s="48"/>
      <c r="K502" s="49"/>
    </row>
    <row r="503" spans="1:11" ht="12.75" hidden="1" x14ac:dyDescent="0.2">
      <c r="A503" s="16"/>
      <c r="B503" s="16"/>
      <c r="C503" s="15"/>
      <c r="D503" s="16"/>
      <c r="E503" s="17"/>
      <c r="F503" s="17"/>
      <c r="H503" s="19"/>
      <c r="I503" s="47"/>
      <c r="J503" s="48"/>
      <c r="K503" s="49"/>
    </row>
    <row r="504" spans="1:11" ht="12.75" hidden="1" x14ac:dyDescent="0.2">
      <c r="A504" s="16"/>
      <c r="B504" s="16"/>
      <c r="C504" s="15"/>
      <c r="D504" s="16"/>
      <c r="E504" s="17"/>
      <c r="F504" s="17"/>
      <c r="H504" s="19"/>
      <c r="I504" s="47"/>
      <c r="J504" s="48"/>
      <c r="K504" s="49"/>
    </row>
    <row r="505" spans="1:11" ht="12.75" hidden="1" x14ac:dyDescent="0.2">
      <c r="A505" s="16"/>
      <c r="B505" s="16"/>
      <c r="C505" s="15"/>
      <c r="D505" s="16"/>
      <c r="E505" s="17"/>
      <c r="F505" s="17"/>
      <c r="H505" s="19"/>
      <c r="I505" s="47"/>
      <c r="J505" s="48"/>
      <c r="K505" s="49"/>
    </row>
    <row r="506" spans="1:11" ht="12.75" hidden="1" x14ac:dyDescent="0.2">
      <c r="A506" s="16"/>
      <c r="B506" s="16"/>
      <c r="C506" s="15"/>
      <c r="D506" s="16"/>
      <c r="E506" s="17"/>
      <c r="F506" s="17"/>
      <c r="H506" s="19"/>
      <c r="I506" s="47"/>
      <c r="J506" s="48"/>
      <c r="K506" s="49"/>
    </row>
    <row r="507" spans="1:11" ht="12.75" hidden="1" x14ac:dyDescent="0.2">
      <c r="A507" s="16"/>
      <c r="B507" s="16"/>
      <c r="C507" s="15"/>
      <c r="D507" s="16"/>
      <c r="E507" s="17"/>
      <c r="F507" s="17"/>
      <c r="H507" s="19"/>
      <c r="I507" s="47"/>
      <c r="J507" s="48"/>
      <c r="K507" s="49"/>
    </row>
    <row r="508" spans="1:11" ht="12.75" hidden="1" x14ac:dyDescent="0.2">
      <c r="A508" s="16"/>
      <c r="B508" s="16"/>
      <c r="C508" s="15"/>
      <c r="D508" s="16"/>
      <c r="E508" s="17"/>
      <c r="F508" s="17"/>
      <c r="H508" s="19"/>
      <c r="I508" s="47"/>
      <c r="J508" s="48"/>
      <c r="K508" s="49"/>
    </row>
    <row r="509" spans="1:11" ht="12.75" hidden="1" x14ac:dyDescent="0.2">
      <c r="A509" s="16"/>
      <c r="B509" s="16"/>
      <c r="C509" s="15"/>
      <c r="D509" s="16"/>
      <c r="E509" s="17"/>
      <c r="F509" s="17"/>
      <c r="H509" s="19"/>
      <c r="I509" s="47"/>
      <c r="J509" s="48"/>
      <c r="K509" s="49"/>
    </row>
    <row r="510" spans="1:11" ht="12.75" hidden="1" x14ac:dyDescent="0.2">
      <c r="A510" s="16"/>
      <c r="B510" s="16"/>
      <c r="C510" s="15"/>
      <c r="D510" s="16"/>
      <c r="E510" s="17"/>
      <c r="F510" s="17"/>
      <c r="H510" s="19"/>
      <c r="I510" s="47"/>
      <c r="J510" s="48"/>
      <c r="K510" s="49"/>
    </row>
    <row r="511" spans="1:11" ht="12.75" hidden="1" x14ac:dyDescent="0.2">
      <c r="A511" s="16"/>
      <c r="B511" s="16"/>
      <c r="C511" s="15"/>
      <c r="D511" s="16"/>
      <c r="E511" s="17"/>
      <c r="F511" s="17"/>
      <c r="H511" s="19"/>
      <c r="I511" s="47"/>
      <c r="J511" s="48"/>
      <c r="K511" s="49"/>
    </row>
    <row r="512" spans="1:11" ht="12.75" hidden="1" x14ac:dyDescent="0.2">
      <c r="A512" s="16"/>
      <c r="B512" s="16"/>
      <c r="C512" s="15"/>
      <c r="D512" s="16"/>
      <c r="E512" s="17"/>
      <c r="F512" s="17"/>
      <c r="H512" s="19"/>
      <c r="I512" s="47"/>
      <c r="J512" s="48"/>
      <c r="K512" s="49"/>
    </row>
    <row r="513" spans="1:11" ht="12.75" hidden="1" x14ac:dyDescent="0.2">
      <c r="A513" s="16"/>
      <c r="B513" s="16"/>
      <c r="C513" s="15"/>
      <c r="D513" s="16"/>
      <c r="E513" s="17"/>
      <c r="F513" s="17"/>
      <c r="H513" s="19"/>
      <c r="I513" s="47"/>
      <c r="J513" s="48"/>
      <c r="K513" s="49"/>
    </row>
    <row r="514" spans="1:11" ht="12.75" hidden="1" x14ac:dyDescent="0.2">
      <c r="A514" s="16"/>
      <c r="B514" s="16"/>
      <c r="C514" s="15"/>
      <c r="D514" s="16"/>
      <c r="E514" s="17"/>
      <c r="F514" s="17"/>
      <c r="H514" s="19"/>
      <c r="I514" s="47"/>
      <c r="J514" s="48"/>
      <c r="K514" s="49"/>
    </row>
    <row r="515" spans="1:11" ht="12.75" hidden="1" x14ac:dyDescent="0.2">
      <c r="A515" s="16"/>
      <c r="B515" s="16"/>
      <c r="C515" s="15"/>
      <c r="D515" s="16"/>
      <c r="E515" s="17"/>
      <c r="F515" s="17"/>
      <c r="H515" s="19"/>
      <c r="I515" s="47"/>
      <c r="J515" s="48"/>
      <c r="K515" s="49"/>
    </row>
    <row r="516" spans="1:11" ht="12.75" hidden="1" x14ac:dyDescent="0.2">
      <c r="A516" s="16"/>
      <c r="B516" s="16"/>
      <c r="C516" s="15"/>
      <c r="D516" s="16"/>
      <c r="E516" s="17"/>
      <c r="F516" s="17"/>
      <c r="H516" s="19"/>
      <c r="I516" s="47"/>
      <c r="J516" s="48"/>
      <c r="K516" s="49"/>
    </row>
    <row r="517" spans="1:11" ht="12.75" hidden="1" x14ac:dyDescent="0.2">
      <c r="A517" s="16"/>
      <c r="B517" s="16"/>
      <c r="C517" s="15"/>
      <c r="D517" s="16"/>
      <c r="E517" s="17"/>
      <c r="F517" s="17"/>
      <c r="H517" s="19"/>
      <c r="I517" s="47"/>
      <c r="J517" s="48"/>
      <c r="K517" s="49"/>
    </row>
    <row r="518" spans="1:11" ht="12.75" hidden="1" x14ac:dyDescent="0.2">
      <c r="A518" s="16"/>
      <c r="B518" s="16"/>
      <c r="C518" s="15"/>
      <c r="D518" s="16"/>
      <c r="E518" s="17"/>
      <c r="F518" s="17"/>
      <c r="H518" s="19"/>
      <c r="I518" s="47"/>
      <c r="J518" s="48"/>
      <c r="K518" s="49"/>
    </row>
    <row r="519" spans="1:11" ht="12.75" hidden="1" x14ac:dyDescent="0.2">
      <c r="A519" s="16"/>
      <c r="B519" s="16"/>
      <c r="C519" s="15"/>
      <c r="D519" s="16"/>
      <c r="E519" s="17"/>
      <c r="F519" s="17"/>
      <c r="H519" s="19"/>
      <c r="I519" s="47"/>
      <c r="J519" s="48"/>
      <c r="K519" s="49"/>
    </row>
    <row r="520" spans="1:11" ht="12.75" hidden="1" x14ac:dyDescent="0.2">
      <c r="A520" s="16"/>
      <c r="B520" s="16"/>
      <c r="C520" s="15"/>
      <c r="D520" s="16"/>
      <c r="E520" s="17"/>
      <c r="F520" s="17"/>
      <c r="H520" s="19"/>
      <c r="I520" s="47"/>
      <c r="J520" s="48"/>
      <c r="K520" s="49"/>
    </row>
    <row r="521" spans="1:11" ht="12.75" hidden="1" x14ac:dyDescent="0.2">
      <c r="A521" s="16"/>
      <c r="B521" s="16"/>
      <c r="C521" s="15"/>
      <c r="D521" s="16"/>
      <c r="E521" s="17"/>
      <c r="F521" s="17"/>
      <c r="H521" s="19"/>
      <c r="I521" s="47"/>
      <c r="J521" s="48"/>
      <c r="K521" s="49"/>
    </row>
    <row r="522" spans="1:11" ht="12.75" hidden="1" x14ac:dyDescent="0.2">
      <c r="A522" s="16"/>
      <c r="B522" s="16"/>
      <c r="C522" s="15"/>
      <c r="D522" s="16"/>
      <c r="E522" s="17"/>
      <c r="F522" s="17"/>
      <c r="H522" s="19"/>
      <c r="I522" s="47"/>
      <c r="J522" s="48"/>
      <c r="K522" s="49"/>
    </row>
    <row r="523" spans="1:11" ht="12.75" hidden="1" x14ac:dyDescent="0.2">
      <c r="A523" s="16"/>
      <c r="B523" s="16"/>
      <c r="C523" s="15"/>
      <c r="D523" s="16"/>
      <c r="E523" s="17"/>
      <c r="F523" s="17"/>
      <c r="H523" s="19"/>
      <c r="I523" s="47"/>
      <c r="J523" s="48"/>
      <c r="K523" s="49"/>
    </row>
    <row r="524" spans="1:11" ht="12.75" hidden="1" x14ac:dyDescent="0.2">
      <c r="A524" s="16"/>
      <c r="B524" s="16"/>
      <c r="C524" s="15"/>
      <c r="D524" s="16"/>
      <c r="E524" s="17"/>
      <c r="F524" s="17"/>
      <c r="H524" s="19"/>
      <c r="I524" s="47"/>
      <c r="J524" s="48"/>
      <c r="K524" s="49"/>
    </row>
    <row r="525" spans="1:11" ht="12.75" hidden="1" x14ac:dyDescent="0.2">
      <c r="A525" s="16"/>
      <c r="B525" s="16"/>
      <c r="C525" s="15"/>
      <c r="D525" s="16"/>
      <c r="E525" s="17"/>
      <c r="F525" s="17"/>
      <c r="H525" s="19"/>
      <c r="I525" s="47"/>
      <c r="J525" s="48"/>
      <c r="K525" s="49"/>
    </row>
    <row r="526" spans="1:11" ht="12.75" hidden="1" x14ac:dyDescent="0.2">
      <c r="A526" s="16"/>
      <c r="B526" s="16"/>
      <c r="C526" s="15"/>
      <c r="D526" s="16"/>
      <c r="E526" s="17"/>
      <c r="F526" s="17"/>
      <c r="H526" s="19"/>
      <c r="I526" s="47"/>
      <c r="J526" s="48"/>
      <c r="K526" s="49"/>
    </row>
    <row r="527" spans="1:11" ht="12.75" hidden="1" x14ac:dyDescent="0.2">
      <c r="A527" s="16"/>
      <c r="B527" s="16"/>
      <c r="C527" s="15"/>
      <c r="D527" s="16"/>
      <c r="E527" s="17"/>
      <c r="F527" s="17"/>
      <c r="H527" s="19"/>
      <c r="I527" s="47"/>
      <c r="J527" s="48"/>
      <c r="K527" s="49"/>
    </row>
    <row r="528" spans="1:11" ht="12.75" hidden="1" x14ac:dyDescent="0.2">
      <c r="A528" s="16"/>
      <c r="B528" s="16"/>
      <c r="C528" s="15"/>
      <c r="D528" s="16"/>
      <c r="E528" s="17"/>
      <c r="F528" s="17"/>
      <c r="H528" s="19"/>
      <c r="I528" s="47"/>
      <c r="J528" s="48"/>
      <c r="K528" s="49"/>
    </row>
    <row r="529" spans="1:11" ht="12.75" hidden="1" x14ac:dyDescent="0.2">
      <c r="A529" s="16"/>
      <c r="B529" s="16"/>
      <c r="C529" s="15"/>
      <c r="D529" s="16"/>
      <c r="E529" s="17"/>
      <c r="F529" s="17"/>
      <c r="H529" s="19"/>
      <c r="I529" s="47"/>
      <c r="J529" s="48"/>
      <c r="K529" s="49"/>
    </row>
    <row r="530" spans="1:11" ht="12.75" hidden="1" x14ac:dyDescent="0.2">
      <c r="A530" s="16"/>
      <c r="B530" s="16"/>
      <c r="C530" s="15"/>
      <c r="D530" s="16"/>
      <c r="E530" s="17"/>
      <c r="F530" s="17"/>
      <c r="H530" s="19"/>
      <c r="I530" s="47"/>
      <c r="J530" s="48"/>
      <c r="K530" s="49"/>
    </row>
    <row r="531" spans="1:11" ht="12.75" hidden="1" x14ac:dyDescent="0.2">
      <c r="A531" s="16"/>
      <c r="B531" s="16"/>
      <c r="C531" s="15"/>
      <c r="D531" s="16"/>
      <c r="E531" s="17"/>
      <c r="F531" s="17"/>
      <c r="H531" s="19"/>
      <c r="I531" s="47"/>
      <c r="J531" s="48"/>
      <c r="K531" s="49"/>
    </row>
    <row r="532" spans="1:11" ht="12.75" hidden="1" x14ac:dyDescent="0.2">
      <c r="A532" s="16"/>
      <c r="B532" s="16"/>
      <c r="C532" s="15"/>
      <c r="D532" s="16"/>
      <c r="E532" s="17"/>
      <c r="F532" s="17"/>
      <c r="H532" s="19"/>
      <c r="I532" s="47"/>
      <c r="J532" s="48"/>
      <c r="K532" s="49"/>
    </row>
    <row r="533" spans="1:11" ht="12.75" hidden="1" x14ac:dyDescent="0.2">
      <c r="A533" s="16"/>
      <c r="B533" s="16"/>
      <c r="C533" s="15"/>
      <c r="D533" s="16"/>
      <c r="E533" s="17"/>
      <c r="F533" s="17"/>
      <c r="H533" s="19"/>
      <c r="I533" s="47"/>
      <c r="J533" s="48"/>
      <c r="K533" s="49"/>
    </row>
    <row r="534" spans="1:11" ht="12.75" hidden="1" x14ac:dyDescent="0.2">
      <c r="A534" s="16"/>
      <c r="B534" s="16"/>
      <c r="C534" s="15"/>
      <c r="D534" s="16"/>
      <c r="E534" s="17"/>
      <c r="F534" s="17"/>
      <c r="H534" s="19"/>
      <c r="I534" s="47"/>
      <c r="J534" s="48"/>
      <c r="K534" s="49"/>
    </row>
    <row r="535" spans="1:11" ht="12.75" hidden="1" x14ac:dyDescent="0.2">
      <c r="A535" s="16"/>
      <c r="B535" s="16"/>
      <c r="C535" s="15"/>
      <c r="D535" s="16"/>
      <c r="E535" s="17"/>
      <c r="F535" s="17"/>
      <c r="H535" s="19"/>
      <c r="I535" s="47"/>
      <c r="J535" s="48"/>
      <c r="K535" s="49"/>
    </row>
    <row r="536" spans="1:11" ht="12.75" hidden="1" x14ac:dyDescent="0.2">
      <c r="A536" s="16"/>
      <c r="B536" s="16"/>
      <c r="C536" s="15"/>
      <c r="D536" s="16"/>
      <c r="E536" s="17"/>
      <c r="F536" s="17"/>
      <c r="H536" s="19"/>
      <c r="I536" s="47"/>
      <c r="J536" s="48"/>
      <c r="K536" s="49"/>
    </row>
    <row r="537" spans="1:11" ht="12.75" hidden="1" x14ac:dyDescent="0.2">
      <c r="A537" s="16"/>
      <c r="B537" s="16"/>
      <c r="C537" s="15"/>
      <c r="D537" s="16"/>
      <c r="E537" s="17"/>
      <c r="F537" s="17"/>
      <c r="H537" s="19"/>
      <c r="I537" s="47"/>
      <c r="J537" s="48"/>
      <c r="K537" s="49"/>
    </row>
    <row r="538" spans="1:11" ht="12.75" hidden="1" x14ac:dyDescent="0.2">
      <c r="A538" s="16"/>
      <c r="B538" s="16"/>
      <c r="C538" s="15"/>
      <c r="D538" s="16"/>
      <c r="E538" s="17"/>
      <c r="F538" s="17"/>
      <c r="H538" s="19"/>
      <c r="I538" s="47"/>
      <c r="J538" s="48"/>
      <c r="K538" s="49"/>
    </row>
    <row r="539" spans="1:11" ht="12.75" hidden="1" x14ac:dyDescent="0.2">
      <c r="A539" s="16"/>
      <c r="B539" s="16"/>
      <c r="C539" s="15"/>
      <c r="D539" s="16"/>
      <c r="E539" s="17"/>
      <c r="F539" s="17"/>
      <c r="H539" s="19"/>
      <c r="I539" s="47"/>
      <c r="J539" s="48"/>
      <c r="K539" s="49"/>
    </row>
    <row r="540" spans="1:11" ht="12.75" hidden="1" x14ac:dyDescent="0.2">
      <c r="A540" s="16"/>
      <c r="B540" s="16"/>
      <c r="C540" s="15"/>
      <c r="D540" s="16"/>
      <c r="E540" s="17"/>
      <c r="F540" s="17"/>
      <c r="H540" s="19"/>
      <c r="I540" s="47"/>
      <c r="J540" s="48"/>
      <c r="K540" s="49"/>
    </row>
    <row r="541" spans="1:11" ht="12.75" hidden="1" x14ac:dyDescent="0.2">
      <c r="A541" s="16"/>
      <c r="B541" s="16"/>
      <c r="C541" s="15"/>
      <c r="D541" s="16"/>
      <c r="E541" s="17"/>
      <c r="F541" s="17"/>
      <c r="H541" s="19"/>
      <c r="I541" s="47"/>
      <c r="J541" s="48"/>
      <c r="K541" s="49"/>
    </row>
    <row r="542" spans="1:11" ht="12.75" hidden="1" x14ac:dyDescent="0.2">
      <c r="A542" s="16"/>
      <c r="B542" s="16"/>
      <c r="C542" s="15"/>
      <c r="D542" s="16"/>
      <c r="E542" s="17"/>
      <c r="F542" s="17"/>
      <c r="H542" s="19"/>
      <c r="I542" s="47"/>
      <c r="J542" s="48"/>
      <c r="K542" s="49"/>
    </row>
    <row r="543" spans="1:11" ht="12.75" hidden="1" x14ac:dyDescent="0.2">
      <c r="A543" s="16"/>
      <c r="B543" s="16"/>
      <c r="C543" s="15"/>
      <c r="D543" s="16"/>
      <c r="E543" s="17"/>
      <c r="F543" s="17"/>
      <c r="H543" s="19"/>
      <c r="I543" s="47"/>
      <c r="J543" s="48"/>
      <c r="K543" s="49"/>
    </row>
    <row r="544" spans="1:11" ht="12.75" hidden="1" x14ac:dyDescent="0.2">
      <c r="A544" s="16"/>
      <c r="B544" s="16"/>
      <c r="C544" s="15"/>
      <c r="D544" s="16"/>
      <c r="E544" s="17"/>
      <c r="F544" s="17"/>
      <c r="H544" s="19"/>
      <c r="I544" s="47"/>
      <c r="J544" s="48"/>
      <c r="K544" s="49"/>
    </row>
    <row r="545" spans="1:11" ht="12.75" hidden="1" x14ac:dyDescent="0.2">
      <c r="A545" s="16"/>
      <c r="B545" s="16"/>
      <c r="C545" s="15"/>
      <c r="D545" s="16"/>
      <c r="E545" s="17"/>
      <c r="F545" s="17"/>
      <c r="H545" s="19"/>
      <c r="I545" s="47"/>
      <c r="J545" s="48"/>
      <c r="K545" s="49"/>
    </row>
    <row r="546" spans="1:11" ht="12.75" hidden="1" x14ac:dyDescent="0.2">
      <c r="A546" s="16"/>
      <c r="B546" s="16"/>
      <c r="C546" s="15"/>
      <c r="D546" s="16"/>
      <c r="E546" s="17"/>
      <c r="F546" s="17"/>
      <c r="H546" s="19"/>
      <c r="I546" s="47"/>
      <c r="J546" s="48"/>
      <c r="K546" s="49"/>
    </row>
    <row r="547" spans="1:11" ht="12.75" hidden="1" x14ac:dyDescent="0.2">
      <c r="A547" s="16"/>
      <c r="B547" s="16"/>
      <c r="C547" s="15"/>
      <c r="D547" s="16"/>
      <c r="E547" s="17"/>
      <c r="F547" s="17"/>
      <c r="H547" s="19"/>
      <c r="I547" s="47"/>
      <c r="J547" s="48"/>
      <c r="K547" s="49"/>
    </row>
    <row r="548" spans="1:11" ht="12.75" hidden="1" x14ac:dyDescent="0.2">
      <c r="A548" s="16"/>
      <c r="B548" s="16"/>
      <c r="C548" s="15"/>
      <c r="D548" s="16"/>
      <c r="E548" s="17"/>
      <c r="F548" s="17"/>
      <c r="H548" s="19"/>
      <c r="I548" s="47"/>
      <c r="J548" s="48"/>
      <c r="K548" s="49"/>
    </row>
    <row r="549" spans="1:11" ht="12.75" hidden="1" x14ac:dyDescent="0.2">
      <c r="A549" s="16"/>
      <c r="B549" s="16"/>
      <c r="C549" s="15"/>
      <c r="D549" s="16"/>
      <c r="E549" s="17"/>
      <c r="F549" s="17"/>
      <c r="H549" s="19"/>
      <c r="I549" s="47"/>
      <c r="J549" s="48"/>
      <c r="K549" s="49"/>
    </row>
    <row r="550" spans="1:11" ht="12.75" hidden="1" x14ac:dyDescent="0.2">
      <c r="A550" s="16"/>
      <c r="B550" s="16"/>
      <c r="C550" s="15"/>
      <c r="D550" s="16"/>
      <c r="E550" s="17"/>
      <c r="F550" s="17"/>
      <c r="H550" s="19"/>
      <c r="I550" s="47"/>
      <c r="J550" s="48"/>
      <c r="K550" s="49"/>
    </row>
    <row r="551" spans="1:11" ht="12.75" hidden="1" x14ac:dyDescent="0.2">
      <c r="A551" s="16"/>
      <c r="B551" s="16"/>
      <c r="C551" s="15"/>
      <c r="D551" s="16"/>
      <c r="E551" s="17"/>
      <c r="F551" s="17"/>
      <c r="H551" s="19"/>
      <c r="I551" s="47"/>
      <c r="J551" s="48"/>
      <c r="K551" s="49"/>
    </row>
    <row r="552" spans="1:11" ht="12.75" hidden="1" x14ac:dyDescent="0.2">
      <c r="A552" s="16"/>
      <c r="B552" s="16"/>
      <c r="C552" s="15"/>
      <c r="D552" s="16"/>
      <c r="E552" s="17"/>
      <c r="F552" s="17"/>
      <c r="H552" s="19"/>
      <c r="I552" s="47"/>
      <c r="J552" s="48"/>
      <c r="K552" s="49"/>
    </row>
    <row r="553" spans="1:11" ht="12.75" hidden="1" x14ac:dyDescent="0.2">
      <c r="A553" s="16"/>
      <c r="B553" s="16"/>
      <c r="C553" s="15"/>
      <c r="D553" s="16"/>
      <c r="E553" s="17"/>
      <c r="F553" s="17"/>
      <c r="H553" s="19"/>
      <c r="I553" s="47"/>
      <c r="J553" s="48"/>
      <c r="K553" s="49"/>
    </row>
    <row r="554" spans="1:11" ht="12.75" hidden="1" x14ac:dyDescent="0.2">
      <c r="A554" s="16"/>
      <c r="B554" s="16"/>
      <c r="C554" s="15"/>
      <c r="D554" s="16"/>
      <c r="E554" s="17"/>
      <c r="F554" s="17"/>
      <c r="H554" s="19"/>
      <c r="I554" s="47"/>
      <c r="J554" s="48"/>
      <c r="K554" s="49"/>
    </row>
    <row r="555" spans="1:11" ht="12.75" hidden="1" x14ac:dyDescent="0.2">
      <c r="A555" s="16"/>
      <c r="B555" s="16"/>
      <c r="C555" s="15"/>
      <c r="D555" s="16"/>
      <c r="E555" s="17"/>
      <c r="F555" s="17"/>
      <c r="H555" s="19"/>
      <c r="I555" s="47"/>
      <c r="J555" s="48"/>
      <c r="K555" s="49"/>
    </row>
    <row r="556" spans="1:11" ht="12.75" hidden="1" x14ac:dyDescent="0.2">
      <c r="A556" s="16"/>
      <c r="B556" s="16"/>
      <c r="C556" s="15"/>
      <c r="D556" s="16"/>
      <c r="E556" s="17"/>
      <c r="F556" s="17"/>
      <c r="H556" s="19"/>
      <c r="I556" s="47"/>
      <c r="J556" s="48"/>
      <c r="K556" s="49"/>
    </row>
    <row r="557" spans="1:11" ht="12.75" hidden="1" x14ac:dyDescent="0.2">
      <c r="A557" s="16"/>
      <c r="B557" s="16"/>
      <c r="C557" s="15"/>
      <c r="D557" s="16"/>
      <c r="E557" s="17"/>
      <c r="F557" s="17"/>
      <c r="H557" s="19"/>
      <c r="I557" s="47"/>
      <c r="J557" s="48"/>
      <c r="K557" s="49"/>
    </row>
    <row r="558" spans="1:11" ht="12.75" hidden="1" x14ac:dyDescent="0.2">
      <c r="A558" s="16"/>
      <c r="B558" s="16"/>
      <c r="C558" s="15"/>
      <c r="D558" s="16"/>
      <c r="E558" s="17"/>
      <c r="F558" s="17"/>
      <c r="H558" s="19"/>
      <c r="I558" s="47"/>
      <c r="J558" s="48"/>
      <c r="K558" s="49"/>
    </row>
    <row r="559" spans="1:11" ht="12.75" hidden="1" x14ac:dyDescent="0.2">
      <c r="A559" s="16"/>
      <c r="B559" s="16"/>
      <c r="C559" s="15"/>
      <c r="D559" s="16"/>
      <c r="E559" s="17"/>
      <c r="F559" s="17"/>
      <c r="H559" s="19"/>
      <c r="I559" s="47"/>
      <c r="J559" s="48"/>
      <c r="K559" s="49"/>
    </row>
    <row r="560" spans="1:11" ht="12.75" hidden="1" x14ac:dyDescent="0.2">
      <c r="A560" s="16"/>
      <c r="B560" s="16"/>
      <c r="C560" s="15"/>
      <c r="D560" s="16"/>
      <c r="E560" s="17"/>
      <c r="F560" s="17"/>
      <c r="H560" s="19"/>
      <c r="I560" s="47"/>
      <c r="J560" s="48"/>
      <c r="K560" s="49"/>
    </row>
    <row r="561" spans="1:11" ht="12.75" hidden="1" x14ac:dyDescent="0.2">
      <c r="A561" s="16"/>
      <c r="B561" s="16"/>
      <c r="C561" s="15"/>
      <c r="D561" s="16"/>
      <c r="E561" s="17"/>
      <c r="F561" s="17"/>
      <c r="H561" s="19"/>
      <c r="I561" s="47"/>
      <c r="J561" s="48"/>
      <c r="K561" s="49"/>
    </row>
    <row r="562" spans="1:11" ht="12.75" hidden="1" x14ac:dyDescent="0.2">
      <c r="A562" s="16"/>
      <c r="B562" s="16"/>
      <c r="C562" s="15"/>
      <c r="D562" s="16"/>
      <c r="E562" s="17"/>
      <c r="F562" s="17"/>
      <c r="H562" s="19"/>
      <c r="I562" s="47"/>
      <c r="J562" s="48"/>
      <c r="K562" s="49"/>
    </row>
    <row r="563" spans="1:11" ht="12.75" hidden="1" x14ac:dyDescent="0.2">
      <c r="A563" s="16"/>
      <c r="B563" s="16"/>
      <c r="C563" s="15"/>
      <c r="D563" s="16"/>
      <c r="E563" s="17"/>
      <c r="F563" s="17"/>
      <c r="H563" s="19"/>
      <c r="I563" s="47"/>
      <c r="J563" s="48"/>
      <c r="K563" s="49"/>
    </row>
    <row r="564" spans="1:11" ht="12.75" hidden="1" x14ac:dyDescent="0.2">
      <c r="A564" s="16"/>
      <c r="B564" s="16"/>
      <c r="C564" s="15"/>
      <c r="D564" s="16"/>
      <c r="E564" s="17"/>
      <c r="F564" s="17"/>
      <c r="H564" s="19"/>
      <c r="I564" s="47"/>
      <c r="J564" s="48"/>
      <c r="K564" s="49"/>
    </row>
    <row r="565" spans="1:11" ht="12.75" hidden="1" x14ac:dyDescent="0.2">
      <c r="A565" s="16"/>
      <c r="B565" s="16"/>
      <c r="C565" s="15"/>
      <c r="D565" s="16"/>
      <c r="E565" s="17"/>
      <c r="F565" s="17"/>
      <c r="H565" s="19"/>
      <c r="I565" s="47"/>
      <c r="J565" s="48"/>
      <c r="K565" s="49"/>
    </row>
    <row r="566" spans="1:11" ht="12.75" hidden="1" x14ac:dyDescent="0.2">
      <c r="A566" s="16"/>
      <c r="B566" s="16"/>
      <c r="C566" s="15"/>
      <c r="D566" s="16"/>
      <c r="E566" s="17"/>
      <c r="F566" s="17"/>
      <c r="H566" s="19"/>
      <c r="I566" s="47"/>
      <c r="J566" s="48"/>
      <c r="K566" s="49"/>
    </row>
    <row r="567" spans="1:11" ht="12.75" hidden="1" x14ac:dyDescent="0.2">
      <c r="A567" s="16"/>
      <c r="B567" s="16"/>
      <c r="C567" s="15"/>
      <c r="D567" s="16"/>
      <c r="E567" s="17"/>
      <c r="F567" s="17"/>
      <c r="H567" s="19"/>
      <c r="I567" s="47"/>
      <c r="J567" s="48"/>
      <c r="K567" s="49"/>
    </row>
    <row r="568" spans="1:11" ht="12.75" hidden="1" x14ac:dyDescent="0.2">
      <c r="A568" s="16"/>
      <c r="B568" s="16"/>
      <c r="C568" s="15"/>
      <c r="D568" s="16"/>
      <c r="E568" s="17"/>
      <c r="F568" s="17"/>
      <c r="H568" s="19"/>
      <c r="I568" s="47"/>
      <c r="J568" s="48"/>
      <c r="K568" s="49"/>
    </row>
    <row r="569" spans="1:11" ht="12.75" hidden="1" x14ac:dyDescent="0.2">
      <c r="A569" s="16"/>
      <c r="B569" s="16"/>
      <c r="C569" s="15"/>
      <c r="D569" s="16"/>
      <c r="E569" s="17"/>
      <c r="F569" s="17"/>
      <c r="H569" s="19"/>
      <c r="I569" s="47"/>
      <c r="J569" s="48"/>
      <c r="K569" s="49"/>
    </row>
    <row r="570" spans="1:11" ht="12.75" hidden="1" x14ac:dyDescent="0.2">
      <c r="A570" s="16"/>
      <c r="B570" s="16"/>
      <c r="C570" s="15"/>
      <c r="D570" s="16"/>
      <c r="E570" s="17"/>
      <c r="F570" s="17"/>
      <c r="H570" s="19"/>
      <c r="I570" s="47"/>
      <c r="J570" s="48"/>
      <c r="K570" s="49"/>
    </row>
    <row r="571" spans="1:11" ht="12.75" hidden="1" x14ac:dyDescent="0.2">
      <c r="A571" s="16"/>
      <c r="B571" s="16"/>
      <c r="C571" s="15"/>
      <c r="D571" s="16"/>
      <c r="E571" s="17"/>
      <c r="F571" s="17"/>
      <c r="H571" s="19"/>
      <c r="I571" s="47"/>
      <c r="J571" s="48"/>
      <c r="K571" s="49"/>
    </row>
    <row r="572" spans="1:11" ht="12.75" hidden="1" x14ac:dyDescent="0.2">
      <c r="A572" s="16"/>
      <c r="B572" s="16"/>
      <c r="C572" s="15"/>
      <c r="D572" s="16"/>
      <c r="E572" s="17"/>
      <c r="F572" s="17"/>
      <c r="H572" s="19"/>
      <c r="I572" s="47"/>
      <c r="J572" s="48"/>
      <c r="K572" s="49"/>
    </row>
    <row r="573" spans="1:11" ht="12.75" hidden="1" x14ac:dyDescent="0.2">
      <c r="A573" s="16"/>
      <c r="B573" s="16"/>
      <c r="C573" s="15"/>
      <c r="D573" s="16"/>
      <c r="E573" s="17"/>
      <c r="F573" s="17"/>
      <c r="H573" s="19"/>
      <c r="I573" s="47"/>
      <c r="J573" s="48"/>
      <c r="K573" s="49"/>
    </row>
    <row r="574" spans="1:11" ht="12.75" hidden="1" x14ac:dyDescent="0.2">
      <c r="A574" s="16"/>
      <c r="B574" s="16"/>
      <c r="C574" s="15"/>
      <c r="D574" s="16"/>
      <c r="E574" s="17"/>
      <c r="F574" s="17"/>
      <c r="H574" s="19"/>
      <c r="I574" s="47"/>
      <c r="J574" s="48"/>
      <c r="K574" s="49"/>
    </row>
    <row r="575" spans="1:11" ht="12.75" hidden="1" x14ac:dyDescent="0.2">
      <c r="A575" s="16"/>
      <c r="B575" s="16"/>
      <c r="C575" s="15"/>
      <c r="D575" s="16"/>
      <c r="E575" s="17"/>
      <c r="F575" s="17"/>
      <c r="H575" s="19"/>
      <c r="I575" s="47"/>
      <c r="J575" s="48"/>
      <c r="K575" s="49"/>
    </row>
    <row r="576" spans="1:11" ht="12.75" hidden="1" x14ac:dyDescent="0.2">
      <c r="A576" s="16"/>
      <c r="B576" s="16"/>
      <c r="C576" s="15"/>
      <c r="D576" s="16"/>
      <c r="E576" s="17"/>
      <c r="F576" s="17"/>
      <c r="H576" s="19"/>
      <c r="I576" s="47"/>
      <c r="J576" s="48"/>
      <c r="K576" s="49"/>
    </row>
    <row r="577" spans="1:11" ht="12.75" hidden="1" x14ac:dyDescent="0.2">
      <c r="A577" s="16"/>
      <c r="B577" s="16"/>
      <c r="C577" s="15"/>
      <c r="D577" s="16"/>
      <c r="E577" s="17"/>
      <c r="F577" s="17"/>
      <c r="H577" s="19"/>
      <c r="I577" s="47"/>
      <c r="J577" s="48"/>
      <c r="K577" s="49"/>
    </row>
    <row r="578" spans="1:11" ht="12.75" hidden="1" x14ac:dyDescent="0.2">
      <c r="A578" s="16"/>
      <c r="B578" s="16"/>
      <c r="C578" s="15"/>
      <c r="D578" s="16"/>
      <c r="E578" s="17"/>
      <c r="F578" s="17"/>
      <c r="H578" s="19"/>
      <c r="I578" s="47"/>
      <c r="J578" s="48"/>
      <c r="K578" s="49"/>
    </row>
    <row r="579" spans="1:11" ht="12.75" hidden="1" x14ac:dyDescent="0.2">
      <c r="A579" s="16"/>
      <c r="B579" s="16"/>
      <c r="C579" s="15"/>
      <c r="D579" s="16"/>
      <c r="E579" s="17"/>
      <c r="F579" s="17"/>
      <c r="H579" s="19"/>
      <c r="I579" s="47"/>
      <c r="J579" s="48"/>
      <c r="K579" s="49"/>
    </row>
    <row r="580" spans="1:11" ht="12.75" hidden="1" x14ac:dyDescent="0.2">
      <c r="A580" s="16"/>
      <c r="B580" s="16"/>
      <c r="C580" s="15"/>
      <c r="D580" s="16"/>
      <c r="E580" s="17"/>
      <c r="F580" s="17"/>
      <c r="H580" s="19"/>
      <c r="I580" s="47"/>
      <c r="J580" s="48"/>
      <c r="K580" s="49"/>
    </row>
    <row r="581" spans="1:11" ht="12.75" hidden="1" x14ac:dyDescent="0.2">
      <c r="A581" s="16"/>
      <c r="B581" s="16"/>
      <c r="C581" s="15"/>
      <c r="D581" s="16"/>
      <c r="E581" s="17"/>
      <c r="F581" s="17"/>
      <c r="H581" s="19"/>
      <c r="I581" s="47"/>
      <c r="J581" s="48"/>
      <c r="K581" s="49"/>
    </row>
    <row r="582" spans="1:11" ht="12.75" hidden="1" x14ac:dyDescent="0.2">
      <c r="A582" s="16"/>
      <c r="B582" s="16"/>
      <c r="C582" s="15"/>
      <c r="D582" s="16"/>
      <c r="E582" s="17"/>
      <c r="F582" s="17"/>
      <c r="H582" s="19"/>
      <c r="I582" s="47"/>
      <c r="J582" s="48"/>
      <c r="K582" s="49"/>
    </row>
    <row r="583" spans="1:11" ht="12.75" hidden="1" x14ac:dyDescent="0.2">
      <c r="A583" s="16"/>
      <c r="B583" s="16"/>
      <c r="C583" s="15"/>
      <c r="D583" s="16"/>
      <c r="E583" s="17"/>
      <c r="F583" s="17"/>
      <c r="H583" s="19"/>
      <c r="I583" s="47"/>
      <c r="J583" s="48"/>
      <c r="K583" s="49"/>
    </row>
    <row r="584" spans="1:11" ht="12.75" hidden="1" x14ac:dyDescent="0.2">
      <c r="A584" s="16"/>
      <c r="B584" s="16"/>
      <c r="C584" s="15"/>
      <c r="D584" s="16"/>
      <c r="E584" s="17"/>
      <c r="F584" s="17"/>
      <c r="H584" s="19"/>
      <c r="I584" s="47"/>
      <c r="J584" s="48"/>
      <c r="K584" s="49"/>
    </row>
    <row r="585" spans="1:11" ht="12.75" hidden="1" x14ac:dyDescent="0.2">
      <c r="A585" s="16"/>
      <c r="B585" s="16"/>
      <c r="C585" s="15"/>
      <c r="D585" s="16"/>
      <c r="E585" s="17"/>
      <c r="F585" s="17"/>
      <c r="H585" s="19"/>
      <c r="I585" s="47"/>
      <c r="J585" s="48"/>
      <c r="K585" s="49"/>
    </row>
    <row r="586" spans="1:11" ht="12.75" hidden="1" x14ac:dyDescent="0.2">
      <c r="A586" s="16"/>
      <c r="B586" s="16"/>
      <c r="C586" s="15"/>
      <c r="D586" s="16"/>
      <c r="E586" s="17"/>
      <c r="F586" s="17"/>
      <c r="H586" s="19"/>
      <c r="I586" s="47"/>
      <c r="J586" s="48"/>
      <c r="K586" s="49"/>
    </row>
    <row r="587" spans="1:11" ht="12.75" hidden="1" x14ac:dyDescent="0.2">
      <c r="A587" s="16"/>
      <c r="B587" s="16"/>
      <c r="C587" s="15"/>
      <c r="D587" s="16"/>
      <c r="E587" s="17"/>
      <c r="F587" s="17"/>
      <c r="H587" s="19"/>
      <c r="I587" s="47"/>
      <c r="J587" s="48"/>
      <c r="K587" s="49"/>
    </row>
    <row r="588" spans="1:11" ht="12.75" hidden="1" x14ac:dyDescent="0.2">
      <c r="A588" s="16"/>
      <c r="B588" s="16"/>
      <c r="C588" s="15"/>
      <c r="D588" s="16"/>
      <c r="E588" s="17"/>
      <c r="F588" s="17"/>
      <c r="H588" s="19"/>
      <c r="I588" s="47"/>
      <c r="J588" s="48"/>
      <c r="K588" s="49"/>
    </row>
    <row r="589" spans="1:11" ht="12.75" hidden="1" x14ac:dyDescent="0.2">
      <c r="A589" s="16"/>
      <c r="B589" s="16"/>
      <c r="C589" s="15"/>
      <c r="D589" s="16"/>
      <c r="E589" s="17"/>
      <c r="F589" s="17"/>
      <c r="H589" s="19"/>
      <c r="I589" s="47"/>
      <c r="J589" s="48"/>
      <c r="K589" s="49"/>
    </row>
    <row r="590" spans="1:11" ht="12.75" hidden="1" x14ac:dyDescent="0.2">
      <c r="A590" s="16"/>
      <c r="B590" s="16"/>
      <c r="C590" s="15"/>
      <c r="D590" s="16"/>
      <c r="E590" s="17"/>
      <c r="F590" s="17"/>
      <c r="H590" s="19"/>
      <c r="I590" s="47"/>
      <c r="J590" s="48"/>
      <c r="K590" s="49"/>
    </row>
    <row r="591" spans="1:11" ht="12.75" hidden="1" x14ac:dyDescent="0.2">
      <c r="A591" s="16"/>
      <c r="B591" s="16"/>
      <c r="C591" s="15"/>
      <c r="D591" s="16"/>
      <c r="E591" s="17"/>
      <c r="F591" s="17"/>
      <c r="H591" s="19"/>
      <c r="I591" s="47"/>
      <c r="J591" s="48"/>
      <c r="K591" s="49"/>
    </row>
    <row r="592" spans="1:11" ht="12.75" hidden="1" x14ac:dyDescent="0.2">
      <c r="A592" s="16"/>
      <c r="B592" s="16"/>
      <c r="C592" s="15"/>
      <c r="D592" s="16"/>
      <c r="E592" s="17"/>
      <c r="F592" s="17"/>
      <c r="H592" s="19"/>
      <c r="I592" s="47"/>
      <c r="J592" s="48"/>
      <c r="K592" s="49"/>
    </row>
    <row r="593" spans="1:11" ht="12.75" hidden="1" x14ac:dyDescent="0.2">
      <c r="A593" s="16"/>
      <c r="B593" s="16"/>
      <c r="C593" s="15"/>
      <c r="D593" s="16"/>
      <c r="E593" s="17"/>
      <c r="F593" s="17"/>
      <c r="H593" s="19"/>
      <c r="I593" s="47"/>
      <c r="J593" s="48"/>
      <c r="K593" s="49"/>
    </row>
    <row r="594" spans="1:11" ht="12.75" hidden="1" x14ac:dyDescent="0.2">
      <c r="A594" s="16"/>
      <c r="B594" s="16"/>
      <c r="C594" s="15"/>
      <c r="D594" s="16"/>
      <c r="E594" s="17"/>
      <c r="F594" s="17"/>
      <c r="H594" s="19"/>
      <c r="I594" s="47"/>
      <c r="J594" s="48"/>
      <c r="K594" s="49"/>
    </row>
    <row r="595" spans="1:11" ht="12.75" hidden="1" x14ac:dyDescent="0.2">
      <c r="A595" s="16"/>
      <c r="B595" s="16"/>
      <c r="C595" s="15"/>
      <c r="D595" s="16"/>
      <c r="E595" s="17"/>
      <c r="F595" s="17"/>
      <c r="H595" s="19"/>
      <c r="I595" s="47"/>
      <c r="J595" s="48"/>
      <c r="K595" s="49"/>
    </row>
    <row r="596" spans="1:11" ht="12.75" hidden="1" x14ac:dyDescent="0.2">
      <c r="A596" s="16"/>
      <c r="B596" s="16"/>
      <c r="C596" s="15"/>
      <c r="D596" s="16"/>
      <c r="E596" s="17"/>
      <c r="F596" s="17"/>
      <c r="H596" s="19"/>
      <c r="I596" s="47"/>
      <c r="J596" s="48"/>
      <c r="K596" s="49"/>
    </row>
    <row r="597" spans="1:11" ht="12.75" hidden="1" x14ac:dyDescent="0.2">
      <c r="A597" s="16"/>
      <c r="B597" s="16"/>
      <c r="C597" s="15"/>
      <c r="D597" s="16"/>
      <c r="E597" s="17"/>
      <c r="F597" s="17"/>
      <c r="H597" s="19"/>
      <c r="I597" s="47"/>
      <c r="J597" s="48"/>
      <c r="K597" s="49"/>
    </row>
    <row r="598" spans="1:11" ht="12.75" hidden="1" x14ac:dyDescent="0.2">
      <c r="A598" s="16"/>
      <c r="B598" s="16"/>
      <c r="C598" s="15"/>
      <c r="D598" s="16"/>
      <c r="E598" s="17"/>
      <c r="F598" s="17"/>
      <c r="H598" s="19"/>
      <c r="I598" s="47"/>
      <c r="J598" s="48"/>
      <c r="K598" s="49"/>
    </row>
    <row r="599" spans="1:11" ht="12.75" hidden="1" x14ac:dyDescent="0.2">
      <c r="A599" s="16"/>
      <c r="B599" s="16"/>
      <c r="C599" s="15"/>
      <c r="D599" s="16"/>
      <c r="E599" s="17"/>
      <c r="F599" s="17"/>
      <c r="H599" s="19"/>
      <c r="I599" s="47"/>
      <c r="J599" s="48"/>
      <c r="K599" s="49"/>
    </row>
    <row r="600" spans="1:11" ht="12.75" hidden="1" x14ac:dyDescent="0.2">
      <c r="A600" s="16"/>
      <c r="B600" s="16"/>
      <c r="C600" s="15"/>
      <c r="D600" s="16"/>
      <c r="E600" s="17"/>
      <c r="F600" s="17"/>
      <c r="H600" s="19"/>
      <c r="I600" s="47"/>
      <c r="J600" s="48"/>
      <c r="K600" s="49"/>
    </row>
    <row r="601" spans="1:11" ht="12.75" hidden="1" x14ac:dyDescent="0.2">
      <c r="A601" s="16"/>
      <c r="B601" s="16"/>
      <c r="C601" s="15"/>
      <c r="D601" s="16"/>
      <c r="E601" s="17"/>
      <c r="F601" s="17"/>
      <c r="H601" s="19"/>
      <c r="I601" s="47"/>
      <c r="J601" s="48"/>
      <c r="K601" s="49"/>
    </row>
    <row r="602" spans="1:11" ht="12.75" hidden="1" x14ac:dyDescent="0.2">
      <c r="A602" s="16"/>
      <c r="B602" s="16"/>
      <c r="C602" s="15"/>
      <c r="D602" s="16"/>
      <c r="E602" s="17"/>
      <c r="F602" s="17"/>
      <c r="H602" s="19"/>
      <c r="I602" s="47"/>
      <c r="J602" s="48"/>
      <c r="K602" s="49"/>
    </row>
    <row r="603" spans="1:11" ht="12.75" hidden="1" x14ac:dyDescent="0.2">
      <c r="A603" s="16"/>
      <c r="B603" s="16"/>
      <c r="C603" s="15"/>
      <c r="D603" s="16"/>
      <c r="E603" s="17"/>
      <c r="F603" s="17"/>
      <c r="H603" s="19"/>
      <c r="I603" s="47"/>
      <c r="J603" s="48"/>
      <c r="K603" s="49"/>
    </row>
    <row r="604" spans="1:11" ht="12.75" hidden="1" x14ac:dyDescent="0.2">
      <c r="A604" s="16"/>
      <c r="B604" s="16"/>
      <c r="C604" s="15"/>
      <c r="D604" s="16"/>
      <c r="E604" s="17"/>
      <c r="F604" s="17"/>
      <c r="H604" s="19"/>
      <c r="I604" s="47"/>
      <c r="J604" s="48"/>
      <c r="K604" s="49"/>
    </row>
    <row r="605" spans="1:11" ht="12.75" hidden="1" x14ac:dyDescent="0.2">
      <c r="A605" s="16"/>
      <c r="B605" s="16"/>
      <c r="C605" s="15"/>
      <c r="D605" s="16"/>
      <c r="E605" s="17"/>
      <c r="F605" s="17"/>
      <c r="H605" s="19"/>
      <c r="I605" s="47"/>
      <c r="J605" s="48"/>
      <c r="K605" s="49"/>
    </row>
    <row r="606" spans="1:11" ht="12.75" hidden="1" x14ac:dyDescent="0.2">
      <c r="A606" s="16"/>
      <c r="B606" s="16"/>
      <c r="C606" s="15"/>
      <c r="D606" s="16"/>
      <c r="E606" s="17"/>
      <c r="F606" s="17"/>
      <c r="H606" s="19"/>
      <c r="I606" s="47"/>
      <c r="J606" s="48"/>
      <c r="K606" s="49"/>
    </row>
    <row r="607" spans="1:11" ht="12.75" hidden="1" x14ac:dyDescent="0.2">
      <c r="A607" s="16"/>
      <c r="B607" s="16"/>
      <c r="C607" s="15"/>
      <c r="D607" s="16"/>
      <c r="E607" s="17"/>
      <c r="F607" s="17"/>
      <c r="H607" s="19"/>
      <c r="I607" s="47"/>
      <c r="J607" s="48"/>
      <c r="K607" s="49"/>
    </row>
    <row r="608" spans="1:11" ht="12.75" hidden="1" x14ac:dyDescent="0.2">
      <c r="A608" s="16"/>
      <c r="B608" s="16"/>
      <c r="C608" s="15"/>
      <c r="D608" s="16"/>
      <c r="E608" s="17"/>
      <c r="F608" s="17"/>
      <c r="H608" s="19"/>
      <c r="I608" s="47"/>
      <c r="J608" s="48"/>
      <c r="K608" s="49"/>
    </row>
    <row r="609" spans="1:11" ht="12.75" hidden="1" x14ac:dyDescent="0.2">
      <c r="A609" s="16"/>
      <c r="B609" s="16"/>
      <c r="C609" s="15"/>
      <c r="D609" s="16"/>
      <c r="E609" s="17"/>
      <c r="F609" s="17"/>
      <c r="H609" s="19"/>
      <c r="I609" s="47"/>
      <c r="J609" s="48"/>
      <c r="K609" s="49"/>
    </row>
    <row r="610" spans="1:11" ht="12.75" hidden="1" x14ac:dyDescent="0.2">
      <c r="A610" s="16"/>
      <c r="B610" s="16"/>
      <c r="C610" s="15"/>
      <c r="D610" s="16"/>
      <c r="E610" s="17"/>
      <c r="F610" s="17"/>
      <c r="H610" s="19"/>
      <c r="I610" s="47"/>
      <c r="J610" s="48"/>
      <c r="K610" s="49"/>
    </row>
    <row r="611" spans="1:11" ht="12.75" hidden="1" x14ac:dyDescent="0.2">
      <c r="A611" s="16"/>
      <c r="B611" s="16"/>
      <c r="C611" s="15"/>
      <c r="D611" s="16"/>
      <c r="E611" s="17"/>
      <c r="F611" s="17"/>
      <c r="H611" s="19"/>
      <c r="I611" s="47"/>
      <c r="J611" s="48"/>
      <c r="K611" s="49"/>
    </row>
    <row r="612" spans="1:11" ht="12.75" hidden="1" x14ac:dyDescent="0.2">
      <c r="A612" s="16"/>
      <c r="B612" s="16"/>
      <c r="C612" s="15"/>
      <c r="D612" s="16"/>
      <c r="E612" s="17"/>
      <c r="F612" s="17"/>
      <c r="H612" s="19"/>
      <c r="I612" s="47"/>
      <c r="J612" s="48"/>
      <c r="K612" s="49"/>
    </row>
    <row r="613" spans="1:11" ht="12.75" hidden="1" x14ac:dyDescent="0.2">
      <c r="A613" s="16"/>
      <c r="B613" s="16"/>
      <c r="C613" s="15"/>
      <c r="D613" s="16"/>
      <c r="E613" s="17"/>
      <c r="F613" s="17"/>
      <c r="H613" s="19"/>
      <c r="I613" s="47"/>
      <c r="J613" s="48"/>
      <c r="K613" s="49"/>
    </row>
    <row r="614" spans="1:11" ht="12.75" hidden="1" x14ac:dyDescent="0.2">
      <c r="A614" s="16"/>
      <c r="B614" s="16"/>
      <c r="C614" s="15"/>
      <c r="D614" s="16"/>
      <c r="E614" s="17"/>
      <c r="F614" s="17"/>
      <c r="H614" s="19"/>
      <c r="I614" s="47"/>
      <c r="J614" s="48"/>
      <c r="K614" s="49"/>
    </row>
    <row r="615" spans="1:11" ht="12.75" hidden="1" x14ac:dyDescent="0.2">
      <c r="A615" s="16"/>
      <c r="B615" s="16"/>
      <c r="C615" s="15"/>
      <c r="D615" s="16"/>
      <c r="E615" s="17"/>
      <c r="F615" s="17"/>
      <c r="H615" s="19"/>
      <c r="I615" s="47"/>
      <c r="J615" s="48"/>
      <c r="K615" s="49"/>
    </row>
    <row r="616" spans="1:11" ht="12.75" hidden="1" x14ac:dyDescent="0.2">
      <c r="A616" s="16"/>
      <c r="B616" s="16"/>
      <c r="C616" s="15"/>
      <c r="D616" s="16"/>
      <c r="E616" s="17"/>
      <c r="F616" s="17"/>
      <c r="H616" s="19"/>
      <c r="I616" s="47"/>
      <c r="J616" s="48"/>
      <c r="K616" s="49"/>
    </row>
    <row r="617" spans="1:11" ht="12.75" hidden="1" x14ac:dyDescent="0.2">
      <c r="A617" s="16"/>
      <c r="B617" s="16"/>
      <c r="C617" s="15"/>
      <c r="D617" s="16"/>
      <c r="E617" s="17"/>
      <c r="F617" s="17"/>
      <c r="H617" s="19"/>
      <c r="I617" s="47"/>
      <c r="J617" s="48"/>
      <c r="K617" s="49"/>
    </row>
    <row r="618" spans="1:11" ht="12.75" hidden="1" x14ac:dyDescent="0.2">
      <c r="A618" s="16"/>
      <c r="B618" s="16"/>
      <c r="C618" s="15"/>
      <c r="D618" s="16"/>
      <c r="E618" s="17"/>
      <c r="F618" s="17"/>
      <c r="H618" s="19"/>
      <c r="I618" s="47"/>
      <c r="J618" s="48"/>
      <c r="K618" s="49"/>
    </row>
    <row r="619" spans="1:11" ht="12.75" hidden="1" x14ac:dyDescent="0.2">
      <c r="A619" s="16"/>
      <c r="B619" s="16"/>
      <c r="C619" s="15"/>
      <c r="D619" s="16"/>
      <c r="E619" s="17"/>
      <c r="F619" s="17"/>
      <c r="H619" s="19"/>
      <c r="I619" s="47"/>
      <c r="J619" s="48"/>
      <c r="K619" s="49"/>
    </row>
    <row r="620" spans="1:11" ht="12.75" hidden="1" x14ac:dyDescent="0.2">
      <c r="A620" s="16"/>
      <c r="B620" s="16"/>
      <c r="C620" s="15"/>
      <c r="D620" s="16"/>
      <c r="E620" s="17"/>
      <c r="F620" s="17"/>
      <c r="H620" s="19"/>
      <c r="I620" s="47"/>
      <c r="J620" s="48"/>
      <c r="K620" s="49"/>
    </row>
    <row r="621" spans="1:11" ht="12.75" hidden="1" x14ac:dyDescent="0.2">
      <c r="A621" s="16"/>
      <c r="B621" s="16"/>
      <c r="C621" s="15"/>
      <c r="D621" s="16"/>
      <c r="E621" s="17"/>
      <c r="F621" s="17"/>
      <c r="H621" s="19"/>
      <c r="I621" s="47"/>
      <c r="J621" s="48"/>
      <c r="K621" s="49"/>
    </row>
    <row r="622" spans="1:11" ht="12.75" hidden="1" x14ac:dyDescent="0.2">
      <c r="A622" s="16"/>
      <c r="B622" s="16"/>
      <c r="C622" s="15"/>
      <c r="D622" s="16"/>
      <c r="E622" s="17"/>
      <c r="F622" s="17"/>
      <c r="H622" s="19"/>
      <c r="I622" s="47"/>
      <c r="J622" s="48"/>
      <c r="K622" s="49"/>
    </row>
    <row r="623" spans="1:11" ht="12.75" hidden="1" x14ac:dyDescent="0.2">
      <c r="A623" s="16"/>
      <c r="B623" s="16"/>
      <c r="C623" s="15"/>
      <c r="D623" s="16"/>
      <c r="E623" s="17"/>
      <c r="F623" s="17"/>
      <c r="H623" s="19"/>
      <c r="I623" s="47"/>
      <c r="J623" s="48"/>
      <c r="K623" s="49"/>
    </row>
    <row r="624" spans="1:11" ht="12.75" hidden="1" x14ac:dyDescent="0.2">
      <c r="A624" s="16"/>
      <c r="B624" s="16"/>
      <c r="C624" s="15"/>
      <c r="D624" s="16"/>
      <c r="E624" s="17"/>
      <c r="F624" s="17"/>
      <c r="H624" s="19"/>
      <c r="I624" s="47"/>
      <c r="J624" s="48"/>
      <c r="K624" s="49"/>
    </row>
    <row r="625" spans="1:11" ht="12.75" hidden="1" x14ac:dyDescent="0.2">
      <c r="A625" s="16"/>
      <c r="B625" s="16"/>
      <c r="C625" s="15"/>
      <c r="D625" s="16"/>
      <c r="E625" s="17"/>
      <c r="F625" s="17"/>
      <c r="H625" s="19"/>
      <c r="I625" s="47"/>
      <c r="J625" s="48"/>
      <c r="K625" s="49"/>
    </row>
    <row r="626" spans="1:11" ht="12.75" hidden="1" x14ac:dyDescent="0.2">
      <c r="A626" s="16"/>
      <c r="B626" s="16"/>
      <c r="C626" s="15"/>
      <c r="D626" s="16"/>
      <c r="E626" s="17"/>
      <c r="F626" s="17"/>
      <c r="H626" s="19"/>
      <c r="I626" s="47"/>
      <c r="J626" s="48"/>
      <c r="K626" s="49"/>
    </row>
    <row r="627" spans="1:11" ht="12.75" hidden="1" x14ac:dyDescent="0.2">
      <c r="A627" s="16"/>
      <c r="B627" s="16"/>
      <c r="C627" s="15"/>
      <c r="D627" s="16"/>
      <c r="E627" s="17"/>
      <c r="F627" s="17"/>
      <c r="H627" s="19"/>
      <c r="I627" s="47"/>
      <c r="J627" s="48"/>
      <c r="K627" s="49"/>
    </row>
    <row r="628" spans="1:11" ht="12.75" hidden="1" x14ac:dyDescent="0.2">
      <c r="A628" s="16"/>
      <c r="B628" s="16"/>
      <c r="C628" s="15"/>
      <c r="D628" s="16"/>
      <c r="E628" s="17"/>
      <c r="F628" s="17"/>
      <c r="H628" s="19"/>
      <c r="I628" s="47"/>
      <c r="J628" s="48"/>
      <c r="K628" s="49"/>
    </row>
    <row r="629" spans="1:11" ht="12.75" hidden="1" x14ac:dyDescent="0.2">
      <c r="A629" s="16"/>
      <c r="B629" s="16"/>
      <c r="C629" s="15"/>
      <c r="D629" s="16"/>
      <c r="E629" s="17"/>
      <c r="F629" s="17"/>
      <c r="H629" s="19"/>
      <c r="I629" s="47"/>
      <c r="J629" s="48"/>
      <c r="K629" s="49"/>
    </row>
    <row r="630" spans="1:11" ht="12.75" hidden="1" x14ac:dyDescent="0.2">
      <c r="A630" s="16"/>
      <c r="B630" s="16"/>
      <c r="C630" s="15"/>
      <c r="D630" s="16"/>
      <c r="E630" s="17"/>
      <c r="F630" s="17"/>
      <c r="H630" s="19"/>
      <c r="I630" s="47"/>
      <c r="J630" s="48"/>
      <c r="K630" s="49"/>
    </row>
    <row r="631" spans="1:11" ht="12.75" hidden="1" x14ac:dyDescent="0.2">
      <c r="A631" s="16"/>
      <c r="B631" s="16"/>
      <c r="C631" s="15"/>
      <c r="D631" s="16"/>
      <c r="E631" s="17"/>
      <c r="F631" s="17"/>
      <c r="H631" s="19"/>
      <c r="I631" s="47"/>
      <c r="J631" s="48"/>
      <c r="K631" s="49"/>
    </row>
    <row r="632" spans="1:11" ht="12.75" hidden="1" x14ac:dyDescent="0.2">
      <c r="A632" s="16"/>
      <c r="B632" s="16"/>
      <c r="C632" s="15"/>
      <c r="D632" s="16"/>
      <c r="E632" s="17"/>
      <c r="F632" s="17"/>
      <c r="H632" s="19"/>
      <c r="I632" s="47"/>
      <c r="J632" s="48"/>
      <c r="K632" s="49"/>
    </row>
    <row r="633" spans="1:11" ht="12.75" hidden="1" x14ac:dyDescent="0.2">
      <c r="A633" s="16"/>
      <c r="B633" s="16"/>
      <c r="C633" s="15"/>
      <c r="D633" s="16"/>
      <c r="E633" s="17"/>
      <c r="F633" s="17"/>
      <c r="H633" s="19"/>
      <c r="I633" s="47"/>
      <c r="J633" s="48"/>
      <c r="K633" s="49"/>
    </row>
    <row r="634" spans="1:11" ht="12.75" hidden="1" x14ac:dyDescent="0.2">
      <c r="A634" s="16"/>
      <c r="B634" s="16"/>
      <c r="C634" s="15"/>
      <c r="D634" s="16"/>
      <c r="E634" s="17"/>
      <c r="F634" s="17"/>
      <c r="H634" s="19"/>
      <c r="I634" s="47"/>
      <c r="J634" s="48"/>
      <c r="K634" s="49"/>
    </row>
    <row r="635" spans="1:11" ht="12.75" hidden="1" x14ac:dyDescent="0.2">
      <c r="A635" s="16"/>
      <c r="B635" s="16"/>
      <c r="C635" s="15"/>
      <c r="D635" s="16"/>
      <c r="E635" s="17"/>
      <c r="F635" s="17"/>
      <c r="H635" s="19"/>
      <c r="I635" s="47"/>
      <c r="J635" s="48"/>
      <c r="K635" s="49"/>
    </row>
    <row r="636" spans="1:11" ht="12.75" hidden="1" x14ac:dyDescent="0.2">
      <c r="A636" s="16"/>
      <c r="B636" s="16"/>
      <c r="C636" s="15"/>
      <c r="D636" s="16"/>
      <c r="E636" s="17"/>
      <c r="F636" s="17"/>
      <c r="H636" s="19"/>
      <c r="I636" s="47"/>
      <c r="J636" s="48"/>
      <c r="K636" s="49"/>
    </row>
    <row r="637" spans="1:11" ht="12.75" hidden="1" x14ac:dyDescent="0.2">
      <c r="A637" s="16"/>
      <c r="B637" s="16"/>
      <c r="C637" s="15"/>
      <c r="D637" s="16"/>
      <c r="E637" s="17"/>
      <c r="F637" s="17"/>
      <c r="H637" s="19"/>
      <c r="I637" s="47"/>
      <c r="J637" s="48"/>
      <c r="K637" s="49"/>
    </row>
    <row r="638" spans="1:11" ht="12.75" hidden="1" x14ac:dyDescent="0.2">
      <c r="A638" s="16"/>
      <c r="B638" s="16"/>
      <c r="C638" s="15"/>
      <c r="D638" s="16"/>
      <c r="E638" s="17"/>
      <c r="F638" s="17"/>
      <c r="H638" s="19"/>
      <c r="I638" s="47"/>
      <c r="J638" s="48"/>
      <c r="K638" s="49"/>
    </row>
    <row r="639" spans="1:11" ht="12.75" hidden="1" x14ac:dyDescent="0.2">
      <c r="A639" s="16"/>
      <c r="B639" s="16"/>
      <c r="C639" s="15"/>
      <c r="D639" s="16"/>
      <c r="E639" s="17"/>
      <c r="F639" s="17"/>
      <c r="H639" s="19"/>
      <c r="I639" s="47"/>
      <c r="J639" s="48"/>
      <c r="K639" s="49"/>
    </row>
    <row r="640" spans="1:11" ht="12.75" hidden="1" x14ac:dyDescent="0.2">
      <c r="A640" s="16"/>
      <c r="B640" s="16"/>
      <c r="C640" s="15"/>
      <c r="D640" s="16"/>
      <c r="E640" s="17"/>
      <c r="F640" s="17"/>
      <c r="H640" s="19"/>
      <c r="I640" s="47"/>
      <c r="J640" s="48"/>
      <c r="K640" s="49"/>
    </row>
    <row r="641" spans="1:11" ht="12.75" hidden="1" x14ac:dyDescent="0.2">
      <c r="A641" s="16"/>
      <c r="B641" s="16"/>
      <c r="C641" s="15"/>
      <c r="D641" s="16"/>
      <c r="E641" s="17"/>
      <c r="F641" s="17"/>
      <c r="H641" s="19"/>
      <c r="I641" s="47"/>
      <c r="J641" s="48"/>
      <c r="K641" s="49"/>
    </row>
    <row r="642" spans="1:11" ht="12.75" hidden="1" x14ac:dyDescent="0.2">
      <c r="A642" s="16"/>
      <c r="B642" s="16"/>
      <c r="C642" s="15"/>
      <c r="D642" s="16"/>
      <c r="E642" s="17"/>
      <c r="F642" s="17"/>
      <c r="H642" s="19"/>
      <c r="I642" s="47"/>
      <c r="J642" s="48"/>
      <c r="K642" s="49"/>
    </row>
    <row r="643" spans="1:11" ht="12.75" hidden="1" x14ac:dyDescent="0.2">
      <c r="A643" s="16"/>
      <c r="B643" s="16"/>
      <c r="C643" s="15"/>
      <c r="D643" s="16"/>
      <c r="E643" s="17"/>
      <c r="F643" s="17"/>
      <c r="H643" s="19"/>
      <c r="I643" s="47"/>
      <c r="J643" s="48"/>
      <c r="K643" s="49"/>
    </row>
    <row r="644" spans="1:11" ht="12.75" hidden="1" x14ac:dyDescent="0.2">
      <c r="A644" s="16"/>
      <c r="B644" s="16"/>
      <c r="C644" s="15"/>
      <c r="D644" s="16"/>
      <c r="E644" s="17"/>
      <c r="F644" s="17"/>
      <c r="H644" s="19"/>
      <c r="I644" s="47"/>
      <c r="J644" s="48"/>
      <c r="K644" s="49"/>
    </row>
    <row r="645" spans="1:11" ht="12.75" hidden="1" x14ac:dyDescent="0.2">
      <c r="A645" s="16"/>
      <c r="B645" s="16"/>
      <c r="C645" s="15"/>
      <c r="D645" s="16"/>
      <c r="E645" s="17"/>
      <c r="F645" s="17"/>
      <c r="H645" s="19"/>
      <c r="I645" s="47"/>
      <c r="J645" s="48"/>
      <c r="K645" s="49"/>
    </row>
    <row r="646" spans="1:11" ht="12.75" hidden="1" x14ac:dyDescent="0.2">
      <c r="A646" s="16"/>
      <c r="B646" s="16"/>
      <c r="C646" s="15"/>
      <c r="D646" s="16"/>
      <c r="E646" s="17"/>
      <c r="F646" s="17"/>
      <c r="H646" s="19"/>
      <c r="I646" s="47"/>
      <c r="J646" s="48"/>
      <c r="K646" s="49"/>
    </row>
    <row r="647" spans="1:11" ht="12.75" hidden="1" x14ac:dyDescent="0.2">
      <c r="A647" s="16"/>
      <c r="B647" s="16"/>
      <c r="C647" s="15"/>
      <c r="D647" s="16"/>
      <c r="E647" s="17"/>
      <c r="F647" s="17"/>
      <c r="H647" s="19"/>
      <c r="I647" s="47"/>
      <c r="J647" s="48"/>
      <c r="K647" s="49"/>
    </row>
    <row r="648" spans="1:11" ht="12.75" hidden="1" x14ac:dyDescent="0.2">
      <c r="A648" s="16"/>
      <c r="B648" s="16"/>
      <c r="C648" s="15"/>
      <c r="D648" s="16"/>
      <c r="E648" s="17"/>
      <c r="F648" s="17"/>
      <c r="H648" s="19"/>
      <c r="I648" s="47"/>
      <c r="J648" s="48"/>
      <c r="K648" s="49"/>
    </row>
    <row r="649" spans="1:11" ht="12.75" hidden="1" x14ac:dyDescent="0.2">
      <c r="A649" s="16"/>
      <c r="B649" s="16"/>
      <c r="C649" s="15"/>
      <c r="D649" s="16"/>
      <c r="E649" s="17"/>
      <c r="F649" s="17"/>
      <c r="H649" s="19"/>
      <c r="I649" s="47"/>
      <c r="J649" s="48"/>
      <c r="K649" s="49"/>
    </row>
    <row r="650" spans="1:11" ht="12.75" hidden="1" x14ac:dyDescent="0.2">
      <c r="A650" s="16"/>
      <c r="B650" s="16"/>
      <c r="C650" s="15"/>
      <c r="D650" s="16"/>
      <c r="E650" s="17"/>
      <c r="F650" s="17"/>
      <c r="H650" s="19"/>
      <c r="I650" s="47"/>
      <c r="J650" s="48"/>
      <c r="K650" s="49"/>
    </row>
    <row r="651" spans="1:11" ht="12.75" hidden="1" x14ac:dyDescent="0.2">
      <c r="A651" s="16"/>
      <c r="B651" s="16"/>
      <c r="C651" s="15"/>
      <c r="D651" s="16"/>
      <c r="E651" s="17"/>
      <c r="F651" s="17"/>
      <c r="H651" s="19"/>
      <c r="I651" s="47"/>
      <c r="J651" s="48"/>
      <c r="K651" s="49"/>
    </row>
    <row r="652" spans="1:11" ht="12.75" hidden="1" x14ac:dyDescent="0.2">
      <c r="A652" s="16"/>
      <c r="B652" s="16"/>
      <c r="C652" s="15"/>
      <c r="D652" s="16"/>
      <c r="E652" s="17"/>
      <c r="F652" s="17"/>
      <c r="H652" s="19"/>
      <c r="I652" s="47"/>
      <c r="J652" s="48"/>
      <c r="K652" s="49"/>
    </row>
    <row r="653" spans="1:11" ht="12.75" hidden="1" x14ac:dyDescent="0.2">
      <c r="A653" s="16"/>
      <c r="B653" s="16"/>
      <c r="C653" s="15"/>
      <c r="D653" s="16"/>
      <c r="E653" s="17"/>
      <c r="F653" s="17"/>
      <c r="H653" s="19"/>
      <c r="I653" s="47"/>
      <c r="J653" s="48"/>
      <c r="K653" s="49"/>
    </row>
    <row r="654" spans="1:11" ht="12.75" hidden="1" x14ac:dyDescent="0.2">
      <c r="A654" s="16"/>
      <c r="B654" s="16"/>
      <c r="C654" s="15"/>
      <c r="D654" s="16"/>
      <c r="E654" s="17"/>
      <c r="F654" s="17"/>
      <c r="H654" s="19"/>
      <c r="I654" s="47"/>
      <c r="J654" s="48"/>
      <c r="K654" s="49"/>
    </row>
    <row r="655" spans="1:11" ht="12.75" hidden="1" x14ac:dyDescent="0.2">
      <c r="A655" s="16"/>
      <c r="B655" s="16"/>
      <c r="C655" s="15"/>
      <c r="D655" s="16"/>
      <c r="E655" s="17"/>
      <c r="F655" s="17"/>
      <c r="H655" s="19"/>
      <c r="I655" s="47"/>
      <c r="J655" s="48"/>
      <c r="K655" s="49"/>
    </row>
    <row r="656" spans="1:11" ht="12.75" hidden="1" x14ac:dyDescent="0.2">
      <c r="A656" s="16"/>
      <c r="B656" s="16"/>
      <c r="C656" s="15"/>
      <c r="D656" s="16"/>
      <c r="E656" s="17"/>
      <c r="F656" s="17"/>
      <c r="H656" s="19"/>
      <c r="I656" s="47"/>
      <c r="J656" s="48"/>
      <c r="K656" s="49"/>
    </row>
    <row r="657" spans="1:11" ht="12.75" hidden="1" x14ac:dyDescent="0.2">
      <c r="A657" s="16"/>
      <c r="B657" s="16"/>
      <c r="C657" s="15"/>
      <c r="D657" s="16"/>
      <c r="E657" s="17"/>
      <c r="F657" s="17"/>
      <c r="H657" s="19"/>
      <c r="I657" s="47"/>
      <c r="J657" s="48"/>
      <c r="K657" s="49"/>
    </row>
    <row r="658" spans="1:11" ht="12.75" hidden="1" x14ac:dyDescent="0.2">
      <c r="A658" s="16"/>
      <c r="B658" s="16"/>
      <c r="C658" s="15"/>
      <c r="D658" s="16"/>
      <c r="E658" s="17"/>
      <c r="F658" s="17"/>
      <c r="H658" s="19"/>
      <c r="I658" s="47"/>
      <c r="J658" s="48"/>
      <c r="K658" s="49"/>
    </row>
    <row r="659" spans="1:11" ht="12.75" hidden="1" x14ac:dyDescent="0.2">
      <c r="A659" s="16"/>
      <c r="B659" s="16"/>
      <c r="C659" s="15"/>
      <c r="D659" s="16"/>
      <c r="E659" s="17"/>
      <c r="F659" s="17"/>
      <c r="H659" s="19"/>
      <c r="I659" s="47"/>
      <c r="J659" s="48"/>
      <c r="K659" s="49"/>
    </row>
    <row r="660" spans="1:11" ht="12.75" hidden="1" x14ac:dyDescent="0.2">
      <c r="A660" s="16"/>
      <c r="B660" s="16"/>
      <c r="C660" s="15"/>
      <c r="D660" s="16"/>
      <c r="E660" s="17"/>
      <c r="F660" s="17"/>
      <c r="H660" s="19"/>
      <c r="I660" s="47"/>
      <c r="J660" s="48"/>
      <c r="K660" s="49"/>
    </row>
    <row r="661" spans="1:11" ht="12.75" hidden="1" x14ac:dyDescent="0.2">
      <c r="A661" s="16"/>
      <c r="B661" s="16"/>
      <c r="C661" s="15"/>
      <c r="D661" s="16"/>
      <c r="E661" s="17"/>
      <c r="F661" s="17"/>
      <c r="H661" s="19"/>
      <c r="I661" s="47"/>
      <c r="J661" s="48"/>
      <c r="K661" s="49"/>
    </row>
    <row r="662" spans="1:11" ht="12.75" hidden="1" x14ac:dyDescent="0.2">
      <c r="A662" s="16"/>
      <c r="B662" s="16"/>
      <c r="C662" s="15"/>
      <c r="D662" s="16"/>
      <c r="E662" s="17"/>
      <c r="F662" s="17"/>
      <c r="H662" s="19"/>
      <c r="I662" s="47"/>
      <c r="J662" s="48"/>
      <c r="K662" s="49"/>
    </row>
    <row r="663" spans="1:11" ht="12.75" hidden="1" x14ac:dyDescent="0.2">
      <c r="A663" s="16"/>
      <c r="B663" s="16"/>
      <c r="C663" s="15"/>
      <c r="D663" s="16"/>
      <c r="E663" s="17"/>
      <c r="F663" s="17"/>
      <c r="H663" s="19"/>
      <c r="I663" s="47"/>
      <c r="J663" s="48"/>
      <c r="K663" s="49"/>
    </row>
    <row r="664" spans="1:11" ht="12.75" hidden="1" x14ac:dyDescent="0.2">
      <c r="A664" s="16"/>
      <c r="B664" s="16"/>
      <c r="C664" s="15"/>
      <c r="D664" s="16"/>
      <c r="E664" s="17"/>
      <c r="F664" s="17"/>
      <c r="H664" s="19"/>
      <c r="I664" s="47"/>
      <c r="J664" s="48"/>
      <c r="K664" s="49"/>
    </row>
    <row r="665" spans="1:11" ht="12.75" hidden="1" x14ac:dyDescent="0.2">
      <c r="A665" s="16"/>
      <c r="B665" s="16"/>
      <c r="C665" s="15"/>
      <c r="D665" s="16"/>
      <c r="E665" s="17"/>
      <c r="F665" s="17"/>
      <c r="H665" s="19"/>
      <c r="I665" s="47"/>
      <c r="J665" s="48"/>
      <c r="K665" s="49"/>
    </row>
    <row r="666" spans="1:11" ht="12.75" hidden="1" x14ac:dyDescent="0.2">
      <c r="A666" s="16"/>
      <c r="B666" s="16"/>
      <c r="C666" s="15"/>
      <c r="D666" s="16"/>
      <c r="E666" s="17"/>
      <c r="F666" s="17"/>
      <c r="H666" s="19"/>
      <c r="I666" s="47"/>
      <c r="J666" s="48"/>
      <c r="K666" s="49"/>
    </row>
    <row r="667" spans="1:11" ht="12.75" hidden="1" x14ac:dyDescent="0.2">
      <c r="A667" s="16"/>
      <c r="B667" s="16"/>
      <c r="C667" s="15"/>
      <c r="D667" s="16"/>
      <c r="E667" s="17"/>
      <c r="F667" s="17"/>
      <c r="H667" s="19"/>
      <c r="I667" s="47"/>
      <c r="J667" s="48"/>
      <c r="K667" s="49"/>
    </row>
    <row r="668" spans="1:11" ht="12.75" hidden="1" x14ac:dyDescent="0.2">
      <c r="A668" s="16"/>
      <c r="B668" s="16"/>
      <c r="C668" s="15"/>
      <c r="D668" s="16"/>
      <c r="E668" s="17"/>
      <c r="F668" s="17"/>
      <c r="H668" s="19"/>
      <c r="I668" s="47"/>
      <c r="J668" s="48"/>
      <c r="K668" s="49"/>
    </row>
    <row r="669" spans="1:11" ht="12.75" hidden="1" x14ac:dyDescent="0.2">
      <c r="A669" s="16"/>
      <c r="B669" s="16"/>
      <c r="C669" s="15"/>
      <c r="D669" s="16"/>
      <c r="E669" s="17"/>
      <c r="F669" s="17"/>
      <c r="H669" s="19"/>
      <c r="I669" s="47"/>
      <c r="J669" s="48"/>
      <c r="K669" s="49"/>
    </row>
    <row r="670" spans="1:11" ht="12.75" hidden="1" x14ac:dyDescent="0.2">
      <c r="A670" s="16"/>
      <c r="B670" s="16"/>
      <c r="C670" s="15"/>
      <c r="D670" s="16"/>
      <c r="E670" s="17"/>
      <c r="F670" s="17"/>
      <c r="H670" s="19"/>
      <c r="I670" s="47"/>
      <c r="J670" s="48"/>
      <c r="K670" s="49"/>
    </row>
    <row r="671" spans="1:11" ht="12.75" hidden="1" x14ac:dyDescent="0.2">
      <c r="A671" s="16"/>
      <c r="B671" s="16"/>
      <c r="C671" s="15"/>
      <c r="D671" s="16"/>
      <c r="E671" s="17"/>
      <c r="F671" s="17"/>
      <c r="H671" s="19"/>
      <c r="I671" s="47"/>
      <c r="J671" s="48"/>
      <c r="K671" s="49"/>
    </row>
    <row r="672" spans="1:11" ht="12.75" hidden="1" x14ac:dyDescent="0.2">
      <c r="A672" s="16"/>
      <c r="B672" s="16"/>
      <c r="C672" s="15"/>
      <c r="D672" s="16"/>
      <c r="E672" s="17"/>
      <c r="F672" s="17"/>
      <c r="H672" s="19"/>
      <c r="I672" s="47"/>
      <c r="J672" s="48"/>
      <c r="K672" s="49"/>
    </row>
    <row r="673" spans="1:11" ht="12.75" hidden="1" x14ac:dyDescent="0.2">
      <c r="A673" s="16"/>
      <c r="B673" s="16"/>
      <c r="C673" s="15"/>
      <c r="D673" s="16"/>
      <c r="E673" s="17"/>
      <c r="F673" s="17"/>
      <c r="H673" s="19"/>
      <c r="I673" s="47"/>
      <c r="J673" s="48"/>
      <c r="K673" s="49"/>
    </row>
    <row r="674" spans="1:11" ht="12.75" hidden="1" x14ac:dyDescent="0.2">
      <c r="A674" s="16"/>
      <c r="B674" s="16"/>
      <c r="C674" s="15"/>
      <c r="D674" s="16"/>
      <c r="E674" s="17"/>
      <c r="F674" s="17"/>
      <c r="H674" s="19"/>
      <c r="I674" s="47"/>
      <c r="J674" s="48"/>
      <c r="K674" s="49"/>
    </row>
    <row r="675" spans="1:11" ht="12.75" hidden="1" x14ac:dyDescent="0.2">
      <c r="A675" s="16"/>
      <c r="B675" s="16"/>
      <c r="C675" s="15"/>
      <c r="D675" s="16"/>
      <c r="E675" s="17"/>
      <c r="F675" s="17"/>
      <c r="H675" s="19"/>
      <c r="I675" s="47"/>
      <c r="J675" s="48"/>
      <c r="K675" s="49"/>
    </row>
    <row r="676" spans="1:11" ht="12.75" hidden="1" x14ac:dyDescent="0.2">
      <c r="A676" s="16"/>
      <c r="B676" s="16"/>
      <c r="C676" s="15"/>
      <c r="D676" s="16"/>
      <c r="E676" s="17"/>
      <c r="F676" s="17"/>
      <c r="H676" s="19"/>
      <c r="I676" s="47"/>
      <c r="J676" s="48"/>
      <c r="K676" s="49"/>
    </row>
    <row r="677" spans="1:11" ht="12.75" hidden="1" x14ac:dyDescent="0.2">
      <c r="A677" s="16"/>
      <c r="B677" s="16"/>
      <c r="C677" s="15"/>
      <c r="D677" s="16"/>
      <c r="E677" s="17"/>
      <c r="F677" s="17"/>
      <c r="H677" s="19"/>
      <c r="I677" s="47"/>
      <c r="J677" s="48"/>
      <c r="K677" s="49"/>
    </row>
    <row r="678" spans="1:11" ht="12.75" hidden="1" x14ac:dyDescent="0.2">
      <c r="A678" s="16"/>
      <c r="B678" s="16"/>
      <c r="C678" s="15"/>
      <c r="D678" s="16"/>
      <c r="E678" s="17"/>
      <c r="F678" s="17"/>
      <c r="H678" s="19"/>
      <c r="I678" s="47"/>
      <c r="J678" s="48"/>
      <c r="K678" s="49"/>
    </row>
    <row r="679" spans="1:11" ht="12.75" hidden="1" x14ac:dyDescent="0.2">
      <c r="A679" s="16"/>
      <c r="B679" s="16"/>
      <c r="C679" s="15"/>
      <c r="D679" s="16"/>
      <c r="E679" s="17"/>
      <c r="F679" s="17"/>
      <c r="H679" s="19"/>
      <c r="I679" s="47"/>
      <c r="J679" s="48"/>
      <c r="K679" s="49"/>
    </row>
    <row r="680" spans="1:11" ht="12.75" hidden="1" x14ac:dyDescent="0.2">
      <c r="A680" s="16"/>
      <c r="B680" s="16"/>
      <c r="C680" s="15"/>
      <c r="D680" s="16"/>
      <c r="E680" s="17"/>
      <c r="F680" s="17"/>
      <c r="H680" s="19"/>
      <c r="I680" s="47"/>
      <c r="J680" s="48"/>
      <c r="K680" s="49"/>
    </row>
    <row r="681" spans="1:11" ht="12.75" hidden="1" x14ac:dyDescent="0.2">
      <c r="A681" s="16"/>
      <c r="B681" s="16"/>
      <c r="C681" s="15"/>
      <c r="D681" s="16"/>
      <c r="E681" s="17"/>
      <c r="F681" s="17"/>
      <c r="H681" s="19"/>
      <c r="I681" s="47"/>
      <c r="J681" s="48"/>
      <c r="K681" s="49"/>
    </row>
    <row r="682" spans="1:11" ht="12.75" hidden="1" x14ac:dyDescent="0.2">
      <c r="A682" s="16"/>
      <c r="B682" s="16"/>
      <c r="C682" s="15"/>
      <c r="D682" s="16"/>
      <c r="E682" s="17"/>
      <c r="F682" s="17"/>
      <c r="H682" s="19"/>
      <c r="I682" s="47"/>
      <c r="J682" s="48"/>
      <c r="K682" s="49"/>
    </row>
    <row r="683" spans="1:11" ht="12.75" hidden="1" x14ac:dyDescent="0.2">
      <c r="A683" s="16"/>
      <c r="B683" s="16"/>
      <c r="C683" s="15"/>
      <c r="D683" s="16"/>
      <c r="E683" s="17"/>
      <c r="F683" s="17"/>
      <c r="H683" s="19"/>
      <c r="I683" s="47"/>
      <c r="J683" s="48"/>
      <c r="K683" s="49"/>
    </row>
    <row r="684" spans="1:11" ht="12.75" hidden="1" x14ac:dyDescent="0.2">
      <c r="A684" s="16"/>
      <c r="B684" s="16"/>
      <c r="C684" s="15"/>
      <c r="D684" s="16"/>
      <c r="E684" s="17"/>
      <c r="F684" s="17"/>
      <c r="H684" s="19"/>
      <c r="I684" s="47"/>
      <c r="J684" s="48"/>
      <c r="K684" s="49"/>
    </row>
    <row r="685" spans="1:11" ht="12.75" hidden="1" x14ac:dyDescent="0.2">
      <c r="A685" s="16"/>
      <c r="B685" s="16"/>
      <c r="C685" s="15"/>
      <c r="D685" s="16"/>
      <c r="E685" s="17"/>
      <c r="F685" s="17"/>
      <c r="H685" s="19"/>
      <c r="I685" s="47"/>
      <c r="J685" s="48"/>
      <c r="K685" s="49"/>
    </row>
    <row r="686" spans="1:11" ht="12.75" hidden="1" x14ac:dyDescent="0.2">
      <c r="A686" s="16"/>
      <c r="B686" s="16"/>
      <c r="C686" s="15"/>
      <c r="D686" s="16"/>
      <c r="E686" s="17"/>
      <c r="F686" s="17"/>
      <c r="H686" s="19"/>
      <c r="I686" s="47"/>
      <c r="J686" s="48"/>
      <c r="K686" s="49"/>
    </row>
    <row r="687" spans="1:11" ht="12.75" hidden="1" x14ac:dyDescent="0.2">
      <c r="A687" s="16"/>
      <c r="B687" s="16"/>
      <c r="C687" s="15"/>
      <c r="D687" s="16"/>
      <c r="E687" s="17"/>
      <c r="F687" s="17"/>
      <c r="H687" s="19"/>
      <c r="I687" s="47"/>
      <c r="J687" s="48"/>
      <c r="K687" s="49"/>
    </row>
    <row r="688" spans="1:11" ht="12.75" hidden="1" x14ac:dyDescent="0.2">
      <c r="A688" s="16"/>
      <c r="B688" s="16"/>
      <c r="C688" s="15"/>
      <c r="D688" s="16"/>
      <c r="E688" s="17"/>
      <c r="F688" s="17"/>
      <c r="H688" s="19"/>
      <c r="I688" s="47"/>
      <c r="J688" s="48"/>
      <c r="K688" s="49"/>
    </row>
    <row r="689" spans="1:11" ht="12.75" hidden="1" x14ac:dyDescent="0.2">
      <c r="A689" s="16"/>
      <c r="B689" s="16"/>
      <c r="C689" s="15"/>
      <c r="D689" s="16"/>
      <c r="E689" s="17"/>
      <c r="F689" s="17"/>
      <c r="H689" s="19"/>
      <c r="I689" s="47"/>
      <c r="J689" s="48"/>
      <c r="K689" s="49"/>
    </row>
    <row r="690" spans="1:11" ht="12.75" hidden="1" x14ac:dyDescent="0.2">
      <c r="A690" s="16"/>
      <c r="B690" s="16"/>
      <c r="C690" s="15"/>
      <c r="D690" s="16"/>
      <c r="E690" s="17"/>
      <c r="F690" s="17"/>
      <c r="H690" s="19"/>
      <c r="I690" s="47"/>
      <c r="J690" s="48"/>
      <c r="K690" s="49"/>
    </row>
    <row r="691" spans="1:11" ht="12.75" hidden="1" x14ac:dyDescent="0.2">
      <c r="A691" s="16"/>
      <c r="B691" s="16"/>
      <c r="C691" s="15"/>
      <c r="D691" s="16"/>
      <c r="E691" s="17"/>
      <c r="F691" s="17"/>
      <c r="H691" s="19"/>
      <c r="I691" s="47"/>
      <c r="J691" s="48"/>
      <c r="K691" s="49"/>
    </row>
    <row r="692" spans="1:11" ht="12.75" hidden="1" x14ac:dyDescent="0.2">
      <c r="A692" s="16"/>
      <c r="B692" s="16"/>
      <c r="C692" s="15"/>
      <c r="D692" s="16"/>
      <c r="E692" s="17"/>
      <c r="F692" s="17"/>
      <c r="H692" s="19"/>
      <c r="I692" s="47"/>
      <c r="J692" s="48"/>
      <c r="K692" s="49"/>
    </row>
    <row r="693" spans="1:11" ht="12.75" hidden="1" x14ac:dyDescent="0.2">
      <c r="A693" s="16"/>
      <c r="B693" s="16"/>
      <c r="C693" s="15"/>
      <c r="D693" s="16"/>
      <c r="E693" s="17"/>
      <c r="F693" s="17"/>
      <c r="H693" s="19"/>
      <c r="I693" s="47"/>
      <c r="J693" s="48"/>
      <c r="K693" s="49"/>
    </row>
    <row r="694" spans="1:11" ht="12.75" hidden="1" x14ac:dyDescent="0.2">
      <c r="A694" s="16"/>
      <c r="B694" s="16"/>
      <c r="C694" s="15"/>
      <c r="D694" s="16"/>
      <c r="E694" s="17"/>
      <c r="F694" s="17"/>
      <c r="H694" s="19"/>
      <c r="I694" s="47"/>
      <c r="J694" s="48"/>
      <c r="K694" s="49"/>
    </row>
    <row r="695" spans="1:11" ht="12.75" hidden="1" x14ac:dyDescent="0.2">
      <c r="A695" s="16"/>
      <c r="B695" s="16"/>
      <c r="C695" s="15"/>
      <c r="D695" s="16"/>
      <c r="E695" s="17"/>
      <c r="F695" s="17"/>
      <c r="H695" s="19"/>
      <c r="I695" s="47"/>
      <c r="J695" s="48"/>
      <c r="K695" s="49"/>
    </row>
    <row r="696" spans="1:11" ht="12.75" hidden="1" x14ac:dyDescent="0.2">
      <c r="A696" s="16"/>
      <c r="B696" s="16"/>
      <c r="C696" s="15"/>
      <c r="D696" s="16"/>
      <c r="E696" s="17"/>
      <c r="F696" s="17"/>
      <c r="H696" s="19"/>
      <c r="I696" s="47"/>
      <c r="J696" s="48"/>
      <c r="K696" s="49"/>
    </row>
    <row r="697" spans="1:11" ht="12.75" hidden="1" x14ac:dyDescent="0.2">
      <c r="A697" s="16"/>
      <c r="B697" s="16"/>
      <c r="C697" s="15"/>
      <c r="D697" s="16"/>
      <c r="E697" s="17"/>
      <c r="F697" s="17"/>
      <c r="H697" s="19"/>
      <c r="I697" s="47"/>
      <c r="J697" s="48"/>
      <c r="K697" s="49"/>
    </row>
    <row r="698" spans="1:11" ht="12.75" hidden="1" x14ac:dyDescent="0.2">
      <c r="A698" s="16"/>
      <c r="B698" s="16"/>
      <c r="C698" s="15"/>
      <c r="D698" s="16"/>
      <c r="E698" s="17"/>
      <c r="F698" s="17"/>
      <c r="H698" s="19"/>
      <c r="I698" s="47"/>
      <c r="J698" s="48"/>
      <c r="K698" s="49"/>
    </row>
    <row r="699" spans="1:11" ht="12.75" hidden="1" x14ac:dyDescent="0.2">
      <c r="A699" s="16"/>
      <c r="B699" s="16"/>
      <c r="C699" s="15"/>
      <c r="D699" s="16"/>
      <c r="E699" s="17"/>
      <c r="F699" s="17"/>
      <c r="H699" s="19"/>
      <c r="I699" s="47"/>
      <c r="J699" s="48"/>
      <c r="K699" s="49"/>
    </row>
    <row r="700" spans="1:11" ht="12.75" hidden="1" x14ac:dyDescent="0.2">
      <c r="A700" s="16"/>
      <c r="B700" s="16"/>
      <c r="C700" s="15"/>
      <c r="D700" s="16"/>
      <c r="E700" s="17"/>
      <c r="F700" s="17"/>
      <c r="H700" s="19"/>
      <c r="I700" s="47"/>
      <c r="J700" s="48"/>
      <c r="K700" s="49"/>
    </row>
    <row r="701" spans="1:11" ht="12.75" hidden="1" x14ac:dyDescent="0.2">
      <c r="A701" s="16"/>
      <c r="B701" s="16"/>
      <c r="C701" s="15"/>
      <c r="D701" s="16"/>
      <c r="E701" s="17"/>
      <c r="F701" s="17"/>
      <c r="H701" s="19"/>
      <c r="I701" s="47"/>
      <c r="J701" s="48"/>
      <c r="K701" s="49"/>
    </row>
    <row r="702" spans="1:11" ht="12.75" hidden="1" x14ac:dyDescent="0.2">
      <c r="A702" s="16"/>
      <c r="B702" s="16"/>
      <c r="C702" s="15"/>
      <c r="D702" s="16"/>
      <c r="E702" s="17"/>
      <c r="F702" s="17"/>
      <c r="H702" s="19"/>
      <c r="I702" s="47"/>
      <c r="J702" s="48"/>
      <c r="K702" s="49"/>
    </row>
    <row r="703" spans="1:11" ht="12.75" hidden="1" x14ac:dyDescent="0.2">
      <c r="A703" s="16"/>
      <c r="B703" s="16"/>
      <c r="C703" s="15"/>
      <c r="D703" s="16"/>
      <c r="E703" s="17"/>
      <c r="F703" s="17"/>
      <c r="H703" s="19"/>
      <c r="I703" s="47"/>
      <c r="J703" s="48"/>
      <c r="K703" s="49"/>
    </row>
    <row r="704" spans="1:11" ht="12.75" hidden="1" x14ac:dyDescent="0.2">
      <c r="A704" s="16"/>
      <c r="B704" s="16"/>
      <c r="C704" s="15"/>
      <c r="D704" s="16"/>
      <c r="E704" s="17"/>
      <c r="F704" s="17"/>
      <c r="H704" s="19"/>
      <c r="I704" s="47"/>
      <c r="J704" s="48"/>
      <c r="K704" s="49"/>
    </row>
    <row r="705" spans="1:11" ht="12.75" hidden="1" x14ac:dyDescent="0.2">
      <c r="A705" s="16"/>
      <c r="B705" s="16"/>
      <c r="C705" s="15"/>
      <c r="D705" s="16"/>
      <c r="E705" s="17"/>
      <c r="F705" s="17"/>
      <c r="H705" s="19"/>
      <c r="I705" s="47"/>
      <c r="J705" s="48"/>
      <c r="K705" s="49"/>
    </row>
    <row r="706" spans="1:11" ht="12.75" hidden="1" x14ac:dyDescent="0.2">
      <c r="A706" s="16"/>
      <c r="B706" s="16"/>
      <c r="C706" s="15"/>
      <c r="D706" s="16"/>
      <c r="E706" s="17"/>
      <c r="F706" s="17"/>
      <c r="H706" s="19"/>
      <c r="I706" s="47"/>
      <c r="J706" s="48"/>
      <c r="K706" s="49"/>
    </row>
    <row r="707" spans="1:11" ht="12.75" hidden="1" x14ac:dyDescent="0.2">
      <c r="A707" s="16"/>
      <c r="B707" s="16"/>
      <c r="C707" s="15"/>
      <c r="D707" s="16"/>
      <c r="E707" s="17"/>
      <c r="F707" s="17"/>
      <c r="H707" s="19"/>
      <c r="I707" s="47"/>
      <c r="J707" s="48"/>
      <c r="K707" s="49"/>
    </row>
    <row r="708" spans="1:11" ht="12.75" hidden="1" x14ac:dyDescent="0.2">
      <c r="A708" s="16"/>
      <c r="B708" s="16"/>
      <c r="C708" s="15"/>
      <c r="D708" s="16"/>
      <c r="E708" s="17"/>
      <c r="F708" s="17"/>
      <c r="H708" s="19"/>
      <c r="I708" s="47"/>
      <c r="J708" s="48"/>
      <c r="K708" s="49"/>
    </row>
    <row r="709" spans="1:11" ht="12.75" hidden="1" x14ac:dyDescent="0.2">
      <c r="A709" s="16"/>
      <c r="B709" s="16"/>
      <c r="C709" s="15"/>
      <c r="D709" s="16"/>
      <c r="E709" s="17"/>
      <c r="F709" s="17"/>
      <c r="H709" s="19"/>
      <c r="I709" s="47"/>
      <c r="J709" s="48"/>
      <c r="K709" s="49"/>
    </row>
    <row r="710" spans="1:11" ht="12.75" hidden="1" x14ac:dyDescent="0.2">
      <c r="A710" s="16"/>
      <c r="B710" s="16"/>
      <c r="C710" s="15"/>
      <c r="D710" s="16"/>
      <c r="E710" s="17"/>
      <c r="F710" s="17"/>
      <c r="H710" s="19"/>
      <c r="I710" s="47"/>
      <c r="J710" s="48"/>
      <c r="K710" s="49"/>
    </row>
    <row r="711" spans="1:11" ht="12.75" hidden="1" x14ac:dyDescent="0.2">
      <c r="A711" s="16"/>
      <c r="B711" s="16"/>
      <c r="C711" s="15"/>
      <c r="D711" s="16"/>
      <c r="E711" s="17"/>
      <c r="F711" s="17"/>
      <c r="H711" s="19"/>
      <c r="I711" s="47"/>
      <c r="J711" s="48"/>
      <c r="K711" s="49"/>
    </row>
    <row r="712" spans="1:11" ht="12.75" hidden="1" x14ac:dyDescent="0.2">
      <c r="A712" s="16"/>
      <c r="B712" s="16"/>
      <c r="C712" s="15"/>
      <c r="D712" s="16"/>
      <c r="E712" s="17"/>
      <c r="F712" s="17"/>
      <c r="H712" s="19"/>
      <c r="I712" s="47"/>
      <c r="J712" s="48"/>
      <c r="K712" s="49"/>
    </row>
    <row r="713" spans="1:11" ht="12.75" hidden="1" x14ac:dyDescent="0.2">
      <c r="A713" s="16"/>
      <c r="B713" s="16"/>
      <c r="C713" s="15"/>
      <c r="D713" s="16"/>
      <c r="E713" s="17"/>
      <c r="F713" s="17"/>
      <c r="H713" s="19"/>
      <c r="I713" s="47"/>
      <c r="J713" s="48"/>
      <c r="K713" s="49"/>
    </row>
    <row r="714" spans="1:11" ht="12.75" hidden="1" x14ac:dyDescent="0.2">
      <c r="A714" s="16"/>
      <c r="B714" s="16"/>
      <c r="C714" s="15"/>
      <c r="D714" s="16"/>
      <c r="E714" s="17"/>
      <c r="F714" s="17"/>
      <c r="H714" s="19"/>
      <c r="I714" s="47"/>
      <c r="J714" s="48"/>
      <c r="K714" s="49"/>
    </row>
    <row r="715" spans="1:11" ht="12.75" hidden="1" x14ac:dyDescent="0.2">
      <c r="A715" s="16"/>
      <c r="B715" s="16"/>
      <c r="C715" s="15"/>
      <c r="D715" s="16"/>
      <c r="E715" s="17"/>
      <c r="F715" s="17"/>
      <c r="H715" s="19"/>
      <c r="I715" s="47"/>
      <c r="J715" s="48"/>
      <c r="K715" s="49"/>
    </row>
    <row r="716" spans="1:11" ht="12.75" hidden="1" x14ac:dyDescent="0.2">
      <c r="A716" s="16"/>
      <c r="B716" s="16"/>
      <c r="C716" s="15"/>
      <c r="D716" s="16"/>
      <c r="E716" s="17"/>
      <c r="F716" s="17"/>
      <c r="H716" s="19"/>
      <c r="I716" s="47"/>
      <c r="J716" s="48"/>
      <c r="K716" s="49"/>
    </row>
    <row r="717" spans="1:11" ht="12.75" hidden="1" x14ac:dyDescent="0.2">
      <c r="A717" s="16"/>
      <c r="B717" s="16"/>
      <c r="C717" s="15"/>
      <c r="D717" s="16"/>
      <c r="E717" s="17"/>
      <c r="F717" s="17"/>
      <c r="H717" s="19"/>
      <c r="I717" s="47"/>
      <c r="J717" s="48"/>
      <c r="K717" s="49"/>
    </row>
    <row r="718" spans="1:11" ht="12.75" hidden="1" x14ac:dyDescent="0.2">
      <c r="A718" s="16"/>
      <c r="B718" s="16"/>
      <c r="C718" s="15"/>
      <c r="D718" s="16"/>
      <c r="E718" s="17"/>
      <c r="F718" s="17"/>
      <c r="H718" s="19"/>
      <c r="I718" s="47"/>
      <c r="J718" s="48"/>
      <c r="K718" s="49"/>
    </row>
    <row r="719" spans="1:11" ht="12.75" hidden="1" x14ac:dyDescent="0.2">
      <c r="A719" s="16"/>
      <c r="B719" s="16"/>
      <c r="C719" s="15"/>
      <c r="D719" s="16"/>
      <c r="E719" s="17"/>
      <c r="F719" s="17"/>
      <c r="H719" s="19"/>
      <c r="I719" s="47"/>
      <c r="J719" s="48"/>
      <c r="K719" s="49"/>
    </row>
    <row r="720" spans="1:11" ht="12.75" hidden="1" x14ac:dyDescent="0.2">
      <c r="A720" s="16"/>
      <c r="B720" s="16"/>
      <c r="C720" s="15"/>
      <c r="D720" s="16"/>
      <c r="E720" s="17"/>
      <c r="F720" s="17"/>
      <c r="H720" s="19"/>
      <c r="I720" s="47"/>
      <c r="J720" s="48"/>
      <c r="K720" s="49"/>
    </row>
    <row r="721" spans="1:11" ht="12.75" hidden="1" x14ac:dyDescent="0.2">
      <c r="A721" s="16"/>
      <c r="B721" s="16"/>
      <c r="C721" s="15"/>
      <c r="D721" s="16"/>
      <c r="E721" s="17"/>
      <c r="F721" s="17"/>
      <c r="H721" s="19"/>
      <c r="I721" s="47"/>
      <c r="J721" s="48"/>
      <c r="K721" s="49"/>
    </row>
    <row r="722" spans="1:11" ht="12.75" hidden="1" x14ac:dyDescent="0.2">
      <c r="A722" s="16"/>
      <c r="B722" s="16"/>
      <c r="C722" s="15"/>
      <c r="D722" s="16"/>
      <c r="E722" s="17"/>
      <c r="F722" s="17"/>
      <c r="H722" s="19"/>
      <c r="I722" s="47"/>
      <c r="J722" s="48"/>
      <c r="K722" s="49"/>
    </row>
    <row r="723" spans="1:11" ht="12.75" hidden="1" x14ac:dyDescent="0.2">
      <c r="A723" s="16"/>
      <c r="B723" s="16"/>
      <c r="C723" s="15"/>
      <c r="D723" s="16"/>
      <c r="E723" s="17"/>
      <c r="F723" s="17"/>
      <c r="H723" s="19"/>
      <c r="I723" s="47"/>
      <c r="J723" s="48"/>
      <c r="K723" s="49"/>
    </row>
    <row r="724" spans="1:11" ht="12.75" hidden="1" x14ac:dyDescent="0.2">
      <c r="A724" s="16"/>
      <c r="B724" s="16"/>
      <c r="C724" s="15"/>
      <c r="D724" s="16"/>
      <c r="E724" s="17"/>
      <c r="F724" s="17"/>
      <c r="H724" s="19"/>
      <c r="I724" s="47"/>
      <c r="J724" s="48"/>
      <c r="K724" s="49"/>
    </row>
    <row r="725" spans="1:11" ht="12.75" hidden="1" x14ac:dyDescent="0.2">
      <c r="A725" s="16"/>
      <c r="B725" s="16"/>
      <c r="C725" s="15"/>
      <c r="D725" s="16"/>
      <c r="E725" s="17"/>
      <c r="F725" s="17"/>
      <c r="H725" s="19"/>
      <c r="I725" s="47"/>
      <c r="J725" s="48"/>
      <c r="K725" s="49"/>
    </row>
    <row r="726" spans="1:11" ht="12.75" hidden="1" x14ac:dyDescent="0.2">
      <c r="A726" s="16"/>
      <c r="B726" s="16"/>
      <c r="C726" s="15"/>
      <c r="D726" s="16"/>
      <c r="E726" s="17"/>
      <c r="F726" s="17"/>
      <c r="H726" s="19"/>
      <c r="I726" s="47"/>
      <c r="J726" s="48"/>
      <c r="K726" s="49"/>
    </row>
    <row r="727" spans="1:11" ht="12.75" hidden="1" x14ac:dyDescent="0.2">
      <c r="A727" s="16"/>
      <c r="B727" s="16"/>
      <c r="C727" s="15"/>
      <c r="D727" s="16"/>
      <c r="E727" s="17"/>
      <c r="F727" s="17"/>
      <c r="H727" s="19"/>
      <c r="I727" s="47"/>
      <c r="J727" s="48"/>
      <c r="K727" s="49"/>
    </row>
    <row r="728" spans="1:11" ht="12.75" hidden="1" x14ac:dyDescent="0.2">
      <c r="A728" s="16"/>
      <c r="B728" s="16"/>
      <c r="C728" s="15"/>
      <c r="D728" s="16"/>
      <c r="E728" s="17"/>
      <c r="F728" s="17"/>
      <c r="H728" s="19"/>
      <c r="I728" s="47"/>
      <c r="J728" s="48"/>
      <c r="K728" s="49"/>
    </row>
    <row r="729" spans="1:11" ht="12.75" hidden="1" x14ac:dyDescent="0.2">
      <c r="A729" s="16"/>
      <c r="B729" s="16"/>
      <c r="C729" s="15"/>
      <c r="D729" s="16"/>
      <c r="E729" s="17"/>
      <c r="F729" s="17"/>
      <c r="H729" s="19"/>
      <c r="I729" s="47"/>
      <c r="J729" s="48"/>
      <c r="K729" s="49"/>
    </row>
    <row r="730" spans="1:11" ht="12.75" hidden="1" x14ac:dyDescent="0.2">
      <c r="A730" s="16"/>
      <c r="B730" s="16"/>
      <c r="C730" s="15"/>
      <c r="D730" s="16"/>
      <c r="E730" s="17"/>
      <c r="F730" s="17"/>
      <c r="H730" s="19"/>
      <c r="I730" s="47"/>
      <c r="J730" s="48"/>
      <c r="K730" s="49"/>
    </row>
    <row r="731" spans="1:11" ht="12.75" hidden="1" x14ac:dyDescent="0.2">
      <c r="A731" s="16"/>
      <c r="B731" s="16"/>
      <c r="C731" s="15"/>
      <c r="D731" s="16"/>
      <c r="E731" s="17"/>
      <c r="F731" s="17"/>
      <c r="H731" s="19"/>
      <c r="I731" s="47"/>
      <c r="J731" s="48"/>
      <c r="K731" s="49"/>
    </row>
    <row r="732" spans="1:11" ht="12.75" hidden="1" x14ac:dyDescent="0.2">
      <c r="A732" s="16"/>
      <c r="B732" s="16"/>
      <c r="C732" s="15"/>
      <c r="D732" s="16"/>
      <c r="E732" s="17"/>
      <c r="F732" s="17"/>
      <c r="H732" s="19"/>
      <c r="I732" s="47"/>
      <c r="J732" s="48"/>
      <c r="K732" s="49"/>
    </row>
    <row r="733" spans="1:11" ht="12.75" hidden="1" x14ac:dyDescent="0.2">
      <c r="A733" s="16"/>
      <c r="B733" s="16"/>
      <c r="C733" s="15"/>
      <c r="D733" s="16"/>
      <c r="E733" s="17"/>
      <c r="F733" s="17"/>
      <c r="H733" s="19"/>
      <c r="I733" s="47"/>
      <c r="J733" s="48"/>
      <c r="K733" s="49"/>
    </row>
    <row r="734" spans="1:11" ht="12.75" hidden="1" x14ac:dyDescent="0.2">
      <c r="A734" s="16"/>
      <c r="B734" s="16"/>
      <c r="C734" s="15"/>
      <c r="D734" s="16"/>
      <c r="E734" s="17"/>
      <c r="F734" s="17"/>
      <c r="H734" s="19"/>
      <c r="I734" s="47"/>
      <c r="J734" s="48"/>
      <c r="K734" s="49"/>
    </row>
    <row r="735" spans="1:11" ht="12.75" hidden="1" x14ac:dyDescent="0.2">
      <c r="A735" s="16"/>
      <c r="B735" s="16"/>
      <c r="C735" s="15"/>
      <c r="D735" s="16"/>
      <c r="E735" s="17"/>
      <c r="F735" s="17"/>
      <c r="H735" s="19"/>
      <c r="I735" s="47"/>
      <c r="J735" s="48"/>
      <c r="K735" s="49"/>
    </row>
    <row r="736" spans="1:11" ht="12.75" hidden="1" x14ac:dyDescent="0.2">
      <c r="A736" s="16"/>
      <c r="B736" s="16"/>
      <c r="C736" s="15"/>
      <c r="D736" s="16"/>
      <c r="E736" s="17"/>
      <c r="F736" s="17"/>
      <c r="H736" s="19"/>
      <c r="I736" s="47"/>
      <c r="J736" s="48"/>
      <c r="K736" s="49"/>
    </row>
    <row r="737" spans="1:11" ht="12.75" hidden="1" x14ac:dyDescent="0.2">
      <c r="A737" s="16"/>
      <c r="B737" s="16"/>
      <c r="C737" s="15"/>
      <c r="D737" s="16"/>
      <c r="E737" s="17"/>
      <c r="F737" s="17"/>
      <c r="H737" s="19"/>
      <c r="I737" s="47"/>
      <c r="J737" s="48"/>
      <c r="K737" s="49"/>
    </row>
    <row r="738" spans="1:11" ht="12.75" hidden="1" x14ac:dyDescent="0.2">
      <c r="A738" s="16"/>
      <c r="B738" s="16"/>
      <c r="C738" s="15"/>
      <c r="D738" s="16"/>
      <c r="E738" s="17"/>
      <c r="F738" s="17"/>
      <c r="H738" s="19"/>
      <c r="I738" s="47"/>
      <c r="J738" s="48"/>
      <c r="K738" s="49"/>
    </row>
    <row r="739" spans="1:11" ht="12.75" hidden="1" x14ac:dyDescent="0.2">
      <c r="A739" s="16"/>
      <c r="B739" s="16"/>
      <c r="C739" s="15"/>
      <c r="D739" s="16"/>
      <c r="E739" s="17"/>
      <c r="F739" s="17"/>
      <c r="H739" s="19"/>
      <c r="I739" s="47"/>
      <c r="J739" s="48"/>
      <c r="K739" s="49"/>
    </row>
    <row r="740" spans="1:11" ht="12.75" hidden="1" x14ac:dyDescent="0.2">
      <c r="A740" s="16"/>
      <c r="B740" s="16"/>
      <c r="C740" s="15"/>
      <c r="D740" s="16"/>
      <c r="E740" s="17"/>
      <c r="F740" s="17"/>
      <c r="H740" s="19"/>
      <c r="I740" s="47"/>
      <c r="J740" s="48"/>
      <c r="K740" s="49"/>
    </row>
    <row r="741" spans="1:11" ht="12.75" hidden="1" x14ac:dyDescent="0.2">
      <c r="A741" s="16"/>
      <c r="B741" s="16"/>
      <c r="C741" s="15"/>
      <c r="D741" s="16"/>
      <c r="E741" s="17"/>
      <c r="F741" s="17"/>
      <c r="H741" s="19"/>
      <c r="I741" s="47"/>
      <c r="J741" s="48"/>
      <c r="K741" s="49"/>
    </row>
    <row r="742" spans="1:11" ht="12.75" hidden="1" x14ac:dyDescent="0.2">
      <c r="A742" s="16"/>
      <c r="B742" s="16"/>
      <c r="C742" s="15"/>
      <c r="D742" s="16"/>
      <c r="E742" s="17"/>
      <c r="F742" s="17"/>
      <c r="H742" s="19"/>
      <c r="I742" s="47"/>
      <c r="J742" s="48"/>
      <c r="K742" s="49"/>
    </row>
    <row r="743" spans="1:11" ht="12.75" hidden="1" x14ac:dyDescent="0.2">
      <c r="A743" s="16"/>
      <c r="B743" s="16"/>
      <c r="C743" s="15"/>
      <c r="D743" s="16"/>
      <c r="E743" s="17"/>
      <c r="F743" s="17"/>
      <c r="H743" s="19"/>
      <c r="I743" s="47"/>
      <c r="J743" s="48"/>
      <c r="K743" s="49"/>
    </row>
    <row r="744" spans="1:11" ht="12.75" hidden="1" x14ac:dyDescent="0.2">
      <c r="A744" s="16"/>
      <c r="B744" s="16"/>
      <c r="C744" s="15"/>
      <c r="D744" s="16"/>
      <c r="E744" s="17"/>
      <c r="F744" s="17"/>
      <c r="H744" s="19"/>
      <c r="I744" s="47"/>
      <c r="J744" s="48"/>
      <c r="K744" s="49"/>
    </row>
    <row r="745" spans="1:11" ht="12.75" hidden="1" x14ac:dyDescent="0.2">
      <c r="A745" s="16"/>
      <c r="B745" s="16"/>
      <c r="C745" s="15"/>
      <c r="D745" s="16"/>
      <c r="E745" s="17"/>
      <c r="F745" s="17"/>
      <c r="H745" s="19"/>
      <c r="I745" s="47"/>
      <c r="J745" s="48"/>
      <c r="K745" s="49"/>
    </row>
    <row r="746" spans="1:11" ht="12.75" hidden="1" x14ac:dyDescent="0.2">
      <c r="A746" s="16"/>
      <c r="B746" s="16"/>
      <c r="C746" s="15"/>
      <c r="D746" s="16"/>
      <c r="E746" s="17"/>
      <c r="F746" s="17"/>
      <c r="H746" s="19"/>
      <c r="I746" s="47"/>
      <c r="J746" s="48"/>
      <c r="K746" s="49"/>
    </row>
    <row r="747" spans="1:11" ht="12.75" hidden="1" x14ac:dyDescent="0.2">
      <c r="A747" s="16"/>
      <c r="B747" s="16"/>
      <c r="C747" s="15"/>
      <c r="D747" s="16"/>
      <c r="E747" s="17"/>
      <c r="F747" s="17"/>
      <c r="H747" s="19"/>
      <c r="I747" s="47"/>
      <c r="J747" s="48"/>
      <c r="K747" s="49"/>
    </row>
    <row r="748" spans="1:11" ht="12.75" hidden="1" x14ac:dyDescent="0.2">
      <c r="A748" s="16"/>
      <c r="B748" s="16"/>
      <c r="C748" s="15"/>
      <c r="D748" s="16"/>
      <c r="E748" s="17"/>
      <c r="F748" s="17"/>
      <c r="H748" s="19"/>
      <c r="I748" s="47"/>
      <c r="J748" s="48"/>
      <c r="K748" s="49"/>
    </row>
    <row r="749" spans="1:11" ht="12.75" hidden="1" x14ac:dyDescent="0.2">
      <c r="A749" s="16"/>
      <c r="B749" s="16"/>
      <c r="C749" s="15"/>
      <c r="D749" s="16"/>
      <c r="E749" s="17"/>
      <c r="F749" s="17"/>
      <c r="H749" s="19"/>
      <c r="I749" s="47"/>
      <c r="J749" s="48"/>
      <c r="K749" s="49"/>
    </row>
    <row r="750" spans="1:11" ht="12.75" hidden="1" x14ac:dyDescent="0.2">
      <c r="A750" s="16"/>
      <c r="B750" s="16"/>
      <c r="C750" s="15"/>
      <c r="D750" s="16"/>
      <c r="E750" s="17"/>
      <c r="F750" s="17"/>
      <c r="H750" s="19"/>
      <c r="I750" s="47"/>
      <c r="J750" s="48"/>
      <c r="K750" s="49"/>
    </row>
    <row r="751" spans="1:11" ht="12.75" hidden="1" x14ac:dyDescent="0.2">
      <c r="A751" s="16"/>
      <c r="B751" s="16"/>
      <c r="C751" s="15"/>
      <c r="D751" s="16"/>
      <c r="E751" s="17"/>
      <c r="F751" s="17"/>
      <c r="H751" s="19"/>
      <c r="I751" s="47"/>
      <c r="J751" s="48"/>
      <c r="K751" s="49"/>
    </row>
    <row r="752" spans="1:11" ht="12.75" hidden="1" x14ac:dyDescent="0.2">
      <c r="A752" s="16"/>
      <c r="B752" s="16"/>
      <c r="C752" s="15"/>
      <c r="D752" s="16"/>
      <c r="E752" s="17"/>
      <c r="F752" s="17"/>
      <c r="H752" s="19"/>
      <c r="I752" s="47"/>
      <c r="J752" s="48"/>
      <c r="K752" s="49"/>
    </row>
    <row r="753" spans="1:11" ht="12.75" hidden="1" x14ac:dyDescent="0.2">
      <c r="A753" s="16"/>
      <c r="B753" s="16"/>
      <c r="C753" s="15"/>
      <c r="D753" s="16"/>
      <c r="E753" s="17"/>
      <c r="F753" s="17"/>
      <c r="H753" s="19"/>
      <c r="I753" s="47"/>
      <c r="J753" s="48"/>
      <c r="K753" s="49"/>
    </row>
    <row r="754" spans="1:11" ht="12.75" hidden="1" x14ac:dyDescent="0.2">
      <c r="A754" s="16"/>
      <c r="B754" s="16"/>
      <c r="C754" s="15"/>
      <c r="D754" s="16"/>
      <c r="E754" s="17"/>
      <c r="F754" s="17"/>
      <c r="H754" s="19"/>
      <c r="I754" s="47"/>
      <c r="J754" s="48"/>
      <c r="K754" s="49"/>
    </row>
    <row r="755" spans="1:11" ht="12.75" hidden="1" x14ac:dyDescent="0.2">
      <c r="A755" s="16"/>
      <c r="B755" s="16"/>
      <c r="C755" s="15"/>
      <c r="D755" s="16"/>
      <c r="E755" s="17"/>
      <c r="F755" s="17"/>
      <c r="H755" s="19"/>
      <c r="I755" s="47"/>
      <c r="J755" s="48"/>
      <c r="K755" s="49"/>
    </row>
    <row r="756" spans="1:11" ht="12.75" hidden="1" x14ac:dyDescent="0.2">
      <c r="A756" s="16"/>
      <c r="B756" s="16"/>
      <c r="C756" s="15"/>
      <c r="D756" s="16"/>
      <c r="E756" s="17"/>
      <c r="F756" s="17"/>
      <c r="H756" s="19"/>
      <c r="I756" s="47"/>
      <c r="J756" s="48"/>
      <c r="K756" s="49"/>
    </row>
    <row r="757" spans="1:11" ht="12.75" hidden="1" x14ac:dyDescent="0.2">
      <c r="A757" s="16"/>
      <c r="B757" s="16"/>
      <c r="C757" s="15"/>
      <c r="D757" s="16"/>
      <c r="E757" s="17"/>
      <c r="F757" s="17"/>
      <c r="H757" s="19"/>
      <c r="I757" s="47"/>
      <c r="J757" s="48"/>
      <c r="K757" s="49"/>
    </row>
    <row r="758" spans="1:11" ht="12.75" hidden="1" x14ac:dyDescent="0.2">
      <c r="A758" s="16"/>
      <c r="B758" s="16"/>
      <c r="C758" s="15"/>
      <c r="D758" s="16"/>
      <c r="E758" s="17"/>
      <c r="F758" s="17"/>
      <c r="H758" s="19"/>
      <c r="I758" s="47"/>
      <c r="J758" s="48"/>
      <c r="K758" s="49"/>
    </row>
    <row r="759" spans="1:11" ht="12.75" hidden="1" x14ac:dyDescent="0.2">
      <c r="A759" s="16"/>
      <c r="B759" s="16"/>
      <c r="C759" s="15"/>
      <c r="D759" s="16"/>
      <c r="E759" s="17"/>
      <c r="F759" s="17"/>
      <c r="H759" s="19"/>
      <c r="I759" s="47"/>
      <c r="J759" s="48"/>
      <c r="K759" s="49"/>
    </row>
    <row r="760" spans="1:11" ht="12.75" hidden="1" x14ac:dyDescent="0.2">
      <c r="A760" s="16"/>
      <c r="B760" s="16"/>
      <c r="C760" s="15"/>
      <c r="D760" s="16"/>
      <c r="E760" s="17"/>
      <c r="F760" s="17"/>
      <c r="H760" s="19"/>
      <c r="I760" s="47"/>
      <c r="J760" s="48"/>
      <c r="K760" s="49"/>
    </row>
    <row r="761" spans="1:11" ht="12.75" hidden="1" x14ac:dyDescent="0.2">
      <c r="A761" s="16"/>
      <c r="B761" s="16"/>
      <c r="C761" s="15"/>
      <c r="D761" s="16"/>
      <c r="E761" s="17"/>
      <c r="F761" s="17"/>
      <c r="H761" s="19"/>
      <c r="I761" s="47"/>
      <c r="J761" s="48"/>
      <c r="K761" s="49"/>
    </row>
    <row r="762" spans="1:11" ht="12.75" hidden="1" x14ac:dyDescent="0.2">
      <c r="A762" s="16"/>
      <c r="B762" s="16"/>
      <c r="C762" s="15"/>
      <c r="D762" s="16"/>
      <c r="E762" s="17"/>
      <c r="F762" s="17"/>
      <c r="H762" s="19"/>
      <c r="I762" s="47"/>
      <c r="J762" s="48"/>
      <c r="K762" s="49"/>
    </row>
    <row r="763" spans="1:11" ht="12.75" hidden="1" x14ac:dyDescent="0.2">
      <c r="A763" s="16"/>
      <c r="B763" s="16"/>
      <c r="C763" s="15"/>
      <c r="D763" s="16"/>
      <c r="E763" s="17"/>
      <c r="F763" s="17"/>
      <c r="H763" s="19"/>
      <c r="I763" s="47"/>
      <c r="J763" s="48"/>
      <c r="K763" s="49"/>
    </row>
    <row r="764" spans="1:11" ht="12.75" hidden="1" x14ac:dyDescent="0.2">
      <c r="A764" s="16"/>
      <c r="B764" s="16"/>
      <c r="C764" s="15"/>
      <c r="D764" s="16"/>
      <c r="E764" s="17"/>
      <c r="F764" s="17"/>
      <c r="H764" s="19"/>
      <c r="I764" s="47"/>
      <c r="J764" s="48"/>
      <c r="K764" s="49"/>
    </row>
    <row r="765" spans="1:11" ht="12.75" hidden="1" x14ac:dyDescent="0.2">
      <c r="A765" s="16"/>
      <c r="B765" s="16"/>
      <c r="C765" s="15"/>
      <c r="D765" s="16"/>
      <c r="E765" s="17"/>
      <c r="F765" s="17"/>
      <c r="H765" s="19"/>
      <c r="I765" s="47"/>
      <c r="J765" s="48"/>
      <c r="K765" s="49"/>
    </row>
    <row r="766" spans="1:11" ht="12.75" hidden="1" x14ac:dyDescent="0.2">
      <c r="A766" s="16"/>
      <c r="B766" s="16"/>
      <c r="C766" s="15"/>
      <c r="D766" s="16"/>
      <c r="E766" s="17"/>
      <c r="F766" s="17"/>
      <c r="H766" s="19"/>
      <c r="I766" s="47"/>
      <c r="J766" s="48"/>
      <c r="K766" s="49"/>
    </row>
    <row r="767" spans="1:11" ht="12.75" hidden="1" x14ac:dyDescent="0.2">
      <c r="A767" s="16"/>
      <c r="B767" s="16"/>
      <c r="C767" s="15"/>
      <c r="D767" s="16"/>
      <c r="E767" s="17"/>
      <c r="F767" s="17"/>
      <c r="H767" s="19"/>
      <c r="I767" s="47"/>
      <c r="J767" s="48"/>
      <c r="K767" s="49"/>
    </row>
    <row r="768" spans="1:11" ht="12.75" hidden="1" x14ac:dyDescent="0.2">
      <c r="A768" s="16"/>
      <c r="B768" s="16"/>
      <c r="C768" s="15"/>
      <c r="D768" s="16"/>
      <c r="E768" s="17"/>
      <c r="F768" s="17"/>
      <c r="H768" s="19"/>
      <c r="I768" s="47"/>
      <c r="J768" s="48"/>
      <c r="K768" s="49"/>
    </row>
    <row r="769" spans="1:11" ht="12.75" hidden="1" x14ac:dyDescent="0.2">
      <c r="A769" s="16"/>
      <c r="B769" s="16"/>
      <c r="C769" s="15"/>
      <c r="D769" s="16"/>
      <c r="E769" s="17"/>
      <c r="F769" s="17"/>
      <c r="H769" s="19"/>
      <c r="I769" s="47"/>
      <c r="J769" s="48"/>
      <c r="K769" s="49"/>
    </row>
    <row r="770" spans="1:11" ht="12.75" hidden="1" x14ac:dyDescent="0.2">
      <c r="A770" s="16"/>
      <c r="B770" s="16"/>
      <c r="C770" s="15"/>
      <c r="D770" s="16"/>
      <c r="E770" s="17"/>
      <c r="F770" s="17"/>
      <c r="H770" s="19"/>
      <c r="I770" s="47"/>
      <c r="J770" s="48"/>
      <c r="K770" s="49"/>
    </row>
    <row r="771" spans="1:11" ht="12.75" hidden="1" x14ac:dyDescent="0.2">
      <c r="A771" s="16"/>
      <c r="B771" s="16"/>
      <c r="C771" s="15"/>
      <c r="D771" s="16"/>
      <c r="E771" s="17"/>
      <c r="F771" s="17"/>
      <c r="H771" s="19"/>
      <c r="I771" s="47"/>
      <c r="J771" s="48"/>
      <c r="K771" s="49"/>
    </row>
    <row r="772" spans="1:11" ht="12.75" hidden="1" x14ac:dyDescent="0.2">
      <c r="A772" s="16"/>
      <c r="B772" s="16"/>
      <c r="C772" s="15"/>
      <c r="D772" s="16"/>
      <c r="E772" s="17"/>
      <c r="F772" s="17"/>
      <c r="H772" s="19"/>
      <c r="I772" s="47"/>
      <c r="J772" s="48"/>
      <c r="K772" s="49"/>
    </row>
    <row r="773" spans="1:11" ht="12.75" hidden="1" x14ac:dyDescent="0.2">
      <c r="A773" s="16"/>
      <c r="B773" s="16"/>
      <c r="C773" s="15"/>
      <c r="D773" s="16"/>
      <c r="E773" s="17"/>
      <c r="F773" s="17"/>
      <c r="H773" s="19"/>
      <c r="I773" s="47"/>
      <c r="J773" s="48"/>
      <c r="K773" s="49"/>
    </row>
    <row r="774" spans="1:11" ht="12.75" hidden="1" x14ac:dyDescent="0.2">
      <c r="A774" s="16"/>
      <c r="B774" s="16"/>
      <c r="C774" s="15"/>
      <c r="D774" s="16"/>
      <c r="E774" s="17"/>
      <c r="F774" s="17"/>
      <c r="H774" s="19"/>
      <c r="I774" s="47"/>
      <c r="J774" s="48"/>
      <c r="K774" s="49"/>
    </row>
    <row r="775" spans="1:11" ht="12.75" hidden="1" x14ac:dyDescent="0.2">
      <c r="A775" s="16"/>
      <c r="B775" s="16"/>
      <c r="C775" s="15"/>
      <c r="D775" s="16"/>
      <c r="E775" s="17"/>
      <c r="F775" s="17"/>
      <c r="H775" s="19"/>
      <c r="I775" s="47"/>
      <c r="J775" s="48"/>
      <c r="K775" s="49"/>
    </row>
    <row r="776" spans="1:11" ht="12.75" hidden="1" x14ac:dyDescent="0.2">
      <c r="A776" s="16"/>
      <c r="B776" s="16"/>
      <c r="C776" s="15"/>
      <c r="D776" s="16"/>
      <c r="E776" s="17"/>
      <c r="F776" s="17"/>
      <c r="H776" s="19"/>
      <c r="I776" s="47"/>
      <c r="J776" s="48"/>
      <c r="K776" s="49"/>
    </row>
    <row r="777" spans="1:11" ht="12.75" hidden="1" x14ac:dyDescent="0.2">
      <c r="A777" s="16"/>
      <c r="B777" s="16"/>
      <c r="C777" s="15"/>
      <c r="D777" s="16"/>
      <c r="E777" s="17"/>
      <c r="F777" s="17"/>
      <c r="H777" s="19"/>
      <c r="I777" s="47"/>
      <c r="J777" s="48"/>
      <c r="K777" s="49"/>
    </row>
    <row r="778" spans="1:11" ht="12.75" hidden="1" x14ac:dyDescent="0.2">
      <c r="A778" s="16"/>
      <c r="B778" s="16"/>
      <c r="C778" s="15"/>
      <c r="D778" s="16"/>
      <c r="E778" s="17"/>
      <c r="F778" s="17"/>
      <c r="H778" s="19"/>
      <c r="I778" s="47"/>
      <c r="J778" s="48"/>
      <c r="K778" s="49"/>
    </row>
    <row r="779" spans="1:11" ht="12.75" hidden="1" x14ac:dyDescent="0.2">
      <c r="A779" s="16"/>
      <c r="B779" s="16"/>
      <c r="C779" s="15"/>
      <c r="D779" s="16"/>
      <c r="E779" s="17"/>
      <c r="F779" s="17"/>
      <c r="H779" s="19"/>
      <c r="I779" s="47"/>
      <c r="J779" s="48"/>
      <c r="K779" s="49"/>
    </row>
    <row r="780" spans="1:11" ht="12.75" hidden="1" x14ac:dyDescent="0.2">
      <c r="A780" s="16"/>
      <c r="B780" s="16"/>
      <c r="C780" s="15"/>
      <c r="D780" s="16"/>
      <c r="E780" s="17"/>
      <c r="F780" s="17"/>
      <c r="H780" s="19"/>
      <c r="I780" s="47"/>
      <c r="J780" s="48"/>
      <c r="K780" s="49"/>
    </row>
    <row r="781" spans="1:11" ht="12.75" hidden="1" x14ac:dyDescent="0.2">
      <c r="A781" s="16"/>
      <c r="B781" s="16"/>
      <c r="C781" s="15"/>
      <c r="D781" s="16"/>
      <c r="E781" s="17"/>
      <c r="F781" s="17"/>
      <c r="H781" s="19"/>
      <c r="I781" s="47"/>
      <c r="J781" s="48"/>
      <c r="K781" s="49"/>
    </row>
    <row r="782" spans="1:11" ht="12.75" hidden="1" x14ac:dyDescent="0.2">
      <c r="A782" s="16"/>
      <c r="B782" s="16"/>
      <c r="C782" s="15"/>
      <c r="D782" s="16"/>
      <c r="E782" s="17"/>
      <c r="F782" s="17"/>
      <c r="H782" s="19"/>
      <c r="I782" s="47"/>
      <c r="J782" s="48"/>
      <c r="K782" s="49"/>
    </row>
    <row r="783" spans="1:11" ht="12.75" hidden="1" x14ac:dyDescent="0.2">
      <c r="A783" s="16"/>
      <c r="B783" s="16"/>
      <c r="C783" s="15"/>
      <c r="D783" s="16"/>
      <c r="E783" s="17"/>
      <c r="F783" s="17"/>
      <c r="H783" s="19"/>
      <c r="I783" s="47"/>
      <c r="J783" s="48"/>
      <c r="K783" s="49"/>
    </row>
    <row r="784" spans="1:11" ht="12.75" hidden="1" x14ac:dyDescent="0.2">
      <c r="A784" s="16"/>
      <c r="B784" s="16"/>
      <c r="C784" s="15"/>
      <c r="D784" s="16"/>
      <c r="E784" s="17"/>
      <c r="F784" s="17"/>
      <c r="H784" s="19"/>
      <c r="I784" s="47"/>
      <c r="J784" s="48"/>
      <c r="K784" s="49"/>
    </row>
    <row r="785" spans="1:11" ht="12.75" hidden="1" x14ac:dyDescent="0.2">
      <c r="A785" s="16"/>
      <c r="B785" s="16"/>
      <c r="C785" s="15"/>
      <c r="D785" s="16"/>
      <c r="E785" s="17"/>
      <c r="F785" s="17"/>
      <c r="H785" s="19"/>
      <c r="I785" s="47"/>
      <c r="J785" s="48"/>
      <c r="K785" s="49"/>
    </row>
    <row r="786" spans="1:11" ht="12.75" hidden="1" x14ac:dyDescent="0.2">
      <c r="A786" s="16"/>
      <c r="B786" s="16"/>
      <c r="C786" s="15"/>
      <c r="D786" s="16"/>
      <c r="E786" s="17"/>
      <c r="F786" s="17"/>
      <c r="H786" s="19"/>
      <c r="I786" s="47"/>
      <c r="J786" s="48"/>
      <c r="K786" s="49"/>
    </row>
    <row r="787" spans="1:11" ht="12.75" hidden="1" x14ac:dyDescent="0.2">
      <c r="A787" s="16"/>
      <c r="B787" s="16"/>
      <c r="C787" s="15"/>
      <c r="D787" s="16"/>
      <c r="E787" s="17"/>
      <c r="F787" s="17"/>
      <c r="H787" s="19"/>
      <c r="I787" s="47"/>
      <c r="J787" s="48"/>
      <c r="K787" s="49"/>
    </row>
    <row r="788" spans="1:11" ht="12.75" hidden="1" x14ac:dyDescent="0.2">
      <c r="A788" s="16"/>
      <c r="B788" s="16"/>
      <c r="C788" s="15"/>
      <c r="D788" s="16"/>
      <c r="E788" s="17"/>
      <c r="F788" s="17"/>
      <c r="H788" s="19"/>
      <c r="I788" s="47"/>
      <c r="J788" s="48"/>
      <c r="K788" s="49"/>
    </row>
    <row r="789" spans="1:11" ht="12.75" hidden="1" x14ac:dyDescent="0.2">
      <c r="A789" s="16"/>
      <c r="B789" s="16"/>
      <c r="C789" s="15"/>
      <c r="D789" s="16"/>
      <c r="E789" s="17"/>
      <c r="F789" s="17"/>
      <c r="H789" s="19"/>
      <c r="I789" s="47"/>
      <c r="J789" s="48"/>
      <c r="K789" s="49"/>
    </row>
    <row r="790" spans="1:11" ht="12.75" hidden="1" x14ac:dyDescent="0.2">
      <c r="A790" s="16"/>
      <c r="B790" s="16"/>
      <c r="C790" s="15"/>
      <c r="D790" s="16"/>
      <c r="E790" s="17"/>
      <c r="F790" s="17"/>
      <c r="H790" s="19"/>
      <c r="I790" s="47"/>
      <c r="J790" s="48"/>
      <c r="K790" s="49"/>
    </row>
    <row r="791" spans="1:11" ht="12.75" hidden="1" x14ac:dyDescent="0.2">
      <c r="A791" s="16"/>
      <c r="B791" s="16"/>
      <c r="C791" s="15"/>
      <c r="D791" s="16"/>
      <c r="E791" s="17"/>
      <c r="F791" s="17"/>
      <c r="H791" s="19"/>
      <c r="I791" s="47"/>
      <c r="J791" s="48"/>
      <c r="K791" s="49"/>
    </row>
    <row r="792" spans="1:11" ht="12.75" hidden="1" x14ac:dyDescent="0.2">
      <c r="A792" s="16"/>
      <c r="B792" s="16"/>
      <c r="C792" s="15"/>
      <c r="D792" s="16"/>
      <c r="E792" s="17"/>
      <c r="F792" s="17"/>
      <c r="H792" s="19"/>
      <c r="I792" s="47"/>
      <c r="J792" s="48"/>
      <c r="K792" s="49"/>
    </row>
    <row r="793" spans="1:11" ht="12.75" hidden="1" x14ac:dyDescent="0.2">
      <c r="A793" s="16"/>
      <c r="B793" s="16"/>
      <c r="C793" s="15"/>
      <c r="D793" s="16"/>
      <c r="E793" s="17"/>
      <c r="F793" s="17"/>
      <c r="H793" s="19"/>
      <c r="I793" s="47"/>
      <c r="J793" s="48"/>
      <c r="K793" s="49"/>
    </row>
    <row r="794" spans="1:11" ht="12.75" hidden="1" x14ac:dyDescent="0.2">
      <c r="A794" s="16"/>
      <c r="B794" s="16"/>
      <c r="C794" s="15"/>
      <c r="D794" s="16"/>
      <c r="E794" s="17"/>
      <c r="F794" s="17"/>
      <c r="H794" s="19"/>
      <c r="I794" s="47"/>
      <c r="J794" s="48"/>
      <c r="K794" s="49"/>
    </row>
    <row r="795" spans="1:11" ht="12.75" hidden="1" x14ac:dyDescent="0.2">
      <c r="A795" s="16"/>
      <c r="B795" s="16"/>
      <c r="C795" s="15"/>
      <c r="D795" s="16"/>
      <c r="E795" s="17"/>
      <c r="F795" s="17"/>
      <c r="H795" s="19"/>
      <c r="I795" s="47"/>
      <c r="J795" s="48"/>
      <c r="K795" s="49"/>
    </row>
    <row r="796" spans="1:11" ht="12.75" hidden="1" x14ac:dyDescent="0.2">
      <c r="A796" s="16"/>
      <c r="B796" s="16"/>
      <c r="C796" s="15"/>
      <c r="D796" s="16"/>
      <c r="E796" s="17"/>
      <c r="F796" s="17"/>
      <c r="H796" s="19"/>
      <c r="I796" s="47"/>
      <c r="J796" s="48"/>
      <c r="K796" s="49"/>
    </row>
    <row r="797" spans="1:11" ht="12.75" hidden="1" x14ac:dyDescent="0.2">
      <c r="A797" s="16"/>
      <c r="B797" s="16"/>
      <c r="C797" s="15"/>
      <c r="D797" s="16"/>
      <c r="E797" s="17"/>
      <c r="F797" s="17"/>
      <c r="H797" s="19"/>
      <c r="I797" s="47"/>
      <c r="J797" s="48"/>
      <c r="K797" s="49"/>
    </row>
    <row r="798" spans="1:11" ht="12.75" hidden="1" x14ac:dyDescent="0.2">
      <c r="A798" s="16"/>
      <c r="B798" s="16"/>
      <c r="C798" s="15"/>
      <c r="D798" s="16"/>
      <c r="E798" s="17"/>
      <c r="F798" s="17"/>
      <c r="H798" s="19"/>
      <c r="I798" s="47"/>
      <c r="J798" s="48"/>
      <c r="K798" s="49"/>
    </row>
    <row r="799" spans="1:11" ht="12.75" hidden="1" x14ac:dyDescent="0.2">
      <c r="A799" s="16"/>
      <c r="B799" s="16"/>
      <c r="C799" s="15"/>
      <c r="D799" s="16"/>
      <c r="E799" s="17"/>
      <c r="F799" s="17"/>
      <c r="H799" s="19"/>
      <c r="I799" s="47"/>
      <c r="J799" s="48"/>
      <c r="K799" s="49"/>
    </row>
    <row r="800" spans="1:11" ht="12.75" hidden="1" x14ac:dyDescent="0.2">
      <c r="A800" s="16"/>
      <c r="B800" s="16"/>
      <c r="C800" s="15"/>
      <c r="D800" s="16"/>
      <c r="E800" s="17"/>
      <c r="F800" s="17"/>
      <c r="H800" s="19"/>
      <c r="I800" s="47"/>
      <c r="J800" s="48"/>
      <c r="K800" s="49"/>
    </row>
    <row r="801" spans="1:11" ht="12.75" hidden="1" x14ac:dyDescent="0.2">
      <c r="A801" s="16"/>
      <c r="B801" s="16"/>
      <c r="C801" s="15"/>
      <c r="D801" s="16"/>
      <c r="E801" s="17"/>
      <c r="F801" s="17"/>
      <c r="H801" s="19"/>
      <c r="I801" s="47"/>
      <c r="J801" s="48"/>
      <c r="K801" s="49"/>
    </row>
    <row r="802" spans="1:11" ht="12.75" hidden="1" x14ac:dyDescent="0.2">
      <c r="A802" s="16"/>
      <c r="B802" s="16"/>
      <c r="C802" s="15"/>
      <c r="D802" s="16"/>
      <c r="E802" s="17"/>
      <c r="F802" s="17"/>
      <c r="H802" s="19"/>
      <c r="I802" s="47"/>
      <c r="J802" s="48"/>
      <c r="K802" s="49"/>
    </row>
    <row r="803" spans="1:11" ht="12.75" hidden="1" x14ac:dyDescent="0.2">
      <c r="A803" s="16"/>
      <c r="B803" s="16"/>
      <c r="C803" s="15"/>
      <c r="D803" s="16"/>
      <c r="E803" s="17"/>
      <c r="F803" s="17"/>
      <c r="H803" s="19"/>
      <c r="I803" s="47"/>
      <c r="J803" s="48"/>
      <c r="K803" s="49"/>
    </row>
    <row r="804" spans="1:11" ht="12.75" hidden="1" x14ac:dyDescent="0.2">
      <c r="A804" s="16"/>
      <c r="B804" s="16"/>
      <c r="C804" s="15"/>
      <c r="D804" s="16"/>
      <c r="E804" s="17"/>
      <c r="F804" s="17"/>
      <c r="H804" s="19"/>
      <c r="I804" s="47"/>
      <c r="J804" s="48"/>
      <c r="K804" s="49"/>
    </row>
    <row r="805" spans="1:11" ht="12.75" hidden="1" x14ac:dyDescent="0.2">
      <c r="A805" s="16"/>
      <c r="B805" s="16"/>
      <c r="C805" s="15"/>
      <c r="D805" s="16"/>
      <c r="E805" s="17"/>
      <c r="F805" s="17"/>
      <c r="H805" s="19"/>
      <c r="I805" s="47"/>
      <c r="J805" s="48"/>
      <c r="K805" s="49"/>
    </row>
    <row r="806" spans="1:11" ht="12.75" hidden="1" x14ac:dyDescent="0.2">
      <c r="A806" s="16"/>
      <c r="B806" s="16"/>
      <c r="C806" s="15"/>
      <c r="D806" s="16"/>
      <c r="E806" s="17"/>
      <c r="F806" s="17"/>
      <c r="H806" s="19"/>
      <c r="I806" s="47"/>
      <c r="J806" s="48"/>
      <c r="K806" s="49"/>
    </row>
    <row r="807" spans="1:11" ht="12.75" hidden="1" x14ac:dyDescent="0.2">
      <c r="A807" s="16"/>
      <c r="B807" s="16"/>
      <c r="C807" s="15"/>
      <c r="D807" s="16"/>
      <c r="E807" s="17"/>
      <c r="F807" s="17"/>
      <c r="H807" s="19"/>
      <c r="I807" s="47"/>
      <c r="J807" s="48"/>
      <c r="K807" s="49"/>
    </row>
    <row r="808" spans="1:11" ht="12.75" hidden="1" x14ac:dyDescent="0.2">
      <c r="A808" s="16"/>
      <c r="B808" s="16"/>
      <c r="C808" s="15"/>
      <c r="D808" s="16"/>
      <c r="E808" s="17"/>
      <c r="F808" s="17"/>
      <c r="H808" s="19"/>
      <c r="I808" s="47"/>
      <c r="J808" s="48"/>
      <c r="K808" s="49"/>
    </row>
    <row r="809" spans="1:11" ht="12.75" hidden="1" x14ac:dyDescent="0.2">
      <c r="A809" s="16"/>
      <c r="B809" s="16"/>
      <c r="C809" s="15"/>
      <c r="D809" s="16"/>
      <c r="E809" s="17"/>
      <c r="F809" s="17"/>
      <c r="H809" s="19"/>
      <c r="I809" s="47"/>
      <c r="J809" s="48"/>
      <c r="K809" s="49"/>
    </row>
    <row r="810" spans="1:11" ht="12.75" hidden="1" x14ac:dyDescent="0.2">
      <c r="A810" s="16"/>
      <c r="B810" s="16"/>
      <c r="C810" s="15"/>
      <c r="D810" s="16"/>
      <c r="E810" s="17"/>
      <c r="F810" s="17"/>
      <c r="H810" s="19"/>
      <c r="I810" s="47"/>
      <c r="J810" s="48"/>
      <c r="K810" s="49"/>
    </row>
    <row r="811" spans="1:11" ht="12.75" hidden="1" x14ac:dyDescent="0.2">
      <c r="A811" s="16"/>
      <c r="B811" s="16"/>
      <c r="C811" s="15"/>
      <c r="D811" s="16"/>
      <c r="E811" s="17"/>
      <c r="F811" s="17"/>
      <c r="H811" s="19"/>
      <c r="I811" s="47"/>
      <c r="J811" s="48"/>
      <c r="K811" s="49"/>
    </row>
    <row r="812" spans="1:11" ht="12.75" hidden="1" x14ac:dyDescent="0.2">
      <c r="A812" s="16"/>
      <c r="B812" s="16"/>
      <c r="C812" s="15"/>
      <c r="D812" s="16"/>
      <c r="E812" s="17"/>
      <c r="F812" s="17"/>
      <c r="H812" s="19"/>
      <c r="I812" s="47"/>
      <c r="J812" s="48"/>
      <c r="K812" s="49"/>
    </row>
    <row r="813" spans="1:11" ht="12.75" hidden="1" x14ac:dyDescent="0.2">
      <c r="A813" s="16"/>
      <c r="B813" s="16"/>
      <c r="C813" s="15"/>
      <c r="D813" s="16"/>
      <c r="E813" s="17"/>
      <c r="F813" s="17"/>
      <c r="H813" s="19"/>
      <c r="I813" s="47"/>
      <c r="J813" s="48"/>
      <c r="K813" s="49"/>
    </row>
    <row r="814" spans="1:11" ht="12.75" hidden="1" x14ac:dyDescent="0.2">
      <c r="A814" s="16"/>
      <c r="B814" s="16"/>
      <c r="C814" s="15"/>
      <c r="D814" s="16"/>
      <c r="E814" s="17"/>
      <c r="F814" s="17"/>
      <c r="H814" s="19"/>
      <c r="I814" s="47"/>
      <c r="J814" s="48"/>
      <c r="K814" s="49"/>
    </row>
    <row r="815" spans="1:11" ht="12.75" hidden="1" x14ac:dyDescent="0.2">
      <c r="A815" s="16"/>
      <c r="B815" s="16"/>
      <c r="C815" s="15"/>
      <c r="D815" s="16"/>
      <c r="E815" s="17"/>
      <c r="F815" s="17"/>
      <c r="H815" s="19"/>
      <c r="I815" s="47"/>
      <c r="J815" s="48"/>
      <c r="K815" s="49"/>
    </row>
    <row r="816" spans="1:11" ht="12.75" hidden="1" x14ac:dyDescent="0.2">
      <c r="A816" s="16"/>
      <c r="B816" s="16"/>
      <c r="C816" s="15"/>
      <c r="D816" s="16"/>
      <c r="E816" s="17"/>
      <c r="F816" s="17"/>
      <c r="H816" s="19"/>
      <c r="I816" s="47"/>
      <c r="J816" s="48"/>
      <c r="K816" s="49"/>
    </row>
    <row r="817" spans="1:11" ht="12.75" hidden="1" x14ac:dyDescent="0.2">
      <c r="A817" s="16"/>
      <c r="B817" s="16"/>
      <c r="C817" s="15"/>
      <c r="D817" s="16"/>
      <c r="E817" s="17"/>
      <c r="F817" s="17"/>
      <c r="H817" s="19"/>
      <c r="I817" s="47"/>
      <c r="J817" s="48"/>
      <c r="K817" s="49"/>
    </row>
    <row r="818" spans="1:11" ht="12.75" hidden="1" x14ac:dyDescent="0.2">
      <c r="A818" s="16"/>
      <c r="B818" s="16"/>
      <c r="C818" s="15"/>
      <c r="D818" s="16"/>
      <c r="E818" s="17"/>
      <c r="F818" s="17"/>
      <c r="H818" s="19"/>
      <c r="I818" s="47"/>
      <c r="J818" s="48"/>
      <c r="K818" s="49"/>
    </row>
    <row r="819" spans="1:11" ht="12.75" hidden="1" x14ac:dyDescent="0.2">
      <c r="A819" s="16"/>
      <c r="B819" s="16"/>
      <c r="C819" s="15"/>
      <c r="D819" s="16"/>
      <c r="E819" s="17"/>
      <c r="F819" s="17"/>
      <c r="H819" s="19"/>
      <c r="I819" s="47"/>
      <c r="J819" s="48"/>
      <c r="K819" s="49"/>
    </row>
    <row r="820" spans="1:11" ht="12.75" hidden="1" x14ac:dyDescent="0.2">
      <c r="A820" s="16"/>
      <c r="B820" s="16"/>
      <c r="C820" s="15"/>
      <c r="D820" s="16"/>
      <c r="E820" s="17"/>
      <c r="F820" s="17"/>
      <c r="H820" s="19"/>
      <c r="I820" s="47"/>
      <c r="J820" s="48"/>
      <c r="K820" s="49"/>
    </row>
    <row r="821" spans="1:11" ht="12.75" hidden="1" x14ac:dyDescent="0.2">
      <c r="A821" s="16"/>
      <c r="B821" s="16"/>
      <c r="C821" s="15"/>
      <c r="D821" s="16"/>
      <c r="E821" s="17"/>
      <c r="F821" s="17"/>
      <c r="H821" s="19"/>
      <c r="I821" s="47"/>
      <c r="J821" s="48"/>
      <c r="K821" s="49"/>
    </row>
    <row r="822" spans="1:11" ht="12.75" hidden="1" x14ac:dyDescent="0.2">
      <c r="A822" s="16"/>
      <c r="B822" s="16"/>
      <c r="C822" s="15"/>
      <c r="D822" s="16"/>
      <c r="E822" s="17"/>
      <c r="F822" s="17"/>
      <c r="H822" s="19"/>
      <c r="I822" s="47"/>
      <c r="J822" s="48"/>
      <c r="K822" s="49"/>
    </row>
    <row r="823" spans="1:11" ht="12.75" hidden="1" x14ac:dyDescent="0.2">
      <c r="A823" s="16"/>
      <c r="B823" s="16"/>
      <c r="C823" s="15"/>
      <c r="D823" s="16"/>
      <c r="E823" s="17"/>
      <c r="F823" s="17"/>
      <c r="H823" s="19"/>
      <c r="I823" s="47"/>
      <c r="J823" s="48"/>
      <c r="K823" s="49"/>
    </row>
    <row r="824" spans="1:11" ht="12.75" hidden="1" x14ac:dyDescent="0.2">
      <c r="A824" s="16"/>
      <c r="B824" s="16"/>
      <c r="C824" s="15"/>
      <c r="D824" s="16"/>
      <c r="E824" s="17"/>
      <c r="F824" s="17"/>
      <c r="H824" s="19"/>
      <c r="I824" s="47"/>
      <c r="J824" s="48"/>
      <c r="K824" s="49"/>
    </row>
    <row r="825" spans="1:11" ht="12.75" hidden="1" x14ac:dyDescent="0.2">
      <c r="A825" s="16"/>
      <c r="B825" s="16"/>
      <c r="C825" s="15"/>
      <c r="D825" s="16"/>
      <c r="E825" s="17"/>
      <c r="F825" s="17"/>
      <c r="H825" s="19"/>
      <c r="I825" s="47"/>
      <c r="J825" s="48"/>
      <c r="K825" s="49"/>
    </row>
    <row r="826" spans="1:11" ht="12.75" hidden="1" x14ac:dyDescent="0.2">
      <c r="A826" s="16"/>
      <c r="B826" s="16"/>
      <c r="C826" s="15"/>
      <c r="D826" s="16"/>
      <c r="E826" s="17"/>
      <c r="F826" s="17"/>
      <c r="H826" s="19"/>
      <c r="I826" s="47"/>
      <c r="J826" s="48"/>
      <c r="K826" s="49"/>
    </row>
    <row r="827" spans="1:11" ht="12.75" hidden="1" x14ac:dyDescent="0.2">
      <c r="A827" s="16"/>
      <c r="B827" s="16"/>
      <c r="C827" s="15"/>
      <c r="D827" s="16"/>
      <c r="E827" s="17"/>
      <c r="F827" s="17"/>
      <c r="H827" s="19"/>
      <c r="I827" s="47"/>
      <c r="J827" s="48"/>
      <c r="K827" s="49"/>
    </row>
    <row r="828" spans="1:11" ht="12.75" hidden="1" x14ac:dyDescent="0.2">
      <c r="A828" s="16"/>
      <c r="B828" s="16"/>
      <c r="C828" s="15"/>
      <c r="D828" s="16"/>
      <c r="E828" s="17"/>
      <c r="F828" s="17"/>
      <c r="H828" s="19"/>
      <c r="I828" s="47"/>
      <c r="J828" s="48"/>
      <c r="K828" s="49"/>
    </row>
    <row r="829" spans="1:11" ht="12.75" hidden="1" x14ac:dyDescent="0.2">
      <c r="A829" s="16"/>
      <c r="B829" s="16"/>
      <c r="C829" s="15"/>
      <c r="D829" s="16"/>
      <c r="E829" s="17"/>
      <c r="F829" s="17"/>
      <c r="H829" s="19"/>
      <c r="I829" s="47"/>
      <c r="J829" s="48"/>
      <c r="K829" s="49"/>
    </row>
    <row r="830" spans="1:11" ht="12.75" hidden="1" x14ac:dyDescent="0.2">
      <c r="A830" s="16"/>
      <c r="B830" s="16"/>
      <c r="C830" s="15"/>
      <c r="D830" s="16"/>
      <c r="E830" s="17"/>
      <c r="F830" s="17"/>
      <c r="H830" s="19"/>
      <c r="I830" s="47"/>
      <c r="J830" s="48"/>
      <c r="K830" s="49"/>
    </row>
    <row r="831" spans="1:11" ht="12.75" hidden="1" x14ac:dyDescent="0.2">
      <c r="A831" s="16"/>
      <c r="B831" s="16"/>
      <c r="C831" s="15"/>
      <c r="D831" s="16"/>
      <c r="E831" s="17"/>
      <c r="F831" s="17"/>
      <c r="H831" s="19"/>
      <c r="I831" s="47"/>
      <c r="J831" s="48"/>
      <c r="K831" s="49"/>
    </row>
    <row r="832" spans="1:11" ht="12.75" hidden="1" x14ac:dyDescent="0.2">
      <c r="A832" s="16"/>
      <c r="B832" s="16"/>
      <c r="C832" s="15"/>
      <c r="D832" s="16"/>
      <c r="E832" s="17"/>
      <c r="F832" s="17"/>
      <c r="H832" s="19"/>
      <c r="I832" s="47"/>
      <c r="J832" s="48"/>
      <c r="K832" s="49"/>
    </row>
    <row r="833" spans="1:11" ht="12.75" hidden="1" x14ac:dyDescent="0.2">
      <c r="A833" s="16"/>
      <c r="B833" s="16"/>
      <c r="C833" s="15"/>
      <c r="D833" s="16"/>
      <c r="E833" s="17"/>
      <c r="F833" s="17"/>
      <c r="H833" s="19"/>
      <c r="I833" s="47"/>
      <c r="J833" s="48"/>
      <c r="K833" s="49"/>
    </row>
    <row r="834" spans="1:11" ht="12.75" hidden="1" x14ac:dyDescent="0.2">
      <c r="A834" s="16"/>
      <c r="B834" s="16"/>
      <c r="C834" s="15"/>
      <c r="D834" s="16"/>
      <c r="E834" s="17"/>
      <c r="F834" s="17"/>
      <c r="H834" s="19"/>
      <c r="I834" s="47"/>
      <c r="J834" s="48"/>
      <c r="K834" s="49"/>
    </row>
    <row r="835" spans="1:11" ht="12.75" hidden="1" x14ac:dyDescent="0.2">
      <c r="A835" s="16"/>
      <c r="B835" s="16"/>
      <c r="C835" s="15"/>
      <c r="D835" s="16"/>
      <c r="E835" s="17"/>
      <c r="F835" s="17"/>
      <c r="H835" s="19"/>
      <c r="I835" s="47"/>
      <c r="J835" s="48"/>
      <c r="K835" s="49"/>
    </row>
    <row r="836" spans="1:11" ht="12.75" hidden="1" x14ac:dyDescent="0.2">
      <c r="A836" s="16"/>
      <c r="B836" s="16"/>
      <c r="C836" s="15"/>
      <c r="D836" s="16"/>
      <c r="E836" s="17"/>
      <c r="F836" s="17"/>
      <c r="H836" s="19"/>
      <c r="I836" s="47"/>
      <c r="J836" s="48"/>
      <c r="K836" s="49"/>
    </row>
    <row r="837" spans="1:11" ht="12.75" hidden="1" x14ac:dyDescent="0.2">
      <c r="A837" s="16"/>
      <c r="B837" s="16"/>
      <c r="C837" s="15"/>
      <c r="D837" s="16"/>
      <c r="E837" s="17"/>
      <c r="F837" s="17"/>
      <c r="H837" s="19"/>
      <c r="I837" s="47"/>
      <c r="J837" s="48"/>
      <c r="K837" s="49"/>
    </row>
    <row r="838" spans="1:11" ht="12.75" hidden="1" x14ac:dyDescent="0.2">
      <c r="A838" s="16"/>
      <c r="B838" s="16"/>
      <c r="C838" s="15"/>
      <c r="D838" s="16"/>
      <c r="E838" s="17"/>
      <c r="F838" s="17"/>
      <c r="H838" s="19"/>
      <c r="I838" s="47"/>
      <c r="J838" s="48"/>
      <c r="K838" s="49"/>
    </row>
    <row r="839" spans="1:11" ht="12.75" hidden="1" x14ac:dyDescent="0.2">
      <c r="A839" s="16"/>
      <c r="B839" s="16"/>
      <c r="C839" s="15"/>
      <c r="D839" s="16"/>
      <c r="E839" s="17"/>
      <c r="F839" s="17"/>
      <c r="H839" s="19"/>
      <c r="I839" s="47"/>
      <c r="J839" s="48"/>
      <c r="K839" s="49"/>
    </row>
    <row r="840" spans="1:11" ht="12.75" hidden="1" x14ac:dyDescent="0.2">
      <c r="A840" s="16"/>
      <c r="B840" s="16"/>
      <c r="C840" s="15"/>
      <c r="D840" s="16"/>
      <c r="E840" s="17"/>
      <c r="F840" s="17"/>
      <c r="H840" s="19"/>
      <c r="I840" s="47"/>
      <c r="J840" s="48"/>
      <c r="K840" s="49"/>
    </row>
    <row r="841" spans="1:11" ht="12.75" hidden="1" x14ac:dyDescent="0.2">
      <c r="A841" s="16"/>
      <c r="B841" s="16"/>
      <c r="C841" s="15"/>
      <c r="D841" s="16"/>
      <c r="E841" s="17"/>
      <c r="F841" s="17"/>
      <c r="H841" s="19"/>
      <c r="I841" s="47"/>
      <c r="J841" s="48"/>
      <c r="K841" s="49"/>
    </row>
    <row r="842" spans="1:11" ht="12.75" hidden="1" x14ac:dyDescent="0.2">
      <c r="A842" s="16"/>
      <c r="B842" s="16"/>
      <c r="C842" s="15"/>
      <c r="D842" s="16"/>
      <c r="E842" s="17"/>
      <c r="F842" s="17"/>
      <c r="H842" s="19"/>
      <c r="I842" s="47"/>
      <c r="J842" s="48"/>
      <c r="K842" s="49"/>
    </row>
    <row r="843" spans="1:11" ht="12.75" hidden="1" x14ac:dyDescent="0.2">
      <c r="A843" s="16"/>
      <c r="B843" s="16"/>
      <c r="C843" s="15"/>
      <c r="D843" s="16"/>
      <c r="E843" s="17"/>
      <c r="F843" s="17"/>
      <c r="H843" s="19"/>
      <c r="I843" s="47"/>
      <c r="J843" s="48"/>
      <c r="K843" s="49"/>
    </row>
    <row r="844" spans="1:11" ht="12.75" hidden="1" x14ac:dyDescent="0.2">
      <c r="A844" s="16"/>
      <c r="B844" s="16"/>
      <c r="C844" s="15"/>
      <c r="D844" s="16"/>
      <c r="E844" s="17"/>
      <c r="F844" s="17"/>
      <c r="H844" s="19"/>
      <c r="I844" s="47"/>
      <c r="J844" s="48"/>
      <c r="K844" s="49"/>
    </row>
    <row r="845" spans="1:11" ht="12.75" hidden="1" x14ac:dyDescent="0.2">
      <c r="A845" s="16"/>
      <c r="B845" s="16"/>
      <c r="C845" s="15"/>
      <c r="D845" s="16"/>
      <c r="E845" s="17"/>
      <c r="F845" s="17"/>
      <c r="H845" s="19"/>
      <c r="I845" s="47"/>
      <c r="J845" s="48"/>
      <c r="K845" s="49"/>
    </row>
    <row r="846" spans="1:11" ht="12.75" hidden="1" x14ac:dyDescent="0.2">
      <c r="A846" s="16"/>
      <c r="B846" s="16"/>
      <c r="C846" s="15"/>
      <c r="D846" s="16"/>
      <c r="E846" s="17"/>
      <c r="F846" s="17"/>
      <c r="H846" s="19"/>
      <c r="I846" s="47"/>
      <c r="J846" s="48"/>
      <c r="K846" s="49"/>
    </row>
    <row r="847" spans="1:11" ht="12.75" hidden="1" x14ac:dyDescent="0.2">
      <c r="A847" s="16"/>
      <c r="B847" s="16"/>
      <c r="C847" s="15"/>
      <c r="D847" s="16"/>
      <c r="E847" s="17"/>
      <c r="F847" s="17"/>
      <c r="H847" s="19"/>
      <c r="I847" s="47"/>
      <c r="J847" s="48"/>
      <c r="K847" s="49"/>
    </row>
    <row r="848" spans="1:11" ht="12.75" hidden="1" x14ac:dyDescent="0.2">
      <c r="A848" s="16"/>
      <c r="B848" s="16"/>
      <c r="C848" s="15"/>
      <c r="D848" s="16"/>
      <c r="E848" s="17"/>
      <c r="F848" s="17"/>
      <c r="H848" s="19"/>
      <c r="I848" s="47"/>
      <c r="J848" s="48"/>
      <c r="K848" s="49"/>
    </row>
    <row r="849" spans="1:11" ht="12.75" hidden="1" x14ac:dyDescent="0.2">
      <c r="A849" s="16"/>
      <c r="B849" s="16"/>
      <c r="C849" s="15"/>
      <c r="D849" s="16"/>
      <c r="E849" s="17"/>
      <c r="F849" s="17"/>
      <c r="H849" s="19"/>
      <c r="I849" s="47"/>
      <c r="J849" s="48"/>
      <c r="K849" s="49"/>
    </row>
    <row r="850" spans="1:11" ht="12.75" hidden="1" x14ac:dyDescent="0.2">
      <c r="A850" s="16"/>
      <c r="B850" s="16"/>
      <c r="C850" s="15"/>
      <c r="D850" s="16"/>
      <c r="E850" s="17"/>
      <c r="F850" s="17"/>
      <c r="H850" s="19"/>
      <c r="I850" s="47"/>
      <c r="J850" s="48"/>
      <c r="K850" s="49"/>
    </row>
    <row r="851" spans="1:11" ht="12.75" hidden="1" x14ac:dyDescent="0.2">
      <c r="A851" s="16"/>
      <c r="B851" s="16"/>
      <c r="C851" s="15"/>
      <c r="D851" s="16"/>
      <c r="E851" s="17"/>
      <c r="F851" s="17"/>
      <c r="H851" s="19"/>
      <c r="I851" s="47"/>
      <c r="J851" s="48"/>
      <c r="K851" s="49"/>
    </row>
    <row r="852" spans="1:11" ht="12.75" hidden="1" x14ac:dyDescent="0.2">
      <c r="A852" s="16"/>
      <c r="B852" s="16"/>
      <c r="C852" s="15"/>
      <c r="D852" s="16"/>
      <c r="E852" s="17"/>
      <c r="F852" s="17"/>
      <c r="H852" s="19"/>
      <c r="I852" s="47"/>
      <c r="J852" s="48"/>
      <c r="K852" s="49"/>
    </row>
    <row r="853" spans="1:11" ht="12.75" hidden="1" x14ac:dyDescent="0.2">
      <c r="A853" s="16"/>
      <c r="B853" s="16"/>
      <c r="C853" s="15"/>
      <c r="D853" s="16"/>
      <c r="E853" s="17"/>
      <c r="F853" s="17"/>
      <c r="H853" s="50"/>
      <c r="I853" s="51"/>
      <c r="J853" s="52"/>
      <c r="K853" s="53"/>
    </row>
  </sheetData>
  <autoFilter ref="A6:I215" xr:uid="{00000000-0009-0000-0000-000008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6:C853">
    <cfRule type="cellIs" dxfId="25" priority="4" operator="lessThan">
      <formula>"92%"</formula>
    </cfRule>
  </conditionalFormatting>
  <conditionalFormatting sqref="C7:C215">
    <cfRule type="cellIs" dxfId="24" priority="1" operator="lessThan">
      <formula>"90%"</formula>
    </cfRule>
    <cfRule type="cellIs" dxfId="23" priority="2" operator="lessThan">
      <formula>"94%"</formula>
    </cfRule>
  </conditionalFormatting>
  <conditionalFormatting sqref="K1:K853">
    <cfRule type="cellIs" dxfId="22" priority="3" operator="lessThan">
      <formula>0</formula>
    </cfRule>
  </conditionalFormatting>
  <dataValidations count="1">
    <dataValidation type="list" allowBlank="1" sqref="E7:E215" xr:uid="{00000000-0002-0000-0800-000000000000}">
      <formula1>"Weather,Health,Safety,Other"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73763"/>
    <outlinePr summaryBelow="0" summaryRight="0"/>
  </sheetPr>
  <dimension ref="A1:K853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15.85546875" customWidth="1"/>
    <col min="6" max="6" width="23.42578125" customWidth="1"/>
    <col min="7" max="7" width="12.42578125" customWidth="1"/>
    <col min="8" max="10" width="16.28515625" customWidth="1"/>
    <col min="11" max="11" width="17.42578125" customWidth="1"/>
  </cols>
  <sheetData>
    <row r="1" spans="1:11" ht="26.25" x14ac:dyDescent="0.35">
      <c r="A1" s="1" t="s">
        <v>190</v>
      </c>
      <c r="B1" s="1"/>
      <c r="C1" s="1"/>
      <c r="D1" s="1"/>
      <c r="E1" s="1"/>
      <c r="F1" s="1"/>
      <c r="G1" s="1"/>
      <c r="H1" s="2"/>
      <c r="I1" s="2"/>
      <c r="J1" s="3"/>
      <c r="K1" s="55">
        <f>SUM(K7:K215)</f>
        <v>-1137.8905999999943</v>
      </c>
    </row>
    <row r="2" spans="1:11" x14ac:dyDescent="0.25">
      <c r="A2" s="122" t="s">
        <v>191</v>
      </c>
      <c r="B2" s="119"/>
      <c r="C2" s="119"/>
      <c r="D2" s="119"/>
      <c r="E2" s="119"/>
      <c r="F2" s="119"/>
      <c r="G2" s="119"/>
      <c r="H2" s="123" t="s">
        <v>0</v>
      </c>
      <c r="I2" s="124"/>
      <c r="J2" s="5" t="s">
        <v>9</v>
      </c>
      <c r="K2" s="125" t="s">
        <v>192</v>
      </c>
    </row>
    <row r="3" spans="1:11" ht="23.25" x14ac:dyDescent="0.3">
      <c r="A3" s="119"/>
      <c r="B3" s="119"/>
      <c r="C3" s="119"/>
      <c r="D3" s="119"/>
      <c r="E3" s="119"/>
      <c r="F3" s="119"/>
      <c r="G3" s="119"/>
      <c r="H3" s="126">
        <f>SUM(I7:I128)</f>
        <v>306724.0055000002</v>
      </c>
      <c r="I3" s="124"/>
      <c r="J3" s="127">
        <v>0.95</v>
      </c>
      <c r="K3" s="124"/>
    </row>
    <row r="4" spans="1:11" ht="12.75" x14ac:dyDescent="0.2">
      <c r="A4" s="119"/>
      <c r="B4" s="119"/>
      <c r="C4" s="119"/>
      <c r="D4" s="119"/>
      <c r="E4" s="119"/>
      <c r="F4" s="119"/>
      <c r="G4" s="119"/>
      <c r="H4" s="129" t="s">
        <v>11</v>
      </c>
      <c r="I4" s="119"/>
      <c r="J4" s="128"/>
      <c r="K4" s="124"/>
    </row>
    <row r="5" spans="1:11" ht="15" x14ac:dyDescent="0.35">
      <c r="A5" s="119"/>
      <c r="B5" s="119"/>
      <c r="C5" s="119"/>
      <c r="D5" s="119"/>
      <c r="E5" s="119"/>
      <c r="F5" s="119"/>
      <c r="G5" s="119"/>
      <c r="H5" s="130">
        <v>55</v>
      </c>
      <c r="I5" s="119"/>
      <c r="J5" s="128"/>
      <c r="K5" s="124"/>
    </row>
    <row r="6" spans="1:11" ht="24" x14ac:dyDescent="0.2">
      <c r="A6" s="6" t="s">
        <v>12</v>
      </c>
      <c r="B6" s="7" t="s">
        <v>13</v>
      </c>
      <c r="C6" s="8" t="s">
        <v>14</v>
      </c>
      <c r="D6" s="7" t="s">
        <v>15</v>
      </c>
      <c r="E6" s="9" t="s">
        <v>16</v>
      </c>
      <c r="F6" s="7" t="s">
        <v>17</v>
      </c>
      <c r="G6" s="7" t="s">
        <v>18</v>
      </c>
      <c r="H6" s="10" t="s">
        <v>19</v>
      </c>
      <c r="I6" s="11" t="s">
        <v>20</v>
      </c>
      <c r="J6" s="12" t="s">
        <v>21</v>
      </c>
      <c r="K6" s="124"/>
    </row>
    <row r="7" spans="1:11" ht="25.5" x14ac:dyDescent="0.2">
      <c r="A7" s="13">
        <v>45516</v>
      </c>
      <c r="B7" s="14" t="s">
        <v>3</v>
      </c>
      <c r="C7" s="71">
        <v>1</v>
      </c>
      <c r="D7" s="16" t="s">
        <v>86</v>
      </c>
      <c r="E7" s="17"/>
      <c r="F7" s="17" t="s">
        <v>193</v>
      </c>
      <c r="G7" s="18">
        <v>924</v>
      </c>
      <c r="H7" s="19">
        <f t="shared" ref="H7:H181" si="0">G7-(C7*G7)</f>
        <v>0</v>
      </c>
      <c r="I7" s="20">
        <f t="shared" ref="I7:I215" si="1">H7*$H$5</f>
        <v>0</v>
      </c>
      <c r="J7" s="21">
        <v>0</v>
      </c>
      <c r="K7" s="22">
        <f t="shared" ref="K7:K215" si="2">J7-H7</f>
        <v>0</v>
      </c>
    </row>
    <row r="8" spans="1:11" ht="25.5" x14ac:dyDescent="0.2">
      <c r="A8" s="13">
        <v>45517</v>
      </c>
      <c r="B8" s="14" t="s">
        <v>4</v>
      </c>
      <c r="C8" s="15">
        <v>0.96679999999999999</v>
      </c>
      <c r="D8" s="16" t="s">
        <v>86</v>
      </c>
      <c r="E8" s="17"/>
      <c r="F8" s="17" t="s">
        <v>193</v>
      </c>
      <c r="G8" s="18">
        <v>964</v>
      </c>
      <c r="H8" s="19">
        <f t="shared" si="0"/>
        <v>32.004800000000046</v>
      </c>
      <c r="I8" s="20">
        <f t="shared" si="1"/>
        <v>1760.2640000000024</v>
      </c>
      <c r="J8" s="21">
        <f t="shared" ref="J8:J215" si="3">G8-(G8*J$3)</f>
        <v>48.200000000000045</v>
      </c>
      <c r="K8" s="22">
        <f t="shared" si="2"/>
        <v>16.1952</v>
      </c>
    </row>
    <row r="9" spans="1:11" ht="25.5" x14ac:dyDescent="0.2">
      <c r="A9" s="13">
        <v>45518</v>
      </c>
      <c r="B9" s="14" t="s">
        <v>5</v>
      </c>
      <c r="C9" s="15">
        <v>0.96950000000000003</v>
      </c>
      <c r="D9" s="16" t="s">
        <v>86</v>
      </c>
      <c r="E9" s="17"/>
      <c r="F9" s="17" t="s">
        <v>194</v>
      </c>
      <c r="G9" s="18">
        <v>986</v>
      </c>
      <c r="H9" s="19">
        <f t="shared" si="0"/>
        <v>30.072999999999979</v>
      </c>
      <c r="I9" s="20">
        <f t="shared" si="1"/>
        <v>1654.014999999999</v>
      </c>
      <c r="J9" s="21">
        <f t="shared" si="3"/>
        <v>49.300000000000068</v>
      </c>
      <c r="K9" s="22">
        <f t="shared" si="2"/>
        <v>19.227000000000089</v>
      </c>
    </row>
    <row r="10" spans="1:11" ht="12.75" x14ac:dyDescent="0.2">
      <c r="A10" s="13">
        <v>45519</v>
      </c>
      <c r="B10" s="14" t="s">
        <v>6</v>
      </c>
      <c r="C10" s="15">
        <v>0.97309999999999997</v>
      </c>
      <c r="D10" s="16" t="s">
        <v>86</v>
      </c>
      <c r="E10" s="17"/>
      <c r="F10" s="17"/>
      <c r="G10" s="18">
        <v>1002</v>
      </c>
      <c r="H10" s="19">
        <f t="shared" si="0"/>
        <v>26.953800000000001</v>
      </c>
      <c r="I10" s="20">
        <f t="shared" si="1"/>
        <v>1482.4590000000001</v>
      </c>
      <c r="J10" s="21">
        <f t="shared" si="3"/>
        <v>50.100000000000023</v>
      </c>
      <c r="K10" s="22">
        <f t="shared" si="2"/>
        <v>23.146200000000022</v>
      </c>
    </row>
    <row r="11" spans="1:11" ht="12.75" x14ac:dyDescent="0.2">
      <c r="A11" s="13">
        <v>45520</v>
      </c>
      <c r="B11" s="14" t="s">
        <v>7</v>
      </c>
      <c r="C11" s="15">
        <v>0.95420000000000005</v>
      </c>
      <c r="D11" s="16" t="s">
        <v>86</v>
      </c>
      <c r="E11" s="17"/>
      <c r="F11" s="17"/>
      <c r="G11" s="18">
        <v>1004</v>
      </c>
      <c r="H11" s="19">
        <f t="shared" si="0"/>
        <v>45.983199999999897</v>
      </c>
      <c r="I11" s="20">
        <f t="shared" si="1"/>
        <v>2529.0759999999946</v>
      </c>
      <c r="J11" s="21">
        <f t="shared" si="3"/>
        <v>50.200000000000045</v>
      </c>
      <c r="K11" s="22">
        <f t="shared" si="2"/>
        <v>4.2168000000001484</v>
      </c>
    </row>
    <row r="12" spans="1:11" ht="12.75" x14ac:dyDescent="0.2">
      <c r="A12" s="13">
        <v>45523</v>
      </c>
      <c r="B12" s="14" t="s">
        <v>3</v>
      </c>
      <c r="C12" s="15">
        <v>0.96060000000000001</v>
      </c>
      <c r="D12" s="16" t="s">
        <v>86</v>
      </c>
      <c r="E12" s="17"/>
      <c r="F12" s="17"/>
      <c r="G12" s="18">
        <v>1015</v>
      </c>
      <c r="H12" s="19">
        <f t="shared" si="0"/>
        <v>39.990999999999985</v>
      </c>
      <c r="I12" s="20">
        <f t="shared" si="1"/>
        <v>2199.5049999999992</v>
      </c>
      <c r="J12" s="21">
        <f t="shared" si="3"/>
        <v>50.75</v>
      </c>
      <c r="K12" s="22">
        <f t="shared" si="2"/>
        <v>10.759000000000015</v>
      </c>
    </row>
    <row r="13" spans="1:11" ht="12.75" x14ac:dyDescent="0.2">
      <c r="A13" s="13">
        <v>45524</v>
      </c>
      <c r="B13" s="14" t="s">
        <v>4</v>
      </c>
      <c r="C13" s="15">
        <v>0.96189999999999998</v>
      </c>
      <c r="D13" s="16" t="s">
        <v>86</v>
      </c>
      <c r="E13" s="17"/>
      <c r="F13" s="17"/>
      <c r="G13" s="18">
        <v>1024</v>
      </c>
      <c r="H13" s="19">
        <f t="shared" si="0"/>
        <v>39.014400000000023</v>
      </c>
      <c r="I13" s="20">
        <f t="shared" si="1"/>
        <v>2145.7920000000013</v>
      </c>
      <c r="J13" s="21">
        <f t="shared" si="3"/>
        <v>51.200000000000045</v>
      </c>
      <c r="K13" s="22">
        <f t="shared" si="2"/>
        <v>12.185600000000022</v>
      </c>
    </row>
    <row r="14" spans="1:11" ht="12.75" x14ac:dyDescent="0.2">
      <c r="A14" s="13">
        <v>45525</v>
      </c>
      <c r="B14" s="14" t="s">
        <v>5</v>
      </c>
      <c r="C14" s="15">
        <v>0.96399999999999997</v>
      </c>
      <c r="D14" s="16" t="s">
        <v>86</v>
      </c>
      <c r="E14" s="17"/>
      <c r="F14" s="17"/>
      <c r="G14" s="18">
        <v>1027</v>
      </c>
      <c r="H14" s="19">
        <f t="shared" si="0"/>
        <v>36.97199999999998</v>
      </c>
      <c r="I14" s="20">
        <f t="shared" si="1"/>
        <v>2033.4599999999989</v>
      </c>
      <c r="J14" s="21">
        <f t="shared" si="3"/>
        <v>51.350000000000023</v>
      </c>
      <c r="K14" s="22">
        <f t="shared" si="2"/>
        <v>14.378000000000043</v>
      </c>
    </row>
    <row r="15" spans="1:11" ht="12.75" x14ac:dyDescent="0.2">
      <c r="A15" s="13">
        <v>45526</v>
      </c>
      <c r="B15" s="14" t="s">
        <v>6</v>
      </c>
      <c r="C15" s="15">
        <v>0.95730000000000004</v>
      </c>
      <c r="D15" s="16" t="s">
        <v>86</v>
      </c>
      <c r="E15" s="17"/>
      <c r="F15" s="17"/>
      <c r="G15" s="18">
        <v>1031</v>
      </c>
      <c r="H15" s="19">
        <f t="shared" si="0"/>
        <v>44.023699999999963</v>
      </c>
      <c r="I15" s="20">
        <f t="shared" si="1"/>
        <v>2421.3034999999982</v>
      </c>
      <c r="J15" s="21">
        <f t="shared" si="3"/>
        <v>51.550000000000068</v>
      </c>
      <c r="K15" s="22">
        <f t="shared" si="2"/>
        <v>7.5263000000001057</v>
      </c>
    </row>
    <row r="16" spans="1:11" ht="25.5" x14ac:dyDescent="0.2">
      <c r="A16" s="13">
        <v>45527</v>
      </c>
      <c r="B16" s="14" t="s">
        <v>7</v>
      </c>
      <c r="C16" s="15">
        <v>0.9264</v>
      </c>
      <c r="D16" s="16"/>
      <c r="E16" s="17"/>
      <c r="F16" s="17" t="s">
        <v>195</v>
      </c>
      <c r="G16" s="18">
        <v>1033</v>
      </c>
      <c r="H16" s="19">
        <f t="shared" si="0"/>
        <v>76.028800000000047</v>
      </c>
      <c r="I16" s="20">
        <f t="shared" si="1"/>
        <v>4181.5840000000026</v>
      </c>
      <c r="J16" s="21">
        <f t="shared" si="3"/>
        <v>51.650000000000091</v>
      </c>
      <c r="K16" s="22">
        <f t="shared" si="2"/>
        <v>-24.378799999999956</v>
      </c>
    </row>
    <row r="17" spans="1:11" ht="25.5" x14ac:dyDescent="0.2">
      <c r="A17" s="13">
        <v>45530</v>
      </c>
      <c r="B17" s="14" t="s">
        <v>3</v>
      </c>
      <c r="C17" s="15">
        <v>0.9335</v>
      </c>
      <c r="D17" s="16"/>
      <c r="E17" s="17"/>
      <c r="F17" s="17" t="s">
        <v>196</v>
      </c>
      <c r="G17" s="18">
        <v>1037</v>
      </c>
      <c r="H17" s="19">
        <f t="shared" si="0"/>
        <v>68.960500000000025</v>
      </c>
      <c r="I17" s="20">
        <f t="shared" si="1"/>
        <v>3792.8275000000012</v>
      </c>
      <c r="J17" s="21">
        <f t="shared" si="3"/>
        <v>51.850000000000023</v>
      </c>
      <c r="K17" s="22">
        <f t="shared" si="2"/>
        <v>-17.110500000000002</v>
      </c>
    </row>
    <row r="18" spans="1:11" ht="12.75" x14ac:dyDescent="0.2">
      <c r="A18" s="13">
        <v>45531</v>
      </c>
      <c r="B18" s="14" t="s">
        <v>4</v>
      </c>
      <c r="C18" s="15">
        <v>0.93740000000000001</v>
      </c>
      <c r="D18" s="16"/>
      <c r="E18" s="17"/>
      <c r="F18" s="17" t="s">
        <v>197</v>
      </c>
      <c r="G18" s="18">
        <v>1038</v>
      </c>
      <c r="H18" s="19">
        <f t="shared" si="0"/>
        <v>64.978799999999978</v>
      </c>
      <c r="I18" s="20">
        <f t="shared" si="1"/>
        <v>3573.8339999999989</v>
      </c>
      <c r="J18" s="21">
        <f t="shared" si="3"/>
        <v>51.900000000000091</v>
      </c>
      <c r="K18" s="22">
        <f t="shared" si="2"/>
        <v>-13.078799999999887</v>
      </c>
    </row>
    <row r="19" spans="1:11" ht="12.75" x14ac:dyDescent="0.2">
      <c r="A19" s="13">
        <v>45532</v>
      </c>
      <c r="B19" s="14" t="s">
        <v>5</v>
      </c>
      <c r="C19" s="15">
        <v>0.94699999999999995</v>
      </c>
      <c r="D19" s="16"/>
      <c r="E19" s="17"/>
      <c r="F19" s="23" t="s">
        <v>198</v>
      </c>
      <c r="G19" s="18">
        <v>1038</v>
      </c>
      <c r="H19" s="19">
        <f t="shared" si="0"/>
        <v>55.01400000000001</v>
      </c>
      <c r="I19" s="20">
        <f t="shared" si="1"/>
        <v>3025.7700000000004</v>
      </c>
      <c r="J19" s="21">
        <f t="shared" si="3"/>
        <v>51.900000000000091</v>
      </c>
      <c r="K19" s="22">
        <f t="shared" si="2"/>
        <v>-3.1139999999999191</v>
      </c>
    </row>
    <row r="20" spans="1:11" ht="25.5" x14ac:dyDescent="0.2">
      <c r="A20" s="13">
        <v>45533</v>
      </c>
      <c r="B20" s="14" t="s">
        <v>6</v>
      </c>
      <c r="C20" s="15">
        <v>0.95579999999999998</v>
      </c>
      <c r="D20" s="16"/>
      <c r="E20" s="17"/>
      <c r="F20" s="17" t="s">
        <v>199</v>
      </c>
      <c r="G20" s="18">
        <v>1040</v>
      </c>
      <c r="H20" s="19">
        <f t="shared" si="0"/>
        <v>45.968000000000075</v>
      </c>
      <c r="I20" s="20">
        <f t="shared" si="1"/>
        <v>2528.2400000000043</v>
      </c>
      <c r="J20" s="21">
        <f t="shared" si="3"/>
        <v>52</v>
      </c>
      <c r="K20" s="22">
        <f t="shared" si="2"/>
        <v>6.0319999999999254</v>
      </c>
    </row>
    <row r="21" spans="1:11" ht="12.75" x14ac:dyDescent="0.2">
      <c r="A21" s="13">
        <v>45534</v>
      </c>
      <c r="B21" s="14" t="s">
        <v>7</v>
      </c>
      <c r="C21" s="15">
        <v>0.93269999999999997</v>
      </c>
      <c r="D21" s="16"/>
      <c r="E21" s="17"/>
      <c r="F21" s="17" t="s">
        <v>200</v>
      </c>
      <c r="G21" s="18">
        <v>1040</v>
      </c>
      <c r="H21" s="19">
        <f t="shared" si="0"/>
        <v>69.992000000000075</v>
      </c>
      <c r="I21" s="20">
        <f t="shared" si="1"/>
        <v>3849.560000000004</v>
      </c>
      <c r="J21" s="21">
        <f t="shared" si="3"/>
        <v>52</v>
      </c>
      <c r="K21" s="22">
        <f t="shared" si="2"/>
        <v>-17.992000000000075</v>
      </c>
    </row>
    <row r="22" spans="1:11" ht="12.75" x14ac:dyDescent="0.2">
      <c r="A22" s="24">
        <v>45537</v>
      </c>
      <c r="B22" s="25" t="s">
        <v>3</v>
      </c>
      <c r="C22" s="26"/>
      <c r="D22" s="27"/>
      <c r="E22" s="28"/>
      <c r="F22" s="28"/>
      <c r="G22" s="29"/>
      <c r="H22" s="19">
        <f t="shared" si="0"/>
        <v>0</v>
      </c>
      <c r="I22" s="20">
        <f t="shared" si="1"/>
        <v>0</v>
      </c>
      <c r="J22" s="21">
        <f t="shared" si="3"/>
        <v>0</v>
      </c>
      <c r="K22" s="22">
        <f t="shared" si="2"/>
        <v>0</v>
      </c>
    </row>
    <row r="23" spans="1:11" ht="12.75" x14ac:dyDescent="0.2">
      <c r="A23" s="13">
        <v>45538</v>
      </c>
      <c r="B23" s="14" t="s">
        <v>4</v>
      </c>
      <c r="C23" s="15">
        <v>0.95109999999999995</v>
      </c>
      <c r="D23" s="16"/>
      <c r="E23" s="17"/>
      <c r="F23" s="17"/>
      <c r="G23" s="18">
        <v>1044</v>
      </c>
      <c r="H23" s="19">
        <f t="shared" si="0"/>
        <v>51.051600000000008</v>
      </c>
      <c r="I23" s="20">
        <f t="shared" si="1"/>
        <v>2807.8380000000006</v>
      </c>
      <c r="J23" s="21">
        <f t="shared" si="3"/>
        <v>52.200000000000045</v>
      </c>
      <c r="K23" s="22">
        <f t="shared" si="2"/>
        <v>1.1484000000000378</v>
      </c>
    </row>
    <row r="24" spans="1:11" ht="12.75" x14ac:dyDescent="0.2">
      <c r="A24" s="13">
        <v>45539</v>
      </c>
      <c r="B24" s="14" t="s">
        <v>5</v>
      </c>
      <c r="C24" s="15">
        <v>0.95889999999999997</v>
      </c>
      <c r="D24" s="16"/>
      <c r="E24" s="17"/>
      <c r="F24" s="17"/>
      <c r="G24" s="18">
        <v>1044</v>
      </c>
      <c r="H24" s="19">
        <f t="shared" si="0"/>
        <v>42.908400000000029</v>
      </c>
      <c r="I24" s="20">
        <f t="shared" si="1"/>
        <v>2359.9620000000014</v>
      </c>
      <c r="J24" s="21">
        <f t="shared" si="3"/>
        <v>52.200000000000045</v>
      </c>
      <c r="K24" s="22">
        <f t="shared" si="2"/>
        <v>9.2916000000000167</v>
      </c>
    </row>
    <row r="25" spans="1:11" ht="12.75" x14ac:dyDescent="0.2">
      <c r="A25" s="13">
        <v>45540</v>
      </c>
      <c r="B25" s="14" t="s">
        <v>6</v>
      </c>
      <c r="C25" s="15">
        <v>0.95009999999999994</v>
      </c>
      <c r="D25" s="16"/>
      <c r="E25" s="17"/>
      <c r="F25" s="17"/>
      <c r="G25" s="18">
        <v>1042</v>
      </c>
      <c r="H25" s="19">
        <f t="shared" si="0"/>
        <v>51.995800000000031</v>
      </c>
      <c r="I25" s="20">
        <f t="shared" si="1"/>
        <v>2859.7690000000016</v>
      </c>
      <c r="J25" s="21">
        <f t="shared" si="3"/>
        <v>52.100000000000023</v>
      </c>
      <c r="K25" s="22">
        <f t="shared" si="2"/>
        <v>0.10419999999999163</v>
      </c>
    </row>
    <row r="26" spans="1:11" ht="12.75" x14ac:dyDescent="0.2">
      <c r="A26" s="13">
        <v>45541</v>
      </c>
      <c r="B26" s="14" t="s">
        <v>7</v>
      </c>
      <c r="C26" s="15">
        <v>0.94520000000000004</v>
      </c>
      <c r="D26" s="16"/>
      <c r="E26" s="17"/>
      <c r="F26" s="17"/>
      <c r="G26" s="18">
        <v>1040</v>
      </c>
      <c r="H26" s="19">
        <f t="shared" si="0"/>
        <v>56.991999999999962</v>
      </c>
      <c r="I26" s="20">
        <f t="shared" si="1"/>
        <v>3134.5599999999977</v>
      </c>
      <c r="J26" s="21">
        <f t="shared" si="3"/>
        <v>52</v>
      </c>
      <c r="K26" s="22">
        <f t="shared" si="2"/>
        <v>-4.9919999999999618</v>
      </c>
    </row>
    <row r="27" spans="1:11" ht="12.75" x14ac:dyDescent="0.2">
      <c r="A27" s="13">
        <v>45544</v>
      </c>
      <c r="B27" s="14" t="s">
        <v>3</v>
      </c>
      <c r="C27" s="15">
        <v>0.95099999999999996</v>
      </c>
      <c r="D27" s="16"/>
      <c r="E27" s="17"/>
      <c r="F27" s="17"/>
      <c r="G27" s="18">
        <v>1040</v>
      </c>
      <c r="H27" s="19">
        <f t="shared" si="0"/>
        <v>50.960000000000036</v>
      </c>
      <c r="I27" s="20">
        <f t="shared" si="1"/>
        <v>2802.800000000002</v>
      </c>
      <c r="J27" s="21">
        <f t="shared" si="3"/>
        <v>52</v>
      </c>
      <c r="K27" s="22">
        <f t="shared" si="2"/>
        <v>1.0399999999999636</v>
      </c>
    </row>
    <row r="28" spans="1:11" ht="12.75" x14ac:dyDescent="0.2">
      <c r="A28" s="13">
        <v>45545</v>
      </c>
      <c r="B28" s="14" t="s">
        <v>4</v>
      </c>
      <c r="C28" s="15">
        <v>0.96630000000000005</v>
      </c>
      <c r="D28" s="16"/>
      <c r="E28" s="17"/>
      <c r="F28" s="17"/>
      <c r="G28" s="18">
        <v>1041</v>
      </c>
      <c r="H28" s="19">
        <f t="shared" si="0"/>
        <v>35.081699999999955</v>
      </c>
      <c r="I28" s="20">
        <f t="shared" si="1"/>
        <v>1929.4934999999975</v>
      </c>
      <c r="J28" s="21">
        <f t="shared" si="3"/>
        <v>52.050000000000068</v>
      </c>
      <c r="K28" s="22">
        <f t="shared" si="2"/>
        <v>16.968300000000113</v>
      </c>
    </row>
    <row r="29" spans="1:11" ht="12.75" x14ac:dyDescent="0.2">
      <c r="A29" s="13">
        <v>45546</v>
      </c>
      <c r="B29" s="14" t="s">
        <v>5</v>
      </c>
      <c r="C29" s="15">
        <v>0.94820000000000004</v>
      </c>
      <c r="D29" s="16"/>
      <c r="E29" s="17"/>
      <c r="F29" s="17" t="s">
        <v>201</v>
      </c>
      <c r="G29" s="18">
        <v>1041</v>
      </c>
      <c r="H29" s="19">
        <f t="shared" si="0"/>
        <v>53.923799999999915</v>
      </c>
      <c r="I29" s="20">
        <f t="shared" si="1"/>
        <v>2965.8089999999952</v>
      </c>
      <c r="J29" s="21">
        <f t="shared" si="3"/>
        <v>52.050000000000068</v>
      </c>
      <c r="K29" s="22">
        <f t="shared" si="2"/>
        <v>-1.8737999999998465</v>
      </c>
    </row>
    <row r="30" spans="1:11" ht="12.75" x14ac:dyDescent="0.2">
      <c r="A30" s="13">
        <v>45547</v>
      </c>
      <c r="B30" s="14" t="s">
        <v>6</v>
      </c>
      <c r="C30" s="15">
        <v>0.94820000000000004</v>
      </c>
      <c r="D30" s="16"/>
      <c r="E30" s="17"/>
      <c r="F30" s="17"/>
      <c r="G30" s="18">
        <v>1041</v>
      </c>
      <c r="H30" s="19">
        <f t="shared" si="0"/>
        <v>53.923799999999915</v>
      </c>
      <c r="I30" s="20">
        <f t="shared" si="1"/>
        <v>2965.8089999999952</v>
      </c>
      <c r="J30" s="21">
        <f t="shared" si="3"/>
        <v>52.050000000000068</v>
      </c>
      <c r="K30" s="22">
        <f t="shared" si="2"/>
        <v>-1.8737999999998465</v>
      </c>
    </row>
    <row r="31" spans="1:11" ht="12.75" x14ac:dyDescent="0.2">
      <c r="A31" s="13">
        <v>45548</v>
      </c>
      <c r="B31" s="14" t="s">
        <v>7</v>
      </c>
      <c r="C31" s="15">
        <v>0.93940000000000001</v>
      </c>
      <c r="D31" s="16"/>
      <c r="E31" s="17"/>
      <c r="F31" s="17"/>
      <c r="G31" s="18">
        <v>1041</v>
      </c>
      <c r="H31" s="19">
        <f t="shared" si="0"/>
        <v>63.084600000000023</v>
      </c>
      <c r="I31" s="20">
        <f t="shared" si="1"/>
        <v>3469.6530000000012</v>
      </c>
      <c r="J31" s="21">
        <f t="shared" si="3"/>
        <v>52.050000000000068</v>
      </c>
      <c r="K31" s="22">
        <f t="shared" si="2"/>
        <v>-11.034599999999955</v>
      </c>
    </row>
    <row r="32" spans="1:11" ht="12.75" x14ac:dyDescent="0.2">
      <c r="A32" s="30">
        <v>45551</v>
      </c>
      <c r="B32" s="31" t="s">
        <v>3</v>
      </c>
      <c r="C32" s="32"/>
      <c r="D32" s="33"/>
      <c r="E32" s="34"/>
      <c r="F32" s="34"/>
      <c r="G32" s="35"/>
      <c r="H32" s="19">
        <f t="shared" si="0"/>
        <v>0</v>
      </c>
      <c r="I32" s="20">
        <f t="shared" si="1"/>
        <v>0</v>
      </c>
      <c r="J32" s="21">
        <f t="shared" si="3"/>
        <v>0</v>
      </c>
      <c r="K32" s="22">
        <f t="shared" si="2"/>
        <v>0</v>
      </c>
    </row>
    <row r="33" spans="1:11" ht="12.75" x14ac:dyDescent="0.2">
      <c r="A33" s="13">
        <v>45552</v>
      </c>
      <c r="B33" s="14" t="s">
        <v>4</v>
      </c>
      <c r="C33" s="15">
        <v>0.9587</v>
      </c>
      <c r="D33" s="16"/>
      <c r="E33" s="17"/>
      <c r="F33" s="17"/>
      <c r="G33" s="18">
        <v>1042</v>
      </c>
      <c r="H33" s="19">
        <f t="shared" si="0"/>
        <v>43.034599999999955</v>
      </c>
      <c r="I33" s="20">
        <f t="shared" si="1"/>
        <v>2366.9029999999975</v>
      </c>
      <c r="J33" s="21">
        <f t="shared" si="3"/>
        <v>52.100000000000023</v>
      </c>
      <c r="K33" s="22">
        <f t="shared" si="2"/>
        <v>9.0654000000000678</v>
      </c>
    </row>
    <row r="34" spans="1:11" ht="12.75" x14ac:dyDescent="0.2">
      <c r="A34" s="13">
        <v>45553</v>
      </c>
      <c r="B34" s="14" t="s">
        <v>5</v>
      </c>
      <c r="C34" s="15">
        <v>0.95009999999999994</v>
      </c>
      <c r="D34" s="16"/>
      <c r="E34" s="17"/>
      <c r="F34" s="17"/>
      <c r="G34" s="18">
        <v>1042</v>
      </c>
      <c r="H34" s="19">
        <f t="shared" si="0"/>
        <v>51.995800000000031</v>
      </c>
      <c r="I34" s="20">
        <f t="shared" si="1"/>
        <v>2859.7690000000016</v>
      </c>
      <c r="J34" s="21">
        <f t="shared" si="3"/>
        <v>52.100000000000023</v>
      </c>
      <c r="K34" s="22">
        <f t="shared" si="2"/>
        <v>0.10419999999999163</v>
      </c>
    </row>
    <row r="35" spans="1:11" ht="25.5" x14ac:dyDescent="0.2">
      <c r="A35" s="13">
        <v>45554</v>
      </c>
      <c r="B35" s="14" t="s">
        <v>6</v>
      </c>
      <c r="C35" s="15">
        <v>0.9415</v>
      </c>
      <c r="D35" s="16"/>
      <c r="E35" s="17"/>
      <c r="F35" s="17" t="s">
        <v>202</v>
      </c>
      <c r="G35" s="18">
        <v>1042</v>
      </c>
      <c r="H35" s="19">
        <f t="shared" si="0"/>
        <v>60.956999999999994</v>
      </c>
      <c r="I35" s="20">
        <f t="shared" si="1"/>
        <v>3352.6349999999998</v>
      </c>
      <c r="J35" s="21">
        <f t="shared" si="3"/>
        <v>52.100000000000023</v>
      </c>
      <c r="K35" s="22">
        <f t="shared" si="2"/>
        <v>-8.8569999999999709</v>
      </c>
    </row>
    <row r="36" spans="1:11" ht="38.25" x14ac:dyDescent="0.2">
      <c r="A36" s="13">
        <v>45555</v>
      </c>
      <c r="B36" s="14" t="s">
        <v>7</v>
      </c>
      <c r="C36" s="15">
        <v>0.77700000000000002</v>
      </c>
      <c r="D36" s="16" t="s">
        <v>29</v>
      </c>
      <c r="E36" s="17" t="s">
        <v>203</v>
      </c>
      <c r="F36" s="17" t="s">
        <v>204</v>
      </c>
      <c r="G36" s="18">
        <v>1043</v>
      </c>
      <c r="H36" s="19">
        <f t="shared" si="0"/>
        <v>232.58899999999994</v>
      </c>
      <c r="I36" s="20">
        <f t="shared" si="1"/>
        <v>12792.394999999997</v>
      </c>
      <c r="J36" s="21">
        <f t="shared" si="3"/>
        <v>52.150000000000091</v>
      </c>
      <c r="K36" s="22">
        <f t="shared" si="2"/>
        <v>-180.43899999999985</v>
      </c>
    </row>
    <row r="37" spans="1:11" ht="12.75" x14ac:dyDescent="0.2">
      <c r="A37" s="13">
        <v>45558</v>
      </c>
      <c r="B37" s="14" t="s">
        <v>3</v>
      </c>
      <c r="C37" s="15">
        <v>0.94620000000000004</v>
      </c>
      <c r="D37" s="16"/>
      <c r="E37" s="17"/>
      <c r="F37" s="17"/>
      <c r="G37" s="18">
        <v>1041</v>
      </c>
      <c r="H37" s="19">
        <f t="shared" si="0"/>
        <v>56.005799999999908</v>
      </c>
      <c r="I37" s="20">
        <f t="shared" si="1"/>
        <v>3080.318999999995</v>
      </c>
      <c r="J37" s="21">
        <f t="shared" si="3"/>
        <v>52.050000000000068</v>
      </c>
      <c r="K37" s="22">
        <f t="shared" si="2"/>
        <v>-3.9557999999998401</v>
      </c>
    </row>
    <row r="38" spans="1:11" ht="12.75" x14ac:dyDescent="0.2">
      <c r="A38" s="13">
        <v>45559</v>
      </c>
      <c r="B38" s="14" t="s">
        <v>4</v>
      </c>
      <c r="C38" s="15">
        <v>0.96060000000000001</v>
      </c>
      <c r="D38" s="16"/>
      <c r="E38" s="17"/>
      <c r="F38" s="17"/>
      <c r="G38" s="18">
        <v>1041</v>
      </c>
      <c r="H38" s="19">
        <f t="shared" si="0"/>
        <v>41.0154</v>
      </c>
      <c r="I38" s="20">
        <f t="shared" si="1"/>
        <v>2255.8469999999998</v>
      </c>
      <c r="J38" s="21">
        <f t="shared" si="3"/>
        <v>52.050000000000068</v>
      </c>
      <c r="K38" s="22">
        <f t="shared" si="2"/>
        <v>11.034600000000069</v>
      </c>
    </row>
    <row r="39" spans="1:11" ht="12.75" x14ac:dyDescent="0.2">
      <c r="A39" s="13">
        <v>45560</v>
      </c>
      <c r="B39" s="14" t="s">
        <v>5</v>
      </c>
      <c r="C39" s="15">
        <v>0.9587</v>
      </c>
      <c r="D39" s="16"/>
      <c r="E39" s="17"/>
      <c r="F39" s="17"/>
      <c r="G39" s="18">
        <v>1040</v>
      </c>
      <c r="H39" s="19">
        <f t="shared" si="0"/>
        <v>42.951999999999998</v>
      </c>
      <c r="I39" s="20">
        <f t="shared" si="1"/>
        <v>2362.3599999999997</v>
      </c>
      <c r="J39" s="21">
        <f t="shared" si="3"/>
        <v>52</v>
      </c>
      <c r="K39" s="22">
        <f t="shared" si="2"/>
        <v>9.0480000000000018</v>
      </c>
    </row>
    <row r="40" spans="1:11" ht="12.75" x14ac:dyDescent="0.2">
      <c r="A40" s="13">
        <v>45561</v>
      </c>
      <c r="B40" s="14" t="s">
        <v>6</v>
      </c>
      <c r="C40" s="15">
        <v>0.95489999999999997</v>
      </c>
      <c r="D40" s="16"/>
      <c r="E40" s="17"/>
      <c r="F40" s="17"/>
      <c r="G40" s="18">
        <v>1042</v>
      </c>
      <c r="H40" s="19">
        <f t="shared" si="0"/>
        <v>46.994199999999978</v>
      </c>
      <c r="I40" s="20">
        <f t="shared" si="1"/>
        <v>2584.6809999999987</v>
      </c>
      <c r="J40" s="21">
        <f t="shared" si="3"/>
        <v>52.100000000000023</v>
      </c>
      <c r="K40" s="22">
        <f t="shared" si="2"/>
        <v>5.1058000000000447</v>
      </c>
    </row>
    <row r="41" spans="1:11" ht="12.75" x14ac:dyDescent="0.2">
      <c r="A41" s="13">
        <v>45562</v>
      </c>
      <c r="B41" s="14" t="s">
        <v>7</v>
      </c>
      <c r="C41" s="15">
        <v>0.95689999999999997</v>
      </c>
      <c r="D41" s="16"/>
      <c r="E41" s="17"/>
      <c r="F41" s="17"/>
      <c r="G41" s="18">
        <v>1043</v>
      </c>
      <c r="H41" s="19">
        <f t="shared" si="0"/>
        <v>44.953300000000013</v>
      </c>
      <c r="I41" s="20">
        <f t="shared" si="1"/>
        <v>2472.4315000000006</v>
      </c>
      <c r="J41" s="21">
        <f t="shared" si="3"/>
        <v>52.150000000000091</v>
      </c>
      <c r="K41" s="22">
        <f t="shared" si="2"/>
        <v>7.196700000000078</v>
      </c>
    </row>
    <row r="42" spans="1:11" ht="12.75" x14ac:dyDescent="0.2">
      <c r="A42" s="13">
        <v>45565</v>
      </c>
      <c r="B42" s="14" t="s">
        <v>3</v>
      </c>
      <c r="C42" s="15">
        <v>0.95779999999999998</v>
      </c>
      <c r="D42" s="16"/>
      <c r="E42" s="17"/>
      <c r="F42" s="17"/>
      <c r="G42" s="18">
        <v>1042</v>
      </c>
      <c r="H42" s="19">
        <f t="shared" si="0"/>
        <v>43.972399999999993</v>
      </c>
      <c r="I42" s="20">
        <f t="shared" si="1"/>
        <v>2418.4819999999995</v>
      </c>
      <c r="J42" s="21">
        <f t="shared" si="3"/>
        <v>52.100000000000023</v>
      </c>
      <c r="K42" s="22">
        <f t="shared" si="2"/>
        <v>8.1276000000000295</v>
      </c>
    </row>
    <row r="43" spans="1:11" ht="12.75" x14ac:dyDescent="0.2">
      <c r="A43" s="13">
        <v>45566</v>
      </c>
      <c r="B43" s="14" t="s">
        <v>4</v>
      </c>
      <c r="C43" s="15">
        <v>0.96360000000000001</v>
      </c>
      <c r="D43" s="16"/>
      <c r="E43" s="17"/>
      <c r="F43" s="17" t="s">
        <v>205</v>
      </c>
      <c r="G43" s="18">
        <v>1043</v>
      </c>
      <c r="H43" s="19">
        <f t="shared" si="0"/>
        <v>37.965199999999982</v>
      </c>
      <c r="I43" s="20">
        <f t="shared" si="1"/>
        <v>2088.0859999999989</v>
      </c>
      <c r="J43" s="21">
        <f t="shared" si="3"/>
        <v>52.150000000000091</v>
      </c>
      <c r="K43" s="22">
        <f t="shared" si="2"/>
        <v>14.184800000000109</v>
      </c>
    </row>
    <row r="44" spans="1:11" ht="12.75" x14ac:dyDescent="0.2">
      <c r="A44" s="13">
        <v>45567</v>
      </c>
      <c r="B44" s="14" t="s">
        <v>5</v>
      </c>
      <c r="C44" s="15">
        <v>0.96450000000000002</v>
      </c>
      <c r="D44" s="16"/>
      <c r="E44" s="17"/>
      <c r="F44" s="17"/>
      <c r="G44" s="18">
        <v>1043</v>
      </c>
      <c r="H44" s="19">
        <f t="shared" si="0"/>
        <v>37.026499999999942</v>
      </c>
      <c r="I44" s="20">
        <f t="shared" si="1"/>
        <v>2036.4574999999968</v>
      </c>
      <c r="J44" s="21">
        <f t="shared" si="3"/>
        <v>52.150000000000091</v>
      </c>
      <c r="K44" s="22">
        <f t="shared" si="2"/>
        <v>15.123500000000149</v>
      </c>
    </row>
    <row r="45" spans="1:11" ht="12.75" x14ac:dyDescent="0.2">
      <c r="A45" s="13">
        <v>45568</v>
      </c>
      <c r="B45" s="14" t="s">
        <v>6</v>
      </c>
      <c r="C45" s="15">
        <v>0.95689999999999997</v>
      </c>
      <c r="D45" s="16"/>
      <c r="E45" s="17"/>
      <c r="F45" s="17"/>
      <c r="G45" s="18">
        <v>1044</v>
      </c>
      <c r="H45" s="19">
        <f t="shared" si="0"/>
        <v>44.996399999999994</v>
      </c>
      <c r="I45" s="20">
        <f t="shared" si="1"/>
        <v>2474.8019999999997</v>
      </c>
      <c r="J45" s="21">
        <f t="shared" si="3"/>
        <v>52.200000000000045</v>
      </c>
      <c r="K45" s="22">
        <f t="shared" si="2"/>
        <v>7.2036000000000513</v>
      </c>
    </row>
    <row r="46" spans="1:11" ht="25.5" x14ac:dyDescent="0.2">
      <c r="A46" s="13">
        <v>45569</v>
      </c>
      <c r="B46" s="14" t="s">
        <v>7</v>
      </c>
      <c r="C46" s="15">
        <v>0.93400000000000005</v>
      </c>
      <c r="D46" s="16"/>
      <c r="E46" s="17"/>
      <c r="F46" s="17" t="s">
        <v>206</v>
      </c>
      <c r="G46" s="18">
        <v>1045</v>
      </c>
      <c r="H46" s="19">
        <f t="shared" si="0"/>
        <v>68.969999999999914</v>
      </c>
      <c r="I46" s="20">
        <f t="shared" si="1"/>
        <v>3793.3499999999954</v>
      </c>
      <c r="J46" s="21">
        <f t="shared" si="3"/>
        <v>52.25</v>
      </c>
      <c r="K46" s="22">
        <f t="shared" si="2"/>
        <v>-16.719999999999914</v>
      </c>
    </row>
    <row r="47" spans="1:11" ht="12.75" x14ac:dyDescent="0.2">
      <c r="A47" s="24">
        <v>45572</v>
      </c>
      <c r="B47" s="25" t="s">
        <v>3</v>
      </c>
      <c r="C47" s="26"/>
      <c r="D47" s="27"/>
      <c r="E47" s="28"/>
      <c r="F47" s="28"/>
      <c r="G47" s="29"/>
      <c r="H47" s="19">
        <f t="shared" si="0"/>
        <v>0</v>
      </c>
      <c r="I47" s="20">
        <f t="shared" si="1"/>
        <v>0</v>
      </c>
      <c r="J47" s="21">
        <f t="shared" si="3"/>
        <v>0</v>
      </c>
      <c r="K47" s="22">
        <f t="shared" si="2"/>
        <v>0</v>
      </c>
    </row>
    <row r="48" spans="1:11" ht="12.75" x14ac:dyDescent="0.2">
      <c r="A48" s="24">
        <v>45573</v>
      </c>
      <c r="B48" s="25" t="s">
        <v>4</v>
      </c>
      <c r="C48" s="26"/>
      <c r="D48" s="27"/>
      <c r="E48" s="28"/>
      <c r="F48" s="28"/>
      <c r="G48" s="29"/>
      <c r="H48" s="19">
        <f t="shared" si="0"/>
        <v>0</v>
      </c>
      <c r="I48" s="20">
        <f t="shared" si="1"/>
        <v>0</v>
      </c>
      <c r="J48" s="21">
        <f t="shared" si="3"/>
        <v>0</v>
      </c>
      <c r="K48" s="22">
        <f t="shared" si="2"/>
        <v>0</v>
      </c>
    </row>
    <row r="49" spans="1:11" ht="12.75" x14ac:dyDescent="0.2">
      <c r="A49" s="24">
        <v>45574</v>
      </c>
      <c r="B49" s="25" t="s">
        <v>5</v>
      </c>
      <c r="C49" s="26"/>
      <c r="D49" s="27"/>
      <c r="E49" s="28"/>
      <c r="F49" s="28"/>
      <c r="G49" s="29"/>
      <c r="H49" s="19">
        <f t="shared" si="0"/>
        <v>0</v>
      </c>
      <c r="I49" s="20">
        <f t="shared" si="1"/>
        <v>0</v>
      </c>
      <c r="J49" s="21">
        <f t="shared" si="3"/>
        <v>0</v>
      </c>
      <c r="K49" s="22">
        <f t="shared" si="2"/>
        <v>0</v>
      </c>
    </row>
    <row r="50" spans="1:11" ht="12.75" x14ac:dyDescent="0.2">
      <c r="A50" s="24">
        <v>45575</v>
      </c>
      <c r="B50" s="25" t="s">
        <v>6</v>
      </c>
      <c r="C50" s="26"/>
      <c r="D50" s="27"/>
      <c r="E50" s="28"/>
      <c r="F50" s="28"/>
      <c r="G50" s="29"/>
      <c r="H50" s="19">
        <f t="shared" si="0"/>
        <v>0</v>
      </c>
      <c r="I50" s="20">
        <f t="shared" si="1"/>
        <v>0</v>
      </c>
      <c r="J50" s="21">
        <f t="shared" si="3"/>
        <v>0</v>
      </c>
      <c r="K50" s="22">
        <f t="shared" si="2"/>
        <v>0</v>
      </c>
    </row>
    <row r="51" spans="1:11" ht="12.75" x14ac:dyDescent="0.2">
      <c r="A51" s="24">
        <v>45576</v>
      </c>
      <c r="B51" s="25" t="s">
        <v>7</v>
      </c>
      <c r="C51" s="26"/>
      <c r="D51" s="27"/>
      <c r="E51" s="28"/>
      <c r="F51" s="28"/>
      <c r="G51" s="29"/>
      <c r="H51" s="19">
        <f t="shared" si="0"/>
        <v>0</v>
      </c>
      <c r="I51" s="20">
        <f t="shared" si="1"/>
        <v>0</v>
      </c>
      <c r="J51" s="21">
        <f t="shared" si="3"/>
        <v>0</v>
      </c>
      <c r="K51" s="22">
        <f t="shared" si="2"/>
        <v>0</v>
      </c>
    </row>
    <row r="52" spans="1:11" ht="25.5" x14ac:dyDescent="0.2">
      <c r="A52" s="13">
        <v>45579</v>
      </c>
      <c r="B52" s="14" t="s">
        <v>3</v>
      </c>
      <c r="C52" s="15">
        <v>0.91859999999999997</v>
      </c>
      <c r="D52" s="16"/>
      <c r="E52" s="17"/>
      <c r="F52" s="17" t="s">
        <v>207</v>
      </c>
      <c r="G52" s="18">
        <v>1044</v>
      </c>
      <c r="H52" s="19">
        <f t="shared" si="0"/>
        <v>84.981600000000071</v>
      </c>
      <c r="I52" s="20">
        <f t="shared" si="1"/>
        <v>4673.9880000000039</v>
      </c>
      <c r="J52" s="21">
        <f t="shared" si="3"/>
        <v>52.200000000000045</v>
      </c>
      <c r="K52" s="22">
        <f t="shared" si="2"/>
        <v>-32.781600000000026</v>
      </c>
    </row>
    <row r="53" spans="1:11" ht="12.75" x14ac:dyDescent="0.2">
      <c r="A53" s="13">
        <v>45580</v>
      </c>
      <c r="B53" s="14" t="s">
        <v>4</v>
      </c>
      <c r="C53" s="15">
        <v>0.95040000000000002</v>
      </c>
      <c r="D53" s="16"/>
      <c r="E53" s="17"/>
      <c r="F53" s="17"/>
      <c r="G53" s="18">
        <v>1047</v>
      </c>
      <c r="H53" s="19">
        <f t="shared" si="0"/>
        <v>51.93119999999999</v>
      </c>
      <c r="I53" s="20">
        <f t="shared" si="1"/>
        <v>2856.2159999999994</v>
      </c>
      <c r="J53" s="21">
        <f t="shared" si="3"/>
        <v>52.350000000000023</v>
      </c>
      <c r="K53" s="22">
        <f t="shared" si="2"/>
        <v>0.41880000000003292</v>
      </c>
    </row>
    <row r="54" spans="1:11" ht="12.75" x14ac:dyDescent="0.2">
      <c r="A54" s="13">
        <v>45581</v>
      </c>
      <c r="B54" s="14" t="s">
        <v>5</v>
      </c>
      <c r="C54" s="36">
        <v>0.95609999999999995</v>
      </c>
      <c r="D54" s="16"/>
      <c r="E54" s="17"/>
      <c r="F54" s="37" t="s">
        <v>208</v>
      </c>
      <c r="G54" s="18">
        <v>1048</v>
      </c>
      <c r="H54" s="19">
        <f t="shared" si="0"/>
        <v>46.007200000000012</v>
      </c>
      <c r="I54" s="20">
        <f t="shared" si="1"/>
        <v>2530.3960000000006</v>
      </c>
      <c r="J54" s="21">
        <f t="shared" si="3"/>
        <v>52.400000000000091</v>
      </c>
      <c r="K54" s="22">
        <f t="shared" si="2"/>
        <v>6.3928000000000793</v>
      </c>
    </row>
    <row r="55" spans="1:11" ht="12.75" x14ac:dyDescent="0.2">
      <c r="A55" s="13">
        <v>45582</v>
      </c>
      <c r="B55" s="14" t="s">
        <v>6</v>
      </c>
      <c r="C55" s="15">
        <v>0.93989999999999996</v>
      </c>
      <c r="D55" s="16"/>
      <c r="E55" s="17"/>
      <c r="F55" s="17"/>
      <c r="G55" s="18">
        <v>1048</v>
      </c>
      <c r="H55" s="19">
        <f t="shared" si="0"/>
        <v>62.984800000000064</v>
      </c>
      <c r="I55" s="20">
        <f t="shared" si="1"/>
        <v>3464.1640000000034</v>
      </c>
      <c r="J55" s="21">
        <f t="shared" si="3"/>
        <v>52.400000000000091</v>
      </c>
      <c r="K55" s="22">
        <f t="shared" si="2"/>
        <v>-10.584799999999973</v>
      </c>
    </row>
    <row r="56" spans="1:11" ht="12.75" x14ac:dyDescent="0.2">
      <c r="A56" s="13">
        <v>45583</v>
      </c>
      <c r="B56" s="14" t="s">
        <v>7</v>
      </c>
      <c r="C56" s="15">
        <v>0.93210000000000004</v>
      </c>
      <c r="D56" s="16"/>
      <c r="E56" s="17"/>
      <c r="F56" s="17"/>
      <c r="G56" s="18">
        <v>1045</v>
      </c>
      <c r="H56" s="19">
        <f t="shared" si="0"/>
        <v>70.955499999999915</v>
      </c>
      <c r="I56" s="20">
        <f t="shared" si="1"/>
        <v>3902.5524999999952</v>
      </c>
      <c r="J56" s="21">
        <f t="shared" si="3"/>
        <v>52.25</v>
      </c>
      <c r="K56" s="22">
        <f t="shared" si="2"/>
        <v>-18.705499999999915</v>
      </c>
    </row>
    <row r="57" spans="1:11" ht="12.75" x14ac:dyDescent="0.2">
      <c r="A57" s="13">
        <v>45586</v>
      </c>
      <c r="B57" s="14" t="s">
        <v>3</v>
      </c>
      <c r="C57" s="15">
        <v>0.93230000000000002</v>
      </c>
      <c r="D57" s="16"/>
      <c r="E57" s="17"/>
      <c r="F57" s="17"/>
      <c r="G57" s="18">
        <v>1048</v>
      </c>
      <c r="H57" s="19">
        <f t="shared" si="0"/>
        <v>70.949600000000032</v>
      </c>
      <c r="I57" s="20">
        <f t="shared" si="1"/>
        <v>3902.2280000000019</v>
      </c>
      <c r="J57" s="21">
        <f t="shared" si="3"/>
        <v>52.400000000000091</v>
      </c>
      <c r="K57" s="22">
        <f t="shared" si="2"/>
        <v>-18.549599999999941</v>
      </c>
    </row>
    <row r="58" spans="1:11" ht="12.75" x14ac:dyDescent="0.2">
      <c r="A58" s="13">
        <v>45587</v>
      </c>
      <c r="B58" s="14" t="s">
        <v>4</v>
      </c>
      <c r="C58" s="15">
        <v>0.9466</v>
      </c>
      <c r="D58" s="16"/>
      <c r="E58" s="17"/>
      <c r="F58" s="17"/>
      <c r="G58" s="18">
        <v>1048</v>
      </c>
      <c r="H58" s="19">
        <f t="shared" si="0"/>
        <v>55.963200000000029</v>
      </c>
      <c r="I58" s="20">
        <f t="shared" si="1"/>
        <v>3077.9760000000015</v>
      </c>
      <c r="J58" s="21">
        <f t="shared" si="3"/>
        <v>52.400000000000091</v>
      </c>
      <c r="K58" s="22">
        <f t="shared" si="2"/>
        <v>-3.563199999999938</v>
      </c>
    </row>
    <row r="59" spans="1:11" ht="12.75" x14ac:dyDescent="0.2">
      <c r="A59" s="13">
        <v>45588</v>
      </c>
      <c r="B59" s="14" t="s">
        <v>5</v>
      </c>
      <c r="C59" s="15">
        <v>0.95040000000000002</v>
      </c>
      <c r="D59" s="16"/>
      <c r="E59" s="17"/>
      <c r="F59" s="17"/>
      <c r="G59" s="18">
        <v>1048</v>
      </c>
      <c r="H59" s="19">
        <f t="shared" si="0"/>
        <v>51.980799999999931</v>
      </c>
      <c r="I59" s="20">
        <f t="shared" si="1"/>
        <v>2858.9439999999963</v>
      </c>
      <c r="J59" s="21">
        <f t="shared" si="3"/>
        <v>52.400000000000091</v>
      </c>
      <c r="K59" s="22">
        <f t="shared" si="2"/>
        <v>0.41920000000015989</v>
      </c>
    </row>
    <row r="60" spans="1:11" ht="25.5" x14ac:dyDescent="0.2">
      <c r="A60" s="13">
        <v>45589</v>
      </c>
      <c r="B60" s="14" t="s">
        <v>6</v>
      </c>
      <c r="C60" s="15">
        <v>0.95140000000000002</v>
      </c>
      <c r="D60" s="16"/>
      <c r="E60" s="17"/>
      <c r="F60" s="17" t="s">
        <v>209</v>
      </c>
      <c r="G60" s="18">
        <v>1049</v>
      </c>
      <c r="H60" s="19">
        <f t="shared" si="0"/>
        <v>50.981400000000008</v>
      </c>
      <c r="I60" s="20">
        <f t="shared" si="1"/>
        <v>2803.9770000000003</v>
      </c>
      <c r="J60" s="21">
        <f t="shared" si="3"/>
        <v>52.450000000000045</v>
      </c>
      <c r="K60" s="22">
        <f t="shared" si="2"/>
        <v>1.4686000000000377</v>
      </c>
    </row>
    <row r="61" spans="1:11" ht="12.75" x14ac:dyDescent="0.2">
      <c r="A61" s="13">
        <v>45590</v>
      </c>
      <c r="B61" s="14" t="s">
        <v>7</v>
      </c>
      <c r="C61" s="15">
        <v>0.9133</v>
      </c>
      <c r="D61" s="16"/>
      <c r="E61" s="17"/>
      <c r="F61" s="17"/>
      <c r="G61" s="18">
        <v>1050</v>
      </c>
      <c r="H61" s="19">
        <f t="shared" si="0"/>
        <v>91.034999999999968</v>
      </c>
      <c r="I61" s="20">
        <f t="shared" si="1"/>
        <v>5006.9249999999984</v>
      </c>
      <c r="J61" s="21">
        <f t="shared" si="3"/>
        <v>52.5</v>
      </c>
      <c r="K61" s="22">
        <f t="shared" si="2"/>
        <v>-38.534999999999968</v>
      </c>
    </row>
    <row r="62" spans="1:11" ht="12.75" x14ac:dyDescent="0.2">
      <c r="A62" s="13">
        <v>45593</v>
      </c>
      <c r="B62" s="14" t="s">
        <v>3</v>
      </c>
      <c r="C62" s="15">
        <v>0.9476</v>
      </c>
      <c r="D62" s="16"/>
      <c r="E62" s="17"/>
      <c r="F62" s="17"/>
      <c r="G62" s="18">
        <v>1048</v>
      </c>
      <c r="H62" s="19">
        <f t="shared" si="0"/>
        <v>54.915200000000027</v>
      </c>
      <c r="I62" s="20">
        <f t="shared" si="1"/>
        <v>3020.3360000000016</v>
      </c>
      <c r="J62" s="21">
        <f t="shared" si="3"/>
        <v>52.400000000000091</v>
      </c>
      <c r="K62" s="22">
        <f t="shared" si="2"/>
        <v>-2.5151999999999362</v>
      </c>
    </row>
    <row r="63" spans="1:11" ht="12.75" x14ac:dyDescent="0.2">
      <c r="A63" s="13">
        <v>45594</v>
      </c>
      <c r="B63" s="14" t="s">
        <v>4</v>
      </c>
      <c r="C63" s="15">
        <v>0.95799999999999996</v>
      </c>
      <c r="D63" s="16"/>
      <c r="E63" s="17"/>
      <c r="F63" s="17"/>
      <c r="G63" s="18">
        <v>1048</v>
      </c>
      <c r="H63" s="19">
        <f t="shared" si="0"/>
        <v>44.016000000000076</v>
      </c>
      <c r="I63" s="20">
        <f t="shared" si="1"/>
        <v>2420.8800000000042</v>
      </c>
      <c r="J63" s="21">
        <f t="shared" si="3"/>
        <v>52.400000000000091</v>
      </c>
      <c r="K63" s="22">
        <f t="shared" si="2"/>
        <v>8.3840000000000146</v>
      </c>
    </row>
    <row r="64" spans="1:11" ht="12.75" x14ac:dyDescent="0.2">
      <c r="A64" s="13">
        <v>45595</v>
      </c>
      <c r="B64" s="14" t="s">
        <v>5</v>
      </c>
      <c r="C64" s="15">
        <v>0.94940000000000002</v>
      </c>
      <c r="D64" s="16"/>
      <c r="E64" s="17"/>
      <c r="F64" s="17"/>
      <c r="G64" s="18">
        <v>1048</v>
      </c>
      <c r="H64" s="19">
        <f t="shared" si="0"/>
        <v>53.028799999999933</v>
      </c>
      <c r="I64" s="20">
        <f t="shared" si="1"/>
        <v>2916.5839999999962</v>
      </c>
      <c r="J64" s="21">
        <f t="shared" si="3"/>
        <v>52.400000000000091</v>
      </c>
      <c r="K64" s="22">
        <f t="shared" si="2"/>
        <v>-0.62879999999984193</v>
      </c>
    </row>
    <row r="65" spans="1:11" ht="12.75" x14ac:dyDescent="0.2">
      <c r="A65" s="13">
        <v>45596</v>
      </c>
      <c r="B65" s="14" t="s">
        <v>6</v>
      </c>
      <c r="C65" s="15">
        <v>0.93899999999999995</v>
      </c>
      <c r="D65" s="16"/>
      <c r="E65" s="17"/>
      <c r="F65" s="17"/>
      <c r="G65" s="18">
        <v>1048</v>
      </c>
      <c r="H65" s="19">
        <f t="shared" si="0"/>
        <v>63.928000000000111</v>
      </c>
      <c r="I65" s="20">
        <f t="shared" si="1"/>
        <v>3516.0400000000063</v>
      </c>
      <c r="J65" s="21">
        <f t="shared" si="3"/>
        <v>52.400000000000091</v>
      </c>
      <c r="K65" s="22">
        <f t="shared" si="2"/>
        <v>-11.52800000000002</v>
      </c>
    </row>
    <row r="66" spans="1:11" ht="12.75" x14ac:dyDescent="0.2">
      <c r="A66" s="13">
        <v>45597</v>
      </c>
      <c r="B66" s="14" t="s">
        <v>7</v>
      </c>
      <c r="C66" s="15">
        <v>0.89400000000000002</v>
      </c>
      <c r="D66" s="16"/>
      <c r="E66" s="17"/>
      <c r="F66" s="17" t="s">
        <v>210</v>
      </c>
      <c r="G66" s="18">
        <v>1047</v>
      </c>
      <c r="H66" s="19">
        <f t="shared" si="0"/>
        <v>110.98199999999997</v>
      </c>
      <c r="I66" s="20">
        <f t="shared" si="1"/>
        <v>6104.0099999999984</v>
      </c>
      <c r="J66" s="21">
        <f t="shared" si="3"/>
        <v>52.350000000000023</v>
      </c>
      <c r="K66" s="22">
        <f t="shared" si="2"/>
        <v>-58.631999999999948</v>
      </c>
    </row>
    <row r="67" spans="1:11" ht="12.75" x14ac:dyDescent="0.2">
      <c r="A67" s="38">
        <v>45600</v>
      </c>
      <c r="B67" s="39" t="s">
        <v>3</v>
      </c>
      <c r="C67" s="40"/>
      <c r="D67" s="41"/>
      <c r="E67" s="42"/>
      <c r="F67" s="42"/>
      <c r="G67" s="43"/>
      <c r="H67" s="19">
        <f t="shared" si="0"/>
        <v>0</v>
      </c>
      <c r="I67" s="20">
        <f t="shared" si="1"/>
        <v>0</v>
      </c>
      <c r="J67" s="21">
        <f t="shared" si="3"/>
        <v>0</v>
      </c>
      <c r="K67" s="22">
        <f t="shared" si="2"/>
        <v>0</v>
      </c>
    </row>
    <row r="68" spans="1:11" ht="12.75" x14ac:dyDescent="0.2">
      <c r="A68" s="30">
        <v>45601</v>
      </c>
      <c r="B68" s="31" t="s">
        <v>4</v>
      </c>
      <c r="C68" s="32"/>
      <c r="D68" s="33"/>
      <c r="E68" s="34"/>
      <c r="F68" s="34"/>
      <c r="G68" s="35"/>
      <c r="H68" s="19">
        <f t="shared" si="0"/>
        <v>0</v>
      </c>
      <c r="I68" s="20">
        <f t="shared" si="1"/>
        <v>0</v>
      </c>
      <c r="J68" s="21">
        <f t="shared" si="3"/>
        <v>0</v>
      </c>
      <c r="K68" s="22">
        <f t="shared" si="2"/>
        <v>0</v>
      </c>
    </row>
    <row r="69" spans="1:11" ht="12.75" x14ac:dyDescent="0.2">
      <c r="A69" s="13">
        <v>45602</v>
      </c>
      <c r="B69" s="14" t="s">
        <v>5</v>
      </c>
      <c r="C69" s="15">
        <v>0.96079999999999999</v>
      </c>
      <c r="D69" s="16"/>
      <c r="E69" s="17"/>
      <c r="F69" s="17"/>
      <c r="G69" s="18">
        <v>1046</v>
      </c>
      <c r="H69" s="19">
        <f t="shared" si="0"/>
        <v>41.003199999999993</v>
      </c>
      <c r="I69" s="20">
        <f t="shared" si="1"/>
        <v>2255.1759999999995</v>
      </c>
      <c r="J69" s="21">
        <f t="shared" si="3"/>
        <v>52.300000000000068</v>
      </c>
      <c r="K69" s="22">
        <f t="shared" si="2"/>
        <v>11.296800000000076</v>
      </c>
    </row>
    <row r="70" spans="1:11" ht="12.75" x14ac:dyDescent="0.2">
      <c r="A70" s="13">
        <v>45603</v>
      </c>
      <c r="B70" s="14" t="s">
        <v>6</v>
      </c>
      <c r="C70" s="15">
        <v>0.96460000000000001</v>
      </c>
      <c r="D70" s="23"/>
      <c r="E70" s="17"/>
      <c r="F70" s="17"/>
      <c r="G70" s="18">
        <v>1046</v>
      </c>
      <c r="H70" s="19">
        <f t="shared" si="0"/>
        <v>37.028400000000033</v>
      </c>
      <c r="I70" s="20">
        <f t="shared" si="1"/>
        <v>2036.5620000000017</v>
      </c>
      <c r="J70" s="21">
        <f t="shared" si="3"/>
        <v>52.300000000000068</v>
      </c>
      <c r="K70" s="22">
        <f t="shared" si="2"/>
        <v>15.271600000000035</v>
      </c>
    </row>
    <row r="71" spans="1:11" ht="12.75" x14ac:dyDescent="0.2">
      <c r="A71" s="13">
        <v>45604</v>
      </c>
      <c r="B71" s="14" t="s">
        <v>7</v>
      </c>
      <c r="C71" s="15">
        <v>0.94069999999999998</v>
      </c>
      <c r="D71" s="23"/>
      <c r="E71" s="17"/>
      <c r="F71" s="17"/>
      <c r="G71" s="18">
        <v>1045</v>
      </c>
      <c r="H71" s="19">
        <f t="shared" si="0"/>
        <v>61.968500000000063</v>
      </c>
      <c r="I71" s="20">
        <f t="shared" si="1"/>
        <v>3408.2675000000036</v>
      </c>
      <c r="J71" s="21">
        <f t="shared" si="3"/>
        <v>52.25</v>
      </c>
      <c r="K71" s="22">
        <f t="shared" si="2"/>
        <v>-9.7185000000000628</v>
      </c>
    </row>
    <row r="72" spans="1:11" ht="12.75" x14ac:dyDescent="0.2">
      <c r="A72" s="13">
        <v>45607</v>
      </c>
      <c r="B72" s="14" t="s">
        <v>3</v>
      </c>
      <c r="C72" s="15">
        <v>0.92810000000000004</v>
      </c>
      <c r="D72" s="23"/>
      <c r="E72" s="17"/>
      <c r="F72" s="17"/>
      <c r="G72" s="18">
        <v>1043</v>
      </c>
      <c r="H72" s="19">
        <f t="shared" si="0"/>
        <v>74.991699999999923</v>
      </c>
      <c r="I72" s="20">
        <f t="shared" si="1"/>
        <v>4124.5434999999961</v>
      </c>
      <c r="J72" s="21">
        <f t="shared" si="3"/>
        <v>52.150000000000091</v>
      </c>
      <c r="K72" s="22">
        <f t="shared" si="2"/>
        <v>-22.841699999999832</v>
      </c>
    </row>
    <row r="73" spans="1:11" ht="12.75" x14ac:dyDescent="0.2">
      <c r="A73" s="13">
        <v>45608</v>
      </c>
      <c r="B73" s="14" t="s">
        <v>4</v>
      </c>
      <c r="C73" s="15">
        <v>0.94920000000000004</v>
      </c>
      <c r="D73" s="16"/>
      <c r="E73" s="17"/>
      <c r="F73" s="17"/>
      <c r="G73" s="18">
        <v>1044</v>
      </c>
      <c r="H73" s="19">
        <f t="shared" si="0"/>
        <v>53.035199999999918</v>
      </c>
      <c r="I73" s="20">
        <f t="shared" si="1"/>
        <v>2916.9359999999956</v>
      </c>
      <c r="J73" s="21">
        <f t="shared" si="3"/>
        <v>52.200000000000045</v>
      </c>
      <c r="K73" s="22">
        <f t="shared" si="2"/>
        <v>-0.83519999999987249</v>
      </c>
    </row>
    <row r="74" spans="1:11" ht="12.75" x14ac:dyDescent="0.2">
      <c r="A74" s="13">
        <v>45609</v>
      </c>
      <c r="B74" s="14" t="s">
        <v>5</v>
      </c>
      <c r="C74" s="15">
        <v>0.94169999999999998</v>
      </c>
      <c r="D74" s="16"/>
      <c r="E74" s="17"/>
      <c r="F74" s="17"/>
      <c r="G74" s="18">
        <v>1045</v>
      </c>
      <c r="H74" s="19">
        <f t="shared" si="0"/>
        <v>60.92349999999999</v>
      </c>
      <c r="I74" s="20">
        <f t="shared" si="1"/>
        <v>3350.7924999999996</v>
      </c>
      <c r="J74" s="21">
        <f t="shared" si="3"/>
        <v>52.25</v>
      </c>
      <c r="K74" s="22">
        <f t="shared" si="2"/>
        <v>-8.67349999999999</v>
      </c>
    </row>
    <row r="75" spans="1:11" ht="12.75" x14ac:dyDescent="0.2">
      <c r="A75" s="13">
        <v>45610</v>
      </c>
      <c r="B75" s="14" t="s">
        <v>6</v>
      </c>
      <c r="C75" s="15">
        <v>0.93100000000000005</v>
      </c>
      <c r="D75" s="16"/>
      <c r="E75" s="17"/>
      <c r="F75" s="17"/>
      <c r="G75" s="18">
        <v>1043</v>
      </c>
      <c r="H75" s="19">
        <f t="shared" si="0"/>
        <v>71.966999999999985</v>
      </c>
      <c r="I75" s="20">
        <f t="shared" si="1"/>
        <v>3958.184999999999</v>
      </c>
      <c r="J75" s="21">
        <f t="shared" si="3"/>
        <v>52.150000000000091</v>
      </c>
      <c r="K75" s="22">
        <f t="shared" si="2"/>
        <v>-19.816999999999894</v>
      </c>
    </row>
    <row r="76" spans="1:11" ht="12.75" x14ac:dyDescent="0.2">
      <c r="A76" s="13">
        <v>45611</v>
      </c>
      <c r="B76" s="14" t="s">
        <v>7</v>
      </c>
      <c r="C76" s="15">
        <v>0.92020000000000002</v>
      </c>
      <c r="D76" s="16"/>
      <c r="E76" s="17"/>
      <c r="F76" s="17"/>
      <c r="G76" s="18">
        <v>1040</v>
      </c>
      <c r="H76" s="19">
        <f t="shared" si="0"/>
        <v>82.991999999999962</v>
      </c>
      <c r="I76" s="20">
        <f t="shared" si="1"/>
        <v>4564.5599999999977</v>
      </c>
      <c r="J76" s="21">
        <f t="shared" si="3"/>
        <v>52</v>
      </c>
      <c r="K76" s="22">
        <f t="shared" si="2"/>
        <v>-30.991999999999962</v>
      </c>
    </row>
    <row r="77" spans="1:11" ht="12.75" x14ac:dyDescent="0.2">
      <c r="A77" s="13">
        <v>45614</v>
      </c>
      <c r="B77" s="14" t="s">
        <v>3</v>
      </c>
      <c r="C77" s="15">
        <v>0.93769999999999998</v>
      </c>
      <c r="D77" s="16"/>
      <c r="E77" s="17"/>
      <c r="F77" s="17"/>
      <c r="G77" s="18">
        <v>1044</v>
      </c>
      <c r="H77" s="19">
        <f t="shared" si="0"/>
        <v>65.041200000000003</v>
      </c>
      <c r="I77" s="20">
        <f t="shared" si="1"/>
        <v>3577.2660000000001</v>
      </c>
      <c r="J77" s="21">
        <f t="shared" si="3"/>
        <v>52.200000000000045</v>
      </c>
      <c r="K77" s="22">
        <f t="shared" si="2"/>
        <v>-12.841199999999958</v>
      </c>
    </row>
    <row r="78" spans="1:11" ht="12.75" x14ac:dyDescent="0.2">
      <c r="A78" s="13">
        <v>45615</v>
      </c>
      <c r="B78" s="14" t="s">
        <v>4</v>
      </c>
      <c r="C78" s="15">
        <v>0.95109999999999995</v>
      </c>
      <c r="D78" s="16"/>
      <c r="E78" s="17"/>
      <c r="F78" s="17"/>
      <c r="G78" s="18">
        <v>1044</v>
      </c>
      <c r="H78" s="19">
        <f t="shared" si="0"/>
        <v>51.051600000000008</v>
      </c>
      <c r="I78" s="20">
        <f t="shared" si="1"/>
        <v>2807.8380000000006</v>
      </c>
      <c r="J78" s="21">
        <f t="shared" si="3"/>
        <v>52.200000000000045</v>
      </c>
      <c r="K78" s="22">
        <f t="shared" si="2"/>
        <v>1.1484000000000378</v>
      </c>
    </row>
    <row r="79" spans="1:11" ht="12.75" x14ac:dyDescent="0.2">
      <c r="A79" s="13">
        <v>45616</v>
      </c>
      <c r="B79" s="14" t="s">
        <v>5</v>
      </c>
      <c r="C79" s="15">
        <v>0.94730000000000003</v>
      </c>
      <c r="D79" s="16"/>
      <c r="E79" s="17"/>
      <c r="F79" s="17"/>
      <c r="G79" s="18">
        <v>1043</v>
      </c>
      <c r="H79" s="19">
        <f t="shared" si="0"/>
        <v>54.966099999999983</v>
      </c>
      <c r="I79" s="20">
        <f t="shared" si="1"/>
        <v>3023.135499999999</v>
      </c>
      <c r="J79" s="21">
        <f t="shared" si="3"/>
        <v>52.150000000000091</v>
      </c>
      <c r="K79" s="22">
        <f t="shared" si="2"/>
        <v>-2.8160999999998921</v>
      </c>
    </row>
    <row r="80" spans="1:11" ht="12.75" x14ac:dyDescent="0.2">
      <c r="A80" s="13">
        <v>45617</v>
      </c>
      <c r="B80" s="14" t="s">
        <v>6</v>
      </c>
      <c r="C80" s="15">
        <v>0.94059999999999999</v>
      </c>
      <c r="D80" s="16"/>
      <c r="E80" s="17"/>
      <c r="F80" s="17"/>
      <c r="G80" s="18">
        <v>1043</v>
      </c>
      <c r="H80" s="19">
        <f t="shared" si="0"/>
        <v>61.954200000000014</v>
      </c>
      <c r="I80" s="20">
        <f t="shared" si="1"/>
        <v>3407.4810000000007</v>
      </c>
      <c r="J80" s="21">
        <f t="shared" si="3"/>
        <v>52.150000000000091</v>
      </c>
      <c r="K80" s="22">
        <f t="shared" si="2"/>
        <v>-9.8041999999999234</v>
      </c>
    </row>
    <row r="81" spans="1:11" ht="12.75" x14ac:dyDescent="0.2">
      <c r="A81" s="13">
        <v>45618</v>
      </c>
      <c r="B81" s="14" t="s">
        <v>7</v>
      </c>
      <c r="C81" s="15">
        <v>0.8972</v>
      </c>
      <c r="D81" s="16"/>
      <c r="E81" s="17"/>
      <c r="F81" s="17" t="s">
        <v>211</v>
      </c>
      <c r="G81" s="18">
        <v>1041</v>
      </c>
      <c r="H81" s="19">
        <f t="shared" si="0"/>
        <v>107.01480000000004</v>
      </c>
      <c r="I81" s="20">
        <f t="shared" si="1"/>
        <v>5885.8140000000021</v>
      </c>
      <c r="J81" s="21">
        <f t="shared" si="3"/>
        <v>52.050000000000068</v>
      </c>
      <c r="K81" s="22">
        <f t="shared" si="2"/>
        <v>-54.964799999999968</v>
      </c>
    </row>
    <row r="82" spans="1:11" ht="12.75" x14ac:dyDescent="0.2">
      <c r="A82" s="30">
        <v>45621</v>
      </c>
      <c r="B82" s="31" t="s">
        <v>3</v>
      </c>
      <c r="C82" s="32"/>
      <c r="D82" s="33"/>
      <c r="E82" s="34"/>
      <c r="F82" s="34"/>
      <c r="G82" s="35"/>
      <c r="H82" s="19">
        <f t="shared" si="0"/>
        <v>0</v>
      </c>
      <c r="I82" s="20">
        <f t="shared" si="1"/>
        <v>0</v>
      </c>
      <c r="J82" s="21">
        <f t="shared" si="3"/>
        <v>0</v>
      </c>
      <c r="K82" s="22">
        <f t="shared" si="2"/>
        <v>0</v>
      </c>
    </row>
    <row r="83" spans="1:11" ht="12.75" x14ac:dyDescent="0.2">
      <c r="A83" s="30">
        <v>45622</v>
      </c>
      <c r="B83" s="31" t="s">
        <v>4</v>
      </c>
      <c r="C83" s="32"/>
      <c r="D83" s="33"/>
      <c r="E83" s="34"/>
      <c r="F83" s="34"/>
      <c r="G83" s="35"/>
      <c r="H83" s="19">
        <f t="shared" si="0"/>
        <v>0</v>
      </c>
      <c r="I83" s="20">
        <f t="shared" si="1"/>
        <v>0</v>
      </c>
      <c r="J83" s="21">
        <f t="shared" si="3"/>
        <v>0</v>
      </c>
      <c r="K83" s="22">
        <f t="shared" si="2"/>
        <v>0</v>
      </c>
    </row>
    <row r="84" spans="1:11" ht="12.75" x14ac:dyDescent="0.2">
      <c r="A84" s="30">
        <v>45623</v>
      </c>
      <c r="B84" s="31" t="s">
        <v>5</v>
      </c>
      <c r="C84" s="32"/>
      <c r="D84" s="33"/>
      <c r="E84" s="34"/>
      <c r="F84" s="34"/>
      <c r="G84" s="35"/>
      <c r="H84" s="19">
        <f t="shared" si="0"/>
        <v>0</v>
      </c>
      <c r="I84" s="20">
        <f t="shared" si="1"/>
        <v>0</v>
      </c>
      <c r="J84" s="21">
        <f t="shared" si="3"/>
        <v>0</v>
      </c>
      <c r="K84" s="22">
        <f t="shared" si="2"/>
        <v>0</v>
      </c>
    </row>
    <row r="85" spans="1:11" ht="12.75" x14ac:dyDescent="0.2">
      <c r="A85" s="30">
        <v>45624</v>
      </c>
      <c r="B85" s="31" t="s">
        <v>6</v>
      </c>
      <c r="C85" s="32"/>
      <c r="D85" s="33"/>
      <c r="E85" s="34"/>
      <c r="F85" s="34"/>
      <c r="G85" s="35"/>
      <c r="H85" s="19">
        <f t="shared" si="0"/>
        <v>0</v>
      </c>
      <c r="I85" s="20">
        <f t="shared" si="1"/>
        <v>0</v>
      </c>
      <c r="J85" s="21">
        <f t="shared" si="3"/>
        <v>0</v>
      </c>
      <c r="K85" s="22">
        <f t="shared" si="2"/>
        <v>0</v>
      </c>
    </row>
    <row r="86" spans="1:11" ht="12.75" x14ac:dyDescent="0.2">
      <c r="A86" s="30">
        <v>45625</v>
      </c>
      <c r="B86" s="31" t="s">
        <v>7</v>
      </c>
      <c r="C86" s="32"/>
      <c r="D86" s="33"/>
      <c r="E86" s="34"/>
      <c r="F86" s="34"/>
      <c r="G86" s="35"/>
      <c r="H86" s="19">
        <f t="shared" si="0"/>
        <v>0</v>
      </c>
      <c r="I86" s="20">
        <f t="shared" si="1"/>
        <v>0</v>
      </c>
      <c r="J86" s="21">
        <f t="shared" si="3"/>
        <v>0</v>
      </c>
      <c r="K86" s="22">
        <f t="shared" si="2"/>
        <v>0</v>
      </c>
    </row>
    <row r="87" spans="1:11" ht="12.75" x14ac:dyDescent="0.2">
      <c r="A87" s="13">
        <v>45628</v>
      </c>
      <c r="B87" s="14" t="s">
        <v>3</v>
      </c>
      <c r="C87" s="15">
        <v>0.92030000000000001</v>
      </c>
      <c r="D87" s="16"/>
      <c r="E87" s="17"/>
      <c r="F87" s="17"/>
      <c r="G87" s="18">
        <v>1044</v>
      </c>
      <c r="H87" s="19">
        <f t="shared" si="0"/>
        <v>83.206800000000044</v>
      </c>
      <c r="I87" s="20">
        <f t="shared" si="1"/>
        <v>4576.3740000000025</v>
      </c>
      <c r="J87" s="21">
        <f t="shared" si="3"/>
        <v>52.200000000000045</v>
      </c>
      <c r="K87" s="22">
        <f t="shared" si="2"/>
        <v>-31.006799999999998</v>
      </c>
    </row>
    <row r="88" spans="1:11" ht="12.75" x14ac:dyDescent="0.2">
      <c r="A88" s="13">
        <v>45629</v>
      </c>
      <c r="B88" s="14" t="s">
        <v>4</v>
      </c>
      <c r="C88" s="15">
        <v>0.95020000000000004</v>
      </c>
      <c r="D88" s="16"/>
      <c r="E88" s="17"/>
      <c r="F88" s="17"/>
      <c r="G88" s="18">
        <v>1041</v>
      </c>
      <c r="H88" s="19">
        <f t="shared" si="0"/>
        <v>51.841799999999921</v>
      </c>
      <c r="I88" s="20">
        <f t="shared" si="1"/>
        <v>2851.2989999999954</v>
      </c>
      <c r="J88" s="21">
        <f t="shared" si="3"/>
        <v>52.050000000000068</v>
      </c>
      <c r="K88" s="22">
        <f t="shared" si="2"/>
        <v>0.20820000000014716</v>
      </c>
    </row>
    <row r="89" spans="1:11" ht="12.75" x14ac:dyDescent="0.2">
      <c r="A89" s="13">
        <v>45630</v>
      </c>
      <c r="B89" s="14" t="s">
        <v>5</v>
      </c>
      <c r="C89" s="15">
        <v>0.95489999999999997</v>
      </c>
      <c r="D89" s="16"/>
      <c r="E89" s="17"/>
      <c r="F89" s="17"/>
      <c r="G89" s="18">
        <v>1044</v>
      </c>
      <c r="H89" s="19">
        <f t="shared" si="0"/>
        <v>47.084400000000073</v>
      </c>
      <c r="I89" s="20">
        <f t="shared" si="1"/>
        <v>2589.6420000000039</v>
      </c>
      <c r="J89" s="21">
        <f t="shared" si="3"/>
        <v>52.200000000000045</v>
      </c>
      <c r="K89" s="22">
        <f t="shared" si="2"/>
        <v>5.1155999999999722</v>
      </c>
    </row>
    <row r="90" spans="1:11" ht="12.75" x14ac:dyDescent="0.2">
      <c r="A90" s="13">
        <v>45631</v>
      </c>
      <c r="B90" s="14" t="s">
        <v>6</v>
      </c>
      <c r="C90" s="15">
        <v>0.95499999999999996</v>
      </c>
      <c r="D90" s="16"/>
      <c r="E90" s="17"/>
      <c r="F90" s="17"/>
      <c r="G90" s="18">
        <v>1045</v>
      </c>
      <c r="H90" s="19">
        <f t="shared" si="0"/>
        <v>47.025000000000091</v>
      </c>
      <c r="I90" s="20">
        <f t="shared" si="1"/>
        <v>2586.375000000005</v>
      </c>
      <c r="J90" s="21">
        <f t="shared" si="3"/>
        <v>52.25</v>
      </c>
      <c r="K90" s="22">
        <f t="shared" si="2"/>
        <v>5.2249999999999091</v>
      </c>
    </row>
    <row r="91" spans="1:11" ht="12.75" x14ac:dyDescent="0.2">
      <c r="A91" s="13">
        <v>45632</v>
      </c>
      <c r="B91" s="14" t="s">
        <v>7</v>
      </c>
      <c r="C91" s="15">
        <v>0.9234</v>
      </c>
      <c r="D91" s="16"/>
      <c r="E91" s="17"/>
      <c r="F91" s="17" t="s">
        <v>212</v>
      </c>
      <c r="G91" s="18">
        <v>1044</v>
      </c>
      <c r="H91" s="19">
        <f t="shared" si="0"/>
        <v>79.970400000000041</v>
      </c>
      <c r="I91" s="20">
        <f t="shared" si="1"/>
        <v>4398.3720000000021</v>
      </c>
      <c r="J91" s="21">
        <f t="shared" si="3"/>
        <v>52.200000000000045</v>
      </c>
      <c r="K91" s="22">
        <f t="shared" si="2"/>
        <v>-27.770399999999995</v>
      </c>
    </row>
    <row r="92" spans="1:11" ht="12.75" x14ac:dyDescent="0.2">
      <c r="A92" s="13">
        <v>45635</v>
      </c>
      <c r="B92" s="14" t="s">
        <v>3</v>
      </c>
      <c r="C92" s="15">
        <v>0.94920000000000004</v>
      </c>
      <c r="D92" s="16"/>
      <c r="E92" s="17"/>
      <c r="F92" s="17"/>
      <c r="G92" s="18">
        <v>1043</v>
      </c>
      <c r="H92" s="19">
        <f t="shared" si="0"/>
        <v>52.984399999999937</v>
      </c>
      <c r="I92" s="20">
        <f t="shared" si="1"/>
        <v>2914.1419999999966</v>
      </c>
      <c r="J92" s="21">
        <f t="shared" si="3"/>
        <v>52.150000000000091</v>
      </c>
      <c r="K92" s="22">
        <f t="shared" si="2"/>
        <v>-0.83439999999984593</v>
      </c>
    </row>
    <row r="93" spans="1:11" ht="12.75" x14ac:dyDescent="0.2">
      <c r="A93" s="13">
        <v>45636</v>
      </c>
      <c r="B93" s="14" t="s">
        <v>4</v>
      </c>
      <c r="C93" s="15">
        <v>0.95499999999999996</v>
      </c>
      <c r="D93" s="16"/>
      <c r="E93" s="17"/>
      <c r="F93" s="17"/>
      <c r="G93" s="18">
        <v>1045</v>
      </c>
      <c r="H93" s="19">
        <f t="shared" si="0"/>
        <v>47.025000000000091</v>
      </c>
      <c r="I93" s="20">
        <f t="shared" si="1"/>
        <v>2586.375000000005</v>
      </c>
      <c r="J93" s="21">
        <f t="shared" si="3"/>
        <v>52.25</v>
      </c>
      <c r="K93" s="22">
        <f t="shared" si="2"/>
        <v>5.2249999999999091</v>
      </c>
    </row>
    <row r="94" spans="1:11" ht="12.75" x14ac:dyDescent="0.2">
      <c r="A94" s="13">
        <v>45637</v>
      </c>
      <c r="B94" s="14" t="s">
        <v>5</v>
      </c>
      <c r="C94" s="15">
        <v>0.95509999999999995</v>
      </c>
      <c r="D94" s="16"/>
      <c r="E94" s="17"/>
      <c r="F94" s="17"/>
      <c r="G94" s="18">
        <v>1046</v>
      </c>
      <c r="H94" s="19">
        <f t="shared" si="0"/>
        <v>46.965400000000045</v>
      </c>
      <c r="I94" s="20">
        <f t="shared" si="1"/>
        <v>2583.0970000000025</v>
      </c>
      <c r="J94" s="21">
        <f t="shared" si="3"/>
        <v>52.300000000000068</v>
      </c>
      <c r="K94" s="22">
        <f t="shared" si="2"/>
        <v>5.3346000000000231</v>
      </c>
    </row>
    <row r="95" spans="1:11" ht="12.75" x14ac:dyDescent="0.2">
      <c r="A95" s="13">
        <v>45638</v>
      </c>
      <c r="B95" s="14" t="s">
        <v>6</v>
      </c>
      <c r="C95" s="15">
        <v>0.94259999999999999</v>
      </c>
      <c r="D95" s="16"/>
      <c r="E95" s="17"/>
      <c r="F95" s="17"/>
      <c r="G95" s="18">
        <v>1046</v>
      </c>
      <c r="H95" s="19">
        <f t="shared" si="0"/>
        <v>60.040399999999977</v>
      </c>
      <c r="I95" s="20">
        <f t="shared" si="1"/>
        <v>3302.2219999999988</v>
      </c>
      <c r="J95" s="21">
        <f t="shared" si="3"/>
        <v>52.300000000000068</v>
      </c>
      <c r="K95" s="22">
        <f t="shared" si="2"/>
        <v>-7.7403999999999087</v>
      </c>
    </row>
    <row r="96" spans="1:11" ht="12.75" x14ac:dyDescent="0.2">
      <c r="A96" s="13">
        <v>45639</v>
      </c>
      <c r="B96" s="14" t="s">
        <v>7</v>
      </c>
      <c r="C96" s="15">
        <v>0.91800000000000004</v>
      </c>
      <c r="D96" s="16"/>
      <c r="E96" s="17"/>
      <c r="F96" s="17"/>
      <c r="G96" s="18">
        <v>1046</v>
      </c>
      <c r="H96" s="19">
        <f t="shared" si="0"/>
        <v>85.771999999999935</v>
      </c>
      <c r="I96" s="20">
        <f t="shared" si="1"/>
        <v>4717.4599999999964</v>
      </c>
      <c r="J96" s="21">
        <f t="shared" si="3"/>
        <v>52.300000000000068</v>
      </c>
      <c r="K96" s="22">
        <f t="shared" si="2"/>
        <v>-33.471999999999866</v>
      </c>
    </row>
    <row r="97" spans="1:11" ht="12.75" x14ac:dyDescent="0.2">
      <c r="A97" s="13">
        <v>45642</v>
      </c>
      <c r="B97" s="14" t="s">
        <v>3</v>
      </c>
      <c r="C97" s="15">
        <v>0.94169999999999998</v>
      </c>
      <c r="D97" s="16"/>
      <c r="E97" s="17"/>
      <c r="F97" s="17" t="s">
        <v>213</v>
      </c>
      <c r="G97" s="18">
        <v>1046</v>
      </c>
      <c r="H97" s="19">
        <f t="shared" si="0"/>
        <v>60.981800000000021</v>
      </c>
      <c r="I97" s="20">
        <f t="shared" si="1"/>
        <v>3353.9990000000012</v>
      </c>
      <c r="J97" s="21">
        <f t="shared" si="3"/>
        <v>52.300000000000068</v>
      </c>
      <c r="K97" s="22">
        <f t="shared" si="2"/>
        <v>-8.6817999999999529</v>
      </c>
    </row>
    <row r="98" spans="1:11" ht="12.75" x14ac:dyDescent="0.2">
      <c r="A98" s="13">
        <v>45643</v>
      </c>
      <c r="B98" s="14" t="s">
        <v>4</v>
      </c>
      <c r="C98" s="15">
        <v>0.95509999999999995</v>
      </c>
      <c r="D98" s="16"/>
      <c r="E98" s="17"/>
      <c r="F98" s="17" t="s">
        <v>214</v>
      </c>
      <c r="G98" s="18">
        <v>1046</v>
      </c>
      <c r="H98" s="19">
        <f t="shared" si="0"/>
        <v>46.965400000000045</v>
      </c>
      <c r="I98" s="20">
        <f t="shared" si="1"/>
        <v>2583.0970000000025</v>
      </c>
      <c r="J98" s="21">
        <f t="shared" si="3"/>
        <v>52.300000000000068</v>
      </c>
      <c r="K98" s="22">
        <f t="shared" si="2"/>
        <v>5.3346000000000231</v>
      </c>
    </row>
    <row r="99" spans="1:11" ht="12.75" x14ac:dyDescent="0.2">
      <c r="A99" s="13">
        <v>45644</v>
      </c>
      <c r="B99" s="14" t="s">
        <v>5</v>
      </c>
      <c r="C99" s="15">
        <v>0.95599999999999996</v>
      </c>
      <c r="D99" s="16"/>
      <c r="E99" s="17"/>
      <c r="F99" s="17"/>
      <c r="G99" s="18">
        <v>1046</v>
      </c>
      <c r="H99" s="19">
        <f t="shared" si="0"/>
        <v>46.024000000000001</v>
      </c>
      <c r="I99" s="20">
        <f t="shared" si="1"/>
        <v>2531.3200000000002</v>
      </c>
      <c r="J99" s="21">
        <f t="shared" si="3"/>
        <v>52.300000000000068</v>
      </c>
      <c r="K99" s="22">
        <f t="shared" si="2"/>
        <v>6.2760000000000673</v>
      </c>
    </row>
    <row r="100" spans="1:11" ht="12.75" x14ac:dyDescent="0.2">
      <c r="A100" s="13">
        <v>45645</v>
      </c>
      <c r="B100" s="14" t="s">
        <v>6</v>
      </c>
      <c r="C100" s="15">
        <v>0.95220000000000005</v>
      </c>
      <c r="D100" s="16"/>
      <c r="E100" s="17"/>
      <c r="F100" s="17"/>
      <c r="G100" s="18">
        <v>1046</v>
      </c>
      <c r="H100" s="19">
        <f t="shared" si="0"/>
        <v>49.99879999999996</v>
      </c>
      <c r="I100" s="20">
        <f t="shared" si="1"/>
        <v>2749.9339999999979</v>
      </c>
      <c r="J100" s="21">
        <f t="shared" si="3"/>
        <v>52.300000000000068</v>
      </c>
      <c r="K100" s="22">
        <f t="shared" si="2"/>
        <v>2.301200000000108</v>
      </c>
    </row>
    <row r="101" spans="1:11" ht="25.5" x14ac:dyDescent="0.2">
      <c r="A101" s="13">
        <v>45646</v>
      </c>
      <c r="B101" s="14" t="s">
        <v>7</v>
      </c>
      <c r="C101" s="15">
        <v>0.86990000000000001</v>
      </c>
      <c r="D101" s="16" t="s">
        <v>75</v>
      </c>
      <c r="E101" s="17" t="s">
        <v>215</v>
      </c>
      <c r="F101" s="17" t="s">
        <v>216</v>
      </c>
      <c r="G101" s="18">
        <v>1045</v>
      </c>
      <c r="H101" s="19">
        <f t="shared" si="0"/>
        <v>135.95449999999994</v>
      </c>
      <c r="I101" s="20">
        <f t="shared" si="1"/>
        <v>7477.4974999999968</v>
      </c>
      <c r="J101" s="21">
        <f t="shared" si="3"/>
        <v>52.25</v>
      </c>
      <c r="K101" s="22">
        <f t="shared" si="2"/>
        <v>-83.704499999999939</v>
      </c>
    </row>
    <row r="102" spans="1:11" ht="12.75" x14ac:dyDescent="0.2">
      <c r="A102" s="24">
        <v>45649</v>
      </c>
      <c r="B102" s="25" t="s">
        <v>3</v>
      </c>
      <c r="C102" s="26"/>
      <c r="D102" s="27"/>
      <c r="E102" s="28"/>
      <c r="F102" s="28"/>
      <c r="G102" s="29"/>
      <c r="H102" s="19">
        <f t="shared" si="0"/>
        <v>0</v>
      </c>
      <c r="I102" s="20">
        <f t="shared" si="1"/>
        <v>0</v>
      </c>
      <c r="J102" s="21">
        <f t="shared" si="3"/>
        <v>0</v>
      </c>
      <c r="K102" s="22">
        <f t="shared" si="2"/>
        <v>0</v>
      </c>
    </row>
    <row r="103" spans="1:11" ht="12.75" x14ac:dyDescent="0.2">
      <c r="A103" s="24">
        <v>45650</v>
      </c>
      <c r="B103" s="25" t="s">
        <v>4</v>
      </c>
      <c r="C103" s="26"/>
      <c r="D103" s="27"/>
      <c r="E103" s="28"/>
      <c r="F103" s="28"/>
      <c r="G103" s="29"/>
      <c r="H103" s="19">
        <f t="shared" si="0"/>
        <v>0</v>
      </c>
      <c r="I103" s="20">
        <f t="shared" si="1"/>
        <v>0</v>
      </c>
      <c r="J103" s="21">
        <f t="shared" si="3"/>
        <v>0</v>
      </c>
      <c r="K103" s="22">
        <f t="shared" si="2"/>
        <v>0</v>
      </c>
    </row>
    <row r="104" spans="1:11" ht="12.75" x14ac:dyDescent="0.2">
      <c r="A104" s="24">
        <v>45651</v>
      </c>
      <c r="B104" s="25" t="s">
        <v>5</v>
      </c>
      <c r="C104" s="26"/>
      <c r="D104" s="27"/>
      <c r="E104" s="28"/>
      <c r="F104" s="28"/>
      <c r="G104" s="29"/>
      <c r="H104" s="19">
        <f t="shared" si="0"/>
        <v>0</v>
      </c>
      <c r="I104" s="20">
        <f t="shared" si="1"/>
        <v>0</v>
      </c>
      <c r="J104" s="21">
        <f t="shared" si="3"/>
        <v>0</v>
      </c>
      <c r="K104" s="22">
        <f t="shared" si="2"/>
        <v>0</v>
      </c>
    </row>
    <row r="105" spans="1:11" ht="12.75" x14ac:dyDescent="0.2">
      <c r="A105" s="24">
        <v>45652</v>
      </c>
      <c r="B105" s="25" t="s">
        <v>6</v>
      </c>
      <c r="C105" s="26"/>
      <c r="D105" s="27"/>
      <c r="E105" s="28"/>
      <c r="F105" s="28"/>
      <c r="G105" s="29"/>
      <c r="H105" s="19">
        <f t="shared" si="0"/>
        <v>0</v>
      </c>
      <c r="I105" s="20">
        <f t="shared" si="1"/>
        <v>0</v>
      </c>
      <c r="J105" s="21">
        <f t="shared" si="3"/>
        <v>0</v>
      </c>
      <c r="K105" s="22">
        <f t="shared" si="2"/>
        <v>0</v>
      </c>
    </row>
    <row r="106" spans="1:11" ht="12.75" x14ac:dyDescent="0.2">
      <c r="A106" s="24">
        <v>45653</v>
      </c>
      <c r="B106" s="25" t="s">
        <v>7</v>
      </c>
      <c r="C106" s="26"/>
      <c r="D106" s="27"/>
      <c r="E106" s="28"/>
      <c r="F106" s="28"/>
      <c r="G106" s="29"/>
      <c r="H106" s="19">
        <f t="shared" si="0"/>
        <v>0</v>
      </c>
      <c r="I106" s="20">
        <f t="shared" si="1"/>
        <v>0</v>
      </c>
      <c r="J106" s="21">
        <f t="shared" si="3"/>
        <v>0</v>
      </c>
      <c r="K106" s="22">
        <f t="shared" si="2"/>
        <v>0</v>
      </c>
    </row>
    <row r="107" spans="1:11" ht="12.75" x14ac:dyDescent="0.2">
      <c r="A107" s="24">
        <v>45656</v>
      </c>
      <c r="B107" s="25" t="s">
        <v>3</v>
      </c>
      <c r="C107" s="26"/>
      <c r="D107" s="27"/>
      <c r="E107" s="28"/>
      <c r="F107" s="28"/>
      <c r="G107" s="29"/>
      <c r="H107" s="19">
        <f t="shared" si="0"/>
        <v>0</v>
      </c>
      <c r="I107" s="20">
        <f t="shared" si="1"/>
        <v>0</v>
      </c>
      <c r="J107" s="21">
        <f t="shared" si="3"/>
        <v>0</v>
      </c>
      <c r="K107" s="22">
        <f t="shared" si="2"/>
        <v>0</v>
      </c>
    </row>
    <row r="108" spans="1:11" ht="12.75" x14ac:dyDescent="0.2">
      <c r="A108" s="24">
        <v>45657</v>
      </c>
      <c r="B108" s="25" t="s">
        <v>4</v>
      </c>
      <c r="C108" s="26"/>
      <c r="D108" s="27"/>
      <c r="E108" s="28"/>
      <c r="F108" s="28"/>
      <c r="G108" s="29"/>
      <c r="H108" s="19">
        <f t="shared" si="0"/>
        <v>0</v>
      </c>
      <c r="I108" s="20">
        <f t="shared" si="1"/>
        <v>0</v>
      </c>
      <c r="J108" s="21">
        <f t="shared" si="3"/>
        <v>0</v>
      </c>
      <c r="K108" s="22">
        <f t="shared" si="2"/>
        <v>0</v>
      </c>
    </row>
    <row r="109" spans="1:11" ht="12.75" x14ac:dyDescent="0.2">
      <c r="A109" s="24">
        <v>45658</v>
      </c>
      <c r="B109" s="25" t="s">
        <v>5</v>
      </c>
      <c r="C109" s="26"/>
      <c r="D109" s="27"/>
      <c r="E109" s="28"/>
      <c r="F109" s="28"/>
      <c r="G109" s="29"/>
      <c r="H109" s="19">
        <f t="shared" si="0"/>
        <v>0</v>
      </c>
      <c r="I109" s="20">
        <f t="shared" si="1"/>
        <v>0</v>
      </c>
      <c r="J109" s="21">
        <f t="shared" si="3"/>
        <v>0</v>
      </c>
      <c r="K109" s="22">
        <f t="shared" si="2"/>
        <v>0</v>
      </c>
    </row>
    <row r="110" spans="1:11" ht="12.75" x14ac:dyDescent="0.2">
      <c r="A110" s="24">
        <v>45659</v>
      </c>
      <c r="B110" s="25" t="s">
        <v>6</v>
      </c>
      <c r="C110" s="26"/>
      <c r="D110" s="27"/>
      <c r="E110" s="28"/>
      <c r="F110" s="28"/>
      <c r="G110" s="29"/>
      <c r="H110" s="19">
        <f t="shared" si="0"/>
        <v>0</v>
      </c>
      <c r="I110" s="20">
        <f t="shared" si="1"/>
        <v>0</v>
      </c>
      <c r="J110" s="21">
        <f t="shared" si="3"/>
        <v>0</v>
      </c>
      <c r="K110" s="22">
        <f t="shared" si="2"/>
        <v>0</v>
      </c>
    </row>
    <row r="111" spans="1:11" ht="12.75" x14ac:dyDescent="0.2">
      <c r="A111" s="24">
        <v>45660</v>
      </c>
      <c r="B111" s="25" t="s">
        <v>7</v>
      </c>
      <c r="C111" s="26"/>
      <c r="D111" s="27"/>
      <c r="E111" s="28"/>
      <c r="F111" s="28"/>
      <c r="G111" s="29"/>
      <c r="H111" s="19">
        <f t="shared" si="0"/>
        <v>0</v>
      </c>
      <c r="I111" s="20">
        <f t="shared" si="1"/>
        <v>0</v>
      </c>
      <c r="J111" s="21">
        <f t="shared" si="3"/>
        <v>0</v>
      </c>
      <c r="K111" s="22">
        <f t="shared" si="2"/>
        <v>0</v>
      </c>
    </row>
    <row r="112" spans="1:11" ht="12.75" x14ac:dyDescent="0.2">
      <c r="A112" s="30">
        <v>45663</v>
      </c>
      <c r="B112" s="31" t="s">
        <v>3</v>
      </c>
      <c r="C112" s="32"/>
      <c r="D112" s="33"/>
      <c r="E112" s="34"/>
      <c r="F112" s="34"/>
      <c r="G112" s="35"/>
      <c r="H112" s="19">
        <f t="shared" si="0"/>
        <v>0</v>
      </c>
      <c r="I112" s="20">
        <f t="shared" si="1"/>
        <v>0</v>
      </c>
      <c r="J112" s="21">
        <f t="shared" si="3"/>
        <v>0</v>
      </c>
      <c r="K112" s="22">
        <f t="shared" si="2"/>
        <v>0</v>
      </c>
    </row>
    <row r="113" spans="1:11" ht="12.75" x14ac:dyDescent="0.2">
      <c r="A113" s="30">
        <v>45664</v>
      </c>
      <c r="B113" s="31" t="s">
        <v>4</v>
      </c>
      <c r="C113" s="32"/>
      <c r="D113" s="33"/>
      <c r="E113" s="34"/>
      <c r="F113" s="34"/>
      <c r="G113" s="35"/>
      <c r="H113" s="19">
        <f t="shared" si="0"/>
        <v>0</v>
      </c>
      <c r="I113" s="20">
        <f t="shared" si="1"/>
        <v>0</v>
      </c>
      <c r="J113" s="21">
        <f t="shared" si="3"/>
        <v>0</v>
      </c>
      <c r="K113" s="22">
        <f t="shared" si="2"/>
        <v>0</v>
      </c>
    </row>
    <row r="114" spans="1:11" ht="12.75" x14ac:dyDescent="0.2">
      <c r="A114" s="13">
        <v>45665</v>
      </c>
      <c r="B114" s="14" t="s">
        <v>5</v>
      </c>
      <c r="C114" s="15">
        <v>0.93230000000000002</v>
      </c>
      <c r="D114" s="16"/>
      <c r="E114" s="17"/>
      <c r="F114" s="17" t="s">
        <v>217</v>
      </c>
      <c r="G114" s="18">
        <v>1045</v>
      </c>
      <c r="H114" s="19">
        <f t="shared" si="0"/>
        <v>70.746499999999969</v>
      </c>
      <c r="I114" s="20">
        <f t="shared" si="1"/>
        <v>3891.0574999999981</v>
      </c>
      <c r="J114" s="21">
        <f t="shared" si="3"/>
        <v>52.25</v>
      </c>
      <c r="K114" s="22">
        <f t="shared" si="2"/>
        <v>-18.496499999999969</v>
      </c>
    </row>
    <row r="115" spans="1:11" ht="12.75" x14ac:dyDescent="0.2">
      <c r="A115" s="13">
        <v>45666</v>
      </c>
      <c r="B115" s="14" t="s">
        <v>6</v>
      </c>
      <c r="C115" s="15">
        <v>0.90620000000000001</v>
      </c>
      <c r="D115" s="16"/>
      <c r="E115" s="17"/>
      <c r="F115" s="17" t="s">
        <v>201</v>
      </c>
      <c r="G115" s="18">
        <v>1046</v>
      </c>
      <c r="H115" s="19">
        <f t="shared" si="0"/>
        <v>98.114799999999946</v>
      </c>
      <c r="I115" s="20">
        <f t="shared" si="1"/>
        <v>5396.3139999999967</v>
      </c>
      <c r="J115" s="21">
        <f t="shared" si="3"/>
        <v>52.300000000000068</v>
      </c>
      <c r="K115" s="22">
        <f t="shared" si="2"/>
        <v>-45.814799999999877</v>
      </c>
    </row>
    <row r="116" spans="1:11" ht="25.5" x14ac:dyDescent="0.2">
      <c r="A116" s="13">
        <v>45667</v>
      </c>
      <c r="B116" s="14" t="s">
        <v>7</v>
      </c>
      <c r="C116" s="15">
        <v>0.88970000000000005</v>
      </c>
      <c r="D116" s="16" t="s">
        <v>75</v>
      </c>
      <c r="E116" s="17" t="s">
        <v>43</v>
      </c>
      <c r="F116" s="17" t="s">
        <v>218</v>
      </c>
      <c r="G116" s="18">
        <v>1043</v>
      </c>
      <c r="H116" s="19">
        <f t="shared" si="0"/>
        <v>115.04289999999992</v>
      </c>
      <c r="I116" s="20">
        <f t="shared" si="1"/>
        <v>6327.359499999995</v>
      </c>
      <c r="J116" s="21">
        <f t="shared" si="3"/>
        <v>52.150000000000091</v>
      </c>
      <c r="K116" s="22">
        <f t="shared" si="2"/>
        <v>-62.892899999999827</v>
      </c>
    </row>
    <row r="117" spans="1:11" ht="12.75" x14ac:dyDescent="0.2">
      <c r="A117" s="13">
        <v>45670</v>
      </c>
      <c r="B117" s="14" t="s">
        <v>3</v>
      </c>
      <c r="C117" s="15">
        <v>0.94820000000000004</v>
      </c>
      <c r="D117" s="16"/>
      <c r="E117" s="17"/>
      <c r="F117" s="17"/>
      <c r="G117" s="18">
        <v>1042</v>
      </c>
      <c r="H117" s="19">
        <f t="shared" si="0"/>
        <v>53.975599999999986</v>
      </c>
      <c r="I117" s="20">
        <f t="shared" si="1"/>
        <v>2968.6579999999994</v>
      </c>
      <c r="J117" s="21">
        <f t="shared" si="3"/>
        <v>52.100000000000023</v>
      </c>
      <c r="K117" s="22">
        <f t="shared" si="2"/>
        <v>-1.8755999999999631</v>
      </c>
    </row>
    <row r="118" spans="1:11" ht="12.75" x14ac:dyDescent="0.2">
      <c r="A118" s="13">
        <v>45671</v>
      </c>
      <c r="B118" s="14" t="s">
        <v>4</v>
      </c>
      <c r="C118" s="15">
        <v>0.95299999999999996</v>
      </c>
      <c r="D118" s="16"/>
      <c r="E118" s="17"/>
      <c r="F118" s="17"/>
      <c r="G118" s="18">
        <v>1043</v>
      </c>
      <c r="H118" s="19">
        <f t="shared" si="0"/>
        <v>49.021000000000072</v>
      </c>
      <c r="I118" s="20">
        <f t="shared" si="1"/>
        <v>2696.1550000000038</v>
      </c>
      <c r="J118" s="21">
        <f t="shared" si="3"/>
        <v>52.150000000000091</v>
      </c>
      <c r="K118" s="22">
        <f t="shared" si="2"/>
        <v>3.1290000000000191</v>
      </c>
    </row>
    <row r="119" spans="1:11" ht="12.75" x14ac:dyDescent="0.2">
      <c r="A119" s="13">
        <v>45672</v>
      </c>
      <c r="B119" s="14" t="s">
        <v>5</v>
      </c>
      <c r="C119" s="15">
        <v>0.95109999999999995</v>
      </c>
      <c r="D119" s="16"/>
      <c r="E119" s="17"/>
      <c r="F119" s="17"/>
      <c r="G119" s="18">
        <v>1044</v>
      </c>
      <c r="H119" s="19">
        <f t="shared" si="0"/>
        <v>51.051600000000008</v>
      </c>
      <c r="I119" s="20">
        <f t="shared" si="1"/>
        <v>2807.8380000000006</v>
      </c>
      <c r="J119" s="21">
        <f t="shared" si="3"/>
        <v>52.200000000000045</v>
      </c>
      <c r="K119" s="22">
        <f t="shared" si="2"/>
        <v>1.1484000000000378</v>
      </c>
    </row>
    <row r="120" spans="1:11" ht="12.75" x14ac:dyDescent="0.2">
      <c r="A120" s="13">
        <v>45673</v>
      </c>
      <c r="B120" s="14" t="s">
        <v>6</v>
      </c>
      <c r="C120" s="15">
        <v>0.96260000000000001</v>
      </c>
      <c r="D120" s="16"/>
      <c r="E120" s="17"/>
      <c r="F120" s="17"/>
      <c r="G120" s="18">
        <v>1044</v>
      </c>
      <c r="H120" s="19">
        <f t="shared" si="0"/>
        <v>39.045600000000036</v>
      </c>
      <c r="I120" s="20">
        <f t="shared" si="1"/>
        <v>2147.5080000000021</v>
      </c>
      <c r="J120" s="21">
        <f t="shared" si="3"/>
        <v>52.200000000000045</v>
      </c>
      <c r="K120" s="22">
        <f t="shared" si="2"/>
        <v>13.15440000000001</v>
      </c>
    </row>
    <row r="121" spans="1:11" ht="12.75" x14ac:dyDescent="0.2">
      <c r="A121" s="13">
        <v>45674</v>
      </c>
      <c r="B121" s="14" t="s">
        <v>7</v>
      </c>
      <c r="C121" s="15">
        <v>0.91849999999999998</v>
      </c>
      <c r="D121" s="16"/>
      <c r="E121" s="17"/>
      <c r="F121" s="17"/>
      <c r="G121" s="18">
        <v>1043</v>
      </c>
      <c r="H121" s="19">
        <f t="shared" si="0"/>
        <v>85.004500000000007</v>
      </c>
      <c r="I121" s="20">
        <f t="shared" si="1"/>
        <v>4675.2475000000004</v>
      </c>
      <c r="J121" s="21">
        <f t="shared" si="3"/>
        <v>52.150000000000091</v>
      </c>
      <c r="K121" s="22">
        <f t="shared" si="2"/>
        <v>-32.854499999999916</v>
      </c>
    </row>
    <row r="122" spans="1:11" ht="12.75" x14ac:dyDescent="0.2">
      <c r="A122" s="24">
        <v>45677</v>
      </c>
      <c r="B122" s="25" t="s">
        <v>3</v>
      </c>
      <c r="C122" s="26"/>
      <c r="D122" s="27"/>
      <c r="E122" s="28"/>
      <c r="F122" s="28"/>
      <c r="G122" s="29"/>
      <c r="H122" s="19">
        <f t="shared" si="0"/>
        <v>0</v>
      </c>
      <c r="I122" s="20">
        <f t="shared" si="1"/>
        <v>0</v>
      </c>
      <c r="J122" s="21">
        <f t="shared" si="3"/>
        <v>0</v>
      </c>
      <c r="K122" s="22">
        <f t="shared" si="2"/>
        <v>0</v>
      </c>
    </row>
    <row r="123" spans="1:11" ht="12.75" x14ac:dyDescent="0.2">
      <c r="A123" s="13">
        <v>45678</v>
      </c>
      <c r="B123" s="14" t="s">
        <v>4</v>
      </c>
      <c r="C123" s="15"/>
      <c r="D123" s="16"/>
      <c r="E123" s="17"/>
      <c r="F123" s="17" t="s">
        <v>219</v>
      </c>
      <c r="H123" s="19">
        <f t="shared" si="0"/>
        <v>0</v>
      </c>
      <c r="I123" s="20">
        <f t="shared" si="1"/>
        <v>0</v>
      </c>
      <c r="J123" s="21">
        <f t="shared" si="3"/>
        <v>0</v>
      </c>
      <c r="K123" s="22">
        <f t="shared" si="2"/>
        <v>0</v>
      </c>
    </row>
    <row r="124" spans="1:11" ht="12.75" x14ac:dyDescent="0.2">
      <c r="A124" s="13">
        <v>45679</v>
      </c>
      <c r="B124" s="14" t="s">
        <v>5</v>
      </c>
      <c r="C124" s="15"/>
      <c r="D124" s="16"/>
      <c r="E124" s="17"/>
      <c r="F124" s="17" t="s">
        <v>219</v>
      </c>
      <c r="H124" s="19">
        <f t="shared" si="0"/>
        <v>0</v>
      </c>
      <c r="I124" s="20">
        <f t="shared" si="1"/>
        <v>0</v>
      </c>
      <c r="J124" s="21">
        <f t="shared" si="3"/>
        <v>0</v>
      </c>
      <c r="K124" s="22">
        <f t="shared" si="2"/>
        <v>0</v>
      </c>
    </row>
    <row r="125" spans="1:11" ht="12.75" x14ac:dyDescent="0.2">
      <c r="A125" s="13">
        <v>45680</v>
      </c>
      <c r="B125" s="14" t="s">
        <v>6</v>
      </c>
      <c r="C125" s="15">
        <v>0.8861</v>
      </c>
      <c r="D125" s="16" t="s">
        <v>24</v>
      </c>
      <c r="E125" s="17" t="s">
        <v>43</v>
      </c>
      <c r="F125" s="17" t="s">
        <v>220</v>
      </c>
      <c r="G125" s="18">
        <v>1045</v>
      </c>
      <c r="H125" s="19">
        <f t="shared" si="0"/>
        <v>119.02549999999997</v>
      </c>
      <c r="I125" s="20">
        <f t="shared" si="1"/>
        <v>6546.4024999999983</v>
      </c>
      <c r="J125" s="21">
        <f t="shared" si="3"/>
        <v>52.25</v>
      </c>
      <c r="K125" s="22">
        <f t="shared" si="2"/>
        <v>-66.775499999999965</v>
      </c>
    </row>
    <row r="126" spans="1:11" ht="12.75" x14ac:dyDescent="0.2">
      <c r="A126" s="13">
        <v>45681</v>
      </c>
      <c r="B126" s="14" t="s">
        <v>7</v>
      </c>
      <c r="C126" s="15">
        <v>0.91279999999999994</v>
      </c>
      <c r="D126" s="16"/>
      <c r="E126" s="17"/>
      <c r="F126" s="17"/>
      <c r="G126" s="18">
        <v>1045</v>
      </c>
      <c r="H126" s="19">
        <f t="shared" si="0"/>
        <v>91.124000000000024</v>
      </c>
      <c r="I126" s="20">
        <f t="shared" si="1"/>
        <v>5011.8200000000015</v>
      </c>
      <c r="J126" s="21">
        <f t="shared" si="3"/>
        <v>52.25</v>
      </c>
      <c r="K126" s="22">
        <f t="shared" si="2"/>
        <v>-38.874000000000024</v>
      </c>
    </row>
    <row r="127" spans="1:11" ht="12.75" x14ac:dyDescent="0.2">
      <c r="A127" s="13">
        <v>45684</v>
      </c>
      <c r="B127" s="14" t="s">
        <v>3</v>
      </c>
      <c r="C127" s="15">
        <v>0.95779999999999998</v>
      </c>
      <c r="D127" s="16"/>
      <c r="E127" s="17"/>
      <c r="F127" s="17"/>
      <c r="G127" s="18">
        <v>1042</v>
      </c>
      <c r="H127" s="19">
        <f t="shared" si="0"/>
        <v>43.972399999999993</v>
      </c>
      <c r="I127" s="20">
        <f t="shared" si="1"/>
        <v>2418.4819999999995</v>
      </c>
      <c r="J127" s="21">
        <f t="shared" si="3"/>
        <v>52.100000000000023</v>
      </c>
      <c r="K127" s="22">
        <f t="shared" si="2"/>
        <v>8.1276000000000295</v>
      </c>
    </row>
    <row r="128" spans="1:11" ht="12.75" x14ac:dyDescent="0.2">
      <c r="A128" s="13">
        <v>45685</v>
      </c>
      <c r="B128" s="14" t="s">
        <v>4</v>
      </c>
      <c r="C128" s="15">
        <v>0.9607</v>
      </c>
      <c r="D128" s="16"/>
      <c r="E128" s="17"/>
      <c r="F128" s="17" t="s">
        <v>221</v>
      </c>
      <c r="G128" s="18">
        <v>1042</v>
      </c>
      <c r="H128" s="19">
        <f t="shared" si="0"/>
        <v>40.950600000000009</v>
      </c>
      <c r="I128" s="20">
        <f t="shared" si="1"/>
        <v>2252.2830000000004</v>
      </c>
      <c r="J128" s="21">
        <f t="shared" si="3"/>
        <v>52.100000000000023</v>
      </c>
      <c r="K128" s="22">
        <f t="shared" si="2"/>
        <v>11.149400000000014</v>
      </c>
    </row>
    <row r="129" spans="1:11" ht="12.75" x14ac:dyDescent="0.2">
      <c r="A129" s="13">
        <v>45686</v>
      </c>
      <c r="B129" s="14" t="s">
        <v>5</v>
      </c>
      <c r="C129" s="15">
        <v>0.95399999999999996</v>
      </c>
      <c r="D129" s="16"/>
      <c r="E129" s="17"/>
      <c r="F129" s="17"/>
      <c r="G129" s="18">
        <v>1043</v>
      </c>
      <c r="H129" s="19">
        <f t="shared" si="0"/>
        <v>47.978000000000065</v>
      </c>
      <c r="I129" s="20">
        <f t="shared" si="1"/>
        <v>2638.7900000000036</v>
      </c>
      <c r="J129" s="21">
        <f t="shared" si="3"/>
        <v>52.150000000000091</v>
      </c>
      <c r="K129" s="22">
        <f t="shared" si="2"/>
        <v>4.1720000000000255</v>
      </c>
    </row>
    <row r="130" spans="1:11" ht="25.5" x14ac:dyDescent="0.2">
      <c r="A130" s="13">
        <v>45687</v>
      </c>
      <c r="B130" s="14" t="s">
        <v>6</v>
      </c>
      <c r="C130" s="15">
        <v>0.94159999999999999</v>
      </c>
      <c r="D130" s="16"/>
      <c r="E130" s="17"/>
      <c r="F130" s="17" t="s">
        <v>222</v>
      </c>
      <c r="G130" s="18">
        <v>1044</v>
      </c>
      <c r="H130" s="19">
        <f t="shared" si="0"/>
        <v>60.969600000000014</v>
      </c>
      <c r="I130" s="20">
        <f t="shared" si="1"/>
        <v>3353.3280000000009</v>
      </c>
      <c r="J130" s="21">
        <f t="shared" si="3"/>
        <v>52.200000000000045</v>
      </c>
      <c r="K130" s="22">
        <f t="shared" si="2"/>
        <v>-8.7695999999999685</v>
      </c>
    </row>
    <row r="131" spans="1:11" ht="12.75" x14ac:dyDescent="0.2">
      <c r="A131" s="13">
        <v>45688</v>
      </c>
      <c r="B131" s="14" t="s">
        <v>7</v>
      </c>
      <c r="C131" s="15">
        <v>0.94059999999999999</v>
      </c>
      <c r="D131" s="16"/>
      <c r="E131" s="17"/>
      <c r="F131" s="17"/>
      <c r="G131" s="18">
        <v>1043</v>
      </c>
      <c r="H131" s="19">
        <f t="shared" si="0"/>
        <v>61.954200000000014</v>
      </c>
      <c r="I131" s="20">
        <f t="shared" si="1"/>
        <v>3407.4810000000007</v>
      </c>
      <c r="J131" s="21">
        <f t="shared" si="3"/>
        <v>52.150000000000091</v>
      </c>
      <c r="K131" s="22">
        <f t="shared" si="2"/>
        <v>-9.8041999999999234</v>
      </c>
    </row>
    <row r="132" spans="1:11" ht="12.75" x14ac:dyDescent="0.2">
      <c r="A132" s="13">
        <v>45691</v>
      </c>
      <c r="B132" s="14" t="s">
        <v>3</v>
      </c>
      <c r="C132" s="15">
        <v>0.79020000000000001</v>
      </c>
      <c r="D132" s="16" t="s">
        <v>29</v>
      </c>
      <c r="E132" s="17" t="s">
        <v>30</v>
      </c>
      <c r="F132" s="17" t="s">
        <v>223</v>
      </c>
      <c r="G132" s="18">
        <v>1039</v>
      </c>
      <c r="H132" s="19">
        <f t="shared" si="0"/>
        <v>217.98220000000003</v>
      </c>
      <c r="I132" s="20">
        <f t="shared" si="1"/>
        <v>11989.021000000002</v>
      </c>
      <c r="J132" s="21">
        <f t="shared" si="3"/>
        <v>51.950000000000045</v>
      </c>
      <c r="K132" s="22">
        <f t="shared" si="2"/>
        <v>-166.03219999999999</v>
      </c>
    </row>
    <row r="133" spans="1:11" ht="12.75" x14ac:dyDescent="0.2">
      <c r="A133" s="13">
        <v>45692</v>
      </c>
      <c r="B133" s="14" t="s">
        <v>4</v>
      </c>
      <c r="C133" s="15">
        <v>0.95379999999999998</v>
      </c>
      <c r="D133" s="16"/>
      <c r="E133" s="17"/>
      <c r="F133" s="17" t="s">
        <v>224</v>
      </c>
      <c r="G133" s="18">
        <v>1039</v>
      </c>
      <c r="H133" s="19">
        <f t="shared" si="0"/>
        <v>48.001800000000003</v>
      </c>
      <c r="I133" s="20">
        <f t="shared" si="1"/>
        <v>2640.0990000000002</v>
      </c>
      <c r="J133" s="21">
        <f t="shared" si="3"/>
        <v>51.950000000000045</v>
      </c>
      <c r="K133" s="22">
        <f t="shared" si="2"/>
        <v>3.9482000000000426</v>
      </c>
    </row>
    <row r="134" spans="1:11" ht="12.75" x14ac:dyDescent="0.2">
      <c r="A134" s="13">
        <v>45693</v>
      </c>
      <c r="B134" s="14" t="s">
        <v>5</v>
      </c>
      <c r="C134" s="15">
        <v>0.95950000000000002</v>
      </c>
      <c r="D134" s="16"/>
      <c r="E134" s="17"/>
      <c r="F134" s="17" t="s">
        <v>225</v>
      </c>
      <c r="G134" s="18">
        <v>1039</v>
      </c>
      <c r="H134" s="19">
        <f t="shared" si="0"/>
        <v>42.079499999999939</v>
      </c>
      <c r="I134" s="20">
        <f t="shared" si="1"/>
        <v>2314.3724999999968</v>
      </c>
      <c r="J134" s="21">
        <f t="shared" si="3"/>
        <v>51.950000000000045</v>
      </c>
      <c r="K134" s="22">
        <f t="shared" si="2"/>
        <v>9.8705000000001064</v>
      </c>
    </row>
    <row r="135" spans="1:11" ht="12.75" x14ac:dyDescent="0.2">
      <c r="A135" s="13">
        <v>45694</v>
      </c>
      <c r="B135" s="14" t="s">
        <v>6</v>
      </c>
      <c r="C135" s="15">
        <v>0.95950000000000002</v>
      </c>
      <c r="D135" s="16"/>
      <c r="E135" s="17"/>
      <c r="F135" s="17"/>
      <c r="G135" s="18">
        <v>1037</v>
      </c>
      <c r="H135" s="19">
        <f t="shared" si="0"/>
        <v>41.998500000000035</v>
      </c>
      <c r="I135" s="20">
        <f t="shared" si="1"/>
        <v>2309.9175000000018</v>
      </c>
      <c r="J135" s="21">
        <f t="shared" si="3"/>
        <v>51.850000000000023</v>
      </c>
      <c r="K135" s="22">
        <f t="shared" si="2"/>
        <v>9.8514999999999873</v>
      </c>
    </row>
    <row r="136" spans="1:11" ht="12.75" x14ac:dyDescent="0.2">
      <c r="A136" s="13">
        <v>45695</v>
      </c>
      <c r="B136" s="14" t="s">
        <v>7</v>
      </c>
      <c r="C136" s="15">
        <v>0.91510000000000002</v>
      </c>
      <c r="D136" s="16"/>
      <c r="E136" s="17"/>
      <c r="F136" s="17"/>
      <c r="G136" s="18">
        <v>1037</v>
      </c>
      <c r="H136" s="19">
        <f t="shared" si="0"/>
        <v>88.041299999999978</v>
      </c>
      <c r="I136" s="20">
        <f t="shared" si="1"/>
        <v>4842.2714999999989</v>
      </c>
      <c r="J136" s="21">
        <f t="shared" si="3"/>
        <v>51.850000000000023</v>
      </c>
      <c r="K136" s="22">
        <f t="shared" si="2"/>
        <v>-36.191299999999956</v>
      </c>
    </row>
    <row r="137" spans="1:11" ht="12.75" x14ac:dyDescent="0.2">
      <c r="A137" s="30">
        <v>45698</v>
      </c>
      <c r="B137" s="31" t="s">
        <v>3</v>
      </c>
      <c r="C137" s="32"/>
      <c r="D137" s="33"/>
      <c r="E137" s="34"/>
      <c r="F137" s="34"/>
      <c r="G137" s="35"/>
      <c r="H137" s="19">
        <f t="shared" si="0"/>
        <v>0</v>
      </c>
      <c r="I137" s="20">
        <f t="shared" si="1"/>
        <v>0</v>
      </c>
      <c r="J137" s="21">
        <f t="shared" si="3"/>
        <v>0</v>
      </c>
      <c r="K137" s="22">
        <f t="shared" si="2"/>
        <v>0</v>
      </c>
    </row>
    <row r="138" spans="1:11" ht="12.75" x14ac:dyDescent="0.2">
      <c r="A138" s="30">
        <v>45699</v>
      </c>
      <c r="B138" s="31" t="s">
        <v>4</v>
      </c>
      <c r="C138" s="32"/>
      <c r="D138" s="33"/>
      <c r="E138" s="34"/>
      <c r="F138" s="34"/>
      <c r="G138" s="35"/>
      <c r="H138" s="19">
        <f t="shared" si="0"/>
        <v>0</v>
      </c>
      <c r="I138" s="20">
        <f t="shared" si="1"/>
        <v>0</v>
      </c>
      <c r="J138" s="21">
        <f t="shared" si="3"/>
        <v>0</v>
      </c>
      <c r="K138" s="22">
        <f t="shared" si="2"/>
        <v>0</v>
      </c>
    </row>
    <row r="139" spans="1:11" ht="12.75" x14ac:dyDescent="0.2">
      <c r="A139" s="13">
        <v>45700</v>
      </c>
      <c r="B139" s="14" t="s">
        <v>5</v>
      </c>
      <c r="C139" s="15">
        <v>0.95660000000000001</v>
      </c>
      <c r="D139" s="16"/>
      <c r="E139" s="17"/>
      <c r="F139" s="17"/>
      <c r="G139" s="18">
        <v>1036</v>
      </c>
      <c r="H139" s="19">
        <f t="shared" si="0"/>
        <v>44.962400000000002</v>
      </c>
      <c r="I139" s="20">
        <f t="shared" si="1"/>
        <v>2472.9320000000002</v>
      </c>
      <c r="J139" s="21">
        <f t="shared" si="3"/>
        <v>51.800000000000068</v>
      </c>
      <c r="K139" s="22">
        <f t="shared" si="2"/>
        <v>6.8376000000000658</v>
      </c>
    </row>
    <row r="140" spans="1:11" ht="12.75" x14ac:dyDescent="0.2">
      <c r="A140" s="13">
        <v>45701</v>
      </c>
      <c r="B140" s="14" t="s">
        <v>6</v>
      </c>
      <c r="C140" s="15">
        <v>0.94689999999999996</v>
      </c>
      <c r="D140" s="16"/>
      <c r="E140" s="17"/>
      <c r="F140" s="17" t="s">
        <v>226</v>
      </c>
      <c r="G140" s="18">
        <v>1036</v>
      </c>
      <c r="H140" s="19">
        <f t="shared" si="0"/>
        <v>55.011600000000044</v>
      </c>
      <c r="I140" s="20">
        <f t="shared" si="1"/>
        <v>3025.6380000000026</v>
      </c>
      <c r="J140" s="21">
        <f t="shared" si="3"/>
        <v>51.800000000000068</v>
      </c>
      <c r="K140" s="22">
        <f t="shared" si="2"/>
        <v>-3.2115999999999758</v>
      </c>
    </row>
    <row r="141" spans="1:11" ht="38.25" x14ac:dyDescent="0.2">
      <c r="A141" s="13">
        <v>45702</v>
      </c>
      <c r="B141" s="14" t="s">
        <v>7</v>
      </c>
      <c r="C141" s="15">
        <v>0.9163</v>
      </c>
      <c r="D141" s="16"/>
      <c r="E141" s="17"/>
      <c r="F141" s="17" t="s">
        <v>227</v>
      </c>
      <c r="G141" s="18">
        <v>1039</v>
      </c>
      <c r="H141" s="19">
        <f t="shared" si="0"/>
        <v>86.96429999999998</v>
      </c>
      <c r="I141" s="20">
        <f t="shared" si="1"/>
        <v>4783.0364999999993</v>
      </c>
      <c r="J141" s="21">
        <f t="shared" si="3"/>
        <v>51.950000000000045</v>
      </c>
      <c r="K141" s="22">
        <f t="shared" si="2"/>
        <v>-35.014299999999935</v>
      </c>
    </row>
    <row r="142" spans="1:11" ht="12.75" x14ac:dyDescent="0.2">
      <c r="A142" s="38">
        <v>45705</v>
      </c>
      <c r="B142" s="39" t="s">
        <v>3</v>
      </c>
      <c r="C142" s="40"/>
      <c r="D142" s="41"/>
      <c r="E142" s="42"/>
      <c r="F142" s="42"/>
      <c r="G142" s="43"/>
      <c r="H142" s="19">
        <f t="shared" si="0"/>
        <v>0</v>
      </c>
      <c r="I142" s="20">
        <f t="shared" si="1"/>
        <v>0</v>
      </c>
      <c r="J142" s="21">
        <f t="shared" si="3"/>
        <v>0</v>
      </c>
      <c r="K142" s="22">
        <f t="shared" si="2"/>
        <v>0</v>
      </c>
    </row>
    <row r="143" spans="1:11" ht="25.5" x14ac:dyDescent="0.2">
      <c r="A143" s="13">
        <v>45706</v>
      </c>
      <c r="B143" s="14" t="s">
        <v>4</v>
      </c>
      <c r="C143" s="15">
        <v>0.94899999999999995</v>
      </c>
      <c r="D143" s="16"/>
      <c r="E143" s="17"/>
      <c r="F143" s="17" t="s">
        <v>228</v>
      </c>
      <c r="G143" s="18">
        <v>1040</v>
      </c>
      <c r="H143" s="19">
        <f t="shared" si="0"/>
        <v>53.040000000000077</v>
      </c>
      <c r="I143" s="20">
        <f t="shared" si="1"/>
        <v>2917.2000000000044</v>
      </c>
      <c r="J143" s="21">
        <f t="shared" si="3"/>
        <v>52</v>
      </c>
      <c r="K143" s="22">
        <f t="shared" si="2"/>
        <v>-1.0400000000000773</v>
      </c>
    </row>
    <row r="144" spans="1:11" ht="12.75" x14ac:dyDescent="0.2">
      <c r="A144" s="13">
        <v>45707</v>
      </c>
      <c r="B144" s="14" t="s">
        <v>5</v>
      </c>
      <c r="C144" s="15">
        <v>0.94330000000000003</v>
      </c>
      <c r="D144" s="16"/>
      <c r="E144" s="17"/>
      <c r="F144" s="17" t="s">
        <v>229</v>
      </c>
      <c r="G144" s="18">
        <v>1040</v>
      </c>
      <c r="H144" s="19">
        <f t="shared" si="0"/>
        <v>58.967999999999961</v>
      </c>
      <c r="I144" s="20">
        <f t="shared" si="1"/>
        <v>3243.239999999998</v>
      </c>
      <c r="J144" s="21">
        <f t="shared" si="3"/>
        <v>52</v>
      </c>
      <c r="K144" s="22">
        <f t="shared" si="2"/>
        <v>-6.9679999999999609</v>
      </c>
    </row>
    <row r="145" spans="1:11" ht="38.25" x14ac:dyDescent="0.2">
      <c r="A145" s="13">
        <v>45708</v>
      </c>
      <c r="B145" s="14" t="s">
        <v>6</v>
      </c>
      <c r="C145" s="15">
        <v>0.88160000000000005</v>
      </c>
      <c r="D145" s="16"/>
      <c r="E145" s="17"/>
      <c r="F145" s="17" t="s">
        <v>230</v>
      </c>
      <c r="G145" s="18">
        <v>1040</v>
      </c>
      <c r="H145" s="19">
        <f t="shared" si="0"/>
        <v>123.13599999999997</v>
      </c>
      <c r="I145" s="20">
        <f t="shared" si="1"/>
        <v>6772.4799999999977</v>
      </c>
      <c r="J145" s="21">
        <f t="shared" si="3"/>
        <v>52</v>
      </c>
      <c r="K145" s="22">
        <f t="shared" si="2"/>
        <v>-71.135999999999967</v>
      </c>
    </row>
    <row r="146" spans="1:11" ht="38.25" x14ac:dyDescent="0.2">
      <c r="A146" s="13">
        <v>45709</v>
      </c>
      <c r="B146" s="14" t="s">
        <v>7</v>
      </c>
      <c r="C146" s="15">
        <v>0.94320000000000004</v>
      </c>
      <c r="D146" s="16"/>
      <c r="E146" s="17"/>
      <c r="F146" s="17" t="s">
        <v>231</v>
      </c>
      <c r="G146" s="18">
        <v>1040</v>
      </c>
      <c r="H146" s="19">
        <f t="shared" si="0"/>
        <v>59.072000000000003</v>
      </c>
      <c r="I146" s="20">
        <f t="shared" si="1"/>
        <v>3248.96</v>
      </c>
      <c r="J146" s="21">
        <f t="shared" si="3"/>
        <v>52</v>
      </c>
      <c r="K146" s="22">
        <f t="shared" si="2"/>
        <v>-7.0720000000000027</v>
      </c>
    </row>
    <row r="147" spans="1:11" ht="25.5" x14ac:dyDescent="0.2">
      <c r="A147" s="13">
        <v>45712</v>
      </c>
      <c r="B147" s="14" t="s">
        <v>3</v>
      </c>
      <c r="C147" s="15">
        <v>0.94320000000000004</v>
      </c>
      <c r="D147" s="16"/>
      <c r="E147" s="17"/>
      <c r="F147" s="17" t="s">
        <v>232</v>
      </c>
      <c r="G147" s="18">
        <v>1039</v>
      </c>
      <c r="H147" s="19">
        <f t="shared" si="0"/>
        <v>59.015199999999936</v>
      </c>
      <c r="I147" s="20">
        <f t="shared" si="1"/>
        <v>3245.8359999999966</v>
      </c>
      <c r="J147" s="21">
        <f t="shared" si="3"/>
        <v>51.950000000000045</v>
      </c>
      <c r="K147" s="22">
        <f t="shared" si="2"/>
        <v>-7.0651999999998907</v>
      </c>
    </row>
    <row r="148" spans="1:11" ht="38.25" x14ac:dyDescent="0.2">
      <c r="A148" s="13">
        <v>45713</v>
      </c>
      <c r="B148" s="14" t="s">
        <v>4</v>
      </c>
      <c r="C148" s="15">
        <v>0.95530000000000004</v>
      </c>
      <c r="D148" s="16"/>
      <c r="E148" s="17"/>
      <c r="F148" s="17" t="s">
        <v>233</v>
      </c>
      <c r="G148" s="18">
        <v>1029</v>
      </c>
      <c r="H148" s="19">
        <f t="shared" si="0"/>
        <v>45.996299999999906</v>
      </c>
      <c r="I148" s="20">
        <f t="shared" si="1"/>
        <v>2529.7964999999949</v>
      </c>
      <c r="J148" s="21">
        <f t="shared" si="3"/>
        <v>51.450000000000045</v>
      </c>
      <c r="K148" s="22">
        <f t="shared" si="2"/>
        <v>5.4537000000001399</v>
      </c>
    </row>
    <row r="149" spans="1:11" ht="38.25" x14ac:dyDescent="0.2">
      <c r="A149" s="13">
        <v>45714</v>
      </c>
      <c r="B149" s="14" t="s">
        <v>5</v>
      </c>
      <c r="C149" s="15">
        <v>0.94359999999999999</v>
      </c>
      <c r="D149" s="16"/>
      <c r="E149" s="17"/>
      <c r="F149" s="17" t="s">
        <v>234</v>
      </c>
      <c r="G149" s="18">
        <v>1028</v>
      </c>
      <c r="H149" s="19">
        <f t="shared" si="0"/>
        <v>57.979199999999992</v>
      </c>
      <c r="I149" s="20">
        <f t="shared" si="1"/>
        <v>3188.8559999999998</v>
      </c>
      <c r="J149" s="21">
        <f t="shared" si="3"/>
        <v>51.400000000000091</v>
      </c>
      <c r="K149" s="22">
        <f t="shared" si="2"/>
        <v>-6.5791999999999007</v>
      </c>
    </row>
    <row r="150" spans="1:11" ht="12.75" x14ac:dyDescent="0.2">
      <c r="A150" s="13">
        <v>45715</v>
      </c>
      <c r="B150" s="14" t="s">
        <v>6</v>
      </c>
      <c r="C150" s="15">
        <v>0.9466</v>
      </c>
      <c r="D150" s="16"/>
      <c r="E150" s="17"/>
      <c r="F150" s="17"/>
      <c r="G150" s="18">
        <v>1029</v>
      </c>
      <c r="H150" s="19">
        <f t="shared" si="0"/>
        <v>54.948600000000056</v>
      </c>
      <c r="I150" s="20">
        <f t="shared" si="1"/>
        <v>3022.173000000003</v>
      </c>
      <c r="J150" s="21">
        <f t="shared" si="3"/>
        <v>51.450000000000045</v>
      </c>
      <c r="K150" s="22">
        <f t="shared" si="2"/>
        <v>-3.4986000000000104</v>
      </c>
    </row>
    <row r="151" spans="1:11" ht="12.75" x14ac:dyDescent="0.2">
      <c r="A151" s="13">
        <v>45716</v>
      </c>
      <c r="B151" s="14" t="s">
        <v>7</v>
      </c>
      <c r="C151" s="15">
        <v>0.93589999999999995</v>
      </c>
      <c r="D151" s="16"/>
      <c r="E151" s="17"/>
      <c r="F151" s="17"/>
      <c r="G151" s="18">
        <v>1030</v>
      </c>
      <c r="H151" s="19">
        <f t="shared" si="0"/>
        <v>66.023000000000025</v>
      </c>
      <c r="I151" s="20">
        <f t="shared" si="1"/>
        <v>3631.2650000000012</v>
      </c>
      <c r="J151" s="21">
        <f t="shared" si="3"/>
        <v>51.5</v>
      </c>
      <c r="K151" s="22">
        <f t="shared" si="2"/>
        <v>-14.523000000000025</v>
      </c>
    </row>
    <row r="152" spans="1:11" ht="12.75" x14ac:dyDescent="0.2">
      <c r="A152" s="13">
        <v>45719</v>
      </c>
      <c r="B152" s="14" t="s">
        <v>3</v>
      </c>
      <c r="C152" s="15">
        <v>0.94169999999999998</v>
      </c>
      <c r="D152" s="16"/>
      <c r="E152" s="17"/>
      <c r="F152" s="17"/>
      <c r="G152" s="18">
        <v>1030</v>
      </c>
      <c r="H152" s="19">
        <f t="shared" si="0"/>
        <v>60.048999999999978</v>
      </c>
      <c r="I152" s="20">
        <f t="shared" si="1"/>
        <v>3302.6949999999988</v>
      </c>
      <c r="J152" s="21">
        <f t="shared" si="3"/>
        <v>51.5</v>
      </c>
      <c r="K152" s="22">
        <f t="shared" si="2"/>
        <v>-8.5489999999999782</v>
      </c>
    </row>
    <row r="153" spans="1:11" ht="12.75" x14ac:dyDescent="0.2">
      <c r="A153" s="13">
        <v>45720</v>
      </c>
      <c r="B153" s="14" t="s">
        <v>4</v>
      </c>
      <c r="C153" s="15">
        <v>0.96009999999999995</v>
      </c>
      <c r="D153" s="16"/>
      <c r="E153" s="17"/>
      <c r="F153" s="17" t="s">
        <v>235</v>
      </c>
      <c r="G153" s="18">
        <v>1028</v>
      </c>
      <c r="H153" s="19">
        <f t="shared" si="0"/>
        <v>41.017200000000003</v>
      </c>
      <c r="I153" s="20">
        <f t="shared" si="1"/>
        <v>2255.9459999999999</v>
      </c>
      <c r="J153" s="21">
        <f t="shared" si="3"/>
        <v>51.400000000000091</v>
      </c>
      <c r="K153" s="22">
        <f t="shared" si="2"/>
        <v>10.382800000000088</v>
      </c>
    </row>
    <row r="154" spans="1:11" ht="12.75" x14ac:dyDescent="0.2">
      <c r="A154" s="13">
        <v>45721</v>
      </c>
      <c r="B154" s="14" t="s">
        <v>5</v>
      </c>
      <c r="C154" s="15">
        <v>0.95430000000000004</v>
      </c>
      <c r="D154" s="16"/>
      <c r="E154" s="17"/>
      <c r="F154" s="17" t="s">
        <v>236</v>
      </c>
      <c r="G154" s="18">
        <v>1028</v>
      </c>
      <c r="H154" s="19">
        <f t="shared" si="0"/>
        <v>46.979600000000005</v>
      </c>
      <c r="I154" s="20">
        <f t="shared" si="1"/>
        <v>2583.8780000000002</v>
      </c>
      <c r="J154" s="21">
        <f t="shared" si="3"/>
        <v>51.400000000000091</v>
      </c>
      <c r="K154" s="22">
        <f t="shared" si="2"/>
        <v>4.420400000000086</v>
      </c>
    </row>
    <row r="155" spans="1:11" ht="25.5" x14ac:dyDescent="0.2">
      <c r="A155" s="13">
        <v>45722</v>
      </c>
      <c r="B155" s="14" t="s">
        <v>6</v>
      </c>
      <c r="C155" s="15">
        <v>0.96399999999999997</v>
      </c>
      <c r="D155" s="16"/>
      <c r="E155" s="17"/>
      <c r="F155" s="17" t="s">
        <v>237</v>
      </c>
      <c r="G155" s="18">
        <v>1028</v>
      </c>
      <c r="H155" s="19">
        <f t="shared" si="0"/>
        <v>37.008000000000038</v>
      </c>
      <c r="I155" s="20">
        <f t="shared" si="1"/>
        <v>2035.4400000000021</v>
      </c>
      <c r="J155" s="21">
        <f t="shared" si="3"/>
        <v>51.400000000000091</v>
      </c>
      <c r="K155" s="22">
        <f t="shared" si="2"/>
        <v>14.392000000000053</v>
      </c>
    </row>
    <row r="156" spans="1:11" ht="12.75" x14ac:dyDescent="0.2">
      <c r="A156" s="13">
        <v>45723</v>
      </c>
      <c r="B156" s="14" t="s">
        <v>7</v>
      </c>
      <c r="C156" s="15">
        <v>0.92800000000000005</v>
      </c>
      <c r="D156" s="16"/>
      <c r="E156" s="17"/>
      <c r="F156" s="17"/>
      <c r="G156" s="18">
        <v>1028</v>
      </c>
      <c r="H156" s="19">
        <f t="shared" si="0"/>
        <v>74.015999999999963</v>
      </c>
      <c r="I156" s="20">
        <f t="shared" si="1"/>
        <v>4070.8799999999978</v>
      </c>
      <c r="J156" s="21">
        <f t="shared" si="3"/>
        <v>51.400000000000091</v>
      </c>
      <c r="K156" s="22">
        <f t="shared" si="2"/>
        <v>-22.615999999999872</v>
      </c>
    </row>
    <row r="157" spans="1:11" ht="12.75" x14ac:dyDescent="0.2">
      <c r="A157" s="44">
        <v>45726</v>
      </c>
      <c r="B157" s="45" t="s">
        <v>3</v>
      </c>
      <c r="C157" s="15">
        <v>0.94169999999999998</v>
      </c>
      <c r="D157" s="16"/>
      <c r="E157" s="17"/>
      <c r="F157" s="17"/>
      <c r="G157" s="18">
        <v>1030</v>
      </c>
      <c r="H157" s="19">
        <f t="shared" si="0"/>
        <v>60.048999999999978</v>
      </c>
      <c r="I157" s="20">
        <f t="shared" si="1"/>
        <v>3302.6949999999988</v>
      </c>
      <c r="J157" s="21">
        <f t="shared" si="3"/>
        <v>51.5</v>
      </c>
      <c r="K157" s="22">
        <f t="shared" si="2"/>
        <v>-8.5489999999999782</v>
      </c>
    </row>
    <row r="158" spans="1:11" ht="12.75" x14ac:dyDescent="0.2">
      <c r="A158" s="44">
        <v>45727</v>
      </c>
      <c r="B158" s="45" t="s">
        <v>4</v>
      </c>
      <c r="C158" s="15"/>
      <c r="D158" s="16"/>
      <c r="E158" s="17"/>
      <c r="F158" s="17"/>
      <c r="H158" s="19">
        <f t="shared" si="0"/>
        <v>0</v>
      </c>
      <c r="I158" s="20">
        <f t="shared" si="1"/>
        <v>0</v>
      </c>
      <c r="J158" s="21">
        <f t="shared" si="3"/>
        <v>0</v>
      </c>
      <c r="K158" s="22">
        <f t="shared" si="2"/>
        <v>0</v>
      </c>
    </row>
    <row r="159" spans="1:11" ht="12.75" x14ac:dyDescent="0.2">
      <c r="A159" s="44">
        <v>45728</v>
      </c>
      <c r="B159" s="45" t="s">
        <v>5</v>
      </c>
      <c r="C159" s="15"/>
      <c r="D159" s="16"/>
      <c r="E159" s="17"/>
      <c r="F159" s="17"/>
      <c r="H159" s="19">
        <f t="shared" si="0"/>
        <v>0</v>
      </c>
      <c r="I159" s="20">
        <f t="shared" si="1"/>
        <v>0</v>
      </c>
      <c r="J159" s="21">
        <f t="shared" si="3"/>
        <v>0</v>
      </c>
      <c r="K159" s="22">
        <f t="shared" si="2"/>
        <v>0</v>
      </c>
    </row>
    <row r="160" spans="1:11" ht="12.75" x14ac:dyDescent="0.2">
      <c r="A160" s="44">
        <v>45729</v>
      </c>
      <c r="B160" s="45" t="s">
        <v>6</v>
      </c>
      <c r="C160" s="15"/>
      <c r="D160" s="16"/>
      <c r="E160" s="17"/>
      <c r="F160" s="17"/>
      <c r="H160" s="19">
        <f t="shared" si="0"/>
        <v>0</v>
      </c>
      <c r="I160" s="20">
        <f t="shared" si="1"/>
        <v>0</v>
      </c>
      <c r="J160" s="21">
        <f t="shared" si="3"/>
        <v>0</v>
      </c>
      <c r="K160" s="22">
        <f t="shared" si="2"/>
        <v>0</v>
      </c>
    </row>
    <row r="161" spans="1:11" ht="12.75" x14ac:dyDescent="0.2">
      <c r="A161" s="44">
        <v>45730</v>
      </c>
      <c r="B161" s="45" t="s">
        <v>7</v>
      </c>
      <c r="C161" s="15"/>
      <c r="D161" s="16"/>
      <c r="E161" s="17"/>
      <c r="F161" s="17"/>
      <c r="H161" s="19">
        <f t="shared" si="0"/>
        <v>0</v>
      </c>
      <c r="I161" s="20">
        <f t="shared" si="1"/>
        <v>0</v>
      </c>
      <c r="J161" s="21">
        <f t="shared" si="3"/>
        <v>0</v>
      </c>
      <c r="K161" s="22">
        <f t="shared" si="2"/>
        <v>0</v>
      </c>
    </row>
    <row r="162" spans="1:11" ht="12.75" x14ac:dyDescent="0.2">
      <c r="A162" s="24">
        <v>45733</v>
      </c>
      <c r="B162" s="25" t="s">
        <v>3</v>
      </c>
      <c r="C162" s="26"/>
      <c r="D162" s="27"/>
      <c r="E162" s="28"/>
      <c r="F162" s="28"/>
      <c r="G162" s="29"/>
      <c r="H162" s="19">
        <f t="shared" si="0"/>
        <v>0</v>
      </c>
      <c r="I162" s="20">
        <f t="shared" si="1"/>
        <v>0</v>
      </c>
      <c r="J162" s="21">
        <f t="shared" si="3"/>
        <v>0</v>
      </c>
      <c r="K162" s="22">
        <f t="shared" si="2"/>
        <v>0</v>
      </c>
    </row>
    <row r="163" spans="1:11" ht="12.75" x14ac:dyDescent="0.2">
      <c r="A163" s="24">
        <v>45734</v>
      </c>
      <c r="B163" s="25" t="s">
        <v>4</v>
      </c>
      <c r="C163" s="26"/>
      <c r="D163" s="27"/>
      <c r="E163" s="28"/>
      <c r="F163" s="28"/>
      <c r="G163" s="29"/>
      <c r="H163" s="19">
        <f t="shared" si="0"/>
        <v>0</v>
      </c>
      <c r="I163" s="20">
        <f t="shared" si="1"/>
        <v>0</v>
      </c>
      <c r="J163" s="21">
        <f t="shared" si="3"/>
        <v>0</v>
      </c>
      <c r="K163" s="22">
        <f t="shared" si="2"/>
        <v>0</v>
      </c>
    </row>
    <row r="164" spans="1:11" ht="12.75" x14ac:dyDescent="0.2">
      <c r="A164" s="24">
        <v>45735</v>
      </c>
      <c r="B164" s="25" t="s">
        <v>5</v>
      </c>
      <c r="C164" s="26"/>
      <c r="D164" s="27"/>
      <c r="E164" s="28"/>
      <c r="F164" s="28"/>
      <c r="G164" s="29"/>
      <c r="H164" s="19">
        <f t="shared" si="0"/>
        <v>0</v>
      </c>
      <c r="I164" s="20">
        <f t="shared" si="1"/>
        <v>0</v>
      </c>
      <c r="J164" s="21">
        <f t="shared" si="3"/>
        <v>0</v>
      </c>
      <c r="K164" s="22">
        <f t="shared" si="2"/>
        <v>0</v>
      </c>
    </row>
    <row r="165" spans="1:11" ht="12.75" x14ac:dyDescent="0.2">
      <c r="A165" s="24">
        <v>45736</v>
      </c>
      <c r="B165" s="25" t="s">
        <v>6</v>
      </c>
      <c r="C165" s="26"/>
      <c r="D165" s="27"/>
      <c r="E165" s="28"/>
      <c r="F165" s="28"/>
      <c r="G165" s="29"/>
      <c r="H165" s="19">
        <f t="shared" si="0"/>
        <v>0</v>
      </c>
      <c r="I165" s="20">
        <f t="shared" si="1"/>
        <v>0</v>
      </c>
      <c r="J165" s="21">
        <f t="shared" si="3"/>
        <v>0</v>
      </c>
      <c r="K165" s="22">
        <f t="shared" si="2"/>
        <v>0</v>
      </c>
    </row>
    <row r="166" spans="1:11" ht="12.75" x14ac:dyDescent="0.2">
      <c r="A166" s="24">
        <v>45737</v>
      </c>
      <c r="B166" s="25" t="s">
        <v>7</v>
      </c>
      <c r="C166" s="26"/>
      <c r="D166" s="27"/>
      <c r="E166" s="28"/>
      <c r="F166" s="28"/>
      <c r="G166" s="29"/>
      <c r="H166" s="19">
        <f t="shared" si="0"/>
        <v>0</v>
      </c>
      <c r="I166" s="20">
        <f t="shared" si="1"/>
        <v>0</v>
      </c>
      <c r="J166" s="21">
        <f t="shared" si="3"/>
        <v>0</v>
      </c>
      <c r="K166" s="22">
        <f t="shared" si="2"/>
        <v>0</v>
      </c>
    </row>
    <row r="167" spans="1:11" ht="12.75" x14ac:dyDescent="0.2">
      <c r="A167" s="13">
        <v>45740</v>
      </c>
      <c r="B167" s="14" t="s">
        <v>3</v>
      </c>
      <c r="C167" s="15"/>
      <c r="D167" s="16"/>
      <c r="E167" s="17"/>
      <c r="F167" s="17"/>
      <c r="H167" s="19">
        <f t="shared" si="0"/>
        <v>0</v>
      </c>
      <c r="I167" s="20">
        <f t="shared" si="1"/>
        <v>0</v>
      </c>
      <c r="J167" s="21">
        <f t="shared" si="3"/>
        <v>0</v>
      </c>
      <c r="K167" s="22">
        <f t="shared" si="2"/>
        <v>0</v>
      </c>
    </row>
    <row r="168" spans="1:11" ht="12.75" x14ac:dyDescent="0.2">
      <c r="A168" s="13">
        <v>45741</v>
      </c>
      <c r="B168" s="14" t="s">
        <v>4</v>
      </c>
      <c r="C168" s="15"/>
      <c r="D168" s="16"/>
      <c r="E168" s="17"/>
      <c r="F168" s="17"/>
      <c r="H168" s="19">
        <f t="shared" si="0"/>
        <v>0</v>
      </c>
      <c r="I168" s="20">
        <f t="shared" si="1"/>
        <v>0</v>
      </c>
      <c r="J168" s="21">
        <f t="shared" si="3"/>
        <v>0</v>
      </c>
      <c r="K168" s="22">
        <f t="shared" si="2"/>
        <v>0</v>
      </c>
    </row>
    <row r="169" spans="1:11" ht="12.75" x14ac:dyDescent="0.2">
      <c r="A169" s="13">
        <v>45742</v>
      </c>
      <c r="B169" s="14" t="s">
        <v>5</v>
      </c>
      <c r="C169" s="15"/>
      <c r="D169" s="16"/>
      <c r="E169" s="17"/>
      <c r="F169" s="17"/>
      <c r="H169" s="19">
        <f t="shared" si="0"/>
        <v>0</v>
      </c>
      <c r="I169" s="20">
        <f t="shared" si="1"/>
        <v>0</v>
      </c>
      <c r="J169" s="21">
        <f t="shared" si="3"/>
        <v>0</v>
      </c>
      <c r="K169" s="22">
        <f t="shared" si="2"/>
        <v>0</v>
      </c>
    </row>
    <row r="170" spans="1:11" ht="12.75" x14ac:dyDescent="0.2">
      <c r="A170" s="13">
        <v>45743</v>
      </c>
      <c r="B170" s="14" t="s">
        <v>6</v>
      </c>
      <c r="C170" s="15"/>
      <c r="D170" s="16"/>
      <c r="E170" s="17"/>
      <c r="F170" s="17"/>
      <c r="H170" s="19">
        <f t="shared" si="0"/>
        <v>0</v>
      </c>
      <c r="I170" s="20">
        <f t="shared" si="1"/>
        <v>0</v>
      </c>
      <c r="J170" s="21">
        <f t="shared" si="3"/>
        <v>0</v>
      </c>
      <c r="K170" s="22">
        <f t="shared" si="2"/>
        <v>0</v>
      </c>
    </row>
    <row r="171" spans="1:11" ht="12.75" x14ac:dyDescent="0.2">
      <c r="A171" s="13">
        <v>45744</v>
      </c>
      <c r="B171" s="14" t="s">
        <v>7</v>
      </c>
      <c r="C171" s="15"/>
      <c r="D171" s="16"/>
      <c r="E171" s="17"/>
      <c r="F171" s="17"/>
      <c r="H171" s="19">
        <f t="shared" si="0"/>
        <v>0</v>
      </c>
      <c r="I171" s="20">
        <f t="shared" si="1"/>
        <v>0</v>
      </c>
      <c r="J171" s="21">
        <f t="shared" si="3"/>
        <v>0</v>
      </c>
      <c r="K171" s="22">
        <f t="shared" si="2"/>
        <v>0</v>
      </c>
    </row>
    <row r="172" spans="1:11" ht="12.75" x14ac:dyDescent="0.2">
      <c r="A172" s="13">
        <v>45747</v>
      </c>
      <c r="B172" s="14" t="s">
        <v>3</v>
      </c>
      <c r="C172" s="15"/>
      <c r="D172" s="16"/>
      <c r="E172" s="17"/>
      <c r="F172" s="17"/>
      <c r="H172" s="19">
        <f t="shared" si="0"/>
        <v>0</v>
      </c>
      <c r="I172" s="20">
        <f t="shared" si="1"/>
        <v>0</v>
      </c>
      <c r="J172" s="21">
        <f t="shared" si="3"/>
        <v>0</v>
      </c>
      <c r="K172" s="22">
        <f t="shared" si="2"/>
        <v>0</v>
      </c>
    </row>
    <row r="173" spans="1:11" ht="12.75" x14ac:dyDescent="0.2">
      <c r="A173" s="13">
        <v>45748</v>
      </c>
      <c r="B173" s="14" t="s">
        <v>4</v>
      </c>
      <c r="C173" s="15"/>
      <c r="D173" s="16"/>
      <c r="E173" s="17"/>
      <c r="F173" s="17"/>
      <c r="H173" s="19">
        <f t="shared" si="0"/>
        <v>0</v>
      </c>
      <c r="I173" s="20">
        <f t="shared" si="1"/>
        <v>0</v>
      </c>
      <c r="J173" s="21">
        <f t="shared" si="3"/>
        <v>0</v>
      </c>
      <c r="K173" s="22">
        <f t="shared" si="2"/>
        <v>0</v>
      </c>
    </row>
    <row r="174" spans="1:11" ht="12.75" x14ac:dyDescent="0.2">
      <c r="A174" s="13">
        <v>45749</v>
      </c>
      <c r="B174" s="14" t="s">
        <v>5</v>
      </c>
      <c r="C174" s="15"/>
      <c r="D174" s="16"/>
      <c r="E174" s="17"/>
      <c r="F174" s="17"/>
      <c r="H174" s="19">
        <f t="shared" si="0"/>
        <v>0</v>
      </c>
      <c r="I174" s="20">
        <f t="shared" si="1"/>
        <v>0</v>
      </c>
      <c r="J174" s="21">
        <f t="shared" si="3"/>
        <v>0</v>
      </c>
      <c r="K174" s="22">
        <f t="shared" si="2"/>
        <v>0</v>
      </c>
    </row>
    <row r="175" spans="1:11" ht="12.75" x14ac:dyDescent="0.2">
      <c r="A175" s="13">
        <v>45750</v>
      </c>
      <c r="B175" s="14" t="s">
        <v>6</v>
      </c>
      <c r="C175" s="15"/>
      <c r="D175" s="16"/>
      <c r="E175" s="17"/>
      <c r="F175" s="17"/>
      <c r="H175" s="19">
        <f t="shared" si="0"/>
        <v>0</v>
      </c>
      <c r="I175" s="20">
        <f t="shared" si="1"/>
        <v>0</v>
      </c>
      <c r="J175" s="21">
        <f t="shared" si="3"/>
        <v>0</v>
      </c>
      <c r="K175" s="22">
        <f t="shared" si="2"/>
        <v>0</v>
      </c>
    </row>
    <row r="176" spans="1:11" ht="12.75" x14ac:dyDescent="0.2">
      <c r="A176" s="13">
        <v>45751</v>
      </c>
      <c r="B176" s="14" t="s">
        <v>7</v>
      </c>
      <c r="C176" s="15"/>
      <c r="D176" s="16"/>
      <c r="E176" s="17"/>
      <c r="F176" s="17"/>
      <c r="H176" s="19">
        <f t="shared" si="0"/>
        <v>0</v>
      </c>
      <c r="I176" s="20">
        <f t="shared" si="1"/>
        <v>0</v>
      </c>
      <c r="J176" s="21">
        <f t="shared" si="3"/>
        <v>0</v>
      </c>
      <c r="K176" s="22">
        <f t="shared" si="2"/>
        <v>0</v>
      </c>
    </row>
    <row r="177" spans="1:11" ht="12.75" x14ac:dyDescent="0.2">
      <c r="A177" s="13">
        <v>45754</v>
      </c>
      <c r="B177" s="14" t="s">
        <v>3</v>
      </c>
      <c r="C177" s="15"/>
      <c r="D177" s="16"/>
      <c r="E177" s="17"/>
      <c r="F177" s="17"/>
      <c r="H177" s="19">
        <f t="shared" si="0"/>
        <v>0</v>
      </c>
      <c r="I177" s="20">
        <f t="shared" si="1"/>
        <v>0</v>
      </c>
      <c r="J177" s="21">
        <f t="shared" si="3"/>
        <v>0</v>
      </c>
      <c r="K177" s="22">
        <f t="shared" si="2"/>
        <v>0</v>
      </c>
    </row>
    <row r="178" spans="1:11" ht="12.75" x14ac:dyDescent="0.2">
      <c r="A178" s="13">
        <v>45755</v>
      </c>
      <c r="B178" s="14" t="s">
        <v>4</v>
      </c>
      <c r="C178" s="15"/>
      <c r="D178" s="16"/>
      <c r="E178" s="17"/>
      <c r="F178" s="17"/>
      <c r="H178" s="19">
        <f t="shared" si="0"/>
        <v>0</v>
      </c>
      <c r="I178" s="20">
        <f t="shared" si="1"/>
        <v>0</v>
      </c>
      <c r="J178" s="21">
        <f t="shared" si="3"/>
        <v>0</v>
      </c>
      <c r="K178" s="22">
        <f t="shared" si="2"/>
        <v>0</v>
      </c>
    </row>
    <row r="179" spans="1:11" ht="12.75" x14ac:dyDescent="0.2">
      <c r="A179" s="13">
        <v>45756</v>
      </c>
      <c r="B179" s="14" t="s">
        <v>5</v>
      </c>
      <c r="C179" s="15"/>
      <c r="D179" s="16"/>
      <c r="E179" s="17"/>
      <c r="F179" s="17"/>
      <c r="H179" s="19">
        <f t="shared" si="0"/>
        <v>0</v>
      </c>
      <c r="I179" s="20">
        <f t="shared" si="1"/>
        <v>0</v>
      </c>
      <c r="J179" s="21">
        <f t="shared" si="3"/>
        <v>0</v>
      </c>
      <c r="K179" s="22">
        <f t="shared" si="2"/>
        <v>0</v>
      </c>
    </row>
    <row r="180" spans="1:11" ht="12.75" x14ac:dyDescent="0.2">
      <c r="A180" s="13">
        <v>45757</v>
      </c>
      <c r="B180" s="14" t="s">
        <v>6</v>
      </c>
      <c r="C180" s="15"/>
      <c r="D180" s="16"/>
      <c r="E180" s="17"/>
      <c r="F180" s="17"/>
      <c r="H180" s="19">
        <f t="shared" si="0"/>
        <v>0</v>
      </c>
      <c r="I180" s="20">
        <f t="shared" si="1"/>
        <v>0</v>
      </c>
      <c r="J180" s="21">
        <f t="shared" si="3"/>
        <v>0</v>
      </c>
      <c r="K180" s="22">
        <f t="shared" si="2"/>
        <v>0</v>
      </c>
    </row>
    <row r="181" spans="1:11" ht="12.75" x14ac:dyDescent="0.2">
      <c r="A181" s="13">
        <v>45758</v>
      </c>
      <c r="B181" s="14" t="s">
        <v>7</v>
      </c>
      <c r="C181" s="15"/>
      <c r="D181" s="16"/>
      <c r="E181" s="17"/>
      <c r="F181" s="17"/>
      <c r="H181" s="19">
        <f t="shared" si="0"/>
        <v>0</v>
      </c>
      <c r="I181" s="20">
        <f t="shared" si="1"/>
        <v>0</v>
      </c>
      <c r="J181" s="21">
        <f t="shared" si="3"/>
        <v>0</v>
      </c>
      <c r="K181" s="22">
        <f t="shared" si="2"/>
        <v>0</v>
      </c>
    </row>
    <row r="182" spans="1:11" ht="12.75" x14ac:dyDescent="0.2">
      <c r="A182" s="13">
        <v>45761</v>
      </c>
      <c r="B182" s="14" t="s">
        <v>3</v>
      </c>
      <c r="C182" s="15"/>
      <c r="D182" s="16"/>
      <c r="E182" s="17"/>
      <c r="F182" s="17"/>
      <c r="H182" s="19">
        <f t="shared" ref="H182:H183" si="4">G182-(C183*G182)</f>
        <v>0</v>
      </c>
      <c r="I182" s="20">
        <f t="shared" si="1"/>
        <v>0</v>
      </c>
      <c r="J182" s="21">
        <f t="shared" si="3"/>
        <v>0</v>
      </c>
      <c r="K182" s="22">
        <f t="shared" si="2"/>
        <v>0</v>
      </c>
    </row>
    <row r="183" spans="1:11" ht="12.75" x14ac:dyDescent="0.2">
      <c r="A183" s="13">
        <v>45762</v>
      </c>
      <c r="B183" s="14" t="s">
        <v>4</v>
      </c>
      <c r="C183" s="15"/>
      <c r="D183" s="16"/>
      <c r="E183" s="17"/>
      <c r="F183" s="17"/>
      <c r="H183" s="19">
        <f t="shared" si="4"/>
        <v>0</v>
      </c>
      <c r="I183" s="20">
        <f t="shared" si="1"/>
        <v>0</v>
      </c>
      <c r="J183" s="21">
        <f t="shared" si="3"/>
        <v>0</v>
      </c>
      <c r="K183" s="22">
        <f t="shared" si="2"/>
        <v>0</v>
      </c>
    </row>
    <row r="184" spans="1:11" ht="12.75" x14ac:dyDescent="0.2">
      <c r="A184" s="13">
        <v>45763</v>
      </c>
      <c r="B184" s="14" t="s">
        <v>5</v>
      </c>
      <c r="C184" s="15"/>
      <c r="D184" s="16"/>
      <c r="E184" s="17"/>
      <c r="F184" s="17"/>
      <c r="H184" s="19">
        <f t="shared" ref="H184:H215" si="5">G184-(C184*G184)</f>
        <v>0</v>
      </c>
      <c r="I184" s="20">
        <f t="shared" si="1"/>
        <v>0</v>
      </c>
      <c r="J184" s="21">
        <f t="shared" si="3"/>
        <v>0</v>
      </c>
      <c r="K184" s="22">
        <f t="shared" si="2"/>
        <v>0</v>
      </c>
    </row>
    <row r="185" spans="1:11" ht="12.75" x14ac:dyDescent="0.2">
      <c r="A185" s="13">
        <v>45764</v>
      </c>
      <c r="B185" s="14" t="s">
        <v>6</v>
      </c>
      <c r="C185" s="15"/>
      <c r="D185" s="16"/>
      <c r="E185" s="17"/>
      <c r="F185" s="17"/>
      <c r="H185" s="19">
        <f t="shared" si="5"/>
        <v>0</v>
      </c>
      <c r="I185" s="20">
        <f t="shared" si="1"/>
        <v>0</v>
      </c>
      <c r="J185" s="21">
        <f t="shared" si="3"/>
        <v>0</v>
      </c>
      <c r="K185" s="22">
        <f t="shared" si="2"/>
        <v>0</v>
      </c>
    </row>
    <row r="186" spans="1:11" ht="12.75" x14ac:dyDescent="0.2">
      <c r="A186" s="24">
        <v>45765</v>
      </c>
      <c r="B186" s="25" t="s">
        <v>7</v>
      </c>
      <c r="C186" s="26"/>
      <c r="D186" s="27"/>
      <c r="E186" s="28"/>
      <c r="F186" s="28"/>
      <c r="G186" s="29"/>
      <c r="H186" s="19">
        <f t="shared" si="5"/>
        <v>0</v>
      </c>
      <c r="I186" s="20">
        <f t="shared" si="1"/>
        <v>0</v>
      </c>
      <c r="J186" s="21">
        <f t="shared" si="3"/>
        <v>0</v>
      </c>
      <c r="K186" s="22">
        <f t="shared" si="2"/>
        <v>0</v>
      </c>
    </row>
    <row r="187" spans="1:11" ht="12.75" x14ac:dyDescent="0.2">
      <c r="A187" s="24">
        <v>45768</v>
      </c>
      <c r="B187" s="25" t="s">
        <v>3</v>
      </c>
      <c r="C187" s="26"/>
      <c r="D187" s="27"/>
      <c r="E187" s="28"/>
      <c r="F187" s="28"/>
      <c r="G187" s="29"/>
      <c r="H187" s="19">
        <f t="shared" si="5"/>
        <v>0</v>
      </c>
      <c r="I187" s="20">
        <f t="shared" si="1"/>
        <v>0</v>
      </c>
      <c r="J187" s="21">
        <f t="shared" si="3"/>
        <v>0</v>
      </c>
      <c r="K187" s="22">
        <f t="shared" si="2"/>
        <v>0</v>
      </c>
    </row>
    <row r="188" spans="1:11" ht="12.75" x14ac:dyDescent="0.2">
      <c r="A188" s="13">
        <v>45769</v>
      </c>
      <c r="B188" s="14" t="s">
        <v>4</v>
      </c>
      <c r="C188" s="15"/>
      <c r="D188" s="16"/>
      <c r="E188" s="17"/>
      <c r="F188" s="17"/>
      <c r="H188" s="19">
        <f t="shared" si="5"/>
        <v>0</v>
      </c>
      <c r="I188" s="20">
        <f t="shared" si="1"/>
        <v>0</v>
      </c>
      <c r="J188" s="21">
        <f t="shared" si="3"/>
        <v>0</v>
      </c>
      <c r="K188" s="22">
        <f t="shared" si="2"/>
        <v>0</v>
      </c>
    </row>
    <row r="189" spans="1:11" ht="12.75" x14ac:dyDescent="0.2">
      <c r="A189" s="13">
        <v>45770</v>
      </c>
      <c r="B189" s="14" t="s">
        <v>5</v>
      </c>
      <c r="C189" s="15"/>
      <c r="D189" s="16"/>
      <c r="E189" s="17"/>
      <c r="F189" s="17"/>
      <c r="H189" s="19">
        <f t="shared" si="5"/>
        <v>0</v>
      </c>
      <c r="I189" s="20">
        <f t="shared" si="1"/>
        <v>0</v>
      </c>
      <c r="J189" s="21">
        <f t="shared" si="3"/>
        <v>0</v>
      </c>
      <c r="K189" s="22">
        <f t="shared" si="2"/>
        <v>0</v>
      </c>
    </row>
    <row r="190" spans="1:11" ht="12.75" x14ac:dyDescent="0.2">
      <c r="A190" s="13">
        <v>45771</v>
      </c>
      <c r="B190" s="14" t="s">
        <v>6</v>
      </c>
      <c r="C190" s="15"/>
      <c r="D190" s="16"/>
      <c r="E190" s="17"/>
      <c r="F190" s="17"/>
      <c r="H190" s="19">
        <f t="shared" si="5"/>
        <v>0</v>
      </c>
      <c r="I190" s="20">
        <f t="shared" si="1"/>
        <v>0</v>
      </c>
      <c r="J190" s="21">
        <f t="shared" si="3"/>
        <v>0</v>
      </c>
      <c r="K190" s="22">
        <f t="shared" si="2"/>
        <v>0</v>
      </c>
    </row>
    <row r="191" spans="1:11" ht="12.75" x14ac:dyDescent="0.2">
      <c r="A191" s="13">
        <v>45772</v>
      </c>
      <c r="B191" s="14" t="s">
        <v>7</v>
      </c>
      <c r="C191" s="15"/>
      <c r="D191" s="16"/>
      <c r="E191" s="17"/>
      <c r="F191" s="17"/>
      <c r="H191" s="19">
        <f t="shared" si="5"/>
        <v>0</v>
      </c>
      <c r="I191" s="20">
        <f t="shared" si="1"/>
        <v>0</v>
      </c>
      <c r="J191" s="21">
        <f t="shared" si="3"/>
        <v>0</v>
      </c>
      <c r="K191" s="22">
        <f t="shared" si="2"/>
        <v>0</v>
      </c>
    </row>
    <row r="192" spans="1:11" ht="12.75" x14ac:dyDescent="0.2">
      <c r="A192" s="13">
        <v>45775</v>
      </c>
      <c r="B192" s="14" t="s">
        <v>3</v>
      </c>
      <c r="C192" s="15"/>
      <c r="D192" s="16"/>
      <c r="E192" s="17"/>
      <c r="F192" s="17"/>
      <c r="H192" s="19">
        <f t="shared" si="5"/>
        <v>0</v>
      </c>
      <c r="I192" s="20">
        <f t="shared" si="1"/>
        <v>0</v>
      </c>
      <c r="J192" s="21">
        <f t="shared" si="3"/>
        <v>0</v>
      </c>
      <c r="K192" s="22">
        <f t="shared" si="2"/>
        <v>0</v>
      </c>
    </row>
    <row r="193" spans="1:11" ht="12.75" x14ac:dyDescent="0.2">
      <c r="A193" s="13">
        <v>45776</v>
      </c>
      <c r="B193" s="14" t="s">
        <v>4</v>
      </c>
      <c r="C193" s="15"/>
      <c r="D193" s="16"/>
      <c r="E193" s="17"/>
      <c r="F193" s="17"/>
      <c r="H193" s="19">
        <f t="shared" si="5"/>
        <v>0</v>
      </c>
      <c r="I193" s="20">
        <f t="shared" si="1"/>
        <v>0</v>
      </c>
      <c r="J193" s="21">
        <f t="shared" si="3"/>
        <v>0</v>
      </c>
      <c r="K193" s="22">
        <f t="shared" si="2"/>
        <v>0</v>
      </c>
    </row>
    <row r="194" spans="1:11" ht="12.75" x14ac:dyDescent="0.2">
      <c r="A194" s="13">
        <v>45777</v>
      </c>
      <c r="B194" s="14" t="s">
        <v>5</v>
      </c>
      <c r="C194" s="15"/>
      <c r="D194" s="16"/>
      <c r="E194" s="17"/>
      <c r="F194" s="17"/>
      <c r="H194" s="19">
        <f t="shared" si="5"/>
        <v>0</v>
      </c>
      <c r="I194" s="20">
        <f t="shared" si="1"/>
        <v>0</v>
      </c>
      <c r="J194" s="21">
        <f t="shared" si="3"/>
        <v>0</v>
      </c>
      <c r="K194" s="22">
        <f t="shared" si="2"/>
        <v>0</v>
      </c>
    </row>
    <row r="195" spans="1:11" ht="12.75" x14ac:dyDescent="0.2">
      <c r="A195" s="13">
        <v>45778</v>
      </c>
      <c r="B195" s="14" t="s">
        <v>6</v>
      </c>
      <c r="C195" s="15"/>
      <c r="D195" s="16"/>
      <c r="E195" s="17"/>
      <c r="F195" s="17"/>
      <c r="H195" s="19">
        <f t="shared" si="5"/>
        <v>0</v>
      </c>
      <c r="I195" s="20">
        <f t="shared" si="1"/>
        <v>0</v>
      </c>
      <c r="J195" s="21">
        <f t="shared" si="3"/>
        <v>0</v>
      </c>
      <c r="K195" s="22">
        <f t="shared" si="2"/>
        <v>0</v>
      </c>
    </row>
    <row r="196" spans="1:11" ht="12.75" x14ac:dyDescent="0.2">
      <c r="A196" s="13">
        <v>45779</v>
      </c>
      <c r="B196" s="14" t="s">
        <v>7</v>
      </c>
      <c r="C196" s="15"/>
      <c r="D196" s="16"/>
      <c r="E196" s="17"/>
      <c r="F196" s="17"/>
      <c r="H196" s="19">
        <f t="shared" si="5"/>
        <v>0</v>
      </c>
      <c r="I196" s="20">
        <f t="shared" si="1"/>
        <v>0</v>
      </c>
      <c r="J196" s="21">
        <f t="shared" si="3"/>
        <v>0</v>
      </c>
      <c r="K196" s="22">
        <f t="shared" si="2"/>
        <v>0</v>
      </c>
    </row>
    <row r="197" spans="1:11" ht="12.75" x14ac:dyDescent="0.2">
      <c r="A197" s="13">
        <v>45782</v>
      </c>
      <c r="B197" s="14" t="s">
        <v>3</v>
      </c>
      <c r="C197" s="15"/>
      <c r="D197" s="16"/>
      <c r="E197" s="17"/>
      <c r="F197" s="17"/>
      <c r="H197" s="19">
        <f t="shared" si="5"/>
        <v>0</v>
      </c>
      <c r="I197" s="20">
        <f t="shared" si="1"/>
        <v>0</v>
      </c>
      <c r="J197" s="21">
        <f t="shared" si="3"/>
        <v>0</v>
      </c>
      <c r="K197" s="22">
        <f t="shared" si="2"/>
        <v>0</v>
      </c>
    </row>
    <row r="198" spans="1:11" ht="12.75" x14ac:dyDescent="0.2">
      <c r="A198" s="13">
        <v>45783</v>
      </c>
      <c r="B198" s="14" t="s">
        <v>4</v>
      </c>
      <c r="C198" s="15"/>
      <c r="D198" s="16"/>
      <c r="E198" s="17"/>
      <c r="F198" s="17"/>
      <c r="H198" s="19">
        <f t="shared" si="5"/>
        <v>0</v>
      </c>
      <c r="I198" s="20">
        <f t="shared" si="1"/>
        <v>0</v>
      </c>
      <c r="J198" s="21">
        <f t="shared" si="3"/>
        <v>0</v>
      </c>
      <c r="K198" s="22">
        <f t="shared" si="2"/>
        <v>0</v>
      </c>
    </row>
    <row r="199" spans="1:11" ht="12.75" x14ac:dyDescent="0.2">
      <c r="A199" s="13">
        <v>45784</v>
      </c>
      <c r="B199" s="14" t="s">
        <v>5</v>
      </c>
      <c r="C199" s="15"/>
      <c r="D199" s="16"/>
      <c r="E199" s="17"/>
      <c r="F199" s="17"/>
      <c r="H199" s="19">
        <f t="shared" si="5"/>
        <v>0</v>
      </c>
      <c r="I199" s="20">
        <f t="shared" si="1"/>
        <v>0</v>
      </c>
      <c r="J199" s="21">
        <f t="shared" si="3"/>
        <v>0</v>
      </c>
      <c r="K199" s="22">
        <f t="shared" si="2"/>
        <v>0</v>
      </c>
    </row>
    <row r="200" spans="1:11" ht="12.75" x14ac:dyDescent="0.2">
      <c r="A200" s="13">
        <v>45785</v>
      </c>
      <c r="B200" s="14" t="s">
        <v>6</v>
      </c>
      <c r="C200" s="15"/>
      <c r="D200" s="16"/>
      <c r="E200" s="17"/>
      <c r="F200" s="17"/>
      <c r="H200" s="19">
        <f t="shared" si="5"/>
        <v>0</v>
      </c>
      <c r="I200" s="20">
        <f t="shared" si="1"/>
        <v>0</v>
      </c>
      <c r="J200" s="21">
        <f t="shared" si="3"/>
        <v>0</v>
      </c>
      <c r="K200" s="22">
        <f t="shared" si="2"/>
        <v>0</v>
      </c>
    </row>
    <row r="201" spans="1:11" ht="12.75" x14ac:dyDescent="0.2">
      <c r="A201" s="13">
        <v>45786</v>
      </c>
      <c r="B201" s="14" t="s">
        <v>7</v>
      </c>
      <c r="C201" s="15"/>
      <c r="D201" s="16"/>
      <c r="E201" s="17"/>
      <c r="F201" s="17"/>
      <c r="H201" s="19">
        <f t="shared" si="5"/>
        <v>0</v>
      </c>
      <c r="I201" s="20">
        <f t="shared" si="1"/>
        <v>0</v>
      </c>
      <c r="J201" s="21">
        <f t="shared" si="3"/>
        <v>0</v>
      </c>
      <c r="K201" s="22">
        <f t="shared" si="2"/>
        <v>0</v>
      </c>
    </row>
    <row r="202" spans="1:11" ht="12.75" x14ac:dyDescent="0.2">
      <c r="A202" s="13">
        <v>45789</v>
      </c>
      <c r="B202" s="14" t="s">
        <v>3</v>
      </c>
      <c r="C202" s="15"/>
      <c r="D202" s="16"/>
      <c r="E202" s="17"/>
      <c r="F202" s="17"/>
      <c r="H202" s="19">
        <f t="shared" si="5"/>
        <v>0</v>
      </c>
      <c r="I202" s="20">
        <f t="shared" si="1"/>
        <v>0</v>
      </c>
      <c r="J202" s="21">
        <f t="shared" si="3"/>
        <v>0</v>
      </c>
      <c r="K202" s="22">
        <f t="shared" si="2"/>
        <v>0</v>
      </c>
    </row>
    <row r="203" spans="1:11" ht="12.75" x14ac:dyDescent="0.2">
      <c r="A203" s="13">
        <v>45790</v>
      </c>
      <c r="B203" s="14" t="s">
        <v>4</v>
      </c>
      <c r="C203" s="15"/>
      <c r="D203" s="16"/>
      <c r="E203" s="17"/>
      <c r="F203" s="17"/>
      <c r="H203" s="19">
        <f t="shared" si="5"/>
        <v>0</v>
      </c>
      <c r="I203" s="20">
        <f t="shared" si="1"/>
        <v>0</v>
      </c>
      <c r="J203" s="21">
        <f t="shared" si="3"/>
        <v>0</v>
      </c>
      <c r="K203" s="22">
        <f t="shared" si="2"/>
        <v>0</v>
      </c>
    </row>
    <row r="204" spans="1:11" ht="12.75" x14ac:dyDescent="0.2">
      <c r="A204" s="13">
        <v>45791</v>
      </c>
      <c r="B204" s="14" t="s">
        <v>5</v>
      </c>
      <c r="C204" s="15"/>
      <c r="D204" s="16"/>
      <c r="E204" s="17"/>
      <c r="F204" s="17"/>
      <c r="H204" s="19">
        <f t="shared" si="5"/>
        <v>0</v>
      </c>
      <c r="I204" s="20">
        <f t="shared" si="1"/>
        <v>0</v>
      </c>
      <c r="J204" s="21">
        <f t="shared" si="3"/>
        <v>0</v>
      </c>
      <c r="K204" s="22">
        <f t="shared" si="2"/>
        <v>0</v>
      </c>
    </row>
    <row r="205" spans="1:11" ht="12.75" x14ac:dyDescent="0.2">
      <c r="A205" s="13">
        <v>45792</v>
      </c>
      <c r="B205" s="14" t="s">
        <v>6</v>
      </c>
      <c r="C205" s="15"/>
      <c r="D205" s="16"/>
      <c r="E205" s="17"/>
      <c r="F205" s="17"/>
      <c r="H205" s="19">
        <f t="shared" si="5"/>
        <v>0</v>
      </c>
      <c r="I205" s="20">
        <f t="shared" si="1"/>
        <v>0</v>
      </c>
      <c r="J205" s="21">
        <f t="shared" si="3"/>
        <v>0</v>
      </c>
      <c r="K205" s="22">
        <f t="shared" si="2"/>
        <v>0</v>
      </c>
    </row>
    <row r="206" spans="1:11" ht="12.75" x14ac:dyDescent="0.2">
      <c r="A206" s="13">
        <v>45793</v>
      </c>
      <c r="B206" s="14" t="s">
        <v>7</v>
      </c>
      <c r="C206" s="15"/>
      <c r="D206" s="16"/>
      <c r="E206" s="17"/>
      <c r="F206" s="17"/>
      <c r="H206" s="19">
        <f t="shared" si="5"/>
        <v>0</v>
      </c>
      <c r="I206" s="20">
        <f t="shared" si="1"/>
        <v>0</v>
      </c>
      <c r="J206" s="21">
        <f t="shared" si="3"/>
        <v>0</v>
      </c>
      <c r="K206" s="22">
        <f t="shared" si="2"/>
        <v>0</v>
      </c>
    </row>
    <row r="207" spans="1:11" ht="12.75" x14ac:dyDescent="0.2">
      <c r="A207" s="13">
        <v>45796</v>
      </c>
      <c r="B207" s="14" t="s">
        <v>3</v>
      </c>
      <c r="C207" s="15"/>
      <c r="D207" s="16"/>
      <c r="E207" s="17"/>
      <c r="F207" s="17"/>
      <c r="H207" s="19">
        <f t="shared" si="5"/>
        <v>0</v>
      </c>
      <c r="I207" s="20">
        <f t="shared" si="1"/>
        <v>0</v>
      </c>
      <c r="J207" s="21">
        <f t="shared" si="3"/>
        <v>0</v>
      </c>
      <c r="K207" s="22">
        <f t="shared" si="2"/>
        <v>0</v>
      </c>
    </row>
    <row r="208" spans="1:11" ht="12.75" x14ac:dyDescent="0.2">
      <c r="A208" s="13">
        <v>45797</v>
      </c>
      <c r="B208" s="14" t="s">
        <v>4</v>
      </c>
      <c r="C208" s="15"/>
      <c r="D208" s="16"/>
      <c r="E208" s="17"/>
      <c r="F208" s="17"/>
      <c r="H208" s="19">
        <f t="shared" si="5"/>
        <v>0</v>
      </c>
      <c r="I208" s="20">
        <f t="shared" si="1"/>
        <v>0</v>
      </c>
      <c r="J208" s="21">
        <f t="shared" si="3"/>
        <v>0</v>
      </c>
      <c r="K208" s="22">
        <f t="shared" si="2"/>
        <v>0</v>
      </c>
    </row>
    <row r="209" spans="1:11" ht="12.75" x14ac:dyDescent="0.2">
      <c r="A209" s="13">
        <v>45798</v>
      </c>
      <c r="B209" s="14" t="s">
        <v>5</v>
      </c>
      <c r="C209" s="15"/>
      <c r="D209" s="16"/>
      <c r="E209" s="17"/>
      <c r="F209" s="17"/>
      <c r="H209" s="19">
        <f t="shared" si="5"/>
        <v>0</v>
      </c>
      <c r="I209" s="20">
        <f t="shared" si="1"/>
        <v>0</v>
      </c>
      <c r="J209" s="21">
        <f t="shared" si="3"/>
        <v>0</v>
      </c>
      <c r="K209" s="22">
        <f t="shared" si="2"/>
        <v>0</v>
      </c>
    </row>
    <row r="210" spans="1:11" ht="12.75" x14ac:dyDescent="0.2">
      <c r="A210" s="13">
        <v>45799</v>
      </c>
      <c r="B210" s="14" t="s">
        <v>6</v>
      </c>
      <c r="C210" s="15"/>
      <c r="D210" s="16"/>
      <c r="E210" s="17"/>
      <c r="F210" s="17"/>
      <c r="H210" s="19">
        <f t="shared" si="5"/>
        <v>0</v>
      </c>
      <c r="I210" s="20">
        <f t="shared" si="1"/>
        <v>0</v>
      </c>
      <c r="J210" s="21">
        <f t="shared" si="3"/>
        <v>0</v>
      </c>
      <c r="K210" s="22">
        <f t="shared" si="2"/>
        <v>0</v>
      </c>
    </row>
    <row r="211" spans="1:11" ht="12.75" x14ac:dyDescent="0.2">
      <c r="A211" s="13">
        <v>45800</v>
      </c>
      <c r="B211" s="14" t="s">
        <v>7</v>
      </c>
      <c r="C211" s="15"/>
      <c r="D211" s="16"/>
      <c r="E211" s="17"/>
      <c r="F211" s="17"/>
      <c r="H211" s="19">
        <f t="shared" si="5"/>
        <v>0</v>
      </c>
      <c r="I211" s="20">
        <f t="shared" si="1"/>
        <v>0</v>
      </c>
      <c r="J211" s="21">
        <f t="shared" si="3"/>
        <v>0</v>
      </c>
      <c r="K211" s="22">
        <f t="shared" si="2"/>
        <v>0</v>
      </c>
    </row>
    <row r="212" spans="1:11" ht="12.75" x14ac:dyDescent="0.2">
      <c r="A212" s="24">
        <v>45803</v>
      </c>
      <c r="B212" s="25" t="s">
        <v>3</v>
      </c>
      <c r="C212" s="26"/>
      <c r="D212" s="27"/>
      <c r="E212" s="28"/>
      <c r="F212" s="28"/>
      <c r="G212" s="29"/>
      <c r="H212" s="19">
        <f t="shared" si="5"/>
        <v>0</v>
      </c>
      <c r="I212" s="20">
        <f t="shared" si="1"/>
        <v>0</v>
      </c>
      <c r="J212" s="21">
        <f t="shared" si="3"/>
        <v>0</v>
      </c>
      <c r="K212" s="22">
        <f t="shared" si="2"/>
        <v>0</v>
      </c>
    </row>
    <row r="213" spans="1:11" ht="12.75" x14ac:dyDescent="0.2">
      <c r="A213" s="13">
        <v>45804</v>
      </c>
      <c r="B213" s="14" t="s">
        <v>4</v>
      </c>
      <c r="C213" s="15"/>
      <c r="D213" s="16"/>
      <c r="E213" s="17"/>
      <c r="F213" s="17"/>
      <c r="H213" s="19">
        <f t="shared" si="5"/>
        <v>0</v>
      </c>
      <c r="I213" s="20">
        <f t="shared" si="1"/>
        <v>0</v>
      </c>
      <c r="J213" s="21">
        <f t="shared" si="3"/>
        <v>0</v>
      </c>
      <c r="K213" s="22">
        <f t="shared" si="2"/>
        <v>0</v>
      </c>
    </row>
    <row r="214" spans="1:11" ht="12.75" x14ac:dyDescent="0.2">
      <c r="A214" s="13">
        <v>45805</v>
      </c>
      <c r="B214" s="14" t="s">
        <v>5</v>
      </c>
      <c r="C214" s="15"/>
      <c r="D214" s="16"/>
      <c r="E214" s="17"/>
      <c r="F214" s="17"/>
      <c r="H214" s="19">
        <f t="shared" si="5"/>
        <v>0</v>
      </c>
      <c r="I214" s="20">
        <f t="shared" si="1"/>
        <v>0</v>
      </c>
      <c r="J214" s="21">
        <f t="shared" si="3"/>
        <v>0</v>
      </c>
      <c r="K214" s="22">
        <f t="shared" si="2"/>
        <v>0</v>
      </c>
    </row>
    <row r="215" spans="1:11" ht="12.75" x14ac:dyDescent="0.2">
      <c r="A215" s="13">
        <v>45806</v>
      </c>
      <c r="B215" s="46" t="s">
        <v>6</v>
      </c>
      <c r="C215" s="15"/>
      <c r="D215" s="16"/>
      <c r="E215" s="17"/>
      <c r="F215" s="17"/>
      <c r="H215" s="19">
        <f t="shared" si="5"/>
        <v>0</v>
      </c>
      <c r="I215" s="20">
        <f t="shared" si="1"/>
        <v>0</v>
      </c>
      <c r="J215" s="21">
        <f t="shared" si="3"/>
        <v>0</v>
      </c>
      <c r="K215" s="22">
        <f t="shared" si="2"/>
        <v>0</v>
      </c>
    </row>
    <row r="216" spans="1:11" ht="12.75" hidden="1" x14ac:dyDescent="0.2">
      <c r="A216" s="16"/>
      <c r="B216" s="16"/>
      <c r="C216" s="15"/>
      <c r="D216" s="16"/>
      <c r="E216" s="17"/>
      <c r="F216" s="17"/>
      <c r="H216" s="19"/>
      <c r="I216" s="47"/>
      <c r="J216" s="48"/>
      <c r="K216" s="49"/>
    </row>
    <row r="217" spans="1:11" ht="12.75" hidden="1" x14ac:dyDescent="0.2">
      <c r="A217" s="16"/>
      <c r="B217" s="16"/>
      <c r="C217" s="15"/>
      <c r="D217" s="16"/>
      <c r="E217" s="17"/>
      <c r="F217" s="17"/>
      <c r="H217" s="19"/>
      <c r="I217" s="47"/>
      <c r="J217" s="48"/>
      <c r="K217" s="49"/>
    </row>
    <row r="218" spans="1:11" ht="12.75" hidden="1" x14ac:dyDescent="0.2">
      <c r="A218" s="16"/>
      <c r="B218" s="16"/>
      <c r="C218" s="15"/>
      <c r="D218" s="16"/>
      <c r="E218" s="17"/>
      <c r="F218" s="17"/>
      <c r="H218" s="19"/>
      <c r="I218" s="47"/>
      <c r="J218" s="48"/>
      <c r="K218" s="49"/>
    </row>
    <row r="219" spans="1:11" ht="12.75" hidden="1" x14ac:dyDescent="0.2">
      <c r="A219" s="16"/>
      <c r="B219" s="16"/>
      <c r="C219" s="15"/>
      <c r="D219" s="16"/>
      <c r="E219" s="17"/>
      <c r="F219" s="17"/>
      <c r="H219" s="19"/>
      <c r="I219" s="47"/>
      <c r="J219" s="48"/>
      <c r="K219" s="49"/>
    </row>
    <row r="220" spans="1:11" ht="12.75" hidden="1" x14ac:dyDescent="0.2">
      <c r="A220" s="16"/>
      <c r="B220" s="16"/>
      <c r="C220" s="15"/>
      <c r="D220" s="16"/>
      <c r="E220" s="17"/>
      <c r="F220" s="17"/>
      <c r="H220" s="19"/>
      <c r="I220" s="47"/>
      <c r="J220" s="48"/>
      <c r="K220" s="49"/>
    </row>
    <row r="221" spans="1:11" ht="12.75" hidden="1" x14ac:dyDescent="0.2">
      <c r="A221" s="16"/>
      <c r="B221" s="16"/>
      <c r="C221" s="15"/>
      <c r="D221" s="16"/>
      <c r="E221" s="17"/>
      <c r="F221" s="17"/>
      <c r="H221" s="19"/>
      <c r="I221" s="47"/>
      <c r="J221" s="48"/>
      <c r="K221" s="49"/>
    </row>
    <row r="222" spans="1:11" ht="12.75" hidden="1" x14ac:dyDescent="0.2">
      <c r="A222" s="16"/>
      <c r="B222" s="16"/>
      <c r="C222" s="15"/>
      <c r="D222" s="16"/>
      <c r="E222" s="17"/>
      <c r="F222" s="17"/>
      <c r="H222" s="19"/>
      <c r="I222" s="47"/>
      <c r="J222" s="48"/>
      <c r="K222" s="49"/>
    </row>
    <row r="223" spans="1:11" ht="12.75" hidden="1" x14ac:dyDescent="0.2">
      <c r="A223" s="16"/>
      <c r="B223" s="16"/>
      <c r="C223" s="15"/>
      <c r="D223" s="16"/>
      <c r="E223" s="17"/>
      <c r="F223" s="17"/>
      <c r="H223" s="19"/>
      <c r="I223" s="47"/>
      <c r="J223" s="48"/>
      <c r="K223" s="49"/>
    </row>
    <row r="224" spans="1:11" ht="12.75" hidden="1" x14ac:dyDescent="0.2">
      <c r="A224" s="16"/>
      <c r="B224" s="16"/>
      <c r="C224" s="15"/>
      <c r="D224" s="16"/>
      <c r="E224" s="17"/>
      <c r="F224" s="17"/>
      <c r="H224" s="19"/>
      <c r="I224" s="47"/>
      <c r="J224" s="48"/>
      <c r="K224" s="49"/>
    </row>
    <row r="225" spans="1:11" ht="12.75" hidden="1" x14ac:dyDescent="0.2">
      <c r="A225" s="16"/>
      <c r="B225" s="16"/>
      <c r="C225" s="15"/>
      <c r="D225" s="16"/>
      <c r="E225" s="17"/>
      <c r="F225" s="17"/>
      <c r="H225" s="19"/>
      <c r="I225" s="47"/>
      <c r="J225" s="48"/>
      <c r="K225" s="49"/>
    </row>
    <row r="226" spans="1:11" ht="12.75" hidden="1" x14ac:dyDescent="0.2">
      <c r="A226" s="16"/>
      <c r="B226" s="16"/>
      <c r="C226" s="15"/>
      <c r="D226" s="16"/>
      <c r="E226" s="17"/>
      <c r="F226" s="17"/>
      <c r="H226" s="19"/>
      <c r="I226" s="47"/>
      <c r="J226" s="48"/>
      <c r="K226" s="49"/>
    </row>
    <row r="227" spans="1:11" ht="12.75" hidden="1" x14ac:dyDescent="0.2">
      <c r="A227" s="16"/>
      <c r="B227" s="16"/>
      <c r="C227" s="15"/>
      <c r="D227" s="16"/>
      <c r="E227" s="17"/>
      <c r="F227" s="17"/>
      <c r="H227" s="19"/>
      <c r="I227" s="47"/>
      <c r="J227" s="48"/>
      <c r="K227" s="49"/>
    </row>
    <row r="228" spans="1:11" ht="12.75" hidden="1" x14ac:dyDescent="0.2">
      <c r="A228" s="16"/>
      <c r="B228" s="16"/>
      <c r="C228" s="15"/>
      <c r="D228" s="16"/>
      <c r="E228" s="17"/>
      <c r="F228" s="17"/>
      <c r="H228" s="19"/>
      <c r="I228" s="47"/>
      <c r="J228" s="48"/>
      <c r="K228" s="49"/>
    </row>
    <row r="229" spans="1:11" ht="12.75" hidden="1" x14ac:dyDescent="0.2">
      <c r="A229" s="16"/>
      <c r="B229" s="16"/>
      <c r="C229" s="15"/>
      <c r="D229" s="16"/>
      <c r="E229" s="17"/>
      <c r="F229" s="17"/>
      <c r="H229" s="19"/>
      <c r="I229" s="47"/>
      <c r="J229" s="48"/>
      <c r="K229" s="49"/>
    </row>
    <row r="230" spans="1:11" ht="12.75" hidden="1" x14ac:dyDescent="0.2">
      <c r="A230" s="16"/>
      <c r="B230" s="16"/>
      <c r="C230" s="15"/>
      <c r="D230" s="16"/>
      <c r="E230" s="17"/>
      <c r="F230" s="17"/>
      <c r="H230" s="19"/>
      <c r="I230" s="47"/>
      <c r="J230" s="48"/>
      <c r="K230" s="49"/>
    </row>
    <row r="231" spans="1:11" ht="12.75" hidden="1" x14ac:dyDescent="0.2">
      <c r="A231" s="16"/>
      <c r="B231" s="16"/>
      <c r="C231" s="15"/>
      <c r="D231" s="16"/>
      <c r="E231" s="17"/>
      <c r="F231" s="17"/>
      <c r="H231" s="19"/>
      <c r="I231" s="47"/>
      <c r="J231" s="48"/>
      <c r="K231" s="49"/>
    </row>
    <row r="232" spans="1:11" ht="12.75" hidden="1" x14ac:dyDescent="0.2">
      <c r="A232" s="16"/>
      <c r="B232" s="16"/>
      <c r="C232" s="15"/>
      <c r="D232" s="16"/>
      <c r="E232" s="17"/>
      <c r="F232" s="17"/>
      <c r="H232" s="19"/>
      <c r="I232" s="47"/>
      <c r="J232" s="48"/>
      <c r="K232" s="49"/>
    </row>
    <row r="233" spans="1:11" ht="12.75" hidden="1" x14ac:dyDescent="0.2">
      <c r="A233" s="16"/>
      <c r="B233" s="16"/>
      <c r="C233" s="15"/>
      <c r="D233" s="16"/>
      <c r="E233" s="17"/>
      <c r="F233" s="17"/>
      <c r="H233" s="19"/>
      <c r="I233" s="47"/>
      <c r="J233" s="48"/>
      <c r="K233" s="49"/>
    </row>
    <row r="234" spans="1:11" ht="12.75" hidden="1" x14ac:dyDescent="0.2">
      <c r="A234" s="16"/>
      <c r="B234" s="16"/>
      <c r="C234" s="15"/>
      <c r="D234" s="16"/>
      <c r="E234" s="17"/>
      <c r="F234" s="17"/>
      <c r="H234" s="19"/>
      <c r="I234" s="47"/>
      <c r="J234" s="48"/>
      <c r="K234" s="49"/>
    </row>
    <row r="235" spans="1:11" ht="12.75" hidden="1" x14ac:dyDescent="0.2">
      <c r="A235" s="16"/>
      <c r="B235" s="16"/>
      <c r="C235" s="15"/>
      <c r="D235" s="16"/>
      <c r="E235" s="17"/>
      <c r="F235" s="17"/>
      <c r="H235" s="19"/>
      <c r="I235" s="47"/>
      <c r="J235" s="48"/>
      <c r="K235" s="49"/>
    </row>
    <row r="236" spans="1:11" ht="12.75" hidden="1" x14ac:dyDescent="0.2">
      <c r="A236" s="16"/>
      <c r="B236" s="16"/>
      <c r="C236" s="15"/>
      <c r="D236" s="16"/>
      <c r="E236" s="17"/>
      <c r="F236" s="17"/>
      <c r="H236" s="19"/>
      <c r="I236" s="47"/>
      <c r="J236" s="48"/>
      <c r="K236" s="49"/>
    </row>
    <row r="237" spans="1:11" ht="12.75" hidden="1" x14ac:dyDescent="0.2">
      <c r="A237" s="16"/>
      <c r="B237" s="16"/>
      <c r="C237" s="15"/>
      <c r="D237" s="16"/>
      <c r="E237" s="17"/>
      <c r="F237" s="17"/>
      <c r="H237" s="19"/>
      <c r="I237" s="47"/>
      <c r="J237" s="48"/>
      <c r="K237" s="49"/>
    </row>
    <row r="238" spans="1:11" ht="12.75" hidden="1" x14ac:dyDescent="0.2">
      <c r="A238" s="16"/>
      <c r="B238" s="16"/>
      <c r="C238" s="15"/>
      <c r="D238" s="16"/>
      <c r="E238" s="17"/>
      <c r="F238" s="17"/>
      <c r="H238" s="19"/>
      <c r="I238" s="47"/>
      <c r="J238" s="48"/>
      <c r="K238" s="49"/>
    </row>
    <row r="239" spans="1:11" ht="12.75" hidden="1" x14ac:dyDescent="0.2">
      <c r="A239" s="16"/>
      <c r="B239" s="16"/>
      <c r="C239" s="15"/>
      <c r="D239" s="16"/>
      <c r="E239" s="17"/>
      <c r="F239" s="17"/>
      <c r="H239" s="19"/>
      <c r="I239" s="47"/>
      <c r="J239" s="48"/>
      <c r="K239" s="49"/>
    </row>
    <row r="240" spans="1:11" ht="12.75" hidden="1" x14ac:dyDescent="0.2">
      <c r="A240" s="16"/>
      <c r="B240" s="16"/>
      <c r="C240" s="15"/>
      <c r="D240" s="16"/>
      <c r="E240" s="17"/>
      <c r="F240" s="17"/>
      <c r="H240" s="19"/>
      <c r="I240" s="47"/>
      <c r="J240" s="48"/>
      <c r="K240" s="49"/>
    </row>
    <row r="241" spans="1:11" ht="12.75" hidden="1" x14ac:dyDescent="0.2">
      <c r="A241" s="16"/>
      <c r="B241" s="16"/>
      <c r="C241" s="15"/>
      <c r="D241" s="16"/>
      <c r="E241" s="17"/>
      <c r="F241" s="17"/>
      <c r="H241" s="19"/>
      <c r="I241" s="47"/>
      <c r="J241" s="48"/>
      <c r="K241" s="49"/>
    </row>
    <row r="242" spans="1:11" ht="12.75" hidden="1" x14ac:dyDescent="0.2">
      <c r="A242" s="16"/>
      <c r="B242" s="16"/>
      <c r="C242" s="15"/>
      <c r="D242" s="16"/>
      <c r="E242" s="17"/>
      <c r="F242" s="17"/>
      <c r="H242" s="19"/>
      <c r="I242" s="47"/>
      <c r="J242" s="48"/>
      <c r="K242" s="49"/>
    </row>
    <row r="243" spans="1:11" ht="12.75" hidden="1" x14ac:dyDescent="0.2">
      <c r="A243" s="16"/>
      <c r="B243" s="16"/>
      <c r="C243" s="15"/>
      <c r="D243" s="16"/>
      <c r="E243" s="17"/>
      <c r="F243" s="17"/>
      <c r="H243" s="19"/>
      <c r="I243" s="47"/>
      <c r="J243" s="48"/>
      <c r="K243" s="49"/>
    </row>
    <row r="244" spans="1:11" ht="12.75" hidden="1" x14ac:dyDescent="0.2">
      <c r="A244" s="16"/>
      <c r="B244" s="16"/>
      <c r="C244" s="15"/>
      <c r="D244" s="16"/>
      <c r="E244" s="17"/>
      <c r="F244" s="17"/>
      <c r="H244" s="19"/>
      <c r="I244" s="47"/>
      <c r="J244" s="48"/>
      <c r="K244" s="49"/>
    </row>
    <row r="245" spans="1:11" ht="12.75" hidden="1" x14ac:dyDescent="0.2">
      <c r="A245" s="16"/>
      <c r="B245" s="16"/>
      <c r="C245" s="15"/>
      <c r="D245" s="16"/>
      <c r="E245" s="17"/>
      <c r="F245" s="17"/>
      <c r="H245" s="19"/>
      <c r="I245" s="47"/>
      <c r="J245" s="48"/>
      <c r="K245" s="49"/>
    </row>
    <row r="246" spans="1:11" ht="12.75" hidden="1" x14ac:dyDescent="0.2">
      <c r="A246" s="16"/>
      <c r="B246" s="16"/>
      <c r="C246" s="15"/>
      <c r="D246" s="16"/>
      <c r="E246" s="17"/>
      <c r="F246" s="17"/>
      <c r="H246" s="19"/>
      <c r="I246" s="47"/>
      <c r="J246" s="48"/>
      <c r="K246" s="49"/>
    </row>
    <row r="247" spans="1:11" ht="12.75" hidden="1" x14ac:dyDescent="0.2">
      <c r="A247" s="16"/>
      <c r="B247" s="16"/>
      <c r="C247" s="15"/>
      <c r="D247" s="16"/>
      <c r="E247" s="17"/>
      <c r="F247" s="17"/>
      <c r="H247" s="19"/>
      <c r="I247" s="47"/>
      <c r="J247" s="48"/>
      <c r="K247" s="49"/>
    </row>
    <row r="248" spans="1:11" ht="12.75" hidden="1" x14ac:dyDescent="0.2">
      <c r="A248" s="16"/>
      <c r="B248" s="16"/>
      <c r="C248" s="15"/>
      <c r="D248" s="16"/>
      <c r="E248" s="17"/>
      <c r="F248" s="17"/>
      <c r="H248" s="19"/>
      <c r="I248" s="47"/>
      <c r="J248" s="48"/>
      <c r="K248" s="49"/>
    </row>
    <row r="249" spans="1:11" ht="12.75" hidden="1" x14ac:dyDescent="0.2">
      <c r="A249" s="16"/>
      <c r="B249" s="16"/>
      <c r="C249" s="15"/>
      <c r="D249" s="16"/>
      <c r="E249" s="17"/>
      <c r="F249" s="17"/>
      <c r="H249" s="19"/>
      <c r="I249" s="47"/>
      <c r="J249" s="48"/>
      <c r="K249" s="49"/>
    </row>
    <row r="250" spans="1:11" ht="12.75" hidden="1" x14ac:dyDescent="0.2">
      <c r="A250" s="16"/>
      <c r="B250" s="16"/>
      <c r="C250" s="15"/>
      <c r="D250" s="16"/>
      <c r="E250" s="17"/>
      <c r="F250" s="17"/>
      <c r="H250" s="19"/>
      <c r="I250" s="47"/>
      <c r="J250" s="48"/>
      <c r="K250" s="49"/>
    </row>
    <row r="251" spans="1:11" ht="12.75" hidden="1" x14ac:dyDescent="0.2">
      <c r="A251" s="16"/>
      <c r="B251" s="16"/>
      <c r="C251" s="15"/>
      <c r="D251" s="16"/>
      <c r="E251" s="17"/>
      <c r="F251" s="17"/>
      <c r="H251" s="19"/>
      <c r="I251" s="47"/>
      <c r="J251" s="48"/>
      <c r="K251" s="49"/>
    </row>
    <row r="252" spans="1:11" ht="12.75" hidden="1" x14ac:dyDescent="0.2">
      <c r="A252" s="16"/>
      <c r="B252" s="16"/>
      <c r="C252" s="15"/>
      <c r="D252" s="16"/>
      <c r="E252" s="17"/>
      <c r="F252" s="17"/>
      <c r="H252" s="19"/>
      <c r="I252" s="47"/>
      <c r="J252" s="48"/>
      <c r="K252" s="49"/>
    </row>
    <row r="253" spans="1:11" ht="12.75" hidden="1" x14ac:dyDescent="0.2">
      <c r="A253" s="16"/>
      <c r="B253" s="16"/>
      <c r="C253" s="15"/>
      <c r="D253" s="16"/>
      <c r="E253" s="17"/>
      <c r="F253" s="17"/>
      <c r="H253" s="19"/>
      <c r="I253" s="47"/>
      <c r="J253" s="48"/>
      <c r="K253" s="49"/>
    </row>
    <row r="254" spans="1:11" ht="12.75" hidden="1" x14ac:dyDescent="0.2">
      <c r="A254" s="16"/>
      <c r="B254" s="16"/>
      <c r="C254" s="15"/>
      <c r="D254" s="16"/>
      <c r="E254" s="17"/>
      <c r="F254" s="17"/>
      <c r="H254" s="19"/>
      <c r="I254" s="47"/>
      <c r="J254" s="48"/>
      <c r="K254" s="49"/>
    </row>
    <row r="255" spans="1:11" ht="12.75" hidden="1" x14ac:dyDescent="0.2">
      <c r="A255" s="16"/>
      <c r="B255" s="16"/>
      <c r="C255" s="15"/>
      <c r="D255" s="16"/>
      <c r="E255" s="17"/>
      <c r="F255" s="17"/>
      <c r="H255" s="19"/>
      <c r="I255" s="47"/>
      <c r="J255" s="48"/>
      <c r="K255" s="49"/>
    </row>
    <row r="256" spans="1:11" ht="12.75" hidden="1" x14ac:dyDescent="0.2">
      <c r="A256" s="16"/>
      <c r="B256" s="16"/>
      <c r="C256" s="15"/>
      <c r="D256" s="16"/>
      <c r="E256" s="17"/>
      <c r="F256" s="17"/>
      <c r="H256" s="19"/>
      <c r="I256" s="47"/>
      <c r="J256" s="48"/>
      <c r="K256" s="49"/>
    </row>
    <row r="257" spans="1:11" ht="12.75" hidden="1" x14ac:dyDescent="0.2">
      <c r="A257" s="16"/>
      <c r="B257" s="16"/>
      <c r="C257" s="15"/>
      <c r="D257" s="16"/>
      <c r="E257" s="17"/>
      <c r="F257" s="17"/>
      <c r="H257" s="19"/>
      <c r="I257" s="47"/>
      <c r="J257" s="48"/>
      <c r="K257" s="49"/>
    </row>
    <row r="258" spans="1:11" ht="12.75" hidden="1" x14ac:dyDescent="0.2">
      <c r="A258" s="16"/>
      <c r="B258" s="16"/>
      <c r="C258" s="15"/>
      <c r="D258" s="16"/>
      <c r="E258" s="17"/>
      <c r="F258" s="17"/>
      <c r="H258" s="19"/>
      <c r="I258" s="47"/>
      <c r="J258" s="48"/>
      <c r="K258" s="49"/>
    </row>
    <row r="259" spans="1:11" ht="12.75" hidden="1" x14ac:dyDescent="0.2">
      <c r="A259" s="16"/>
      <c r="B259" s="16"/>
      <c r="C259" s="15"/>
      <c r="D259" s="16"/>
      <c r="E259" s="17"/>
      <c r="F259" s="17"/>
      <c r="H259" s="19"/>
      <c r="I259" s="47"/>
      <c r="J259" s="48"/>
      <c r="K259" s="49"/>
    </row>
    <row r="260" spans="1:11" ht="12.75" hidden="1" x14ac:dyDescent="0.2">
      <c r="A260" s="16"/>
      <c r="B260" s="16"/>
      <c r="C260" s="15"/>
      <c r="D260" s="16"/>
      <c r="E260" s="17"/>
      <c r="F260" s="17"/>
      <c r="H260" s="19"/>
      <c r="I260" s="47"/>
      <c r="J260" s="48"/>
      <c r="K260" s="49"/>
    </row>
    <row r="261" spans="1:11" ht="12.75" hidden="1" x14ac:dyDescent="0.2">
      <c r="A261" s="16"/>
      <c r="B261" s="16"/>
      <c r="C261" s="15"/>
      <c r="D261" s="16"/>
      <c r="E261" s="17"/>
      <c r="F261" s="17"/>
      <c r="H261" s="19"/>
      <c r="I261" s="47"/>
      <c r="J261" s="48"/>
      <c r="K261" s="49"/>
    </row>
    <row r="262" spans="1:11" ht="12.75" hidden="1" x14ac:dyDescent="0.2">
      <c r="A262" s="16"/>
      <c r="B262" s="16"/>
      <c r="C262" s="15"/>
      <c r="D262" s="16"/>
      <c r="E262" s="17"/>
      <c r="F262" s="17"/>
      <c r="H262" s="19"/>
      <c r="I262" s="47"/>
      <c r="J262" s="48"/>
      <c r="K262" s="49"/>
    </row>
    <row r="263" spans="1:11" ht="12.75" hidden="1" x14ac:dyDescent="0.2">
      <c r="A263" s="16"/>
      <c r="B263" s="16"/>
      <c r="C263" s="15"/>
      <c r="D263" s="16"/>
      <c r="E263" s="17"/>
      <c r="F263" s="17"/>
      <c r="H263" s="19"/>
      <c r="I263" s="47"/>
      <c r="J263" s="48"/>
      <c r="K263" s="49"/>
    </row>
    <row r="264" spans="1:11" ht="12.75" hidden="1" x14ac:dyDescent="0.2">
      <c r="A264" s="16"/>
      <c r="B264" s="16"/>
      <c r="C264" s="15"/>
      <c r="D264" s="16"/>
      <c r="E264" s="17"/>
      <c r="F264" s="17"/>
      <c r="H264" s="19"/>
      <c r="I264" s="47"/>
      <c r="J264" s="48"/>
      <c r="K264" s="49"/>
    </row>
    <row r="265" spans="1:11" ht="12.75" hidden="1" x14ac:dyDescent="0.2">
      <c r="A265" s="16"/>
      <c r="B265" s="16"/>
      <c r="C265" s="15"/>
      <c r="D265" s="16"/>
      <c r="E265" s="17"/>
      <c r="F265" s="17"/>
      <c r="H265" s="19"/>
      <c r="I265" s="47"/>
      <c r="J265" s="48"/>
      <c r="K265" s="49"/>
    </row>
    <row r="266" spans="1:11" ht="12.75" hidden="1" x14ac:dyDescent="0.2">
      <c r="A266" s="16"/>
      <c r="B266" s="16"/>
      <c r="C266" s="15"/>
      <c r="D266" s="16"/>
      <c r="E266" s="17"/>
      <c r="F266" s="17"/>
      <c r="H266" s="19"/>
      <c r="I266" s="47"/>
      <c r="J266" s="48"/>
      <c r="K266" s="49"/>
    </row>
    <row r="267" spans="1:11" ht="12.75" hidden="1" x14ac:dyDescent="0.2">
      <c r="A267" s="16"/>
      <c r="B267" s="16"/>
      <c r="C267" s="15"/>
      <c r="D267" s="16"/>
      <c r="E267" s="17"/>
      <c r="F267" s="17"/>
      <c r="H267" s="19"/>
      <c r="I267" s="47"/>
      <c r="J267" s="48"/>
      <c r="K267" s="49"/>
    </row>
    <row r="268" spans="1:11" ht="12.75" hidden="1" x14ac:dyDescent="0.2">
      <c r="A268" s="16"/>
      <c r="B268" s="16"/>
      <c r="C268" s="15"/>
      <c r="D268" s="16"/>
      <c r="E268" s="17"/>
      <c r="F268" s="17"/>
      <c r="H268" s="19"/>
      <c r="I268" s="47"/>
      <c r="J268" s="48"/>
      <c r="K268" s="49"/>
    </row>
    <row r="269" spans="1:11" ht="12.75" hidden="1" x14ac:dyDescent="0.2">
      <c r="A269" s="16"/>
      <c r="B269" s="16"/>
      <c r="C269" s="15"/>
      <c r="D269" s="16"/>
      <c r="E269" s="17"/>
      <c r="F269" s="17"/>
      <c r="H269" s="19"/>
      <c r="I269" s="47"/>
      <c r="J269" s="48"/>
      <c r="K269" s="49"/>
    </row>
    <row r="270" spans="1:11" ht="12.75" hidden="1" x14ac:dyDescent="0.2">
      <c r="A270" s="16"/>
      <c r="B270" s="16"/>
      <c r="C270" s="15"/>
      <c r="D270" s="16"/>
      <c r="E270" s="17"/>
      <c r="F270" s="17"/>
      <c r="H270" s="19"/>
      <c r="I270" s="47"/>
      <c r="J270" s="48"/>
      <c r="K270" s="49"/>
    </row>
    <row r="271" spans="1:11" ht="12.75" hidden="1" x14ac:dyDescent="0.2">
      <c r="A271" s="16"/>
      <c r="B271" s="16"/>
      <c r="C271" s="15"/>
      <c r="D271" s="16"/>
      <c r="E271" s="17"/>
      <c r="F271" s="17"/>
      <c r="H271" s="19"/>
      <c r="I271" s="47"/>
      <c r="J271" s="48"/>
      <c r="K271" s="49"/>
    </row>
    <row r="272" spans="1:11" ht="12.75" hidden="1" x14ac:dyDescent="0.2">
      <c r="A272" s="16"/>
      <c r="B272" s="16"/>
      <c r="C272" s="15"/>
      <c r="D272" s="16"/>
      <c r="E272" s="17"/>
      <c r="F272" s="17"/>
      <c r="H272" s="19"/>
      <c r="I272" s="47"/>
      <c r="J272" s="48"/>
      <c r="K272" s="49"/>
    </row>
    <row r="273" spans="1:11" ht="12.75" hidden="1" x14ac:dyDescent="0.2">
      <c r="A273" s="16"/>
      <c r="B273" s="16"/>
      <c r="C273" s="15"/>
      <c r="D273" s="16"/>
      <c r="E273" s="17"/>
      <c r="F273" s="17"/>
      <c r="H273" s="19"/>
      <c r="I273" s="47"/>
      <c r="J273" s="48"/>
      <c r="K273" s="49"/>
    </row>
    <row r="274" spans="1:11" ht="12.75" hidden="1" x14ac:dyDescent="0.2">
      <c r="A274" s="16"/>
      <c r="B274" s="16"/>
      <c r="C274" s="15"/>
      <c r="D274" s="16"/>
      <c r="E274" s="17"/>
      <c r="F274" s="17"/>
      <c r="H274" s="19"/>
      <c r="I274" s="47"/>
      <c r="J274" s="48"/>
      <c r="K274" s="49"/>
    </row>
    <row r="275" spans="1:11" ht="12.75" hidden="1" x14ac:dyDescent="0.2">
      <c r="A275" s="16"/>
      <c r="B275" s="16"/>
      <c r="C275" s="15"/>
      <c r="D275" s="16"/>
      <c r="E275" s="17"/>
      <c r="F275" s="17"/>
      <c r="H275" s="19"/>
      <c r="I275" s="47"/>
      <c r="J275" s="48"/>
      <c r="K275" s="49"/>
    </row>
    <row r="276" spans="1:11" ht="12.75" hidden="1" x14ac:dyDescent="0.2">
      <c r="A276" s="16"/>
      <c r="B276" s="16"/>
      <c r="C276" s="15"/>
      <c r="D276" s="16"/>
      <c r="E276" s="17"/>
      <c r="F276" s="17"/>
      <c r="H276" s="19"/>
      <c r="I276" s="47"/>
      <c r="J276" s="48"/>
      <c r="K276" s="49"/>
    </row>
    <row r="277" spans="1:11" ht="12.75" hidden="1" x14ac:dyDescent="0.2">
      <c r="A277" s="16"/>
      <c r="B277" s="16"/>
      <c r="C277" s="15"/>
      <c r="D277" s="16"/>
      <c r="E277" s="17"/>
      <c r="F277" s="17"/>
      <c r="H277" s="19"/>
      <c r="I277" s="47"/>
      <c r="J277" s="48"/>
      <c r="K277" s="49"/>
    </row>
    <row r="278" spans="1:11" ht="12.75" hidden="1" x14ac:dyDescent="0.2">
      <c r="A278" s="16"/>
      <c r="B278" s="16"/>
      <c r="C278" s="15"/>
      <c r="D278" s="16"/>
      <c r="E278" s="17"/>
      <c r="F278" s="17"/>
      <c r="H278" s="19"/>
      <c r="I278" s="47"/>
      <c r="J278" s="48"/>
      <c r="K278" s="49"/>
    </row>
    <row r="279" spans="1:11" ht="12.75" hidden="1" x14ac:dyDescent="0.2">
      <c r="A279" s="16"/>
      <c r="B279" s="16"/>
      <c r="C279" s="15"/>
      <c r="D279" s="16"/>
      <c r="E279" s="17"/>
      <c r="F279" s="17"/>
      <c r="H279" s="19"/>
      <c r="I279" s="47"/>
      <c r="J279" s="48"/>
      <c r="K279" s="49"/>
    </row>
    <row r="280" spans="1:11" ht="12.75" hidden="1" x14ac:dyDescent="0.2">
      <c r="A280" s="16"/>
      <c r="B280" s="16"/>
      <c r="C280" s="15"/>
      <c r="D280" s="16"/>
      <c r="E280" s="17"/>
      <c r="F280" s="17"/>
      <c r="H280" s="19"/>
      <c r="I280" s="47"/>
      <c r="J280" s="48"/>
      <c r="K280" s="49"/>
    </row>
    <row r="281" spans="1:11" ht="12.75" hidden="1" x14ac:dyDescent="0.2">
      <c r="A281" s="16"/>
      <c r="B281" s="16"/>
      <c r="C281" s="15"/>
      <c r="D281" s="16"/>
      <c r="E281" s="17"/>
      <c r="F281" s="17"/>
      <c r="H281" s="19"/>
      <c r="I281" s="47"/>
      <c r="J281" s="48"/>
      <c r="K281" s="49"/>
    </row>
    <row r="282" spans="1:11" ht="12.75" hidden="1" x14ac:dyDescent="0.2">
      <c r="A282" s="16"/>
      <c r="B282" s="16"/>
      <c r="C282" s="15"/>
      <c r="D282" s="16"/>
      <c r="E282" s="17"/>
      <c r="F282" s="17"/>
      <c r="H282" s="19"/>
      <c r="I282" s="47"/>
      <c r="J282" s="48"/>
      <c r="K282" s="49"/>
    </row>
    <row r="283" spans="1:11" ht="12.75" hidden="1" x14ac:dyDescent="0.2">
      <c r="A283" s="16"/>
      <c r="B283" s="16"/>
      <c r="C283" s="15"/>
      <c r="D283" s="16"/>
      <c r="E283" s="17"/>
      <c r="F283" s="17"/>
      <c r="H283" s="19"/>
      <c r="I283" s="47"/>
      <c r="J283" s="48"/>
      <c r="K283" s="49"/>
    </row>
    <row r="284" spans="1:11" ht="12.75" hidden="1" x14ac:dyDescent="0.2">
      <c r="A284" s="16"/>
      <c r="B284" s="16"/>
      <c r="C284" s="15"/>
      <c r="D284" s="16"/>
      <c r="E284" s="17"/>
      <c r="F284" s="17"/>
      <c r="H284" s="19"/>
      <c r="I284" s="47"/>
      <c r="J284" s="48"/>
      <c r="K284" s="49"/>
    </row>
    <row r="285" spans="1:11" ht="12.75" hidden="1" x14ac:dyDescent="0.2">
      <c r="A285" s="16"/>
      <c r="B285" s="16"/>
      <c r="C285" s="15"/>
      <c r="D285" s="16"/>
      <c r="E285" s="17"/>
      <c r="F285" s="17"/>
      <c r="H285" s="19"/>
      <c r="I285" s="47"/>
      <c r="J285" s="48"/>
      <c r="K285" s="49"/>
    </row>
    <row r="286" spans="1:11" ht="12.75" hidden="1" x14ac:dyDescent="0.2">
      <c r="A286" s="16"/>
      <c r="B286" s="16"/>
      <c r="C286" s="15"/>
      <c r="D286" s="16"/>
      <c r="E286" s="17"/>
      <c r="F286" s="17"/>
      <c r="H286" s="19"/>
      <c r="I286" s="47"/>
      <c r="J286" s="48"/>
      <c r="K286" s="49"/>
    </row>
    <row r="287" spans="1:11" ht="12.75" hidden="1" x14ac:dyDescent="0.2">
      <c r="A287" s="16"/>
      <c r="B287" s="16"/>
      <c r="C287" s="15"/>
      <c r="D287" s="16"/>
      <c r="E287" s="17"/>
      <c r="F287" s="17"/>
      <c r="H287" s="19"/>
      <c r="I287" s="47"/>
      <c r="J287" s="48"/>
      <c r="K287" s="49"/>
    </row>
    <row r="288" spans="1:11" ht="12.75" hidden="1" x14ac:dyDescent="0.2">
      <c r="A288" s="16"/>
      <c r="B288" s="16"/>
      <c r="C288" s="15"/>
      <c r="D288" s="16"/>
      <c r="E288" s="17"/>
      <c r="F288" s="17"/>
      <c r="H288" s="19"/>
      <c r="I288" s="47"/>
      <c r="J288" s="48"/>
      <c r="K288" s="49"/>
    </row>
    <row r="289" spans="1:11" ht="12.75" hidden="1" x14ac:dyDescent="0.2">
      <c r="A289" s="16"/>
      <c r="B289" s="16"/>
      <c r="C289" s="15"/>
      <c r="D289" s="16"/>
      <c r="E289" s="17"/>
      <c r="F289" s="17"/>
      <c r="H289" s="19"/>
      <c r="I289" s="47"/>
      <c r="J289" s="48"/>
      <c r="K289" s="49"/>
    </row>
    <row r="290" spans="1:11" ht="12.75" hidden="1" x14ac:dyDescent="0.2">
      <c r="A290" s="16"/>
      <c r="B290" s="16"/>
      <c r="C290" s="15"/>
      <c r="D290" s="16"/>
      <c r="E290" s="17"/>
      <c r="F290" s="17"/>
      <c r="H290" s="19"/>
      <c r="I290" s="47"/>
      <c r="J290" s="48"/>
      <c r="K290" s="49"/>
    </row>
    <row r="291" spans="1:11" ht="12.75" hidden="1" x14ac:dyDescent="0.2">
      <c r="A291" s="16"/>
      <c r="B291" s="16"/>
      <c r="C291" s="15"/>
      <c r="D291" s="16"/>
      <c r="E291" s="17"/>
      <c r="F291" s="17"/>
      <c r="H291" s="19"/>
      <c r="I291" s="47"/>
      <c r="J291" s="48"/>
      <c r="K291" s="49"/>
    </row>
    <row r="292" spans="1:11" ht="12.75" hidden="1" x14ac:dyDescent="0.2">
      <c r="A292" s="16"/>
      <c r="B292" s="16"/>
      <c r="C292" s="15"/>
      <c r="D292" s="16"/>
      <c r="E292" s="17"/>
      <c r="F292" s="17"/>
      <c r="H292" s="19"/>
      <c r="I292" s="47"/>
      <c r="J292" s="48"/>
      <c r="K292" s="49"/>
    </row>
    <row r="293" spans="1:11" ht="12.75" hidden="1" x14ac:dyDescent="0.2">
      <c r="A293" s="16"/>
      <c r="B293" s="16"/>
      <c r="C293" s="15"/>
      <c r="D293" s="16"/>
      <c r="E293" s="17"/>
      <c r="F293" s="17"/>
      <c r="H293" s="19"/>
      <c r="I293" s="47"/>
      <c r="J293" s="48"/>
      <c r="K293" s="49"/>
    </row>
    <row r="294" spans="1:11" ht="12.75" hidden="1" x14ac:dyDescent="0.2">
      <c r="A294" s="16"/>
      <c r="B294" s="16"/>
      <c r="C294" s="15"/>
      <c r="D294" s="16"/>
      <c r="E294" s="17"/>
      <c r="F294" s="17"/>
      <c r="H294" s="19"/>
      <c r="I294" s="47"/>
      <c r="J294" s="48"/>
      <c r="K294" s="49"/>
    </row>
    <row r="295" spans="1:11" ht="12.75" hidden="1" x14ac:dyDescent="0.2">
      <c r="A295" s="16"/>
      <c r="B295" s="16"/>
      <c r="C295" s="15"/>
      <c r="D295" s="16"/>
      <c r="E295" s="17"/>
      <c r="F295" s="17"/>
      <c r="H295" s="19"/>
      <c r="I295" s="47"/>
      <c r="J295" s="48"/>
      <c r="K295" s="49"/>
    </row>
    <row r="296" spans="1:11" ht="12.75" hidden="1" x14ac:dyDescent="0.2">
      <c r="A296" s="16"/>
      <c r="B296" s="16"/>
      <c r="C296" s="15"/>
      <c r="D296" s="16"/>
      <c r="E296" s="17"/>
      <c r="F296" s="17"/>
      <c r="H296" s="19"/>
      <c r="I296" s="47"/>
      <c r="J296" s="48"/>
      <c r="K296" s="49"/>
    </row>
    <row r="297" spans="1:11" ht="12.75" hidden="1" x14ac:dyDescent="0.2">
      <c r="A297" s="16"/>
      <c r="B297" s="16"/>
      <c r="C297" s="15"/>
      <c r="D297" s="16"/>
      <c r="E297" s="17"/>
      <c r="F297" s="17"/>
      <c r="H297" s="19"/>
      <c r="I297" s="47"/>
      <c r="J297" s="48"/>
      <c r="K297" s="49"/>
    </row>
    <row r="298" spans="1:11" ht="12.75" hidden="1" x14ac:dyDescent="0.2">
      <c r="A298" s="16"/>
      <c r="B298" s="16"/>
      <c r="C298" s="15"/>
      <c r="D298" s="16"/>
      <c r="E298" s="17"/>
      <c r="F298" s="17"/>
      <c r="H298" s="19"/>
      <c r="I298" s="47"/>
      <c r="J298" s="48"/>
      <c r="K298" s="49"/>
    </row>
    <row r="299" spans="1:11" ht="12.75" hidden="1" x14ac:dyDescent="0.2">
      <c r="A299" s="16"/>
      <c r="B299" s="16"/>
      <c r="C299" s="15"/>
      <c r="D299" s="16"/>
      <c r="E299" s="17"/>
      <c r="F299" s="17"/>
      <c r="H299" s="19"/>
      <c r="I299" s="47"/>
      <c r="J299" s="48"/>
      <c r="K299" s="49"/>
    </row>
    <row r="300" spans="1:11" ht="12.75" hidden="1" x14ac:dyDescent="0.2">
      <c r="A300" s="16"/>
      <c r="B300" s="16"/>
      <c r="C300" s="15"/>
      <c r="D300" s="16"/>
      <c r="E300" s="17"/>
      <c r="F300" s="17"/>
      <c r="H300" s="19"/>
      <c r="I300" s="47"/>
      <c r="J300" s="48"/>
      <c r="K300" s="49"/>
    </row>
    <row r="301" spans="1:11" ht="12.75" hidden="1" x14ac:dyDescent="0.2">
      <c r="A301" s="16"/>
      <c r="B301" s="16"/>
      <c r="C301" s="15"/>
      <c r="D301" s="16"/>
      <c r="E301" s="17"/>
      <c r="F301" s="17"/>
      <c r="H301" s="19"/>
      <c r="I301" s="47"/>
      <c r="J301" s="48"/>
      <c r="K301" s="49"/>
    </row>
    <row r="302" spans="1:11" ht="12.75" hidden="1" x14ac:dyDescent="0.2">
      <c r="A302" s="16"/>
      <c r="B302" s="16"/>
      <c r="C302" s="15"/>
      <c r="D302" s="16"/>
      <c r="E302" s="17"/>
      <c r="F302" s="17"/>
      <c r="H302" s="19"/>
      <c r="I302" s="47"/>
      <c r="J302" s="48"/>
      <c r="K302" s="49"/>
    </row>
    <row r="303" spans="1:11" ht="12.75" hidden="1" x14ac:dyDescent="0.2">
      <c r="A303" s="16"/>
      <c r="B303" s="16"/>
      <c r="C303" s="15"/>
      <c r="D303" s="16"/>
      <c r="E303" s="17"/>
      <c r="F303" s="17"/>
      <c r="H303" s="19"/>
      <c r="I303" s="47"/>
      <c r="J303" s="48"/>
      <c r="K303" s="49"/>
    </row>
    <row r="304" spans="1:11" ht="12.75" hidden="1" x14ac:dyDescent="0.2">
      <c r="A304" s="16"/>
      <c r="B304" s="16"/>
      <c r="C304" s="15"/>
      <c r="D304" s="16"/>
      <c r="E304" s="17"/>
      <c r="F304" s="17"/>
      <c r="H304" s="19"/>
      <c r="I304" s="47"/>
      <c r="J304" s="48"/>
      <c r="K304" s="49"/>
    </row>
    <row r="305" spans="1:11" ht="12.75" hidden="1" x14ac:dyDescent="0.2">
      <c r="A305" s="16"/>
      <c r="B305" s="16"/>
      <c r="C305" s="15"/>
      <c r="D305" s="16"/>
      <c r="E305" s="17"/>
      <c r="F305" s="17"/>
      <c r="H305" s="19"/>
      <c r="I305" s="47"/>
      <c r="J305" s="48"/>
      <c r="K305" s="49"/>
    </row>
    <row r="306" spans="1:11" ht="12.75" hidden="1" x14ac:dyDescent="0.2">
      <c r="A306" s="16"/>
      <c r="B306" s="16"/>
      <c r="C306" s="15"/>
      <c r="D306" s="16"/>
      <c r="E306" s="17"/>
      <c r="F306" s="17"/>
      <c r="H306" s="19"/>
      <c r="I306" s="47"/>
      <c r="J306" s="48"/>
      <c r="K306" s="49"/>
    </row>
    <row r="307" spans="1:11" ht="12.75" hidden="1" x14ac:dyDescent="0.2">
      <c r="A307" s="16"/>
      <c r="B307" s="16"/>
      <c r="C307" s="15"/>
      <c r="D307" s="16"/>
      <c r="E307" s="17"/>
      <c r="F307" s="17"/>
      <c r="H307" s="19"/>
      <c r="I307" s="47"/>
      <c r="J307" s="48"/>
      <c r="K307" s="49"/>
    </row>
    <row r="308" spans="1:11" ht="12.75" hidden="1" x14ac:dyDescent="0.2">
      <c r="A308" s="16"/>
      <c r="B308" s="16"/>
      <c r="C308" s="15"/>
      <c r="D308" s="16"/>
      <c r="E308" s="17"/>
      <c r="F308" s="17"/>
      <c r="H308" s="19"/>
      <c r="I308" s="47"/>
      <c r="J308" s="48"/>
      <c r="K308" s="49"/>
    </row>
    <row r="309" spans="1:11" ht="12.75" hidden="1" x14ac:dyDescent="0.2">
      <c r="A309" s="16"/>
      <c r="B309" s="16"/>
      <c r="C309" s="15"/>
      <c r="D309" s="16"/>
      <c r="E309" s="17"/>
      <c r="F309" s="17"/>
      <c r="H309" s="19"/>
      <c r="I309" s="47"/>
      <c r="J309" s="48"/>
      <c r="K309" s="49"/>
    </row>
    <row r="310" spans="1:11" ht="12.75" hidden="1" x14ac:dyDescent="0.2">
      <c r="A310" s="16"/>
      <c r="B310" s="16"/>
      <c r="C310" s="15"/>
      <c r="D310" s="16"/>
      <c r="E310" s="17"/>
      <c r="F310" s="17"/>
      <c r="H310" s="19"/>
      <c r="I310" s="47"/>
      <c r="J310" s="48"/>
      <c r="K310" s="49"/>
    </row>
    <row r="311" spans="1:11" ht="12.75" hidden="1" x14ac:dyDescent="0.2">
      <c r="A311" s="16"/>
      <c r="B311" s="16"/>
      <c r="C311" s="15"/>
      <c r="D311" s="16"/>
      <c r="E311" s="17"/>
      <c r="F311" s="17"/>
      <c r="H311" s="19"/>
      <c r="I311" s="47"/>
      <c r="J311" s="48"/>
      <c r="K311" s="49"/>
    </row>
    <row r="312" spans="1:11" ht="12.75" hidden="1" x14ac:dyDescent="0.2">
      <c r="A312" s="16"/>
      <c r="B312" s="16"/>
      <c r="C312" s="15"/>
      <c r="D312" s="16"/>
      <c r="E312" s="17"/>
      <c r="F312" s="17"/>
      <c r="H312" s="19"/>
      <c r="I312" s="47"/>
      <c r="J312" s="48"/>
      <c r="K312" s="49"/>
    </row>
    <row r="313" spans="1:11" ht="12.75" hidden="1" x14ac:dyDescent="0.2">
      <c r="A313" s="16"/>
      <c r="B313" s="16"/>
      <c r="C313" s="15"/>
      <c r="D313" s="16"/>
      <c r="E313" s="17"/>
      <c r="F313" s="17"/>
      <c r="H313" s="19"/>
      <c r="I313" s="47"/>
      <c r="J313" s="48"/>
      <c r="K313" s="49"/>
    </row>
    <row r="314" spans="1:11" ht="12.75" hidden="1" x14ac:dyDescent="0.2">
      <c r="A314" s="16"/>
      <c r="B314" s="16"/>
      <c r="C314" s="15"/>
      <c r="D314" s="16"/>
      <c r="E314" s="17"/>
      <c r="F314" s="17"/>
      <c r="H314" s="19"/>
      <c r="I314" s="47"/>
      <c r="J314" s="48"/>
      <c r="K314" s="49"/>
    </row>
    <row r="315" spans="1:11" ht="12.75" hidden="1" x14ac:dyDescent="0.2">
      <c r="A315" s="16"/>
      <c r="B315" s="16"/>
      <c r="C315" s="15"/>
      <c r="D315" s="16"/>
      <c r="E315" s="17"/>
      <c r="F315" s="17"/>
      <c r="H315" s="19"/>
      <c r="I315" s="47"/>
      <c r="J315" s="48"/>
      <c r="K315" s="49"/>
    </row>
    <row r="316" spans="1:11" ht="12.75" hidden="1" x14ac:dyDescent="0.2">
      <c r="A316" s="16"/>
      <c r="B316" s="16"/>
      <c r="C316" s="15"/>
      <c r="D316" s="16"/>
      <c r="E316" s="17"/>
      <c r="F316" s="17"/>
      <c r="H316" s="19"/>
      <c r="I316" s="47"/>
      <c r="J316" s="48"/>
      <c r="K316" s="49"/>
    </row>
    <row r="317" spans="1:11" ht="12.75" hidden="1" x14ac:dyDescent="0.2">
      <c r="A317" s="16"/>
      <c r="B317" s="16"/>
      <c r="C317" s="15"/>
      <c r="D317" s="16"/>
      <c r="E317" s="17"/>
      <c r="F317" s="17"/>
      <c r="H317" s="19"/>
      <c r="I317" s="47"/>
      <c r="J317" s="48"/>
      <c r="K317" s="49"/>
    </row>
    <row r="318" spans="1:11" ht="12.75" hidden="1" x14ac:dyDescent="0.2">
      <c r="A318" s="16"/>
      <c r="B318" s="16"/>
      <c r="C318" s="15"/>
      <c r="D318" s="16"/>
      <c r="E318" s="17"/>
      <c r="F318" s="17"/>
      <c r="H318" s="19"/>
      <c r="I318" s="47"/>
      <c r="J318" s="48"/>
      <c r="K318" s="49"/>
    </row>
    <row r="319" spans="1:11" ht="12.75" hidden="1" x14ac:dyDescent="0.2">
      <c r="A319" s="16"/>
      <c r="B319" s="16"/>
      <c r="C319" s="15"/>
      <c r="D319" s="16"/>
      <c r="E319" s="17"/>
      <c r="F319" s="17"/>
      <c r="H319" s="19"/>
      <c r="I319" s="47"/>
      <c r="J319" s="48"/>
      <c r="K319" s="49"/>
    </row>
    <row r="320" spans="1:11" ht="12.75" hidden="1" x14ac:dyDescent="0.2">
      <c r="A320" s="16"/>
      <c r="B320" s="16"/>
      <c r="C320" s="15"/>
      <c r="D320" s="16"/>
      <c r="E320" s="17"/>
      <c r="F320" s="17"/>
      <c r="H320" s="19"/>
      <c r="I320" s="47"/>
      <c r="J320" s="48"/>
      <c r="K320" s="49"/>
    </row>
    <row r="321" spans="1:11" ht="12.75" hidden="1" x14ac:dyDescent="0.2">
      <c r="A321" s="16"/>
      <c r="B321" s="16"/>
      <c r="C321" s="15"/>
      <c r="D321" s="16"/>
      <c r="E321" s="17"/>
      <c r="F321" s="17"/>
      <c r="H321" s="19"/>
      <c r="I321" s="47"/>
      <c r="J321" s="48"/>
      <c r="K321" s="49"/>
    </row>
    <row r="322" spans="1:11" ht="12.75" hidden="1" x14ac:dyDescent="0.2">
      <c r="A322" s="16"/>
      <c r="B322" s="16"/>
      <c r="C322" s="15"/>
      <c r="D322" s="16"/>
      <c r="E322" s="17"/>
      <c r="F322" s="17"/>
      <c r="H322" s="19"/>
      <c r="I322" s="47"/>
      <c r="J322" s="48"/>
      <c r="K322" s="49"/>
    </row>
    <row r="323" spans="1:11" ht="12.75" hidden="1" x14ac:dyDescent="0.2">
      <c r="A323" s="16"/>
      <c r="B323" s="16"/>
      <c r="C323" s="15"/>
      <c r="D323" s="16"/>
      <c r="E323" s="17"/>
      <c r="F323" s="17"/>
      <c r="H323" s="19"/>
      <c r="I323" s="47"/>
      <c r="J323" s="48"/>
      <c r="K323" s="49"/>
    </row>
    <row r="324" spans="1:11" ht="12.75" hidden="1" x14ac:dyDescent="0.2">
      <c r="A324" s="16"/>
      <c r="B324" s="16"/>
      <c r="C324" s="15"/>
      <c r="D324" s="16"/>
      <c r="E324" s="17"/>
      <c r="F324" s="17"/>
      <c r="H324" s="19"/>
      <c r="I324" s="47"/>
      <c r="J324" s="48"/>
      <c r="K324" s="49"/>
    </row>
    <row r="325" spans="1:11" ht="12.75" hidden="1" x14ac:dyDescent="0.2">
      <c r="A325" s="16"/>
      <c r="B325" s="16"/>
      <c r="C325" s="15"/>
      <c r="D325" s="16"/>
      <c r="E325" s="17"/>
      <c r="F325" s="17"/>
      <c r="H325" s="19"/>
      <c r="I325" s="47"/>
      <c r="J325" s="48"/>
      <c r="K325" s="49"/>
    </row>
    <row r="326" spans="1:11" ht="12.75" hidden="1" x14ac:dyDescent="0.2">
      <c r="A326" s="16"/>
      <c r="B326" s="16"/>
      <c r="C326" s="15"/>
      <c r="D326" s="16"/>
      <c r="E326" s="17"/>
      <c r="F326" s="17"/>
      <c r="H326" s="19"/>
      <c r="I326" s="47"/>
      <c r="J326" s="48"/>
      <c r="K326" s="49"/>
    </row>
    <row r="327" spans="1:11" ht="12.75" hidden="1" x14ac:dyDescent="0.2">
      <c r="A327" s="16"/>
      <c r="B327" s="16"/>
      <c r="C327" s="15"/>
      <c r="D327" s="16"/>
      <c r="E327" s="17"/>
      <c r="F327" s="17"/>
      <c r="H327" s="19"/>
      <c r="I327" s="47"/>
      <c r="J327" s="48"/>
      <c r="K327" s="49"/>
    </row>
    <row r="328" spans="1:11" ht="12.75" hidden="1" x14ac:dyDescent="0.2">
      <c r="A328" s="16"/>
      <c r="B328" s="16"/>
      <c r="C328" s="15"/>
      <c r="D328" s="16"/>
      <c r="E328" s="17"/>
      <c r="F328" s="17"/>
      <c r="H328" s="19"/>
      <c r="I328" s="47"/>
      <c r="J328" s="48"/>
      <c r="K328" s="49"/>
    </row>
    <row r="329" spans="1:11" ht="12.75" hidden="1" x14ac:dyDescent="0.2">
      <c r="A329" s="16"/>
      <c r="B329" s="16"/>
      <c r="C329" s="15"/>
      <c r="D329" s="16"/>
      <c r="E329" s="17"/>
      <c r="F329" s="17"/>
      <c r="H329" s="19"/>
      <c r="I329" s="47"/>
      <c r="J329" s="48"/>
      <c r="K329" s="49"/>
    </row>
    <row r="330" spans="1:11" ht="12.75" hidden="1" x14ac:dyDescent="0.2">
      <c r="A330" s="16"/>
      <c r="B330" s="16"/>
      <c r="C330" s="15"/>
      <c r="D330" s="16"/>
      <c r="E330" s="17"/>
      <c r="F330" s="17"/>
      <c r="H330" s="19"/>
      <c r="I330" s="47"/>
      <c r="J330" s="48"/>
      <c r="K330" s="49"/>
    </row>
    <row r="331" spans="1:11" ht="12.75" hidden="1" x14ac:dyDescent="0.2">
      <c r="A331" s="16"/>
      <c r="B331" s="16"/>
      <c r="C331" s="15"/>
      <c r="D331" s="16"/>
      <c r="E331" s="17"/>
      <c r="F331" s="17"/>
      <c r="H331" s="19"/>
      <c r="I331" s="47"/>
      <c r="J331" s="48"/>
      <c r="K331" s="49"/>
    </row>
    <row r="332" spans="1:11" ht="12.75" hidden="1" x14ac:dyDescent="0.2">
      <c r="A332" s="16"/>
      <c r="B332" s="16"/>
      <c r="C332" s="15"/>
      <c r="D332" s="16"/>
      <c r="E332" s="17"/>
      <c r="F332" s="17"/>
      <c r="H332" s="19"/>
      <c r="I332" s="47"/>
      <c r="J332" s="48"/>
      <c r="K332" s="49"/>
    </row>
    <row r="333" spans="1:11" ht="12.75" hidden="1" x14ac:dyDescent="0.2">
      <c r="A333" s="16"/>
      <c r="B333" s="16"/>
      <c r="C333" s="15"/>
      <c r="D333" s="16"/>
      <c r="E333" s="17"/>
      <c r="F333" s="17"/>
      <c r="H333" s="19"/>
      <c r="I333" s="47"/>
      <c r="J333" s="48"/>
      <c r="K333" s="49"/>
    </row>
    <row r="334" spans="1:11" ht="12.75" hidden="1" x14ac:dyDescent="0.2">
      <c r="A334" s="16"/>
      <c r="B334" s="16"/>
      <c r="C334" s="15"/>
      <c r="D334" s="16"/>
      <c r="E334" s="17"/>
      <c r="F334" s="17"/>
      <c r="H334" s="19"/>
      <c r="I334" s="47"/>
      <c r="J334" s="48"/>
      <c r="K334" s="49"/>
    </row>
    <row r="335" spans="1:11" ht="12.75" hidden="1" x14ac:dyDescent="0.2">
      <c r="A335" s="16"/>
      <c r="B335" s="16"/>
      <c r="C335" s="15"/>
      <c r="D335" s="16"/>
      <c r="E335" s="17"/>
      <c r="F335" s="17"/>
      <c r="H335" s="19"/>
      <c r="I335" s="47"/>
      <c r="J335" s="48"/>
      <c r="K335" s="49"/>
    </row>
    <row r="336" spans="1:11" ht="12.75" hidden="1" x14ac:dyDescent="0.2">
      <c r="A336" s="16"/>
      <c r="B336" s="16"/>
      <c r="C336" s="15"/>
      <c r="D336" s="16"/>
      <c r="E336" s="17"/>
      <c r="F336" s="17"/>
      <c r="H336" s="19"/>
      <c r="I336" s="47"/>
      <c r="J336" s="48"/>
      <c r="K336" s="49"/>
    </row>
    <row r="337" spans="1:11" ht="12.75" hidden="1" x14ac:dyDescent="0.2">
      <c r="A337" s="16"/>
      <c r="B337" s="16"/>
      <c r="C337" s="15"/>
      <c r="D337" s="16"/>
      <c r="E337" s="17"/>
      <c r="F337" s="17"/>
      <c r="H337" s="19"/>
      <c r="I337" s="47"/>
      <c r="J337" s="48"/>
      <c r="K337" s="49"/>
    </row>
    <row r="338" spans="1:11" ht="12.75" hidden="1" x14ac:dyDescent="0.2">
      <c r="A338" s="16"/>
      <c r="B338" s="16"/>
      <c r="C338" s="15"/>
      <c r="D338" s="16"/>
      <c r="E338" s="17"/>
      <c r="F338" s="17"/>
      <c r="H338" s="19"/>
      <c r="I338" s="47"/>
      <c r="J338" s="48"/>
      <c r="K338" s="49"/>
    </row>
    <row r="339" spans="1:11" ht="12.75" hidden="1" x14ac:dyDescent="0.2">
      <c r="A339" s="16"/>
      <c r="B339" s="16"/>
      <c r="C339" s="15"/>
      <c r="D339" s="16"/>
      <c r="E339" s="17"/>
      <c r="F339" s="17"/>
      <c r="H339" s="19"/>
      <c r="I339" s="47"/>
      <c r="J339" s="48"/>
      <c r="K339" s="49"/>
    </row>
    <row r="340" spans="1:11" ht="12.75" hidden="1" x14ac:dyDescent="0.2">
      <c r="A340" s="16"/>
      <c r="B340" s="16"/>
      <c r="C340" s="15"/>
      <c r="D340" s="16"/>
      <c r="E340" s="17"/>
      <c r="F340" s="17"/>
      <c r="H340" s="19"/>
      <c r="I340" s="47"/>
      <c r="J340" s="48"/>
      <c r="K340" s="49"/>
    </row>
    <row r="341" spans="1:11" ht="12.75" hidden="1" x14ac:dyDescent="0.2">
      <c r="A341" s="16"/>
      <c r="B341" s="16"/>
      <c r="C341" s="15"/>
      <c r="D341" s="16"/>
      <c r="E341" s="17"/>
      <c r="F341" s="17"/>
      <c r="H341" s="19"/>
      <c r="I341" s="47"/>
      <c r="J341" s="48"/>
      <c r="K341" s="49"/>
    </row>
    <row r="342" spans="1:11" ht="12.75" hidden="1" x14ac:dyDescent="0.2">
      <c r="A342" s="16"/>
      <c r="B342" s="16"/>
      <c r="C342" s="15"/>
      <c r="D342" s="16"/>
      <c r="E342" s="17"/>
      <c r="F342" s="17"/>
      <c r="H342" s="19"/>
      <c r="I342" s="47"/>
      <c r="J342" s="48"/>
      <c r="K342" s="49"/>
    </row>
    <row r="343" spans="1:11" ht="12.75" hidden="1" x14ac:dyDescent="0.2">
      <c r="A343" s="16"/>
      <c r="B343" s="16"/>
      <c r="C343" s="15"/>
      <c r="D343" s="16"/>
      <c r="E343" s="17"/>
      <c r="F343" s="17"/>
      <c r="H343" s="19"/>
      <c r="I343" s="47"/>
      <c r="J343" s="48"/>
      <c r="K343" s="49"/>
    </row>
    <row r="344" spans="1:11" ht="12.75" hidden="1" x14ac:dyDescent="0.2">
      <c r="A344" s="16"/>
      <c r="B344" s="16"/>
      <c r="C344" s="15"/>
      <c r="D344" s="16"/>
      <c r="E344" s="17"/>
      <c r="F344" s="17"/>
      <c r="H344" s="19"/>
      <c r="I344" s="47"/>
      <c r="J344" s="48"/>
      <c r="K344" s="49"/>
    </row>
    <row r="345" spans="1:11" ht="12.75" hidden="1" x14ac:dyDescent="0.2">
      <c r="A345" s="16"/>
      <c r="B345" s="16"/>
      <c r="C345" s="15"/>
      <c r="D345" s="16"/>
      <c r="E345" s="17"/>
      <c r="F345" s="17"/>
      <c r="H345" s="19"/>
      <c r="I345" s="47"/>
      <c r="J345" s="48"/>
      <c r="K345" s="49"/>
    </row>
    <row r="346" spans="1:11" ht="12.75" hidden="1" x14ac:dyDescent="0.2">
      <c r="A346" s="16"/>
      <c r="B346" s="16"/>
      <c r="C346" s="15"/>
      <c r="D346" s="16"/>
      <c r="E346" s="17"/>
      <c r="F346" s="17"/>
      <c r="H346" s="19"/>
      <c r="I346" s="47"/>
      <c r="J346" s="48"/>
      <c r="K346" s="49"/>
    </row>
    <row r="347" spans="1:11" ht="12.75" hidden="1" x14ac:dyDescent="0.2">
      <c r="A347" s="16"/>
      <c r="B347" s="16"/>
      <c r="C347" s="15"/>
      <c r="D347" s="16"/>
      <c r="E347" s="17"/>
      <c r="F347" s="17"/>
      <c r="H347" s="19"/>
      <c r="I347" s="47"/>
      <c r="J347" s="48"/>
      <c r="K347" s="49"/>
    </row>
    <row r="348" spans="1:11" ht="12.75" hidden="1" x14ac:dyDescent="0.2">
      <c r="A348" s="16"/>
      <c r="B348" s="16"/>
      <c r="C348" s="15"/>
      <c r="D348" s="16"/>
      <c r="E348" s="17"/>
      <c r="F348" s="17"/>
      <c r="H348" s="19"/>
      <c r="I348" s="47"/>
      <c r="J348" s="48"/>
      <c r="K348" s="49"/>
    </row>
    <row r="349" spans="1:11" ht="12.75" hidden="1" x14ac:dyDescent="0.2">
      <c r="A349" s="16"/>
      <c r="B349" s="16"/>
      <c r="C349" s="15"/>
      <c r="D349" s="16"/>
      <c r="E349" s="17"/>
      <c r="F349" s="17"/>
      <c r="H349" s="19"/>
      <c r="I349" s="47"/>
      <c r="J349" s="48"/>
      <c r="K349" s="49"/>
    </row>
    <row r="350" spans="1:11" ht="12.75" hidden="1" x14ac:dyDescent="0.2">
      <c r="A350" s="16"/>
      <c r="B350" s="16"/>
      <c r="C350" s="15"/>
      <c r="D350" s="16"/>
      <c r="E350" s="17"/>
      <c r="F350" s="17"/>
      <c r="H350" s="19"/>
      <c r="I350" s="47"/>
      <c r="J350" s="48"/>
      <c r="K350" s="49"/>
    </row>
    <row r="351" spans="1:11" ht="12.75" hidden="1" x14ac:dyDescent="0.2">
      <c r="A351" s="16"/>
      <c r="B351" s="16"/>
      <c r="C351" s="15"/>
      <c r="D351" s="16"/>
      <c r="E351" s="17"/>
      <c r="F351" s="17"/>
      <c r="H351" s="19"/>
      <c r="I351" s="47"/>
      <c r="J351" s="48"/>
      <c r="K351" s="49"/>
    </row>
    <row r="352" spans="1:11" ht="12.75" hidden="1" x14ac:dyDescent="0.2">
      <c r="A352" s="16"/>
      <c r="B352" s="16"/>
      <c r="C352" s="15"/>
      <c r="D352" s="16"/>
      <c r="E352" s="17"/>
      <c r="F352" s="17"/>
      <c r="H352" s="19"/>
      <c r="I352" s="47"/>
      <c r="J352" s="48"/>
      <c r="K352" s="49"/>
    </row>
    <row r="353" spans="1:11" ht="12.75" hidden="1" x14ac:dyDescent="0.2">
      <c r="A353" s="16"/>
      <c r="B353" s="16"/>
      <c r="C353" s="15"/>
      <c r="D353" s="16"/>
      <c r="E353" s="17"/>
      <c r="F353" s="17"/>
      <c r="H353" s="19"/>
      <c r="I353" s="47"/>
      <c r="J353" s="48"/>
      <c r="K353" s="49"/>
    </row>
    <row r="354" spans="1:11" ht="12.75" hidden="1" x14ac:dyDescent="0.2">
      <c r="A354" s="16"/>
      <c r="B354" s="16"/>
      <c r="C354" s="15"/>
      <c r="D354" s="16"/>
      <c r="E354" s="17"/>
      <c r="F354" s="17"/>
      <c r="H354" s="19"/>
      <c r="I354" s="47"/>
      <c r="J354" s="48"/>
      <c r="K354" s="49"/>
    </row>
    <row r="355" spans="1:11" ht="12.75" hidden="1" x14ac:dyDescent="0.2">
      <c r="A355" s="16"/>
      <c r="B355" s="16"/>
      <c r="C355" s="15"/>
      <c r="D355" s="16"/>
      <c r="E355" s="17"/>
      <c r="F355" s="17"/>
      <c r="H355" s="19"/>
      <c r="I355" s="47"/>
      <c r="J355" s="48"/>
      <c r="K355" s="49"/>
    </row>
    <row r="356" spans="1:11" ht="12.75" hidden="1" x14ac:dyDescent="0.2">
      <c r="A356" s="16"/>
      <c r="B356" s="16"/>
      <c r="C356" s="15"/>
      <c r="D356" s="16"/>
      <c r="E356" s="17"/>
      <c r="F356" s="17"/>
      <c r="H356" s="19"/>
      <c r="I356" s="47"/>
      <c r="J356" s="48"/>
      <c r="K356" s="49"/>
    </row>
    <row r="357" spans="1:11" ht="12.75" hidden="1" x14ac:dyDescent="0.2">
      <c r="A357" s="16"/>
      <c r="B357" s="16"/>
      <c r="C357" s="15"/>
      <c r="D357" s="16"/>
      <c r="E357" s="17"/>
      <c r="F357" s="17"/>
      <c r="H357" s="19"/>
      <c r="I357" s="47"/>
      <c r="J357" s="48"/>
      <c r="K357" s="49"/>
    </row>
    <row r="358" spans="1:11" ht="12.75" hidden="1" x14ac:dyDescent="0.2">
      <c r="A358" s="16"/>
      <c r="B358" s="16"/>
      <c r="C358" s="15"/>
      <c r="D358" s="16"/>
      <c r="E358" s="17"/>
      <c r="F358" s="17"/>
      <c r="H358" s="19"/>
      <c r="I358" s="47"/>
      <c r="J358" s="48"/>
      <c r="K358" s="49"/>
    </row>
    <row r="359" spans="1:11" ht="12.75" hidden="1" x14ac:dyDescent="0.2">
      <c r="A359" s="16"/>
      <c r="B359" s="16"/>
      <c r="C359" s="15"/>
      <c r="D359" s="16"/>
      <c r="E359" s="17"/>
      <c r="F359" s="17"/>
      <c r="H359" s="19"/>
      <c r="I359" s="47"/>
      <c r="J359" s="48"/>
      <c r="K359" s="49"/>
    </row>
    <row r="360" spans="1:11" ht="12.75" hidden="1" x14ac:dyDescent="0.2">
      <c r="A360" s="16"/>
      <c r="B360" s="16"/>
      <c r="C360" s="15"/>
      <c r="D360" s="16"/>
      <c r="E360" s="17"/>
      <c r="F360" s="17"/>
      <c r="H360" s="19"/>
      <c r="I360" s="47"/>
      <c r="J360" s="48"/>
      <c r="K360" s="49"/>
    </row>
    <row r="361" spans="1:11" ht="12.75" hidden="1" x14ac:dyDescent="0.2">
      <c r="A361" s="16"/>
      <c r="B361" s="16"/>
      <c r="C361" s="15"/>
      <c r="D361" s="16"/>
      <c r="E361" s="17"/>
      <c r="F361" s="17"/>
      <c r="H361" s="19"/>
      <c r="I361" s="47"/>
      <c r="J361" s="48"/>
      <c r="K361" s="49"/>
    </row>
    <row r="362" spans="1:11" ht="12.75" hidden="1" x14ac:dyDescent="0.2">
      <c r="A362" s="16"/>
      <c r="B362" s="16"/>
      <c r="C362" s="15"/>
      <c r="D362" s="16"/>
      <c r="E362" s="17"/>
      <c r="F362" s="17"/>
      <c r="H362" s="19"/>
      <c r="I362" s="47"/>
      <c r="J362" s="48"/>
      <c r="K362" s="49"/>
    </row>
    <row r="363" spans="1:11" ht="12.75" hidden="1" x14ac:dyDescent="0.2">
      <c r="A363" s="16"/>
      <c r="B363" s="16"/>
      <c r="C363" s="15"/>
      <c r="D363" s="16"/>
      <c r="E363" s="17"/>
      <c r="F363" s="17"/>
      <c r="H363" s="19"/>
      <c r="I363" s="47"/>
      <c r="J363" s="48"/>
      <c r="K363" s="49"/>
    </row>
    <row r="364" spans="1:11" ht="12.75" hidden="1" x14ac:dyDescent="0.2">
      <c r="A364" s="16"/>
      <c r="B364" s="16"/>
      <c r="C364" s="15"/>
      <c r="D364" s="16"/>
      <c r="E364" s="17"/>
      <c r="F364" s="17"/>
      <c r="H364" s="19"/>
      <c r="I364" s="47"/>
      <c r="J364" s="48"/>
      <c r="K364" s="49"/>
    </row>
    <row r="365" spans="1:11" ht="12.75" hidden="1" x14ac:dyDescent="0.2">
      <c r="A365" s="16"/>
      <c r="B365" s="16"/>
      <c r="C365" s="15"/>
      <c r="D365" s="16"/>
      <c r="E365" s="17"/>
      <c r="F365" s="17"/>
      <c r="H365" s="19"/>
      <c r="I365" s="47"/>
      <c r="J365" s="48"/>
      <c r="K365" s="49"/>
    </row>
    <row r="366" spans="1:11" ht="12.75" hidden="1" x14ac:dyDescent="0.2">
      <c r="A366" s="16"/>
      <c r="B366" s="16"/>
      <c r="C366" s="15"/>
      <c r="D366" s="16"/>
      <c r="E366" s="17"/>
      <c r="F366" s="17"/>
      <c r="H366" s="19"/>
      <c r="I366" s="47"/>
      <c r="J366" s="48"/>
      <c r="K366" s="49"/>
    </row>
    <row r="367" spans="1:11" ht="12.75" hidden="1" x14ac:dyDescent="0.2">
      <c r="A367" s="16"/>
      <c r="B367" s="16"/>
      <c r="C367" s="15"/>
      <c r="D367" s="16"/>
      <c r="E367" s="17"/>
      <c r="F367" s="17"/>
      <c r="H367" s="19"/>
      <c r="I367" s="47"/>
      <c r="J367" s="48"/>
      <c r="K367" s="49"/>
    </row>
    <row r="368" spans="1:11" ht="12.75" hidden="1" x14ac:dyDescent="0.2">
      <c r="A368" s="16"/>
      <c r="B368" s="16"/>
      <c r="C368" s="15"/>
      <c r="D368" s="16"/>
      <c r="E368" s="17"/>
      <c r="F368" s="17"/>
      <c r="H368" s="19"/>
      <c r="I368" s="47"/>
      <c r="J368" s="48"/>
      <c r="K368" s="49"/>
    </row>
    <row r="369" spans="1:11" ht="12.75" hidden="1" x14ac:dyDescent="0.2">
      <c r="A369" s="16"/>
      <c r="B369" s="16"/>
      <c r="C369" s="15"/>
      <c r="D369" s="16"/>
      <c r="E369" s="17"/>
      <c r="F369" s="17"/>
      <c r="H369" s="19"/>
      <c r="I369" s="47"/>
      <c r="J369" s="48"/>
      <c r="K369" s="49"/>
    </row>
    <row r="370" spans="1:11" ht="12.75" hidden="1" x14ac:dyDescent="0.2">
      <c r="A370" s="16"/>
      <c r="B370" s="16"/>
      <c r="C370" s="15"/>
      <c r="D370" s="16"/>
      <c r="E370" s="17"/>
      <c r="F370" s="17"/>
      <c r="H370" s="19"/>
      <c r="I370" s="47"/>
      <c r="J370" s="48"/>
      <c r="K370" s="49"/>
    </row>
    <row r="371" spans="1:11" ht="12.75" hidden="1" x14ac:dyDescent="0.2">
      <c r="A371" s="16"/>
      <c r="B371" s="16"/>
      <c r="C371" s="15"/>
      <c r="D371" s="16"/>
      <c r="E371" s="17"/>
      <c r="F371" s="17"/>
      <c r="H371" s="19"/>
      <c r="I371" s="47"/>
      <c r="J371" s="48"/>
      <c r="K371" s="49"/>
    </row>
    <row r="372" spans="1:11" ht="12.75" hidden="1" x14ac:dyDescent="0.2">
      <c r="A372" s="16"/>
      <c r="B372" s="16"/>
      <c r="C372" s="15"/>
      <c r="D372" s="16"/>
      <c r="E372" s="17"/>
      <c r="F372" s="17"/>
      <c r="H372" s="19"/>
      <c r="I372" s="47"/>
      <c r="J372" s="48"/>
      <c r="K372" s="49"/>
    </row>
    <row r="373" spans="1:11" ht="12.75" hidden="1" x14ac:dyDescent="0.2">
      <c r="A373" s="16"/>
      <c r="B373" s="16"/>
      <c r="C373" s="15"/>
      <c r="D373" s="16"/>
      <c r="E373" s="17"/>
      <c r="F373" s="17"/>
      <c r="H373" s="19"/>
      <c r="I373" s="47"/>
      <c r="J373" s="48"/>
      <c r="K373" s="49"/>
    </row>
    <row r="374" spans="1:11" ht="12.75" hidden="1" x14ac:dyDescent="0.2">
      <c r="A374" s="16"/>
      <c r="B374" s="16"/>
      <c r="C374" s="15"/>
      <c r="D374" s="16"/>
      <c r="E374" s="17"/>
      <c r="F374" s="17"/>
      <c r="H374" s="19"/>
      <c r="I374" s="47"/>
      <c r="J374" s="48"/>
      <c r="K374" s="49"/>
    </row>
    <row r="375" spans="1:11" ht="12.75" hidden="1" x14ac:dyDescent="0.2">
      <c r="A375" s="16"/>
      <c r="B375" s="16"/>
      <c r="C375" s="15"/>
      <c r="D375" s="16"/>
      <c r="E375" s="17"/>
      <c r="F375" s="17"/>
      <c r="H375" s="19"/>
      <c r="I375" s="47"/>
      <c r="J375" s="48"/>
      <c r="K375" s="49"/>
    </row>
    <row r="376" spans="1:11" ht="12.75" hidden="1" x14ac:dyDescent="0.2">
      <c r="A376" s="16"/>
      <c r="B376" s="16"/>
      <c r="C376" s="15"/>
      <c r="D376" s="16"/>
      <c r="E376" s="17"/>
      <c r="F376" s="17"/>
      <c r="H376" s="19"/>
      <c r="I376" s="47"/>
      <c r="J376" s="48"/>
      <c r="K376" s="49"/>
    </row>
    <row r="377" spans="1:11" ht="12.75" hidden="1" x14ac:dyDescent="0.2">
      <c r="A377" s="16"/>
      <c r="B377" s="16"/>
      <c r="C377" s="15"/>
      <c r="D377" s="16"/>
      <c r="E377" s="17"/>
      <c r="F377" s="17"/>
      <c r="H377" s="19"/>
      <c r="I377" s="47"/>
      <c r="J377" s="48"/>
      <c r="K377" s="49"/>
    </row>
    <row r="378" spans="1:11" ht="12.75" hidden="1" x14ac:dyDescent="0.2">
      <c r="A378" s="16"/>
      <c r="B378" s="16"/>
      <c r="C378" s="15"/>
      <c r="D378" s="16"/>
      <c r="E378" s="17"/>
      <c r="F378" s="17"/>
      <c r="H378" s="19"/>
      <c r="I378" s="47"/>
      <c r="J378" s="48"/>
      <c r="K378" s="49"/>
    </row>
    <row r="379" spans="1:11" ht="12.75" hidden="1" x14ac:dyDescent="0.2">
      <c r="A379" s="16"/>
      <c r="B379" s="16"/>
      <c r="C379" s="15"/>
      <c r="D379" s="16"/>
      <c r="E379" s="17"/>
      <c r="F379" s="17"/>
      <c r="H379" s="19"/>
      <c r="I379" s="47"/>
      <c r="J379" s="48"/>
      <c r="K379" s="49"/>
    </row>
    <row r="380" spans="1:11" ht="12.75" hidden="1" x14ac:dyDescent="0.2">
      <c r="A380" s="16"/>
      <c r="B380" s="16"/>
      <c r="C380" s="15"/>
      <c r="D380" s="16"/>
      <c r="E380" s="17"/>
      <c r="F380" s="17"/>
      <c r="H380" s="19"/>
      <c r="I380" s="47"/>
      <c r="J380" s="48"/>
      <c r="K380" s="49"/>
    </row>
    <row r="381" spans="1:11" ht="12.75" hidden="1" x14ac:dyDescent="0.2">
      <c r="A381" s="16"/>
      <c r="B381" s="16"/>
      <c r="C381" s="15"/>
      <c r="D381" s="16"/>
      <c r="E381" s="17"/>
      <c r="F381" s="17"/>
      <c r="H381" s="19"/>
      <c r="I381" s="47"/>
      <c r="J381" s="48"/>
      <c r="K381" s="49"/>
    </row>
    <row r="382" spans="1:11" ht="12.75" hidden="1" x14ac:dyDescent="0.2">
      <c r="A382" s="16"/>
      <c r="B382" s="16"/>
      <c r="C382" s="15"/>
      <c r="D382" s="16"/>
      <c r="E382" s="17"/>
      <c r="F382" s="17"/>
      <c r="H382" s="19"/>
      <c r="I382" s="47"/>
      <c r="J382" s="48"/>
      <c r="K382" s="49"/>
    </row>
    <row r="383" spans="1:11" ht="12.75" hidden="1" x14ac:dyDescent="0.2">
      <c r="A383" s="16"/>
      <c r="B383" s="16"/>
      <c r="C383" s="15"/>
      <c r="D383" s="16"/>
      <c r="E383" s="17"/>
      <c r="F383" s="17"/>
      <c r="H383" s="19"/>
      <c r="I383" s="47"/>
      <c r="J383" s="48"/>
      <c r="K383" s="49"/>
    </row>
    <row r="384" spans="1:11" ht="12.75" hidden="1" x14ac:dyDescent="0.2">
      <c r="A384" s="16"/>
      <c r="B384" s="16"/>
      <c r="C384" s="15"/>
      <c r="D384" s="16"/>
      <c r="E384" s="17"/>
      <c r="F384" s="17"/>
      <c r="H384" s="19"/>
      <c r="I384" s="47"/>
      <c r="J384" s="48"/>
      <c r="K384" s="49"/>
    </row>
    <row r="385" spans="1:11" ht="12.75" hidden="1" x14ac:dyDescent="0.2">
      <c r="A385" s="16"/>
      <c r="B385" s="16"/>
      <c r="C385" s="15"/>
      <c r="D385" s="16"/>
      <c r="E385" s="17"/>
      <c r="F385" s="17"/>
      <c r="H385" s="19"/>
      <c r="I385" s="47"/>
      <c r="J385" s="48"/>
      <c r="K385" s="49"/>
    </row>
    <row r="386" spans="1:11" ht="12.75" hidden="1" x14ac:dyDescent="0.2">
      <c r="A386" s="16"/>
      <c r="B386" s="16"/>
      <c r="C386" s="15"/>
      <c r="D386" s="16"/>
      <c r="E386" s="17"/>
      <c r="F386" s="17"/>
      <c r="H386" s="19"/>
      <c r="I386" s="47"/>
      <c r="J386" s="48"/>
      <c r="K386" s="49"/>
    </row>
    <row r="387" spans="1:11" ht="12.75" hidden="1" x14ac:dyDescent="0.2">
      <c r="A387" s="16"/>
      <c r="B387" s="16"/>
      <c r="C387" s="15"/>
      <c r="D387" s="16"/>
      <c r="E387" s="17"/>
      <c r="F387" s="17"/>
      <c r="H387" s="19"/>
      <c r="I387" s="47"/>
      <c r="J387" s="48"/>
      <c r="K387" s="49"/>
    </row>
    <row r="388" spans="1:11" ht="12.75" hidden="1" x14ac:dyDescent="0.2">
      <c r="A388" s="16"/>
      <c r="B388" s="16"/>
      <c r="C388" s="15"/>
      <c r="D388" s="16"/>
      <c r="E388" s="17"/>
      <c r="F388" s="17"/>
      <c r="H388" s="19"/>
      <c r="I388" s="47"/>
      <c r="J388" s="48"/>
      <c r="K388" s="49"/>
    </row>
    <row r="389" spans="1:11" ht="12.75" hidden="1" x14ac:dyDescent="0.2">
      <c r="A389" s="16"/>
      <c r="B389" s="16"/>
      <c r="C389" s="15"/>
      <c r="D389" s="16"/>
      <c r="E389" s="17"/>
      <c r="F389" s="17"/>
      <c r="H389" s="19"/>
      <c r="I389" s="47"/>
      <c r="J389" s="48"/>
      <c r="K389" s="49"/>
    </row>
    <row r="390" spans="1:11" ht="12.75" hidden="1" x14ac:dyDescent="0.2">
      <c r="A390" s="16"/>
      <c r="B390" s="16"/>
      <c r="C390" s="15"/>
      <c r="D390" s="16"/>
      <c r="E390" s="17"/>
      <c r="F390" s="17"/>
      <c r="H390" s="19"/>
      <c r="I390" s="47"/>
      <c r="J390" s="48"/>
      <c r="K390" s="49"/>
    </row>
    <row r="391" spans="1:11" ht="12.75" hidden="1" x14ac:dyDescent="0.2">
      <c r="A391" s="16"/>
      <c r="B391" s="16"/>
      <c r="C391" s="15"/>
      <c r="D391" s="16"/>
      <c r="E391" s="17"/>
      <c r="F391" s="17"/>
      <c r="H391" s="19"/>
      <c r="I391" s="47"/>
      <c r="J391" s="48"/>
      <c r="K391" s="49"/>
    </row>
    <row r="392" spans="1:11" ht="12.75" hidden="1" x14ac:dyDescent="0.2">
      <c r="A392" s="16"/>
      <c r="B392" s="16"/>
      <c r="C392" s="15"/>
      <c r="D392" s="16"/>
      <c r="E392" s="17"/>
      <c r="F392" s="17"/>
      <c r="H392" s="19"/>
      <c r="I392" s="47"/>
      <c r="J392" s="48"/>
      <c r="K392" s="49"/>
    </row>
    <row r="393" spans="1:11" ht="12.75" hidden="1" x14ac:dyDescent="0.2">
      <c r="A393" s="16"/>
      <c r="B393" s="16"/>
      <c r="C393" s="15"/>
      <c r="D393" s="16"/>
      <c r="E393" s="17"/>
      <c r="F393" s="17"/>
      <c r="H393" s="19"/>
      <c r="I393" s="47"/>
      <c r="J393" s="48"/>
      <c r="K393" s="49"/>
    </row>
    <row r="394" spans="1:11" ht="12.75" hidden="1" x14ac:dyDescent="0.2">
      <c r="A394" s="16"/>
      <c r="B394" s="16"/>
      <c r="C394" s="15"/>
      <c r="D394" s="16"/>
      <c r="E394" s="17"/>
      <c r="F394" s="17"/>
      <c r="H394" s="19"/>
      <c r="I394" s="47"/>
      <c r="J394" s="48"/>
      <c r="K394" s="49"/>
    </row>
    <row r="395" spans="1:11" ht="12.75" hidden="1" x14ac:dyDescent="0.2">
      <c r="A395" s="16"/>
      <c r="B395" s="16"/>
      <c r="C395" s="15"/>
      <c r="D395" s="16"/>
      <c r="E395" s="17"/>
      <c r="F395" s="17"/>
      <c r="H395" s="19"/>
      <c r="I395" s="47"/>
      <c r="J395" s="48"/>
      <c r="K395" s="49"/>
    </row>
    <row r="396" spans="1:11" ht="12.75" hidden="1" x14ac:dyDescent="0.2">
      <c r="A396" s="16"/>
      <c r="B396" s="16"/>
      <c r="C396" s="15"/>
      <c r="D396" s="16"/>
      <c r="E396" s="17"/>
      <c r="F396" s="17"/>
      <c r="H396" s="19"/>
      <c r="I396" s="47"/>
      <c r="J396" s="48"/>
      <c r="K396" s="49"/>
    </row>
    <row r="397" spans="1:11" ht="12.75" hidden="1" x14ac:dyDescent="0.2">
      <c r="A397" s="16"/>
      <c r="B397" s="16"/>
      <c r="C397" s="15"/>
      <c r="D397" s="16"/>
      <c r="E397" s="17"/>
      <c r="F397" s="17"/>
      <c r="H397" s="19"/>
      <c r="I397" s="47"/>
      <c r="J397" s="48"/>
      <c r="K397" s="49"/>
    </row>
    <row r="398" spans="1:11" ht="12.75" hidden="1" x14ac:dyDescent="0.2">
      <c r="A398" s="16"/>
      <c r="B398" s="16"/>
      <c r="C398" s="15"/>
      <c r="D398" s="16"/>
      <c r="E398" s="17"/>
      <c r="F398" s="17"/>
      <c r="H398" s="19"/>
      <c r="I398" s="47"/>
      <c r="J398" s="48"/>
      <c r="K398" s="49"/>
    </row>
    <row r="399" spans="1:11" ht="12.75" hidden="1" x14ac:dyDescent="0.2">
      <c r="A399" s="16"/>
      <c r="B399" s="16"/>
      <c r="C399" s="15"/>
      <c r="D399" s="16"/>
      <c r="E399" s="17"/>
      <c r="F399" s="17"/>
      <c r="H399" s="19"/>
      <c r="I399" s="47"/>
      <c r="J399" s="48"/>
      <c r="K399" s="49"/>
    </row>
    <row r="400" spans="1:11" ht="12.75" hidden="1" x14ac:dyDescent="0.2">
      <c r="A400" s="16"/>
      <c r="B400" s="16"/>
      <c r="C400" s="15"/>
      <c r="D400" s="16"/>
      <c r="E400" s="17"/>
      <c r="F400" s="17"/>
      <c r="H400" s="19"/>
      <c r="I400" s="47"/>
      <c r="J400" s="48"/>
      <c r="K400" s="49"/>
    </row>
    <row r="401" spans="1:11" ht="12.75" hidden="1" x14ac:dyDescent="0.2">
      <c r="A401" s="16"/>
      <c r="B401" s="16"/>
      <c r="C401" s="15"/>
      <c r="D401" s="16"/>
      <c r="E401" s="17"/>
      <c r="F401" s="17"/>
      <c r="H401" s="19"/>
      <c r="I401" s="47"/>
      <c r="J401" s="48"/>
      <c r="K401" s="49"/>
    </row>
    <row r="402" spans="1:11" ht="12.75" hidden="1" x14ac:dyDescent="0.2">
      <c r="A402" s="16"/>
      <c r="B402" s="16"/>
      <c r="C402" s="15"/>
      <c r="D402" s="16"/>
      <c r="E402" s="17"/>
      <c r="F402" s="17"/>
      <c r="H402" s="19"/>
      <c r="I402" s="47"/>
      <c r="J402" s="48"/>
      <c r="K402" s="49"/>
    </row>
    <row r="403" spans="1:11" ht="12.75" hidden="1" x14ac:dyDescent="0.2">
      <c r="A403" s="16"/>
      <c r="B403" s="16"/>
      <c r="C403" s="15"/>
      <c r="D403" s="16"/>
      <c r="E403" s="17"/>
      <c r="F403" s="17"/>
      <c r="H403" s="19"/>
      <c r="I403" s="47"/>
      <c r="J403" s="48"/>
      <c r="K403" s="49"/>
    </row>
    <row r="404" spans="1:11" ht="12.75" hidden="1" x14ac:dyDescent="0.2">
      <c r="A404" s="16"/>
      <c r="B404" s="16"/>
      <c r="C404" s="15"/>
      <c r="D404" s="16"/>
      <c r="E404" s="17"/>
      <c r="F404" s="17"/>
      <c r="H404" s="19"/>
      <c r="I404" s="47"/>
      <c r="J404" s="48"/>
      <c r="K404" s="49"/>
    </row>
    <row r="405" spans="1:11" ht="12.75" hidden="1" x14ac:dyDescent="0.2">
      <c r="A405" s="16"/>
      <c r="B405" s="16"/>
      <c r="C405" s="15"/>
      <c r="D405" s="16"/>
      <c r="E405" s="17"/>
      <c r="F405" s="17"/>
      <c r="H405" s="19"/>
      <c r="I405" s="47"/>
      <c r="J405" s="48"/>
      <c r="K405" s="49"/>
    </row>
    <row r="406" spans="1:11" ht="12.75" hidden="1" x14ac:dyDescent="0.2">
      <c r="A406" s="16"/>
      <c r="B406" s="16"/>
      <c r="C406" s="15"/>
      <c r="D406" s="16"/>
      <c r="E406" s="17"/>
      <c r="F406" s="17"/>
      <c r="H406" s="19"/>
      <c r="I406" s="47"/>
      <c r="J406" s="48"/>
      <c r="K406" s="49"/>
    </row>
    <row r="407" spans="1:11" ht="12.75" hidden="1" x14ac:dyDescent="0.2">
      <c r="A407" s="16"/>
      <c r="B407" s="16"/>
      <c r="C407" s="15"/>
      <c r="D407" s="16"/>
      <c r="E407" s="17"/>
      <c r="F407" s="17"/>
      <c r="H407" s="19"/>
      <c r="I407" s="47"/>
      <c r="J407" s="48"/>
      <c r="K407" s="49"/>
    </row>
    <row r="408" spans="1:11" ht="12.75" hidden="1" x14ac:dyDescent="0.2">
      <c r="A408" s="16"/>
      <c r="B408" s="16"/>
      <c r="C408" s="15"/>
      <c r="D408" s="16"/>
      <c r="E408" s="17"/>
      <c r="F408" s="17"/>
      <c r="H408" s="19"/>
      <c r="I408" s="47"/>
      <c r="J408" s="48"/>
      <c r="K408" s="49"/>
    </row>
    <row r="409" spans="1:11" ht="12.75" hidden="1" x14ac:dyDescent="0.2">
      <c r="A409" s="16"/>
      <c r="B409" s="16"/>
      <c r="C409" s="15"/>
      <c r="D409" s="16"/>
      <c r="E409" s="17"/>
      <c r="F409" s="17"/>
      <c r="H409" s="19"/>
      <c r="I409" s="47"/>
      <c r="J409" s="48"/>
      <c r="K409" s="49"/>
    </row>
    <row r="410" spans="1:11" ht="12.75" hidden="1" x14ac:dyDescent="0.2">
      <c r="A410" s="16"/>
      <c r="B410" s="16"/>
      <c r="C410" s="15"/>
      <c r="D410" s="16"/>
      <c r="E410" s="17"/>
      <c r="F410" s="17"/>
      <c r="H410" s="19"/>
      <c r="I410" s="47"/>
      <c r="J410" s="48"/>
      <c r="K410" s="49"/>
    </row>
    <row r="411" spans="1:11" ht="12.75" hidden="1" x14ac:dyDescent="0.2">
      <c r="A411" s="16"/>
      <c r="B411" s="16"/>
      <c r="C411" s="15"/>
      <c r="D411" s="16"/>
      <c r="E411" s="17"/>
      <c r="F411" s="17"/>
      <c r="H411" s="19"/>
      <c r="I411" s="47"/>
      <c r="J411" s="48"/>
      <c r="K411" s="49"/>
    </row>
    <row r="412" spans="1:11" ht="12.75" hidden="1" x14ac:dyDescent="0.2">
      <c r="A412" s="16"/>
      <c r="B412" s="16"/>
      <c r="C412" s="15"/>
      <c r="D412" s="16"/>
      <c r="E412" s="17"/>
      <c r="F412" s="17"/>
      <c r="H412" s="19"/>
      <c r="I412" s="47"/>
      <c r="J412" s="48"/>
      <c r="K412" s="49"/>
    </row>
    <row r="413" spans="1:11" ht="12.75" hidden="1" x14ac:dyDescent="0.2">
      <c r="A413" s="16"/>
      <c r="B413" s="16"/>
      <c r="C413" s="15"/>
      <c r="D413" s="16"/>
      <c r="E413" s="17"/>
      <c r="F413" s="17"/>
      <c r="H413" s="19"/>
      <c r="I413" s="47"/>
      <c r="J413" s="48"/>
      <c r="K413" s="49"/>
    </row>
    <row r="414" spans="1:11" ht="12.75" hidden="1" x14ac:dyDescent="0.2">
      <c r="A414" s="16"/>
      <c r="B414" s="16"/>
      <c r="C414" s="15"/>
      <c r="D414" s="16"/>
      <c r="E414" s="17"/>
      <c r="F414" s="17"/>
      <c r="H414" s="19"/>
      <c r="I414" s="47"/>
      <c r="J414" s="48"/>
      <c r="K414" s="49"/>
    </row>
    <row r="415" spans="1:11" ht="12.75" hidden="1" x14ac:dyDescent="0.2">
      <c r="A415" s="16"/>
      <c r="B415" s="16"/>
      <c r="C415" s="15"/>
      <c r="D415" s="16"/>
      <c r="E415" s="17"/>
      <c r="F415" s="17"/>
      <c r="H415" s="19"/>
      <c r="I415" s="47"/>
      <c r="J415" s="48"/>
      <c r="K415" s="49"/>
    </row>
    <row r="416" spans="1:11" ht="12.75" hidden="1" x14ac:dyDescent="0.2">
      <c r="A416" s="16"/>
      <c r="B416" s="16"/>
      <c r="C416" s="15"/>
      <c r="D416" s="16"/>
      <c r="E416" s="17"/>
      <c r="F416" s="17"/>
      <c r="H416" s="19"/>
      <c r="I416" s="47"/>
      <c r="J416" s="48"/>
      <c r="K416" s="49"/>
    </row>
    <row r="417" spans="1:11" ht="12.75" hidden="1" x14ac:dyDescent="0.2">
      <c r="A417" s="16"/>
      <c r="B417" s="16"/>
      <c r="C417" s="15"/>
      <c r="D417" s="16"/>
      <c r="E417" s="17"/>
      <c r="F417" s="17"/>
      <c r="H417" s="19"/>
      <c r="I417" s="47"/>
      <c r="J417" s="48"/>
      <c r="K417" s="49"/>
    </row>
    <row r="418" spans="1:11" ht="12.75" hidden="1" x14ac:dyDescent="0.2">
      <c r="A418" s="16"/>
      <c r="B418" s="16"/>
      <c r="C418" s="15"/>
      <c r="D418" s="16"/>
      <c r="E418" s="17"/>
      <c r="F418" s="17"/>
      <c r="H418" s="19"/>
      <c r="I418" s="47"/>
      <c r="J418" s="48"/>
      <c r="K418" s="49"/>
    </row>
    <row r="419" spans="1:11" ht="12.75" hidden="1" x14ac:dyDescent="0.2">
      <c r="A419" s="16"/>
      <c r="B419" s="16"/>
      <c r="C419" s="15"/>
      <c r="D419" s="16"/>
      <c r="E419" s="17"/>
      <c r="F419" s="17"/>
      <c r="H419" s="19"/>
      <c r="I419" s="47"/>
      <c r="J419" s="48"/>
      <c r="K419" s="49"/>
    </row>
    <row r="420" spans="1:11" ht="12.75" hidden="1" x14ac:dyDescent="0.2">
      <c r="A420" s="16"/>
      <c r="B420" s="16"/>
      <c r="C420" s="15"/>
      <c r="D420" s="16"/>
      <c r="E420" s="17"/>
      <c r="F420" s="17"/>
      <c r="H420" s="19"/>
      <c r="I420" s="47"/>
      <c r="J420" s="48"/>
      <c r="K420" s="49"/>
    </row>
    <row r="421" spans="1:11" ht="12.75" hidden="1" x14ac:dyDescent="0.2">
      <c r="A421" s="16"/>
      <c r="B421" s="16"/>
      <c r="C421" s="15"/>
      <c r="D421" s="16"/>
      <c r="E421" s="17"/>
      <c r="F421" s="17"/>
      <c r="H421" s="19"/>
      <c r="I421" s="47"/>
      <c r="J421" s="48"/>
      <c r="K421" s="49"/>
    </row>
    <row r="422" spans="1:11" ht="12.75" hidden="1" x14ac:dyDescent="0.2">
      <c r="A422" s="16"/>
      <c r="B422" s="16"/>
      <c r="C422" s="15"/>
      <c r="D422" s="16"/>
      <c r="E422" s="17"/>
      <c r="F422" s="17"/>
      <c r="H422" s="19"/>
      <c r="I422" s="47"/>
      <c r="J422" s="48"/>
      <c r="K422" s="49"/>
    </row>
    <row r="423" spans="1:11" ht="12.75" hidden="1" x14ac:dyDescent="0.2">
      <c r="A423" s="16"/>
      <c r="B423" s="16"/>
      <c r="C423" s="15"/>
      <c r="D423" s="16"/>
      <c r="E423" s="17"/>
      <c r="F423" s="17"/>
      <c r="H423" s="19"/>
      <c r="I423" s="47"/>
      <c r="J423" s="48"/>
      <c r="K423" s="49"/>
    </row>
    <row r="424" spans="1:11" ht="12.75" hidden="1" x14ac:dyDescent="0.2">
      <c r="A424" s="16"/>
      <c r="B424" s="16"/>
      <c r="C424" s="15"/>
      <c r="D424" s="16"/>
      <c r="E424" s="17"/>
      <c r="F424" s="17"/>
      <c r="H424" s="19"/>
      <c r="I424" s="47"/>
      <c r="J424" s="48"/>
      <c r="K424" s="49"/>
    </row>
    <row r="425" spans="1:11" ht="12.75" hidden="1" x14ac:dyDescent="0.2">
      <c r="A425" s="16"/>
      <c r="B425" s="16"/>
      <c r="C425" s="15"/>
      <c r="D425" s="16"/>
      <c r="E425" s="17"/>
      <c r="F425" s="17"/>
      <c r="H425" s="19"/>
      <c r="I425" s="47"/>
      <c r="J425" s="48"/>
      <c r="K425" s="49"/>
    </row>
    <row r="426" spans="1:11" ht="12.75" hidden="1" x14ac:dyDescent="0.2">
      <c r="A426" s="16"/>
      <c r="B426" s="16"/>
      <c r="C426" s="15"/>
      <c r="D426" s="16"/>
      <c r="E426" s="17"/>
      <c r="F426" s="17"/>
      <c r="H426" s="19"/>
      <c r="I426" s="47"/>
      <c r="J426" s="48"/>
      <c r="K426" s="49"/>
    </row>
    <row r="427" spans="1:11" ht="12.75" hidden="1" x14ac:dyDescent="0.2">
      <c r="A427" s="16"/>
      <c r="B427" s="16"/>
      <c r="C427" s="15"/>
      <c r="D427" s="16"/>
      <c r="E427" s="17"/>
      <c r="F427" s="17"/>
      <c r="H427" s="19"/>
      <c r="I427" s="47"/>
      <c r="J427" s="48"/>
      <c r="K427" s="49"/>
    </row>
    <row r="428" spans="1:11" ht="12.75" hidden="1" x14ac:dyDescent="0.2">
      <c r="A428" s="16"/>
      <c r="B428" s="16"/>
      <c r="C428" s="15"/>
      <c r="D428" s="16"/>
      <c r="E428" s="17"/>
      <c r="F428" s="17"/>
      <c r="H428" s="19"/>
      <c r="I428" s="47"/>
      <c r="J428" s="48"/>
      <c r="K428" s="49"/>
    </row>
    <row r="429" spans="1:11" ht="12.75" hidden="1" x14ac:dyDescent="0.2">
      <c r="A429" s="16"/>
      <c r="B429" s="16"/>
      <c r="C429" s="15"/>
      <c r="D429" s="16"/>
      <c r="E429" s="17"/>
      <c r="F429" s="17"/>
      <c r="H429" s="19"/>
      <c r="I429" s="47"/>
      <c r="J429" s="48"/>
      <c r="K429" s="49"/>
    </row>
    <row r="430" spans="1:11" ht="12.75" hidden="1" x14ac:dyDescent="0.2">
      <c r="A430" s="16"/>
      <c r="B430" s="16"/>
      <c r="C430" s="15"/>
      <c r="D430" s="16"/>
      <c r="E430" s="17"/>
      <c r="F430" s="17"/>
      <c r="H430" s="19"/>
      <c r="I430" s="47"/>
      <c r="J430" s="48"/>
      <c r="K430" s="49"/>
    </row>
    <row r="431" spans="1:11" ht="12.75" hidden="1" x14ac:dyDescent="0.2">
      <c r="A431" s="16"/>
      <c r="B431" s="16"/>
      <c r="C431" s="15"/>
      <c r="D431" s="16"/>
      <c r="E431" s="17"/>
      <c r="F431" s="17"/>
      <c r="H431" s="19"/>
      <c r="I431" s="47"/>
      <c r="J431" s="48"/>
      <c r="K431" s="49"/>
    </row>
    <row r="432" spans="1:11" ht="12.75" hidden="1" x14ac:dyDescent="0.2">
      <c r="A432" s="16"/>
      <c r="B432" s="16"/>
      <c r="C432" s="15"/>
      <c r="D432" s="16"/>
      <c r="E432" s="17"/>
      <c r="F432" s="17"/>
      <c r="H432" s="19"/>
      <c r="I432" s="47"/>
      <c r="J432" s="48"/>
      <c r="K432" s="49"/>
    </row>
    <row r="433" spans="1:11" ht="12.75" hidden="1" x14ac:dyDescent="0.2">
      <c r="A433" s="16"/>
      <c r="B433" s="16"/>
      <c r="C433" s="15"/>
      <c r="D433" s="16"/>
      <c r="E433" s="17"/>
      <c r="F433" s="17"/>
      <c r="H433" s="19"/>
      <c r="I433" s="47"/>
      <c r="J433" s="48"/>
      <c r="K433" s="49"/>
    </row>
    <row r="434" spans="1:11" ht="12.75" hidden="1" x14ac:dyDescent="0.2">
      <c r="A434" s="16"/>
      <c r="B434" s="16"/>
      <c r="C434" s="15"/>
      <c r="D434" s="16"/>
      <c r="E434" s="17"/>
      <c r="F434" s="17"/>
      <c r="H434" s="19"/>
      <c r="I434" s="47"/>
      <c r="J434" s="48"/>
      <c r="K434" s="49"/>
    </row>
    <row r="435" spans="1:11" ht="12.75" hidden="1" x14ac:dyDescent="0.2">
      <c r="A435" s="16"/>
      <c r="B435" s="16"/>
      <c r="C435" s="15"/>
      <c r="D435" s="16"/>
      <c r="E435" s="17"/>
      <c r="F435" s="17"/>
      <c r="H435" s="19"/>
      <c r="I435" s="47"/>
      <c r="J435" s="48"/>
      <c r="K435" s="49"/>
    </row>
    <row r="436" spans="1:11" ht="12.75" hidden="1" x14ac:dyDescent="0.2">
      <c r="A436" s="16"/>
      <c r="B436" s="16"/>
      <c r="C436" s="15"/>
      <c r="D436" s="16"/>
      <c r="E436" s="17"/>
      <c r="F436" s="17"/>
      <c r="H436" s="19"/>
      <c r="I436" s="47"/>
      <c r="J436" s="48"/>
      <c r="K436" s="49"/>
    </row>
    <row r="437" spans="1:11" ht="12.75" hidden="1" x14ac:dyDescent="0.2">
      <c r="A437" s="16"/>
      <c r="B437" s="16"/>
      <c r="C437" s="15"/>
      <c r="D437" s="16"/>
      <c r="E437" s="17"/>
      <c r="F437" s="17"/>
      <c r="H437" s="19"/>
      <c r="I437" s="47"/>
      <c r="J437" s="48"/>
      <c r="K437" s="49"/>
    </row>
    <row r="438" spans="1:11" ht="12.75" hidden="1" x14ac:dyDescent="0.2">
      <c r="A438" s="16"/>
      <c r="B438" s="16"/>
      <c r="C438" s="15"/>
      <c r="D438" s="16"/>
      <c r="E438" s="17"/>
      <c r="F438" s="17"/>
      <c r="H438" s="19"/>
      <c r="I438" s="47"/>
      <c r="J438" s="48"/>
      <c r="K438" s="49"/>
    </row>
    <row r="439" spans="1:11" ht="12.75" hidden="1" x14ac:dyDescent="0.2">
      <c r="A439" s="16"/>
      <c r="B439" s="16"/>
      <c r="C439" s="15"/>
      <c r="D439" s="16"/>
      <c r="E439" s="17"/>
      <c r="F439" s="17"/>
      <c r="H439" s="19"/>
      <c r="I439" s="47"/>
      <c r="J439" s="48"/>
      <c r="K439" s="49"/>
    </row>
    <row r="440" spans="1:11" ht="12.75" hidden="1" x14ac:dyDescent="0.2">
      <c r="A440" s="16"/>
      <c r="B440" s="16"/>
      <c r="C440" s="15"/>
      <c r="D440" s="16"/>
      <c r="E440" s="17"/>
      <c r="F440" s="17"/>
      <c r="H440" s="19"/>
      <c r="I440" s="47"/>
      <c r="J440" s="48"/>
      <c r="K440" s="49"/>
    </row>
    <row r="441" spans="1:11" ht="12.75" hidden="1" x14ac:dyDescent="0.2">
      <c r="A441" s="16"/>
      <c r="B441" s="16"/>
      <c r="C441" s="15"/>
      <c r="D441" s="16"/>
      <c r="E441" s="17"/>
      <c r="F441" s="17"/>
      <c r="H441" s="19"/>
      <c r="I441" s="47"/>
      <c r="J441" s="48"/>
      <c r="K441" s="49"/>
    </row>
    <row r="442" spans="1:11" ht="12.75" hidden="1" x14ac:dyDescent="0.2">
      <c r="A442" s="16"/>
      <c r="B442" s="16"/>
      <c r="C442" s="15"/>
      <c r="D442" s="16"/>
      <c r="E442" s="17"/>
      <c r="F442" s="17"/>
      <c r="H442" s="19"/>
      <c r="I442" s="47"/>
      <c r="J442" s="48"/>
      <c r="K442" s="49"/>
    </row>
    <row r="443" spans="1:11" ht="12.75" hidden="1" x14ac:dyDescent="0.2">
      <c r="A443" s="16"/>
      <c r="B443" s="16"/>
      <c r="C443" s="15"/>
      <c r="D443" s="16"/>
      <c r="E443" s="17"/>
      <c r="F443" s="17"/>
      <c r="H443" s="19"/>
      <c r="I443" s="47"/>
      <c r="J443" s="48"/>
      <c r="K443" s="49"/>
    </row>
    <row r="444" spans="1:11" ht="12.75" hidden="1" x14ac:dyDescent="0.2">
      <c r="A444" s="16"/>
      <c r="B444" s="16"/>
      <c r="C444" s="15"/>
      <c r="D444" s="16"/>
      <c r="E444" s="17"/>
      <c r="F444" s="17"/>
      <c r="H444" s="19"/>
      <c r="I444" s="47"/>
      <c r="J444" s="48"/>
      <c r="K444" s="49"/>
    </row>
    <row r="445" spans="1:11" ht="12.75" hidden="1" x14ac:dyDescent="0.2">
      <c r="A445" s="16"/>
      <c r="B445" s="16"/>
      <c r="C445" s="15"/>
      <c r="D445" s="16"/>
      <c r="E445" s="17"/>
      <c r="F445" s="17"/>
      <c r="H445" s="19"/>
      <c r="I445" s="47"/>
      <c r="J445" s="48"/>
      <c r="K445" s="49"/>
    </row>
    <row r="446" spans="1:11" ht="12.75" hidden="1" x14ac:dyDescent="0.2">
      <c r="A446" s="16"/>
      <c r="B446" s="16"/>
      <c r="C446" s="15"/>
      <c r="D446" s="16"/>
      <c r="E446" s="17"/>
      <c r="F446" s="17"/>
      <c r="H446" s="19"/>
      <c r="I446" s="47"/>
      <c r="J446" s="48"/>
      <c r="K446" s="49"/>
    </row>
    <row r="447" spans="1:11" ht="12.75" hidden="1" x14ac:dyDescent="0.2">
      <c r="A447" s="16"/>
      <c r="B447" s="16"/>
      <c r="C447" s="15"/>
      <c r="D447" s="16"/>
      <c r="E447" s="17"/>
      <c r="F447" s="17"/>
      <c r="H447" s="19"/>
      <c r="I447" s="47"/>
      <c r="J447" s="48"/>
      <c r="K447" s="49"/>
    </row>
    <row r="448" spans="1:11" ht="12.75" hidden="1" x14ac:dyDescent="0.2">
      <c r="A448" s="16"/>
      <c r="B448" s="16"/>
      <c r="C448" s="15"/>
      <c r="D448" s="16"/>
      <c r="E448" s="17"/>
      <c r="F448" s="17"/>
      <c r="H448" s="19"/>
      <c r="I448" s="47"/>
      <c r="J448" s="48"/>
      <c r="K448" s="49"/>
    </row>
    <row r="449" spans="1:11" ht="12.75" hidden="1" x14ac:dyDescent="0.2">
      <c r="A449" s="16"/>
      <c r="B449" s="16"/>
      <c r="C449" s="15"/>
      <c r="D449" s="16"/>
      <c r="E449" s="17"/>
      <c r="F449" s="17"/>
      <c r="H449" s="19"/>
      <c r="I449" s="47"/>
      <c r="J449" s="48"/>
      <c r="K449" s="49"/>
    </row>
    <row r="450" spans="1:11" ht="12.75" hidden="1" x14ac:dyDescent="0.2">
      <c r="A450" s="16"/>
      <c r="B450" s="16"/>
      <c r="C450" s="15"/>
      <c r="D450" s="16"/>
      <c r="E450" s="17"/>
      <c r="F450" s="17"/>
      <c r="H450" s="19"/>
      <c r="I450" s="47"/>
      <c r="J450" s="48"/>
      <c r="K450" s="49"/>
    </row>
    <row r="451" spans="1:11" ht="12.75" hidden="1" x14ac:dyDescent="0.2">
      <c r="A451" s="16"/>
      <c r="B451" s="16"/>
      <c r="C451" s="15"/>
      <c r="D451" s="16"/>
      <c r="E451" s="17"/>
      <c r="F451" s="17"/>
      <c r="H451" s="19"/>
      <c r="I451" s="47"/>
      <c r="J451" s="48"/>
      <c r="K451" s="49"/>
    </row>
    <row r="452" spans="1:11" ht="12.75" hidden="1" x14ac:dyDescent="0.2">
      <c r="A452" s="16"/>
      <c r="B452" s="16"/>
      <c r="C452" s="15"/>
      <c r="D452" s="16"/>
      <c r="E452" s="17"/>
      <c r="F452" s="17"/>
      <c r="H452" s="19"/>
      <c r="I452" s="47"/>
      <c r="J452" s="48"/>
      <c r="K452" s="49"/>
    </row>
    <row r="453" spans="1:11" ht="12.75" hidden="1" x14ac:dyDescent="0.2">
      <c r="A453" s="16"/>
      <c r="B453" s="16"/>
      <c r="C453" s="15"/>
      <c r="D453" s="16"/>
      <c r="E453" s="17"/>
      <c r="F453" s="17"/>
      <c r="H453" s="19"/>
      <c r="I453" s="47"/>
      <c r="J453" s="48"/>
      <c r="K453" s="49"/>
    </row>
    <row r="454" spans="1:11" ht="12.75" hidden="1" x14ac:dyDescent="0.2">
      <c r="A454" s="16"/>
      <c r="B454" s="16"/>
      <c r="C454" s="15"/>
      <c r="D454" s="16"/>
      <c r="E454" s="17"/>
      <c r="F454" s="17"/>
      <c r="H454" s="19"/>
      <c r="I454" s="47"/>
      <c r="J454" s="48"/>
      <c r="K454" s="49"/>
    </row>
    <row r="455" spans="1:11" ht="12.75" hidden="1" x14ac:dyDescent="0.2">
      <c r="A455" s="16"/>
      <c r="B455" s="16"/>
      <c r="C455" s="15"/>
      <c r="D455" s="16"/>
      <c r="E455" s="17"/>
      <c r="F455" s="17"/>
      <c r="H455" s="19"/>
      <c r="I455" s="47"/>
      <c r="J455" s="48"/>
      <c r="K455" s="49"/>
    </row>
    <row r="456" spans="1:11" ht="12.75" hidden="1" x14ac:dyDescent="0.2">
      <c r="A456" s="16"/>
      <c r="B456" s="16"/>
      <c r="C456" s="15"/>
      <c r="D456" s="16"/>
      <c r="E456" s="17"/>
      <c r="F456" s="17"/>
      <c r="H456" s="19"/>
      <c r="I456" s="47"/>
      <c r="J456" s="48"/>
      <c r="K456" s="49"/>
    </row>
    <row r="457" spans="1:11" ht="12.75" hidden="1" x14ac:dyDescent="0.2">
      <c r="A457" s="16"/>
      <c r="B457" s="16"/>
      <c r="C457" s="15"/>
      <c r="D457" s="16"/>
      <c r="E457" s="17"/>
      <c r="F457" s="17"/>
      <c r="H457" s="19"/>
      <c r="I457" s="47"/>
      <c r="J457" s="48"/>
      <c r="K457" s="49"/>
    </row>
    <row r="458" spans="1:11" ht="12.75" hidden="1" x14ac:dyDescent="0.2">
      <c r="A458" s="16"/>
      <c r="B458" s="16"/>
      <c r="C458" s="15"/>
      <c r="D458" s="16"/>
      <c r="E458" s="17"/>
      <c r="F458" s="17"/>
      <c r="H458" s="19"/>
      <c r="I458" s="47"/>
      <c r="J458" s="48"/>
      <c r="K458" s="49"/>
    </row>
    <row r="459" spans="1:11" ht="12.75" hidden="1" x14ac:dyDescent="0.2">
      <c r="A459" s="16"/>
      <c r="B459" s="16"/>
      <c r="C459" s="15"/>
      <c r="D459" s="16"/>
      <c r="E459" s="17"/>
      <c r="F459" s="17"/>
      <c r="H459" s="19"/>
      <c r="I459" s="47"/>
      <c r="J459" s="48"/>
      <c r="K459" s="49"/>
    </row>
    <row r="460" spans="1:11" ht="12.75" hidden="1" x14ac:dyDescent="0.2">
      <c r="A460" s="16"/>
      <c r="B460" s="16"/>
      <c r="C460" s="15"/>
      <c r="D460" s="16"/>
      <c r="E460" s="17"/>
      <c r="F460" s="17"/>
      <c r="H460" s="19"/>
      <c r="I460" s="47"/>
      <c r="J460" s="48"/>
      <c r="K460" s="49"/>
    </row>
    <row r="461" spans="1:11" ht="12.75" hidden="1" x14ac:dyDescent="0.2">
      <c r="A461" s="16"/>
      <c r="B461" s="16"/>
      <c r="C461" s="15"/>
      <c r="D461" s="16"/>
      <c r="E461" s="17"/>
      <c r="F461" s="17"/>
      <c r="H461" s="19"/>
      <c r="I461" s="47"/>
      <c r="J461" s="48"/>
      <c r="K461" s="49"/>
    </row>
    <row r="462" spans="1:11" ht="12.75" hidden="1" x14ac:dyDescent="0.2">
      <c r="A462" s="16"/>
      <c r="B462" s="16"/>
      <c r="C462" s="15"/>
      <c r="D462" s="16"/>
      <c r="E462" s="17"/>
      <c r="F462" s="17"/>
      <c r="H462" s="19"/>
      <c r="I462" s="47"/>
      <c r="J462" s="48"/>
      <c r="K462" s="49"/>
    </row>
    <row r="463" spans="1:11" ht="12.75" hidden="1" x14ac:dyDescent="0.2">
      <c r="A463" s="16"/>
      <c r="B463" s="16"/>
      <c r="C463" s="15"/>
      <c r="D463" s="16"/>
      <c r="E463" s="17"/>
      <c r="F463" s="17"/>
      <c r="H463" s="19"/>
      <c r="I463" s="47"/>
      <c r="J463" s="48"/>
      <c r="K463" s="49"/>
    </row>
    <row r="464" spans="1:11" ht="12.75" hidden="1" x14ac:dyDescent="0.2">
      <c r="A464" s="16"/>
      <c r="B464" s="16"/>
      <c r="C464" s="15"/>
      <c r="D464" s="16"/>
      <c r="E464" s="17"/>
      <c r="F464" s="17"/>
      <c r="H464" s="19"/>
      <c r="I464" s="47"/>
      <c r="J464" s="48"/>
      <c r="K464" s="49"/>
    </row>
    <row r="465" spans="1:11" ht="12.75" hidden="1" x14ac:dyDescent="0.2">
      <c r="A465" s="16"/>
      <c r="B465" s="16"/>
      <c r="C465" s="15"/>
      <c r="D465" s="16"/>
      <c r="E465" s="17"/>
      <c r="F465" s="17"/>
      <c r="H465" s="19"/>
      <c r="I465" s="47"/>
      <c r="J465" s="48"/>
      <c r="K465" s="49"/>
    </row>
    <row r="466" spans="1:11" ht="12.75" hidden="1" x14ac:dyDescent="0.2">
      <c r="A466" s="16"/>
      <c r="B466" s="16"/>
      <c r="C466" s="15"/>
      <c r="D466" s="16"/>
      <c r="E466" s="17"/>
      <c r="F466" s="17"/>
      <c r="H466" s="19"/>
      <c r="I466" s="47"/>
      <c r="J466" s="48"/>
      <c r="K466" s="49"/>
    </row>
    <row r="467" spans="1:11" ht="12.75" hidden="1" x14ac:dyDescent="0.2">
      <c r="A467" s="16"/>
      <c r="B467" s="16"/>
      <c r="C467" s="15"/>
      <c r="D467" s="16"/>
      <c r="E467" s="17"/>
      <c r="F467" s="17"/>
      <c r="H467" s="19"/>
      <c r="I467" s="47"/>
      <c r="J467" s="48"/>
      <c r="K467" s="49"/>
    </row>
    <row r="468" spans="1:11" ht="12.75" hidden="1" x14ac:dyDescent="0.2">
      <c r="A468" s="16"/>
      <c r="B468" s="16"/>
      <c r="C468" s="15"/>
      <c r="D468" s="16"/>
      <c r="E468" s="17"/>
      <c r="F468" s="17"/>
      <c r="H468" s="19"/>
      <c r="I468" s="47"/>
      <c r="J468" s="48"/>
      <c r="K468" s="49"/>
    </row>
    <row r="469" spans="1:11" ht="12.75" hidden="1" x14ac:dyDescent="0.2">
      <c r="A469" s="16"/>
      <c r="B469" s="16"/>
      <c r="C469" s="15"/>
      <c r="D469" s="16"/>
      <c r="E469" s="17"/>
      <c r="F469" s="17"/>
      <c r="H469" s="19"/>
      <c r="I469" s="47"/>
      <c r="J469" s="48"/>
      <c r="K469" s="49"/>
    </row>
    <row r="470" spans="1:11" ht="12.75" hidden="1" x14ac:dyDescent="0.2">
      <c r="A470" s="16"/>
      <c r="B470" s="16"/>
      <c r="C470" s="15"/>
      <c r="D470" s="16"/>
      <c r="E470" s="17"/>
      <c r="F470" s="17"/>
      <c r="H470" s="19"/>
      <c r="I470" s="47"/>
      <c r="J470" s="48"/>
      <c r="K470" s="49"/>
    </row>
    <row r="471" spans="1:11" ht="12.75" hidden="1" x14ac:dyDescent="0.2">
      <c r="A471" s="16"/>
      <c r="B471" s="16"/>
      <c r="C471" s="15"/>
      <c r="D471" s="16"/>
      <c r="E471" s="17"/>
      <c r="F471" s="17"/>
      <c r="H471" s="19"/>
      <c r="I471" s="47"/>
      <c r="J471" s="48"/>
      <c r="K471" s="49"/>
    </row>
    <row r="472" spans="1:11" ht="12.75" hidden="1" x14ac:dyDescent="0.2">
      <c r="A472" s="16"/>
      <c r="B472" s="16"/>
      <c r="C472" s="15"/>
      <c r="D472" s="16"/>
      <c r="E472" s="17"/>
      <c r="F472" s="17"/>
      <c r="H472" s="19"/>
      <c r="I472" s="47"/>
      <c r="J472" s="48"/>
      <c r="K472" s="49"/>
    </row>
    <row r="473" spans="1:11" ht="12.75" hidden="1" x14ac:dyDescent="0.2">
      <c r="A473" s="16"/>
      <c r="B473" s="16"/>
      <c r="C473" s="15"/>
      <c r="D473" s="16"/>
      <c r="E473" s="17"/>
      <c r="F473" s="17"/>
      <c r="H473" s="19"/>
      <c r="I473" s="47"/>
      <c r="J473" s="48"/>
      <c r="K473" s="49"/>
    </row>
    <row r="474" spans="1:11" ht="12.75" hidden="1" x14ac:dyDescent="0.2">
      <c r="A474" s="16"/>
      <c r="B474" s="16"/>
      <c r="C474" s="15"/>
      <c r="D474" s="16"/>
      <c r="E474" s="17"/>
      <c r="F474" s="17"/>
      <c r="H474" s="19"/>
      <c r="I474" s="47"/>
      <c r="J474" s="48"/>
      <c r="K474" s="49"/>
    </row>
    <row r="475" spans="1:11" ht="12.75" hidden="1" x14ac:dyDescent="0.2">
      <c r="A475" s="16"/>
      <c r="B475" s="16"/>
      <c r="C475" s="15"/>
      <c r="D475" s="16"/>
      <c r="E475" s="17"/>
      <c r="F475" s="17"/>
      <c r="H475" s="19"/>
      <c r="I475" s="47"/>
      <c r="J475" s="48"/>
      <c r="K475" s="49"/>
    </row>
    <row r="476" spans="1:11" ht="12.75" hidden="1" x14ac:dyDescent="0.2">
      <c r="A476" s="16"/>
      <c r="B476" s="16"/>
      <c r="C476" s="15"/>
      <c r="D476" s="16"/>
      <c r="E476" s="17"/>
      <c r="F476" s="17"/>
      <c r="H476" s="19"/>
      <c r="I476" s="47"/>
      <c r="J476" s="48"/>
      <c r="K476" s="49"/>
    </row>
    <row r="477" spans="1:11" ht="12.75" hidden="1" x14ac:dyDescent="0.2">
      <c r="A477" s="16"/>
      <c r="B477" s="16"/>
      <c r="C477" s="15"/>
      <c r="D477" s="16"/>
      <c r="E477" s="17"/>
      <c r="F477" s="17"/>
      <c r="H477" s="19"/>
      <c r="I477" s="47"/>
      <c r="J477" s="48"/>
      <c r="K477" s="49"/>
    </row>
    <row r="478" spans="1:11" ht="12.75" hidden="1" x14ac:dyDescent="0.2">
      <c r="A478" s="16"/>
      <c r="B478" s="16"/>
      <c r="C478" s="15"/>
      <c r="D478" s="16"/>
      <c r="E478" s="17"/>
      <c r="F478" s="17"/>
      <c r="H478" s="19"/>
      <c r="I478" s="47"/>
      <c r="J478" s="48"/>
      <c r="K478" s="49"/>
    </row>
    <row r="479" spans="1:11" ht="12.75" hidden="1" x14ac:dyDescent="0.2">
      <c r="A479" s="16"/>
      <c r="B479" s="16"/>
      <c r="C479" s="15"/>
      <c r="D479" s="16"/>
      <c r="E479" s="17"/>
      <c r="F479" s="17"/>
      <c r="H479" s="19"/>
      <c r="I479" s="47"/>
      <c r="J479" s="48"/>
      <c r="K479" s="49"/>
    </row>
    <row r="480" spans="1:11" ht="12.75" hidden="1" x14ac:dyDescent="0.2">
      <c r="A480" s="16"/>
      <c r="B480" s="16"/>
      <c r="C480" s="15"/>
      <c r="D480" s="16"/>
      <c r="E480" s="17"/>
      <c r="F480" s="17"/>
      <c r="H480" s="19"/>
      <c r="I480" s="47"/>
      <c r="J480" s="48"/>
      <c r="K480" s="49"/>
    </row>
    <row r="481" spans="1:11" ht="12.75" hidden="1" x14ac:dyDescent="0.2">
      <c r="A481" s="16"/>
      <c r="B481" s="16"/>
      <c r="C481" s="15"/>
      <c r="D481" s="16"/>
      <c r="E481" s="17"/>
      <c r="F481" s="17"/>
      <c r="H481" s="19"/>
      <c r="I481" s="47"/>
      <c r="J481" s="48"/>
      <c r="K481" s="49"/>
    </row>
    <row r="482" spans="1:11" ht="12.75" hidden="1" x14ac:dyDescent="0.2">
      <c r="A482" s="16"/>
      <c r="B482" s="16"/>
      <c r="C482" s="15"/>
      <c r="D482" s="16"/>
      <c r="E482" s="17"/>
      <c r="F482" s="17"/>
      <c r="H482" s="19"/>
      <c r="I482" s="47"/>
      <c r="J482" s="48"/>
      <c r="K482" s="49"/>
    </row>
    <row r="483" spans="1:11" ht="12.75" hidden="1" x14ac:dyDescent="0.2">
      <c r="A483" s="16"/>
      <c r="B483" s="16"/>
      <c r="C483" s="15"/>
      <c r="D483" s="16"/>
      <c r="E483" s="17"/>
      <c r="F483" s="17"/>
      <c r="H483" s="19"/>
      <c r="I483" s="47"/>
      <c r="J483" s="48"/>
      <c r="K483" s="49"/>
    </row>
    <row r="484" spans="1:11" ht="12.75" hidden="1" x14ac:dyDescent="0.2">
      <c r="A484" s="16"/>
      <c r="B484" s="16"/>
      <c r="C484" s="15"/>
      <c r="D484" s="16"/>
      <c r="E484" s="17"/>
      <c r="F484" s="17"/>
      <c r="H484" s="19"/>
      <c r="I484" s="47"/>
      <c r="J484" s="48"/>
      <c r="K484" s="49"/>
    </row>
    <row r="485" spans="1:11" ht="12.75" hidden="1" x14ac:dyDescent="0.2">
      <c r="A485" s="16"/>
      <c r="B485" s="16"/>
      <c r="C485" s="15"/>
      <c r="D485" s="16"/>
      <c r="E485" s="17"/>
      <c r="F485" s="17"/>
      <c r="H485" s="19"/>
      <c r="I485" s="47"/>
      <c r="J485" s="48"/>
      <c r="K485" s="49"/>
    </row>
    <row r="486" spans="1:11" ht="12.75" hidden="1" x14ac:dyDescent="0.2">
      <c r="A486" s="16"/>
      <c r="B486" s="16"/>
      <c r="C486" s="15"/>
      <c r="D486" s="16"/>
      <c r="E486" s="17"/>
      <c r="F486" s="17"/>
      <c r="H486" s="19"/>
      <c r="I486" s="47"/>
      <c r="J486" s="48"/>
      <c r="K486" s="49"/>
    </row>
    <row r="487" spans="1:11" ht="12.75" hidden="1" x14ac:dyDescent="0.2">
      <c r="A487" s="16"/>
      <c r="B487" s="16"/>
      <c r="C487" s="15"/>
      <c r="D487" s="16"/>
      <c r="E487" s="17"/>
      <c r="F487" s="17"/>
      <c r="H487" s="19"/>
      <c r="I487" s="47"/>
      <c r="J487" s="48"/>
      <c r="K487" s="49"/>
    </row>
    <row r="488" spans="1:11" ht="12.75" hidden="1" x14ac:dyDescent="0.2">
      <c r="A488" s="16"/>
      <c r="B488" s="16"/>
      <c r="C488" s="15"/>
      <c r="D488" s="16"/>
      <c r="E488" s="17"/>
      <c r="F488" s="17"/>
      <c r="H488" s="19"/>
      <c r="I488" s="47"/>
      <c r="J488" s="48"/>
      <c r="K488" s="49"/>
    </row>
    <row r="489" spans="1:11" ht="12.75" hidden="1" x14ac:dyDescent="0.2">
      <c r="A489" s="16"/>
      <c r="B489" s="16"/>
      <c r="C489" s="15"/>
      <c r="D489" s="16"/>
      <c r="E489" s="17"/>
      <c r="F489" s="17"/>
      <c r="H489" s="19"/>
      <c r="I489" s="47"/>
      <c r="J489" s="48"/>
      <c r="K489" s="49"/>
    </row>
    <row r="490" spans="1:11" ht="12.75" hidden="1" x14ac:dyDescent="0.2">
      <c r="A490" s="16"/>
      <c r="B490" s="16"/>
      <c r="C490" s="15"/>
      <c r="D490" s="16"/>
      <c r="E490" s="17"/>
      <c r="F490" s="17"/>
      <c r="H490" s="19"/>
      <c r="I490" s="47"/>
      <c r="J490" s="48"/>
      <c r="K490" s="49"/>
    </row>
    <row r="491" spans="1:11" ht="12.75" hidden="1" x14ac:dyDescent="0.2">
      <c r="A491" s="16"/>
      <c r="B491" s="16"/>
      <c r="C491" s="15"/>
      <c r="D491" s="16"/>
      <c r="E491" s="17"/>
      <c r="F491" s="17"/>
      <c r="H491" s="19"/>
      <c r="I491" s="47"/>
      <c r="J491" s="48"/>
      <c r="K491" s="49"/>
    </row>
    <row r="492" spans="1:11" ht="12.75" hidden="1" x14ac:dyDescent="0.2">
      <c r="A492" s="16"/>
      <c r="B492" s="16"/>
      <c r="C492" s="15"/>
      <c r="D492" s="16"/>
      <c r="E492" s="17"/>
      <c r="F492" s="17"/>
      <c r="H492" s="19"/>
      <c r="I492" s="47"/>
      <c r="J492" s="48"/>
      <c r="K492" s="49"/>
    </row>
    <row r="493" spans="1:11" ht="12.75" hidden="1" x14ac:dyDescent="0.2">
      <c r="A493" s="16"/>
      <c r="B493" s="16"/>
      <c r="C493" s="15"/>
      <c r="D493" s="16"/>
      <c r="E493" s="17"/>
      <c r="F493" s="17"/>
      <c r="H493" s="19"/>
      <c r="I493" s="47"/>
      <c r="J493" s="48"/>
      <c r="K493" s="49"/>
    </row>
    <row r="494" spans="1:11" ht="12.75" hidden="1" x14ac:dyDescent="0.2">
      <c r="A494" s="16"/>
      <c r="B494" s="16"/>
      <c r="C494" s="15"/>
      <c r="D494" s="16"/>
      <c r="E494" s="17"/>
      <c r="F494" s="17"/>
      <c r="H494" s="19"/>
      <c r="I494" s="47"/>
      <c r="J494" s="48"/>
      <c r="K494" s="49"/>
    </row>
    <row r="495" spans="1:11" ht="12.75" hidden="1" x14ac:dyDescent="0.2">
      <c r="A495" s="16"/>
      <c r="B495" s="16"/>
      <c r="C495" s="15"/>
      <c r="D495" s="16"/>
      <c r="E495" s="17"/>
      <c r="F495" s="17"/>
      <c r="H495" s="19"/>
      <c r="I495" s="47"/>
      <c r="J495" s="48"/>
      <c r="K495" s="49"/>
    </row>
    <row r="496" spans="1:11" ht="12.75" hidden="1" x14ac:dyDescent="0.2">
      <c r="A496" s="16"/>
      <c r="B496" s="16"/>
      <c r="C496" s="15"/>
      <c r="D496" s="16"/>
      <c r="E496" s="17"/>
      <c r="F496" s="17"/>
      <c r="H496" s="19"/>
      <c r="I496" s="47"/>
      <c r="J496" s="48"/>
      <c r="K496" s="49"/>
    </row>
    <row r="497" spans="1:11" ht="12.75" hidden="1" x14ac:dyDescent="0.2">
      <c r="A497" s="16"/>
      <c r="B497" s="16"/>
      <c r="C497" s="15"/>
      <c r="D497" s="16"/>
      <c r="E497" s="17"/>
      <c r="F497" s="17"/>
      <c r="H497" s="19"/>
      <c r="I497" s="47"/>
      <c r="J497" s="48"/>
      <c r="K497" s="49"/>
    </row>
    <row r="498" spans="1:11" ht="12.75" hidden="1" x14ac:dyDescent="0.2">
      <c r="A498" s="16"/>
      <c r="B498" s="16"/>
      <c r="C498" s="15"/>
      <c r="D498" s="16"/>
      <c r="E498" s="17"/>
      <c r="F498" s="17"/>
      <c r="H498" s="19"/>
      <c r="I498" s="47"/>
      <c r="J498" s="48"/>
      <c r="K498" s="49"/>
    </row>
    <row r="499" spans="1:11" ht="12.75" hidden="1" x14ac:dyDescent="0.2">
      <c r="A499" s="16"/>
      <c r="B499" s="16"/>
      <c r="C499" s="15"/>
      <c r="D499" s="16"/>
      <c r="E499" s="17"/>
      <c r="F499" s="17"/>
      <c r="H499" s="19"/>
      <c r="I499" s="47"/>
      <c r="J499" s="48"/>
      <c r="K499" s="49"/>
    </row>
    <row r="500" spans="1:11" ht="12.75" hidden="1" x14ac:dyDescent="0.2">
      <c r="A500" s="16"/>
      <c r="B500" s="16"/>
      <c r="C500" s="15"/>
      <c r="D500" s="16"/>
      <c r="E500" s="17"/>
      <c r="F500" s="17"/>
      <c r="H500" s="19"/>
      <c r="I500" s="47"/>
      <c r="J500" s="48"/>
      <c r="K500" s="49"/>
    </row>
    <row r="501" spans="1:11" ht="12.75" hidden="1" x14ac:dyDescent="0.2">
      <c r="A501" s="16"/>
      <c r="B501" s="16"/>
      <c r="C501" s="15"/>
      <c r="D501" s="16"/>
      <c r="E501" s="17"/>
      <c r="F501" s="17"/>
      <c r="H501" s="19"/>
      <c r="I501" s="47"/>
      <c r="J501" s="48"/>
      <c r="K501" s="49"/>
    </row>
    <row r="502" spans="1:11" ht="12.75" hidden="1" x14ac:dyDescent="0.2">
      <c r="A502" s="16"/>
      <c r="B502" s="16"/>
      <c r="C502" s="15"/>
      <c r="D502" s="16"/>
      <c r="E502" s="17"/>
      <c r="F502" s="17"/>
      <c r="H502" s="19"/>
      <c r="I502" s="47"/>
      <c r="J502" s="48"/>
      <c r="K502" s="49"/>
    </row>
    <row r="503" spans="1:11" ht="12.75" hidden="1" x14ac:dyDescent="0.2">
      <c r="A503" s="16"/>
      <c r="B503" s="16"/>
      <c r="C503" s="15"/>
      <c r="D503" s="16"/>
      <c r="E503" s="17"/>
      <c r="F503" s="17"/>
      <c r="H503" s="19"/>
      <c r="I503" s="47"/>
      <c r="J503" s="48"/>
      <c r="K503" s="49"/>
    </row>
    <row r="504" spans="1:11" ht="12.75" hidden="1" x14ac:dyDescent="0.2">
      <c r="A504" s="16"/>
      <c r="B504" s="16"/>
      <c r="C504" s="15"/>
      <c r="D504" s="16"/>
      <c r="E504" s="17"/>
      <c r="F504" s="17"/>
      <c r="H504" s="19"/>
      <c r="I504" s="47"/>
      <c r="J504" s="48"/>
      <c r="K504" s="49"/>
    </row>
    <row r="505" spans="1:11" ht="12.75" hidden="1" x14ac:dyDescent="0.2">
      <c r="A505" s="16"/>
      <c r="B505" s="16"/>
      <c r="C505" s="15"/>
      <c r="D505" s="16"/>
      <c r="E505" s="17"/>
      <c r="F505" s="17"/>
      <c r="H505" s="19"/>
      <c r="I505" s="47"/>
      <c r="J505" s="48"/>
      <c r="K505" s="49"/>
    </row>
    <row r="506" spans="1:11" ht="12.75" hidden="1" x14ac:dyDescent="0.2">
      <c r="A506" s="16"/>
      <c r="B506" s="16"/>
      <c r="C506" s="15"/>
      <c r="D506" s="16"/>
      <c r="E506" s="17"/>
      <c r="F506" s="17"/>
      <c r="H506" s="19"/>
      <c r="I506" s="47"/>
      <c r="J506" s="48"/>
      <c r="K506" s="49"/>
    </row>
    <row r="507" spans="1:11" ht="12.75" hidden="1" x14ac:dyDescent="0.2">
      <c r="A507" s="16"/>
      <c r="B507" s="16"/>
      <c r="C507" s="15"/>
      <c r="D507" s="16"/>
      <c r="E507" s="17"/>
      <c r="F507" s="17"/>
      <c r="H507" s="19"/>
      <c r="I507" s="47"/>
      <c r="J507" s="48"/>
      <c r="K507" s="49"/>
    </row>
    <row r="508" spans="1:11" ht="12.75" hidden="1" x14ac:dyDescent="0.2">
      <c r="A508" s="16"/>
      <c r="B508" s="16"/>
      <c r="C508" s="15"/>
      <c r="D508" s="16"/>
      <c r="E508" s="17"/>
      <c r="F508" s="17"/>
      <c r="H508" s="19"/>
      <c r="I508" s="47"/>
      <c r="J508" s="48"/>
      <c r="K508" s="49"/>
    </row>
    <row r="509" spans="1:11" ht="12.75" hidden="1" x14ac:dyDescent="0.2">
      <c r="A509" s="16"/>
      <c r="B509" s="16"/>
      <c r="C509" s="15"/>
      <c r="D509" s="16"/>
      <c r="E509" s="17"/>
      <c r="F509" s="17"/>
      <c r="H509" s="19"/>
      <c r="I509" s="47"/>
      <c r="J509" s="48"/>
      <c r="K509" s="49"/>
    </row>
    <row r="510" spans="1:11" ht="12.75" hidden="1" x14ac:dyDescent="0.2">
      <c r="A510" s="16"/>
      <c r="B510" s="16"/>
      <c r="C510" s="15"/>
      <c r="D510" s="16"/>
      <c r="E510" s="17"/>
      <c r="F510" s="17"/>
      <c r="H510" s="19"/>
      <c r="I510" s="47"/>
      <c r="J510" s="48"/>
      <c r="K510" s="49"/>
    </row>
    <row r="511" spans="1:11" ht="12.75" hidden="1" x14ac:dyDescent="0.2">
      <c r="A511" s="16"/>
      <c r="B511" s="16"/>
      <c r="C511" s="15"/>
      <c r="D511" s="16"/>
      <c r="E511" s="17"/>
      <c r="F511" s="17"/>
      <c r="H511" s="19"/>
      <c r="I511" s="47"/>
      <c r="J511" s="48"/>
      <c r="K511" s="49"/>
    </row>
    <row r="512" spans="1:11" ht="12.75" hidden="1" x14ac:dyDescent="0.2">
      <c r="A512" s="16"/>
      <c r="B512" s="16"/>
      <c r="C512" s="15"/>
      <c r="D512" s="16"/>
      <c r="E512" s="17"/>
      <c r="F512" s="17"/>
      <c r="H512" s="19"/>
      <c r="I512" s="47"/>
      <c r="J512" s="48"/>
      <c r="K512" s="49"/>
    </row>
    <row r="513" spans="1:11" ht="12.75" hidden="1" x14ac:dyDescent="0.2">
      <c r="A513" s="16"/>
      <c r="B513" s="16"/>
      <c r="C513" s="15"/>
      <c r="D513" s="16"/>
      <c r="E513" s="17"/>
      <c r="F513" s="17"/>
      <c r="H513" s="19"/>
      <c r="I513" s="47"/>
      <c r="J513" s="48"/>
      <c r="K513" s="49"/>
    </row>
    <row r="514" spans="1:11" ht="12.75" hidden="1" x14ac:dyDescent="0.2">
      <c r="A514" s="16"/>
      <c r="B514" s="16"/>
      <c r="C514" s="15"/>
      <c r="D514" s="16"/>
      <c r="E514" s="17"/>
      <c r="F514" s="17"/>
      <c r="H514" s="19"/>
      <c r="I514" s="47"/>
      <c r="J514" s="48"/>
      <c r="K514" s="49"/>
    </row>
    <row r="515" spans="1:11" ht="12.75" hidden="1" x14ac:dyDescent="0.2">
      <c r="A515" s="16"/>
      <c r="B515" s="16"/>
      <c r="C515" s="15"/>
      <c r="D515" s="16"/>
      <c r="E515" s="17"/>
      <c r="F515" s="17"/>
      <c r="H515" s="19"/>
      <c r="I515" s="47"/>
      <c r="J515" s="48"/>
      <c r="K515" s="49"/>
    </row>
    <row r="516" spans="1:11" ht="12.75" hidden="1" x14ac:dyDescent="0.2">
      <c r="A516" s="16"/>
      <c r="B516" s="16"/>
      <c r="C516" s="15"/>
      <c r="D516" s="16"/>
      <c r="E516" s="17"/>
      <c r="F516" s="17"/>
      <c r="H516" s="19"/>
      <c r="I516" s="47"/>
      <c r="J516" s="48"/>
      <c r="K516" s="49"/>
    </row>
    <row r="517" spans="1:11" ht="12.75" hidden="1" x14ac:dyDescent="0.2">
      <c r="A517" s="16"/>
      <c r="B517" s="16"/>
      <c r="C517" s="15"/>
      <c r="D517" s="16"/>
      <c r="E517" s="17"/>
      <c r="F517" s="17"/>
      <c r="H517" s="19"/>
      <c r="I517" s="47"/>
      <c r="J517" s="48"/>
      <c r="K517" s="49"/>
    </row>
    <row r="518" spans="1:11" ht="12.75" hidden="1" x14ac:dyDescent="0.2">
      <c r="A518" s="16"/>
      <c r="B518" s="16"/>
      <c r="C518" s="15"/>
      <c r="D518" s="16"/>
      <c r="E518" s="17"/>
      <c r="F518" s="17"/>
      <c r="H518" s="19"/>
      <c r="I518" s="47"/>
      <c r="J518" s="48"/>
      <c r="K518" s="49"/>
    </row>
    <row r="519" spans="1:11" ht="12.75" hidden="1" x14ac:dyDescent="0.2">
      <c r="A519" s="16"/>
      <c r="B519" s="16"/>
      <c r="C519" s="15"/>
      <c r="D519" s="16"/>
      <c r="E519" s="17"/>
      <c r="F519" s="17"/>
      <c r="H519" s="19"/>
      <c r="I519" s="47"/>
      <c r="J519" s="48"/>
      <c r="K519" s="49"/>
    </row>
    <row r="520" spans="1:11" ht="12.75" hidden="1" x14ac:dyDescent="0.2">
      <c r="A520" s="16"/>
      <c r="B520" s="16"/>
      <c r="C520" s="15"/>
      <c r="D520" s="16"/>
      <c r="E520" s="17"/>
      <c r="F520" s="17"/>
      <c r="H520" s="19"/>
      <c r="I520" s="47"/>
      <c r="J520" s="48"/>
      <c r="K520" s="49"/>
    </row>
    <row r="521" spans="1:11" ht="12.75" hidden="1" x14ac:dyDescent="0.2">
      <c r="A521" s="16"/>
      <c r="B521" s="16"/>
      <c r="C521" s="15"/>
      <c r="D521" s="16"/>
      <c r="E521" s="17"/>
      <c r="F521" s="17"/>
      <c r="H521" s="19"/>
      <c r="I521" s="47"/>
      <c r="J521" s="48"/>
      <c r="K521" s="49"/>
    </row>
    <row r="522" spans="1:11" ht="12.75" hidden="1" x14ac:dyDescent="0.2">
      <c r="A522" s="16"/>
      <c r="B522" s="16"/>
      <c r="C522" s="15"/>
      <c r="D522" s="16"/>
      <c r="E522" s="17"/>
      <c r="F522" s="17"/>
      <c r="H522" s="19"/>
      <c r="I522" s="47"/>
      <c r="J522" s="48"/>
      <c r="K522" s="49"/>
    </row>
    <row r="523" spans="1:11" ht="12.75" hidden="1" x14ac:dyDescent="0.2">
      <c r="A523" s="16"/>
      <c r="B523" s="16"/>
      <c r="C523" s="15"/>
      <c r="D523" s="16"/>
      <c r="E523" s="17"/>
      <c r="F523" s="17"/>
      <c r="H523" s="19"/>
      <c r="I523" s="47"/>
      <c r="J523" s="48"/>
      <c r="K523" s="49"/>
    </row>
    <row r="524" spans="1:11" ht="12.75" hidden="1" x14ac:dyDescent="0.2">
      <c r="A524" s="16"/>
      <c r="B524" s="16"/>
      <c r="C524" s="15"/>
      <c r="D524" s="16"/>
      <c r="E524" s="17"/>
      <c r="F524" s="17"/>
      <c r="H524" s="19"/>
      <c r="I524" s="47"/>
      <c r="J524" s="48"/>
      <c r="K524" s="49"/>
    </row>
    <row r="525" spans="1:11" ht="12.75" hidden="1" x14ac:dyDescent="0.2">
      <c r="A525" s="16"/>
      <c r="B525" s="16"/>
      <c r="C525" s="15"/>
      <c r="D525" s="16"/>
      <c r="E525" s="17"/>
      <c r="F525" s="17"/>
      <c r="H525" s="19"/>
      <c r="I525" s="47"/>
      <c r="J525" s="48"/>
      <c r="K525" s="49"/>
    </row>
    <row r="526" spans="1:11" ht="12.75" hidden="1" x14ac:dyDescent="0.2">
      <c r="A526" s="16"/>
      <c r="B526" s="16"/>
      <c r="C526" s="15"/>
      <c r="D526" s="16"/>
      <c r="E526" s="17"/>
      <c r="F526" s="17"/>
      <c r="H526" s="19"/>
      <c r="I526" s="47"/>
      <c r="J526" s="48"/>
      <c r="K526" s="49"/>
    </row>
    <row r="527" spans="1:11" ht="12.75" hidden="1" x14ac:dyDescent="0.2">
      <c r="A527" s="16"/>
      <c r="B527" s="16"/>
      <c r="C527" s="15"/>
      <c r="D527" s="16"/>
      <c r="E527" s="17"/>
      <c r="F527" s="17"/>
      <c r="H527" s="19"/>
      <c r="I527" s="47"/>
      <c r="J527" s="48"/>
      <c r="K527" s="49"/>
    </row>
    <row r="528" spans="1:11" ht="12.75" hidden="1" x14ac:dyDescent="0.2">
      <c r="A528" s="16"/>
      <c r="B528" s="16"/>
      <c r="C528" s="15"/>
      <c r="D528" s="16"/>
      <c r="E528" s="17"/>
      <c r="F528" s="17"/>
      <c r="H528" s="19"/>
      <c r="I528" s="47"/>
      <c r="J528" s="48"/>
      <c r="K528" s="49"/>
    </row>
    <row r="529" spans="1:11" ht="12.75" hidden="1" x14ac:dyDescent="0.2">
      <c r="A529" s="16"/>
      <c r="B529" s="16"/>
      <c r="C529" s="15"/>
      <c r="D529" s="16"/>
      <c r="E529" s="17"/>
      <c r="F529" s="17"/>
      <c r="H529" s="19"/>
      <c r="I529" s="47"/>
      <c r="J529" s="48"/>
      <c r="K529" s="49"/>
    </row>
    <row r="530" spans="1:11" ht="12.75" hidden="1" x14ac:dyDescent="0.2">
      <c r="A530" s="16"/>
      <c r="B530" s="16"/>
      <c r="C530" s="15"/>
      <c r="D530" s="16"/>
      <c r="E530" s="17"/>
      <c r="F530" s="17"/>
      <c r="H530" s="19"/>
      <c r="I530" s="47"/>
      <c r="J530" s="48"/>
      <c r="K530" s="49"/>
    </row>
    <row r="531" spans="1:11" ht="12.75" hidden="1" x14ac:dyDescent="0.2">
      <c r="A531" s="16"/>
      <c r="B531" s="16"/>
      <c r="C531" s="15"/>
      <c r="D531" s="16"/>
      <c r="E531" s="17"/>
      <c r="F531" s="17"/>
      <c r="H531" s="19"/>
      <c r="I531" s="47"/>
      <c r="J531" s="48"/>
      <c r="K531" s="49"/>
    </row>
    <row r="532" spans="1:11" ht="12.75" hidden="1" x14ac:dyDescent="0.2">
      <c r="A532" s="16"/>
      <c r="B532" s="16"/>
      <c r="C532" s="15"/>
      <c r="D532" s="16"/>
      <c r="E532" s="17"/>
      <c r="F532" s="17"/>
      <c r="H532" s="19"/>
      <c r="I532" s="47"/>
      <c r="J532" s="48"/>
      <c r="K532" s="49"/>
    </row>
    <row r="533" spans="1:11" ht="12.75" hidden="1" x14ac:dyDescent="0.2">
      <c r="A533" s="16"/>
      <c r="B533" s="16"/>
      <c r="C533" s="15"/>
      <c r="D533" s="16"/>
      <c r="E533" s="17"/>
      <c r="F533" s="17"/>
      <c r="H533" s="19"/>
      <c r="I533" s="47"/>
      <c r="J533" s="48"/>
      <c r="K533" s="49"/>
    </row>
    <row r="534" spans="1:11" ht="12.75" hidden="1" x14ac:dyDescent="0.2">
      <c r="A534" s="16"/>
      <c r="B534" s="16"/>
      <c r="C534" s="15"/>
      <c r="D534" s="16"/>
      <c r="E534" s="17"/>
      <c r="F534" s="17"/>
      <c r="H534" s="19"/>
      <c r="I534" s="47"/>
      <c r="J534" s="48"/>
      <c r="K534" s="49"/>
    </row>
    <row r="535" spans="1:11" ht="12.75" hidden="1" x14ac:dyDescent="0.2">
      <c r="A535" s="16"/>
      <c r="B535" s="16"/>
      <c r="C535" s="15"/>
      <c r="D535" s="16"/>
      <c r="E535" s="17"/>
      <c r="F535" s="17"/>
      <c r="H535" s="19"/>
      <c r="I535" s="47"/>
      <c r="J535" s="48"/>
      <c r="K535" s="49"/>
    </row>
    <row r="536" spans="1:11" ht="12.75" hidden="1" x14ac:dyDescent="0.2">
      <c r="A536" s="16"/>
      <c r="B536" s="16"/>
      <c r="C536" s="15"/>
      <c r="D536" s="16"/>
      <c r="E536" s="17"/>
      <c r="F536" s="17"/>
      <c r="H536" s="19"/>
      <c r="I536" s="47"/>
      <c r="J536" s="48"/>
      <c r="K536" s="49"/>
    </row>
    <row r="537" spans="1:11" ht="12.75" hidden="1" x14ac:dyDescent="0.2">
      <c r="A537" s="16"/>
      <c r="B537" s="16"/>
      <c r="C537" s="15"/>
      <c r="D537" s="16"/>
      <c r="E537" s="17"/>
      <c r="F537" s="17"/>
      <c r="H537" s="19"/>
      <c r="I537" s="47"/>
      <c r="J537" s="48"/>
      <c r="K537" s="49"/>
    </row>
    <row r="538" spans="1:11" ht="12.75" hidden="1" x14ac:dyDescent="0.2">
      <c r="A538" s="16"/>
      <c r="B538" s="16"/>
      <c r="C538" s="15"/>
      <c r="D538" s="16"/>
      <c r="E538" s="17"/>
      <c r="F538" s="17"/>
      <c r="H538" s="19"/>
      <c r="I538" s="47"/>
      <c r="J538" s="48"/>
      <c r="K538" s="49"/>
    </row>
    <row r="539" spans="1:11" ht="12.75" hidden="1" x14ac:dyDescent="0.2">
      <c r="A539" s="16"/>
      <c r="B539" s="16"/>
      <c r="C539" s="15"/>
      <c r="D539" s="16"/>
      <c r="E539" s="17"/>
      <c r="F539" s="17"/>
      <c r="H539" s="19"/>
      <c r="I539" s="47"/>
      <c r="J539" s="48"/>
      <c r="K539" s="49"/>
    </row>
    <row r="540" spans="1:11" ht="12.75" hidden="1" x14ac:dyDescent="0.2">
      <c r="A540" s="16"/>
      <c r="B540" s="16"/>
      <c r="C540" s="15"/>
      <c r="D540" s="16"/>
      <c r="E540" s="17"/>
      <c r="F540" s="17"/>
      <c r="H540" s="19"/>
      <c r="I540" s="47"/>
      <c r="J540" s="48"/>
      <c r="K540" s="49"/>
    </row>
    <row r="541" spans="1:11" ht="12.75" hidden="1" x14ac:dyDescent="0.2">
      <c r="A541" s="16"/>
      <c r="B541" s="16"/>
      <c r="C541" s="15"/>
      <c r="D541" s="16"/>
      <c r="E541" s="17"/>
      <c r="F541" s="17"/>
      <c r="H541" s="19"/>
      <c r="I541" s="47"/>
      <c r="J541" s="48"/>
      <c r="K541" s="49"/>
    </row>
    <row r="542" spans="1:11" ht="12.75" hidden="1" x14ac:dyDescent="0.2">
      <c r="A542" s="16"/>
      <c r="B542" s="16"/>
      <c r="C542" s="15"/>
      <c r="D542" s="16"/>
      <c r="E542" s="17"/>
      <c r="F542" s="17"/>
      <c r="H542" s="19"/>
      <c r="I542" s="47"/>
      <c r="J542" s="48"/>
      <c r="K542" s="49"/>
    </row>
    <row r="543" spans="1:11" ht="12.75" hidden="1" x14ac:dyDescent="0.2">
      <c r="A543" s="16"/>
      <c r="B543" s="16"/>
      <c r="C543" s="15"/>
      <c r="D543" s="16"/>
      <c r="E543" s="17"/>
      <c r="F543" s="17"/>
      <c r="H543" s="19"/>
      <c r="I543" s="47"/>
      <c r="J543" s="48"/>
      <c r="K543" s="49"/>
    </row>
    <row r="544" spans="1:11" ht="12.75" hidden="1" x14ac:dyDescent="0.2">
      <c r="A544" s="16"/>
      <c r="B544" s="16"/>
      <c r="C544" s="15"/>
      <c r="D544" s="16"/>
      <c r="E544" s="17"/>
      <c r="F544" s="17"/>
      <c r="H544" s="19"/>
      <c r="I544" s="47"/>
      <c r="J544" s="48"/>
      <c r="K544" s="49"/>
    </row>
    <row r="545" spans="1:11" ht="12.75" hidden="1" x14ac:dyDescent="0.2">
      <c r="A545" s="16"/>
      <c r="B545" s="16"/>
      <c r="C545" s="15"/>
      <c r="D545" s="16"/>
      <c r="E545" s="17"/>
      <c r="F545" s="17"/>
      <c r="H545" s="19"/>
      <c r="I545" s="47"/>
      <c r="J545" s="48"/>
      <c r="K545" s="49"/>
    </row>
    <row r="546" spans="1:11" ht="12.75" hidden="1" x14ac:dyDescent="0.2">
      <c r="A546" s="16"/>
      <c r="B546" s="16"/>
      <c r="C546" s="15"/>
      <c r="D546" s="16"/>
      <c r="E546" s="17"/>
      <c r="F546" s="17"/>
      <c r="H546" s="19"/>
      <c r="I546" s="47"/>
      <c r="J546" s="48"/>
      <c r="K546" s="49"/>
    </row>
    <row r="547" spans="1:11" ht="12.75" hidden="1" x14ac:dyDescent="0.2">
      <c r="A547" s="16"/>
      <c r="B547" s="16"/>
      <c r="C547" s="15"/>
      <c r="D547" s="16"/>
      <c r="E547" s="17"/>
      <c r="F547" s="17"/>
      <c r="H547" s="19"/>
      <c r="I547" s="47"/>
      <c r="J547" s="48"/>
      <c r="K547" s="49"/>
    </row>
    <row r="548" spans="1:11" ht="12.75" hidden="1" x14ac:dyDescent="0.2">
      <c r="A548" s="16"/>
      <c r="B548" s="16"/>
      <c r="C548" s="15"/>
      <c r="D548" s="16"/>
      <c r="E548" s="17"/>
      <c r="F548" s="17"/>
      <c r="H548" s="19"/>
      <c r="I548" s="47"/>
      <c r="J548" s="48"/>
      <c r="K548" s="49"/>
    </row>
    <row r="549" spans="1:11" ht="12.75" hidden="1" x14ac:dyDescent="0.2">
      <c r="A549" s="16"/>
      <c r="B549" s="16"/>
      <c r="C549" s="15"/>
      <c r="D549" s="16"/>
      <c r="E549" s="17"/>
      <c r="F549" s="17"/>
      <c r="H549" s="19"/>
      <c r="I549" s="47"/>
      <c r="J549" s="48"/>
      <c r="K549" s="49"/>
    </row>
    <row r="550" spans="1:11" ht="12.75" hidden="1" x14ac:dyDescent="0.2">
      <c r="A550" s="16"/>
      <c r="B550" s="16"/>
      <c r="C550" s="15"/>
      <c r="D550" s="16"/>
      <c r="E550" s="17"/>
      <c r="F550" s="17"/>
      <c r="H550" s="19"/>
      <c r="I550" s="47"/>
      <c r="J550" s="48"/>
      <c r="K550" s="49"/>
    </row>
    <row r="551" spans="1:11" ht="12.75" hidden="1" x14ac:dyDescent="0.2">
      <c r="A551" s="16"/>
      <c r="B551" s="16"/>
      <c r="C551" s="15"/>
      <c r="D551" s="16"/>
      <c r="E551" s="17"/>
      <c r="F551" s="17"/>
      <c r="H551" s="19"/>
      <c r="I551" s="47"/>
      <c r="J551" s="48"/>
      <c r="K551" s="49"/>
    </row>
    <row r="552" spans="1:11" ht="12.75" hidden="1" x14ac:dyDescent="0.2">
      <c r="A552" s="16"/>
      <c r="B552" s="16"/>
      <c r="C552" s="15"/>
      <c r="D552" s="16"/>
      <c r="E552" s="17"/>
      <c r="F552" s="17"/>
      <c r="H552" s="19"/>
      <c r="I552" s="47"/>
      <c r="J552" s="48"/>
      <c r="K552" s="49"/>
    </row>
    <row r="553" spans="1:11" ht="12.75" hidden="1" x14ac:dyDescent="0.2">
      <c r="A553" s="16"/>
      <c r="B553" s="16"/>
      <c r="C553" s="15"/>
      <c r="D553" s="16"/>
      <c r="E553" s="17"/>
      <c r="F553" s="17"/>
      <c r="H553" s="19"/>
      <c r="I553" s="47"/>
      <c r="J553" s="48"/>
      <c r="K553" s="49"/>
    </row>
    <row r="554" spans="1:11" ht="12.75" hidden="1" x14ac:dyDescent="0.2">
      <c r="A554" s="16"/>
      <c r="B554" s="16"/>
      <c r="C554" s="15"/>
      <c r="D554" s="16"/>
      <c r="E554" s="17"/>
      <c r="F554" s="17"/>
      <c r="H554" s="19"/>
      <c r="I554" s="47"/>
      <c r="J554" s="48"/>
      <c r="K554" s="49"/>
    </row>
    <row r="555" spans="1:11" ht="12.75" hidden="1" x14ac:dyDescent="0.2">
      <c r="A555" s="16"/>
      <c r="B555" s="16"/>
      <c r="C555" s="15"/>
      <c r="D555" s="16"/>
      <c r="E555" s="17"/>
      <c r="F555" s="17"/>
      <c r="H555" s="19"/>
      <c r="I555" s="47"/>
      <c r="J555" s="48"/>
      <c r="K555" s="49"/>
    </row>
    <row r="556" spans="1:11" ht="12.75" hidden="1" x14ac:dyDescent="0.2">
      <c r="A556" s="16"/>
      <c r="B556" s="16"/>
      <c r="C556" s="15"/>
      <c r="D556" s="16"/>
      <c r="E556" s="17"/>
      <c r="F556" s="17"/>
      <c r="H556" s="19"/>
      <c r="I556" s="47"/>
      <c r="J556" s="48"/>
      <c r="K556" s="49"/>
    </row>
    <row r="557" spans="1:11" ht="12.75" hidden="1" x14ac:dyDescent="0.2">
      <c r="A557" s="16"/>
      <c r="B557" s="16"/>
      <c r="C557" s="15"/>
      <c r="D557" s="16"/>
      <c r="E557" s="17"/>
      <c r="F557" s="17"/>
      <c r="H557" s="19"/>
      <c r="I557" s="47"/>
      <c r="J557" s="48"/>
      <c r="K557" s="49"/>
    </row>
    <row r="558" spans="1:11" ht="12.75" hidden="1" x14ac:dyDescent="0.2">
      <c r="A558" s="16"/>
      <c r="B558" s="16"/>
      <c r="C558" s="15"/>
      <c r="D558" s="16"/>
      <c r="E558" s="17"/>
      <c r="F558" s="17"/>
      <c r="H558" s="19"/>
      <c r="I558" s="47"/>
      <c r="J558" s="48"/>
      <c r="K558" s="49"/>
    </row>
    <row r="559" spans="1:11" ht="12.75" hidden="1" x14ac:dyDescent="0.2">
      <c r="A559" s="16"/>
      <c r="B559" s="16"/>
      <c r="C559" s="15"/>
      <c r="D559" s="16"/>
      <c r="E559" s="17"/>
      <c r="F559" s="17"/>
      <c r="H559" s="19"/>
      <c r="I559" s="47"/>
      <c r="J559" s="48"/>
      <c r="K559" s="49"/>
    </row>
    <row r="560" spans="1:11" ht="12.75" hidden="1" x14ac:dyDescent="0.2">
      <c r="A560" s="16"/>
      <c r="B560" s="16"/>
      <c r="C560" s="15"/>
      <c r="D560" s="16"/>
      <c r="E560" s="17"/>
      <c r="F560" s="17"/>
      <c r="H560" s="19"/>
      <c r="I560" s="47"/>
      <c r="J560" s="48"/>
      <c r="K560" s="49"/>
    </row>
    <row r="561" spans="1:11" ht="12.75" hidden="1" x14ac:dyDescent="0.2">
      <c r="A561" s="16"/>
      <c r="B561" s="16"/>
      <c r="C561" s="15"/>
      <c r="D561" s="16"/>
      <c r="E561" s="17"/>
      <c r="F561" s="17"/>
      <c r="H561" s="19"/>
      <c r="I561" s="47"/>
      <c r="J561" s="48"/>
      <c r="K561" s="49"/>
    </row>
    <row r="562" spans="1:11" ht="12.75" hidden="1" x14ac:dyDescent="0.2">
      <c r="A562" s="16"/>
      <c r="B562" s="16"/>
      <c r="C562" s="15"/>
      <c r="D562" s="16"/>
      <c r="E562" s="17"/>
      <c r="F562" s="17"/>
      <c r="H562" s="19"/>
      <c r="I562" s="47"/>
      <c r="J562" s="48"/>
      <c r="K562" s="49"/>
    </row>
    <row r="563" spans="1:11" ht="12.75" hidden="1" x14ac:dyDescent="0.2">
      <c r="A563" s="16"/>
      <c r="B563" s="16"/>
      <c r="C563" s="15"/>
      <c r="D563" s="16"/>
      <c r="E563" s="17"/>
      <c r="F563" s="17"/>
      <c r="H563" s="19"/>
      <c r="I563" s="47"/>
      <c r="J563" s="48"/>
      <c r="K563" s="49"/>
    </row>
    <row r="564" spans="1:11" ht="12.75" hidden="1" x14ac:dyDescent="0.2">
      <c r="A564" s="16"/>
      <c r="B564" s="16"/>
      <c r="C564" s="15"/>
      <c r="D564" s="16"/>
      <c r="E564" s="17"/>
      <c r="F564" s="17"/>
      <c r="H564" s="19"/>
      <c r="I564" s="47"/>
      <c r="J564" s="48"/>
      <c r="K564" s="49"/>
    </row>
    <row r="565" spans="1:11" ht="12.75" hidden="1" x14ac:dyDescent="0.2">
      <c r="A565" s="16"/>
      <c r="B565" s="16"/>
      <c r="C565" s="15"/>
      <c r="D565" s="16"/>
      <c r="E565" s="17"/>
      <c r="F565" s="17"/>
      <c r="H565" s="19"/>
      <c r="I565" s="47"/>
      <c r="J565" s="48"/>
      <c r="K565" s="49"/>
    </row>
    <row r="566" spans="1:11" ht="12.75" hidden="1" x14ac:dyDescent="0.2">
      <c r="A566" s="16"/>
      <c r="B566" s="16"/>
      <c r="C566" s="15"/>
      <c r="D566" s="16"/>
      <c r="E566" s="17"/>
      <c r="F566" s="17"/>
      <c r="H566" s="19"/>
      <c r="I566" s="47"/>
      <c r="J566" s="48"/>
      <c r="K566" s="49"/>
    </row>
    <row r="567" spans="1:11" ht="12.75" hidden="1" x14ac:dyDescent="0.2">
      <c r="A567" s="16"/>
      <c r="B567" s="16"/>
      <c r="C567" s="15"/>
      <c r="D567" s="16"/>
      <c r="E567" s="17"/>
      <c r="F567" s="17"/>
      <c r="H567" s="19"/>
      <c r="I567" s="47"/>
      <c r="J567" s="48"/>
      <c r="K567" s="49"/>
    </row>
    <row r="568" spans="1:11" ht="12.75" hidden="1" x14ac:dyDescent="0.2">
      <c r="A568" s="16"/>
      <c r="B568" s="16"/>
      <c r="C568" s="15"/>
      <c r="D568" s="16"/>
      <c r="E568" s="17"/>
      <c r="F568" s="17"/>
      <c r="H568" s="19"/>
      <c r="I568" s="47"/>
      <c r="J568" s="48"/>
      <c r="K568" s="49"/>
    </row>
    <row r="569" spans="1:11" ht="12.75" hidden="1" x14ac:dyDescent="0.2">
      <c r="A569" s="16"/>
      <c r="B569" s="16"/>
      <c r="C569" s="15"/>
      <c r="D569" s="16"/>
      <c r="E569" s="17"/>
      <c r="F569" s="17"/>
      <c r="H569" s="19"/>
      <c r="I569" s="47"/>
      <c r="J569" s="48"/>
      <c r="K569" s="49"/>
    </row>
    <row r="570" spans="1:11" ht="12.75" hidden="1" x14ac:dyDescent="0.2">
      <c r="A570" s="16"/>
      <c r="B570" s="16"/>
      <c r="C570" s="15"/>
      <c r="D570" s="16"/>
      <c r="E570" s="17"/>
      <c r="F570" s="17"/>
      <c r="H570" s="19"/>
      <c r="I570" s="47"/>
      <c r="J570" s="48"/>
      <c r="K570" s="49"/>
    </row>
    <row r="571" spans="1:11" ht="12.75" hidden="1" x14ac:dyDescent="0.2">
      <c r="A571" s="16"/>
      <c r="B571" s="16"/>
      <c r="C571" s="15"/>
      <c r="D571" s="16"/>
      <c r="E571" s="17"/>
      <c r="F571" s="17"/>
      <c r="H571" s="19"/>
      <c r="I571" s="47"/>
      <c r="J571" s="48"/>
      <c r="K571" s="49"/>
    </row>
    <row r="572" spans="1:11" ht="12.75" hidden="1" x14ac:dyDescent="0.2">
      <c r="A572" s="16"/>
      <c r="B572" s="16"/>
      <c r="C572" s="15"/>
      <c r="D572" s="16"/>
      <c r="E572" s="17"/>
      <c r="F572" s="17"/>
      <c r="H572" s="19"/>
      <c r="I572" s="47"/>
      <c r="J572" s="48"/>
      <c r="K572" s="49"/>
    </row>
    <row r="573" spans="1:11" ht="12.75" hidden="1" x14ac:dyDescent="0.2">
      <c r="A573" s="16"/>
      <c r="B573" s="16"/>
      <c r="C573" s="15"/>
      <c r="D573" s="16"/>
      <c r="E573" s="17"/>
      <c r="F573" s="17"/>
      <c r="H573" s="19"/>
      <c r="I573" s="47"/>
      <c r="J573" s="48"/>
      <c r="K573" s="49"/>
    </row>
    <row r="574" spans="1:11" ht="12.75" hidden="1" x14ac:dyDescent="0.2">
      <c r="A574" s="16"/>
      <c r="B574" s="16"/>
      <c r="C574" s="15"/>
      <c r="D574" s="16"/>
      <c r="E574" s="17"/>
      <c r="F574" s="17"/>
      <c r="H574" s="19"/>
      <c r="I574" s="47"/>
      <c r="J574" s="48"/>
      <c r="K574" s="49"/>
    </row>
    <row r="575" spans="1:11" ht="12.75" hidden="1" x14ac:dyDescent="0.2">
      <c r="A575" s="16"/>
      <c r="B575" s="16"/>
      <c r="C575" s="15"/>
      <c r="D575" s="16"/>
      <c r="E575" s="17"/>
      <c r="F575" s="17"/>
      <c r="H575" s="19"/>
      <c r="I575" s="47"/>
      <c r="J575" s="48"/>
      <c r="K575" s="49"/>
    </row>
    <row r="576" spans="1:11" ht="12.75" hidden="1" x14ac:dyDescent="0.2">
      <c r="A576" s="16"/>
      <c r="B576" s="16"/>
      <c r="C576" s="15"/>
      <c r="D576" s="16"/>
      <c r="E576" s="17"/>
      <c r="F576" s="17"/>
      <c r="H576" s="19"/>
      <c r="I576" s="47"/>
      <c r="J576" s="48"/>
      <c r="K576" s="49"/>
    </row>
    <row r="577" spans="1:11" ht="12.75" hidden="1" x14ac:dyDescent="0.2">
      <c r="A577" s="16"/>
      <c r="B577" s="16"/>
      <c r="C577" s="15"/>
      <c r="D577" s="16"/>
      <c r="E577" s="17"/>
      <c r="F577" s="17"/>
      <c r="H577" s="19"/>
      <c r="I577" s="47"/>
      <c r="J577" s="48"/>
      <c r="K577" s="49"/>
    </row>
    <row r="578" spans="1:11" ht="12.75" hidden="1" x14ac:dyDescent="0.2">
      <c r="A578" s="16"/>
      <c r="B578" s="16"/>
      <c r="C578" s="15"/>
      <c r="D578" s="16"/>
      <c r="E578" s="17"/>
      <c r="F578" s="17"/>
      <c r="H578" s="19"/>
      <c r="I578" s="47"/>
      <c r="J578" s="48"/>
      <c r="K578" s="49"/>
    </row>
    <row r="579" spans="1:11" ht="12.75" hidden="1" x14ac:dyDescent="0.2">
      <c r="A579" s="16"/>
      <c r="B579" s="16"/>
      <c r="C579" s="15"/>
      <c r="D579" s="16"/>
      <c r="E579" s="17"/>
      <c r="F579" s="17"/>
      <c r="H579" s="19"/>
      <c r="I579" s="47"/>
      <c r="J579" s="48"/>
      <c r="K579" s="49"/>
    </row>
    <row r="580" spans="1:11" ht="12.75" hidden="1" x14ac:dyDescent="0.2">
      <c r="A580" s="16"/>
      <c r="B580" s="16"/>
      <c r="C580" s="15"/>
      <c r="D580" s="16"/>
      <c r="E580" s="17"/>
      <c r="F580" s="17"/>
      <c r="H580" s="19"/>
      <c r="I580" s="47"/>
      <c r="J580" s="48"/>
      <c r="K580" s="49"/>
    </row>
    <row r="581" spans="1:11" ht="12.75" hidden="1" x14ac:dyDescent="0.2">
      <c r="A581" s="16"/>
      <c r="B581" s="16"/>
      <c r="C581" s="15"/>
      <c r="D581" s="16"/>
      <c r="E581" s="17"/>
      <c r="F581" s="17"/>
      <c r="H581" s="19"/>
      <c r="I581" s="47"/>
      <c r="J581" s="48"/>
      <c r="K581" s="49"/>
    </row>
    <row r="582" spans="1:11" ht="12.75" hidden="1" x14ac:dyDescent="0.2">
      <c r="A582" s="16"/>
      <c r="B582" s="16"/>
      <c r="C582" s="15"/>
      <c r="D582" s="16"/>
      <c r="E582" s="17"/>
      <c r="F582" s="17"/>
      <c r="H582" s="19"/>
      <c r="I582" s="47"/>
      <c r="J582" s="48"/>
      <c r="K582" s="49"/>
    </row>
    <row r="583" spans="1:11" ht="12.75" hidden="1" x14ac:dyDescent="0.2">
      <c r="A583" s="16"/>
      <c r="B583" s="16"/>
      <c r="C583" s="15"/>
      <c r="D583" s="16"/>
      <c r="E583" s="17"/>
      <c r="F583" s="17"/>
      <c r="H583" s="19"/>
      <c r="I583" s="47"/>
      <c r="J583" s="48"/>
      <c r="K583" s="49"/>
    </row>
    <row r="584" spans="1:11" ht="12.75" hidden="1" x14ac:dyDescent="0.2">
      <c r="A584" s="16"/>
      <c r="B584" s="16"/>
      <c r="C584" s="15"/>
      <c r="D584" s="16"/>
      <c r="E584" s="17"/>
      <c r="F584" s="17"/>
      <c r="H584" s="19"/>
      <c r="I584" s="47"/>
      <c r="J584" s="48"/>
      <c r="K584" s="49"/>
    </row>
    <row r="585" spans="1:11" ht="12.75" hidden="1" x14ac:dyDescent="0.2">
      <c r="A585" s="16"/>
      <c r="B585" s="16"/>
      <c r="C585" s="15"/>
      <c r="D585" s="16"/>
      <c r="E585" s="17"/>
      <c r="F585" s="17"/>
      <c r="H585" s="19"/>
      <c r="I585" s="47"/>
      <c r="J585" s="48"/>
      <c r="K585" s="49"/>
    </row>
    <row r="586" spans="1:11" ht="12.75" hidden="1" x14ac:dyDescent="0.2">
      <c r="A586" s="16"/>
      <c r="B586" s="16"/>
      <c r="C586" s="15"/>
      <c r="D586" s="16"/>
      <c r="E586" s="17"/>
      <c r="F586" s="17"/>
      <c r="H586" s="19"/>
      <c r="I586" s="47"/>
      <c r="J586" s="48"/>
      <c r="K586" s="49"/>
    </row>
    <row r="587" spans="1:11" ht="12.75" hidden="1" x14ac:dyDescent="0.2">
      <c r="A587" s="16"/>
      <c r="B587" s="16"/>
      <c r="C587" s="15"/>
      <c r="D587" s="16"/>
      <c r="E587" s="17"/>
      <c r="F587" s="17"/>
      <c r="H587" s="19"/>
      <c r="I587" s="47"/>
      <c r="J587" s="48"/>
      <c r="K587" s="49"/>
    </row>
    <row r="588" spans="1:11" ht="12.75" hidden="1" x14ac:dyDescent="0.2">
      <c r="A588" s="16"/>
      <c r="B588" s="16"/>
      <c r="C588" s="15"/>
      <c r="D588" s="16"/>
      <c r="E588" s="17"/>
      <c r="F588" s="17"/>
      <c r="H588" s="19"/>
      <c r="I588" s="47"/>
      <c r="J588" s="48"/>
      <c r="K588" s="49"/>
    </row>
    <row r="589" spans="1:11" ht="12.75" hidden="1" x14ac:dyDescent="0.2">
      <c r="A589" s="16"/>
      <c r="B589" s="16"/>
      <c r="C589" s="15"/>
      <c r="D589" s="16"/>
      <c r="E589" s="17"/>
      <c r="F589" s="17"/>
      <c r="H589" s="19"/>
      <c r="I589" s="47"/>
      <c r="J589" s="48"/>
      <c r="K589" s="49"/>
    </row>
    <row r="590" spans="1:11" ht="12.75" hidden="1" x14ac:dyDescent="0.2">
      <c r="A590" s="16"/>
      <c r="B590" s="16"/>
      <c r="C590" s="15"/>
      <c r="D590" s="16"/>
      <c r="E590" s="17"/>
      <c r="F590" s="17"/>
      <c r="H590" s="19"/>
      <c r="I590" s="47"/>
      <c r="J590" s="48"/>
      <c r="K590" s="49"/>
    </row>
    <row r="591" spans="1:11" ht="12.75" hidden="1" x14ac:dyDescent="0.2">
      <c r="A591" s="16"/>
      <c r="B591" s="16"/>
      <c r="C591" s="15"/>
      <c r="D591" s="16"/>
      <c r="E591" s="17"/>
      <c r="F591" s="17"/>
      <c r="H591" s="19"/>
      <c r="I591" s="47"/>
      <c r="J591" s="48"/>
      <c r="K591" s="49"/>
    </row>
    <row r="592" spans="1:11" ht="12.75" hidden="1" x14ac:dyDescent="0.2">
      <c r="A592" s="16"/>
      <c r="B592" s="16"/>
      <c r="C592" s="15"/>
      <c r="D592" s="16"/>
      <c r="E592" s="17"/>
      <c r="F592" s="17"/>
      <c r="H592" s="19"/>
      <c r="I592" s="47"/>
      <c r="J592" s="48"/>
      <c r="K592" s="49"/>
    </row>
    <row r="593" spans="1:11" ht="12.75" hidden="1" x14ac:dyDescent="0.2">
      <c r="A593" s="16"/>
      <c r="B593" s="16"/>
      <c r="C593" s="15"/>
      <c r="D593" s="16"/>
      <c r="E593" s="17"/>
      <c r="F593" s="17"/>
      <c r="H593" s="19"/>
      <c r="I593" s="47"/>
      <c r="J593" s="48"/>
      <c r="K593" s="49"/>
    </row>
    <row r="594" spans="1:11" ht="12.75" hidden="1" x14ac:dyDescent="0.2">
      <c r="A594" s="16"/>
      <c r="B594" s="16"/>
      <c r="C594" s="15"/>
      <c r="D594" s="16"/>
      <c r="E594" s="17"/>
      <c r="F594" s="17"/>
      <c r="H594" s="19"/>
      <c r="I594" s="47"/>
      <c r="J594" s="48"/>
      <c r="K594" s="49"/>
    </row>
    <row r="595" spans="1:11" ht="12.75" hidden="1" x14ac:dyDescent="0.2">
      <c r="A595" s="16"/>
      <c r="B595" s="16"/>
      <c r="C595" s="15"/>
      <c r="D595" s="16"/>
      <c r="E595" s="17"/>
      <c r="F595" s="17"/>
      <c r="H595" s="19"/>
      <c r="I595" s="47"/>
      <c r="J595" s="48"/>
      <c r="K595" s="49"/>
    </row>
    <row r="596" spans="1:11" ht="12.75" hidden="1" x14ac:dyDescent="0.2">
      <c r="A596" s="16"/>
      <c r="B596" s="16"/>
      <c r="C596" s="15"/>
      <c r="D596" s="16"/>
      <c r="E596" s="17"/>
      <c r="F596" s="17"/>
      <c r="H596" s="19"/>
      <c r="I596" s="47"/>
      <c r="J596" s="48"/>
      <c r="K596" s="49"/>
    </row>
    <row r="597" spans="1:11" ht="12.75" hidden="1" x14ac:dyDescent="0.2">
      <c r="A597" s="16"/>
      <c r="B597" s="16"/>
      <c r="C597" s="15"/>
      <c r="D597" s="16"/>
      <c r="E597" s="17"/>
      <c r="F597" s="17"/>
      <c r="H597" s="19"/>
      <c r="I597" s="47"/>
      <c r="J597" s="48"/>
      <c r="K597" s="49"/>
    </row>
    <row r="598" spans="1:11" ht="12.75" hidden="1" x14ac:dyDescent="0.2">
      <c r="A598" s="16"/>
      <c r="B598" s="16"/>
      <c r="C598" s="15"/>
      <c r="D598" s="16"/>
      <c r="E598" s="17"/>
      <c r="F598" s="17"/>
      <c r="H598" s="19"/>
      <c r="I598" s="47"/>
      <c r="J598" s="48"/>
      <c r="K598" s="49"/>
    </row>
    <row r="599" spans="1:11" ht="12.75" hidden="1" x14ac:dyDescent="0.2">
      <c r="A599" s="16"/>
      <c r="B599" s="16"/>
      <c r="C599" s="15"/>
      <c r="D599" s="16"/>
      <c r="E599" s="17"/>
      <c r="F599" s="17"/>
      <c r="H599" s="19"/>
      <c r="I599" s="47"/>
      <c r="J599" s="48"/>
      <c r="K599" s="49"/>
    </row>
    <row r="600" spans="1:11" ht="12.75" hidden="1" x14ac:dyDescent="0.2">
      <c r="A600" s="16"/>
      <c r="B600" s="16"/>
      <c r="C600" s="15"/>
      <c r="D600" s="16"/>
      <c r="E600" s="17"/>
      <c r="F600" s="17"/>
      <c r="H600" s="19"/>
      <c r="I600" s="47"/>
      <c r="J600" s="48"/>
      <c r="K600" s="49"/>
    </row>
    <row r="601" spans="1:11" ht="12.75" hidden="1" x14ac:dyDescent="0.2">
      <c r="A601" s="16"/>
      <c r="B601" s="16"/>
      <c r="C601" s="15"/>
      <c r="D601" s="16"/>
      <c r="E601" s="17"/>
      <c r="F601" s="17"/>
      <c r="H601" s="19"/>
      <c r="I601" s="47"/>
      <c r="J601" s="48"/>
      <c r="K601" s="49"/>
    </row>
    <row r="602" spans="1:11" ht="12.75" hidden="1" x14ac:dyDescent="0.2">
      <c r="A602" s="16"/>
      <c r="B602" s="16"/>
      <c r="C602" s="15"/>
      <c r="D602" s="16"/>
      <c r="E602" s="17"/>
      <c r="F602" s="17"/>
      <c r="H602" s="19"/>
      <c r="I602" s="47"/>
      <c r="J602" s="48"/>
      <c r="K602" s="49"/>
    </row>
    <row r="603" spans="1:11" ht="12.75" hidden="1" x14ac:dyDescent="0.2">
      <c r="A603" s="16"/>
      <c r="B603" s="16"/>
      <c r="C603" s="15"/>
      <c r="D603" s="16"/>
      <c r="E603" s="17"/>
      <c r="F603" s="17"/>
      <c r="H603" s="19"/>
      <c r="I603" s="47"/>
      <c r="J603" s="48"/>
      <c r="K603" s="49"/>
    </row>
    <row r="604" spans="1:11" ht="12.75" hidden="1" x14ac:dyDescent="0.2">
      <c r="A604" s="16"/>
      <c r="B604" s="16"/>
      <c r="C604" s="15"/>
      <c r="D604" s="16"/>
      <c r="E604" s="17"/>
      <c r="F604" s="17"/>
      <c r="H604" s="19"/>
      <c r="I604" s="47"/>
      <c r="J604" s="48"/>
      <c r="K604" s="49"/>
    </row>
    <row r="605" spans="1:11" ht="12.75" hidden="1" x14ac:dyDescent="0.2">
      <c r="A605" s="16"/>
      <c r="B605" s="16"/>
      <c r="C605" s="15"/>
      <c r="D605" s="16"/>
      <c r="E605" s="17"/>
      <c r="F605" s="17"/>
      <c r="H605" s="19"/>
      <c r="I605" s="47"/>
      <c r="J605" s="48"/>
      <c r="K605" s="49"/>
    </row>
    <row r="606" spans="1:11" ht="12.75" hidden="1" x14ac:dyDescent="0.2">
      <c r="A606" s="16"/>
      <c r="B606" s="16"/>
      <c r="C606" s="15"/>
      <c r="D606" s="16"/>
      <c r="E606" s="17"/>
      <c r="F606" s="17"/>
      <c r="H606" s="19"/>
      <c r="I606" s="47"/>
      <c r="J606" s="48"/>
      <c r="K606" s="49"/>
    </row>
    <row r="607" spans="1:11" ht="12.75" hidden="1" x14ac:dyDescent="0.2">
      <c r="A607" s="16"/>
      <c r="B607" s="16"/>
      <c r="C607" s="15"/>
      <c r="D607" s="16"/>
      <c r="E607" s="17"/>
      <c r="F607" s="17"/>
      <c r="H607" s="19"/>
      <c r="I607" s="47"/>
      <c r="J607" s="48"/>
      <c r="K607" s="49"/>
    </row>
    <row r="608" spans="1:11" ht="12.75" hidden="1" x14ac:dyDescent="0.2">
      <c r="A608" s="16"/>
      <c r="B608" s="16"/>
      <c r="C608" s="15"/>
      <c r="D608" s="16"/>
      <c r="E608" s="17"/>
      <c r="F608" s="17"/>
      <c r="H608" s="19"/>
      <c r="I608" s="47"/>
      <c r="J608" s="48"/>
      <c r="K608" s="49"/>
    </row>
    <row r="609" spans="1:11" ht="12.75" hidden="1" x14ac:dyDescent="0.2">
      <c r="A609" s="16"/>
      <c r="B609" s="16"/>
      <c r="C609" s="15"/>
      <c r="D609" s="16"/>
      <c r="E609" s="17"/>
      <c r="F609" s="17"/>
      <c r="H609" s="19"/>
      <c r="I609" s="47"/>
      <c r="J609" s="48"/>
      <c r="K609" s="49"/>
    </row>
    <row r="610" spans="1:11" ht="12.75" hidden="1" x14ac:dyDescent="0.2">
      <c r="A610" s="16"/>
      <c r="B610" s="16"/>
      <c r="C610" s="15"/>
      <c r="D610" s="16"/>
      <c r="E610" s="17"/>
      <c r="F610" s="17"/>
      <c r="H610" s="19"/>
      <c r="I610" s="47"/>
      <c r="J610" s="48"/>
      <c r="K610" s="49"/>
    </row>
    <row r="611" spans="1:11" ht="12.75" hidden="1" x14ac:dyDescent="0.2">
      <c r="A611" s="16"/>
      <c r="B611" s="16"/>
      <c r="C611" s="15"/>
      <c r="D611" s="16"/>
      <c r="E611" s="17"/>
      <c r="F611" s="17"/>
      <c r="H611" s="19"/>
      <c r="I611" s="47"/>
      <c r="J611" s="48"/>
      <c r="K611" s="49"/>
    </row>
    <row r="612" spans="1:11" ht="12.75" hidden="1" x14ac:dyDescent="0.2">
      <c r="A612" s="16"/>
      <c r="B612" s="16"/>
      <c r="C612" s="15"/>
      <c r="D612" s="16"/>
      <c r="E612" s="17"/>
      <c r="F612" s="17"/>
      <c r="H612" s="19"/>
      <c r="I612" s="47"/>
      <c r="J612" s="48"/>
      <c r="K612" s="49"/>
    </row>
    <row r="613" spans="1:11" ht="12.75" hidden="1" x14ac:dyDescent="0.2">
      <c r="A613" s="16"/>
      <c r="B613" s="16"/>
      <c r="C613" s="15"/>
      <c r="D613" s="16"/>
      <c r="E613" s="17"/>
      <c r="F613" s="17"/>
      <c r="H613" s="19"/>
      <c r="I613" s="47"/>
      <c r="J613" s="48"/>
      <c r="K613" s="49"/>
    </row>
    <row r="614" spans="1:11" ht="12.75" hidden="1" x14ac:dyDescent="0.2">
      <c r="A614" s="16"/>
      <c r="B614" s="16"/>
      <c r="C614" s="15"/>
      <c r="D614" s="16"/>
      <c r="E614" s="17"/>
      <c r="F614" s="17"/>
      <c r="H614" s="19"/>
      <c r="I614" s="47"/>
      <c r="J614" s="48"/>
      <c r="K614" s="49"/>
    </row>
    <row r="615" spans="1:11" ht="12.75" hidden="1" x14ac:dyDescent="0.2">
      <c r="A615" s="16"/>
      <c r="B615" s="16"/>
      <c r="C615" s="15"/>
      <c r="D615" s="16"/>
      <c r="E615" s="17"/>
      <c r="F615" s="17"/>
      <c r="H615" s="19"/>
      <c r="I615" s="47"/>
      <c r="J615" s="48"/>
      <c r="K615" s="49"/>
    </row>
    <row r="616" spans="1:11" ht="12.75" hidden="1" x14ac:dyDescent="0.2">
      <c r="A616" s="16"/>
      <c r="B616" s="16"/>
      <c r="C616" s="15"/>
      <c r="D616" s="16"/>
      <c r="E616" s="17"/>
      <c r="F616" s="17"/>
      <c r="H616" s="19"/>
      <c r="I616" s="47"/>
      <c r="J616" s="48"/>
      <c r="K616" s="49"/>
    </row>
    <row r="617" spans="1:11" ht="12.75" hidden="1" x14ac:dyDescent="0.2">
      <c r="A617" s="16"/>
      <c r="B617" s="16"/>
      <c r="C617" s="15"/>
      <c r="D617" s="16"/>
      <c r="E617" s="17"/>
      <c r="F617" s="17"/>
      <c r="H617" s="19"/>
      <c r="I617" s="47"/>
      <c r="J617" s="48"/>
      <c r="K617" s="49"/>
    </row>
    <row r="618" spans="1:11" ht="12.75" hidden="1" x14ac:dyDescent="0.2">
      <c r="A618" s="16"/>
      <c r="B618" s="16"/>
      <c r="C618" s="15"/>
      <c r="D618" s="16"/>
      <c r="E618" s="17"/>
      <c r="F618" s="17"/>
      <c r="H618" s="19"/>
      <c r="I618" s="47"/>
      <c r="J618" s="48"/>
      <c r="K618" s="49"/>
    </row>
    <row r="619" spans="1:11" ht="12.75" hidden="1" x14ac:dyDescent="0.2">
      <c r="A619" s="16"/>
      <c r="B619" s="16"/>
      <c r="C619" s="15"/>
      <c r="D619" s="16"/>
      <c r="E619" s="17"/>
      <c r="F619" s="17"/>
      <c r="H619" s="19"/>
      <c r="I619" s="47"/>
      <c r="J619" s="48"/>
      <c r="K619" s="49"/>
    </row>
    <row r="620" spans="1:11" ht="12.75" hidden="1" x14ac:dyDescent="0.2">
      <c r="A620" s="16"/>
      <c r="B620" s="16"/>
      <c r="C620" s="15"/>
      <c r="D620" s="16"/>
      <c r="E620" s="17"/>
      <c r="F620" s="17"/>
      <c r="H620" s="19"/>
      <c r="I620" s="47"/>
      <c r="J620" s="48"/>
      <c r="K620" s="49"/>
    </row>
    <row r="621" spans="1:11" ht="12.75" hidden="1" x14ac:dyDescent="0.2">
      <c r="A621" s="16"/>
      <c r="B621" s="16"/>
      <c r="C621" s="15"/>
      <c r="D621" s="16"/>
      <c r="E621" s="17"/>
      <c r="F621" s="17"/>
      <c r="H621" s="19"/>
      <c r="I621" s="47"/>
      <c r="J621" s="48"/>
      <c r="K621" s="49"/>
    </row>
    <row r="622" spans="1:11" ht="12.75" hidden="1" x14ac:dyDescent="0.2">
      <c r="A622" s="16"/>
      <c r="B622" s="16"/>
      <c r="C622" s="15"/>
      <c r="D622" s="16"/>
      <c r="E622" s="17"/>
      <c r="F622" s="17"/>
      <c r="H622" s="19"/>
      <c r="I622" s="47"/>
      <c r="J622" s="48"/>
      <c r="K622" s="49"/>
    </row>
    <row r="623" spans="1:11" ht="12.75" hidden="1" x14ac:dyDescent="0.2">
      <c r="A623" s="16"/>
      <c r="B623" s="16"/>
      <c r="C623" s="15"/>
      <c r="D623" s="16"/>
      <c r="E623" s="17"/>
      <c r="F623" s="17"/>
      <c r="H623" s="19"/>
      <c r="I623" s="47"/>
      <c r="J623" s="48"/>
      <c r="K623" s="49"/>
    </row>
    <row r="624" spans="1:11" ht="12.75" hidden="1" x14ac:dyDescent="0.2">
      <c r="A624" s="16"/>
      <c r="B624" s="16"/>
      <c r="C624" s="15"/>
      <c r="D624" s="16"/>
      <c r="E624" s="17"/>
      <c r="F624" s="17"/>
      <c r="H624" s="19"/>
      <c r="I624" s="47"/>
      <c r="J624" s="48"/>
      <c r="K624" s="49"/>
    </row>
    <row r="625" spans="1:11" ht="12.75" hidden="1" x14ac:dyDescent="0.2">
      <c r="A625" s="16"/>
      <c r="B625" s="16"/>
      <c r="C625" s="15"/>
      <c r="D625" s="16"/>
      <c r="E625" s="17"/>
      <c r="F625" s="17"/>
      <c r="H625" s="19"/>
      <c r="I625" s="47"/>
      <c r="J625" s="48"/>
      <c r="K625" s="49"/>
    </row>
    <row r="626" spans="1:11" ht="12.75" hidden="1" x14ac:dyDescent="0.2">
      <c r="A626" s="16"/>
      <c r="B626" s="16"/>
      <c r="C626" s="15"/>
      <c r="D626" s="16"/>
      <c r="E626" s="17"/>
      <c r="F626" s="17"/>
      <c r="H626" s="19"/>
      <c r="I626" s="47"/>
      <c r="J626" s="48"/>
      <c r="K626" s="49"/>
    </row>
    <row r="627" spans="1:11" ht="12.75" hidden="1" x14ac:dyDescent="0.2">
      <c r="A627" s="16"/>
      <c r="B627" s="16"/>
      <c r="C627" s="15"/>
      <c r="D627" s="16"/>
      <c r="E627" s="17"/>
      <c r="F627" s="17"/>
      <c r="H627" s="19"/>
      <c r="I627" s="47"/>
      <c r="J627" s="48"/>
      <c r="K627" s="49"/>
    </row>
    <row r="628" spans="1:11" ht="12.75" hidden="1" x14ac:dyDescent="0.2">
      <c r="A628" s="16"/>
      <c r="B628" s="16"/>
      <c r="C628" s="15"/>
      <c r="D628" s="16"/>
      <c r="E628" s="17"/>
      <c r="F628" s="17"/>
      <c r="H628" s="19"/>
      <c r="I628" s="47"/>
      <c r="J628" s="48"/>
      <c r="K628" s="49"/>
    </row>
    <row r="629" spans="1:11" ht="12.75" hidden="1" x14ac:dyDescent="0.2">
      <c r="A629" s="16"/>
      <c r="B629" s="16"/>
      <c r="C629" s="15"/>
      <c r="D629" s="16"/>
      <c r="E629" s="17"/>
      <c r="F629" s="17"/>
      <c r="H629" s="19"/>
      <c r="I629" s="47"/>
      <c r="J629" s="48"/>
      <c r="K629" s="49"/>
    </row>
    <row r="630" spans="1:11" ht="12.75" hidden="1" x14ac:dyDescent="0.2">
      <c r="A630" s="16"/>
      <c r="B630" s="16"/>
      <c r="C630" s="15"/>
      <c r="D630" s="16"/>
      <c r="E630" s="17"/>
      <c r="F630" s="17"/>
      <c r="H630" s="19"/>
      <c r="I630" s="47"/>
      <c r="J630" s="48"/>
      <c r="K630" s="49"/>
    </row>
    <row r="631" spans="1:11" ht="12.75" hidden="1" x14ac:dyDescent="0.2">
      <c r="A631" s="16"/>
      <c r="B631" s="16"/>
      <c r="C631" s="15"/>
      <c r="D631" s="16"/>
      <c r="E631" s="17"/>
      <c r="F631" s="17"/>
      <c r="H631" s="19"/>
      <c r="I631" s="47"/>
      <c r="J631" s="48"/>
      <c r="K631" s="49"/>
    </row>
    <row r="632" spans="1:11" ht="12.75" hidden="1" x14ac:dyDescent="0.2">
      <c r="A632" s="16"/>
      <c r="B632" s="16"/>
      <c r="C632" s="15"/>
      <c r="D632" s="16"/>
      <c r="E632" s="17"/>
      <c r="F632" s="17"/>
      <c r="H632" s="19"/>
      <c r="I632" s="47"/>
      <c r="J632" s="48"/>
      <c r="K632" s="49"/>
    </row>
    <row r="633" spans="1:11" ht="12.75" hidden="1" x14ac:dyDescent="0.2">
      <c r="A633" s="16"/>
      <c r="B633" s="16"/>
      <c r="C633" s="15"/>
      <c r="D633" s="16"/>
      <c r="E633" s="17"/>
      <c r="F633" s="17"/>
      <c r="H633" s="19"/>
      <c r="I633" s="47"/>
      <c r="J633" s="48"/>
      <c r="K633" s="49"/>
    </row>
    <row r="634" spans="1:11" ht="12.75" hidden="1" x14ac:dyDescent="0.2">
      <c r="A634" s="16"/>
      <c r="B634" s="16"/>
      <c r="C634" s="15"/>
      <c r="D634" s="16"/>
      <c r="E634" s="17"/>
      <c r="F634" s="17"/>
      <c r="H634" s="19"/>
      <c r="I634" s="47"/>
      <c r="J634" s="48"/>
      <c r="K634" s="49"/>
    </row>
    <row r="635" spans="1:11" ht="12.75" hidden="1" x14ac:dyDescent="0.2">
      <c r="A635" s="16"/>
      <c r="B635" s="16"/>
      <c r="C635" s="15"/>
      <c r="D635" s="16"/>
      <c r="E635" s="17"/>
      <c r="F635" s="17"/>
      <c r="H635" s="19"/>
      <c r="I635" s="47"/>
      <c r="J635" s="48"/>
      <c r="K635" s="49"/>
    </row>
    <row r="636" spans="1:11" ht="12.75" hidden="1" x14ac:dyDescent="0.2">
      <c r="A636" s="16"/>
      <c r="B636" s="16"/>
      <c r="C636" s="15"/>
      <c r="D636" s="16"/>
      <c r="E636" s="17"/>
      <c r="F636" s="17"/>
      <c r="H636" s="19"/>
      <c r="I636" s="47"/>
      <c r="J636" s="48"/>
      <c r="K636" s="49"/>
    </row>
    <row r="637" spans="1:11" ht="12.75" hidden="1" x14ac:dyDescent="0.2">
      <c r="A637" s="16"/>
      <c r="B637" s="16"/>
      <c r="C637" s="15"/>
      <c r="D637" s="16"/>
      <c r="E637" s="17"/>
      <c r="F637" s="17"/>
      <c r="H637" s="19"/>
      <c r="I637" s="47"/>
      <c r="J637" s="48"/>
      <c r="K637" s="49"/>
    </row>
    <row r="638" spans="1:11" ht="12.75" hidden="1" x14ac:dyDescent="0.2">
      <c r="A638" s="16"/>
      <c r="B638" s="16"/>
      <c r="C638" s="15"/>
      <c r="D638" s="16"/>
      <c r="E638" s="17"/>
      <c r="F638" s="17"/>
      <c r="H638" s="19"/>
      <c r="I638" s="47"/>
      <c r="J638" s="48"/>
      <c r="K638" s="49"/>
    </row>
    <row r="639" spans="1:11" ht="12.75" hidden="1" x14ac:dyDescent="0.2">
      <c r="A639" s="16"/>
      <c r="B639" s="16"/>
      <c r="C639" s="15"/>
      <c r="D639" s="16"/>
      <c r="E639" s="17"/>
      <c r="F639" s="17"/>
      <c r="H639" s="19"/>
      <c r="I639" s="47"/>
      <c r="J639" s="48"/>
      <c r="K639" s="49"/>
    </row>
    <row r="640" spans="1:11" ht="12.75" hidden="1" x14ac:dyDescent="0.2">
      <c r="A640" s="16"/>
      <c r="B640" s="16"/>
      <c r="C640" s="15"/>
      <c r="D640" s="16"/>
      <c r="E640" s="17"/>
      <c r="F640" s="17"/>
      <c r="H640" s="19"/>
      <c r="I640" s="47"/>
      <c r="J640" s="48"/>
      <c r="K640" s="49"/>
    </row>
    <row r="641" spans="1:11" ht="12.75" hidden="1" x14ac:dyDescent="0.2">
      <c r="A641" s="16"/>
      <c r="B641" s="16"/>
      <c r="C641" s="15"/>
      <c r="D641" s="16"/>
      <c r="E641" s="17"/>
      <c r="F641" s="17"/>
      <c r="H641" s="19"/>
      <c r="I641" s="47"/>
      <c r="J641" s="48"/>
      <c r="K641" s="49"/>
    </row>
    <row r="642" spans="1:11" ht="12.75" hidden="1" x14ac:dyDescent="0.2">
      <c r="A642" s="16"/>
      <c r="B642" s="16"/>
      <c r="C642" s="15"/>
      <c r="D642" s="16"/>
      <c r="E642" s="17"/>
      <c r="F642" s="17"/>
      <c r="H642" s="19"/>
      <c r="I642" s="47"/>
      <c r="J642" s="48"/>
      <c r="K642" s="49"/>
    </row>
    <row r="643" spans="1:11" ht="12.75" hidden="1" x14ac:dyDescent="0.2">
      <c r="A643" s="16"/>
      <c r="B643" s="16"/>
      <c r="C643" s="15"/>
      <c r="D643" s="16"/>
      <c r="E643" s="17"/>
      <c r="F643" s="17"/>
      <c r="H643" s="19"/>
      <c r="I643" s="47"/>
      <c r="J643" s="48"/>
      <c r="K643" s="49"/>
    </row>
    <row r="644" spans="1:11" ht="12.75" hidden="1" x14ac:dyDescent="0.2">
      <c r="A644" s="16"/>
      <c r="B644" s="16"/>
      <c r="C644" s="15"/>
      <c r="D644" s="16"/>
      <c r="E644" s="17"/>
      <c r="F644" s="17"/>
      <c r="H644" s="19"/>
      <c r="I644" s="47"/>
      <c r="J644" s="48"/>
      <c r="K644" s="49"/>
    </row>
    <row r="645" spans="1:11" ht="12.75" hidden="1" x14ac:dyDescent="0.2">
      <c r="A645" s="16"/>
      <c r="B645" s="16"/>
      <c r="C645" s="15"/>
      <c r="D645" s="16"/>
      <c r="E645" s="17"/>
      <c r="F645" s="17"/>
      <c r="H645" s="19"/>
      <c r="I645" s="47"/>
      <c r="J645" s="48"/>
      <c r="K645" s="49"/>
    </row>
    <row r="646" spans="1:11" ht="12.75" hidden="1" x14ac:dyDescent="0.2">
      <c r="A646" s="16"/>
      <c r="B646" s="16"/>
      <c r="C646" s="15"/>
      <c r="D646" s="16"/>
      <c r="E646" s="17"/>
      <c r="F646" s="17"/>
      <c r="H646" s="19"/>
      <c r="I646" s="47"/>
      <c r="J646" s="48"/>
      <c r="K646" s="49"/>
    </row>
    <row r="647" spans="1:11" ht="12.75" hidden="1" x14ac:dyDescent="0.2">
      <c r="A647" s="16"/>
      <c r="B647" s="16"/>
      <c r="C647" s="15"/>
      <c r="D647" s="16"/>
      <c r="E647" s="17"/>
      <c r="F647" s="17"/>
      <c r="H647" s="19"/>
      <c r="I647" s="47"/>
      <c r="J647" s="48"/>
      <c r="K647" s="49"/>
    </row>
    <row r="648" spans="1:11" ht="12.75" hidden="1" x14ac:dyDescent="0.2">
      <c r="A648" s="16"/>
      <c r="B648" s="16"/>
      <c r="C648" s="15"/>
      <c r="D648" s="16"/>
      <c r="E648" s="17"/>
      <c r="F648" s="17"/>
      <c r="H648" s="19"/>
      <c r="I648" s="47"/>
      <c r="J648" s="48"/>
      <c r="K648" s="49"/>
    </row>
    <row r="649" spans="1:11" ht="12.75" hidden="1" x14ac:dyDescent="0.2">
      <c r="A649" s="16"/>
      <c r="B649" s="16"/>
      <c r="C649" s="15"/>
      <c r="D649" s="16"/>
      <c r="E649" s="17"/>
      <c r="F649" s="17"/>
      <c r="H649" s="19"/>
      <c r="I649" s="47"/>
      <c r="J649" s="48"/>
      <c r="K649" s="49"/>
    </row>
    <row r="650" spans="1:11" ht="12.75" hidden="1" x14ac:dyDescent="0.2">
      <c r="A650" s="16"/>
      <c r="B650" s="16"/>
      <c r="C650" s="15"/>
      <c r="D650" s="16"/>
      <c r="E650" s="17"/>
      <c r="F650" s="17"/>
      <c r="H650" s="19"/>
      <c r="I650" s="47"/>
      <c r="J650" s="48"/>
      <c r="K650" s="49"/>
    </row>
    <row r="651" spans="1:11" ht="12.75" hidden="1" x14ac:dyDescent="0.2">
      <c r="A651" s="16"/>
      <c r="B651" s="16"/>
      <c r="C651" s="15"/>
      <c r="D651" s="16"/>
      <c r="E651" s="17"/>
      <c r="F651" s="17"/>
      <c r="H651" s="19"/>
      <c r="I651" s="47"/>
      <c r="J651" s="48"/>
      <c r="K651" s="49"/>
    </row>
    <row r="652" spans="1:11" ht="12.75" hidden="1" x14ac:dyDescent="0.2">
      <c r="A652" s="16"/>
      <c r="B652" s="16"/>
      <c r="C652" s="15"/>
      <c r="D652" s="16"/>
      <c r="E652" s="17"/>
      <c r="F652" s="17"/>
      <c r="H652" s="19"/>
      <c r="I652" s="47"/>
      <c r="J652" s="48"/>
      <c r="K652" s="49"/>
    </row>
    <row r="653" spans="1:11" ht="12.75" hidden="1" x14ac:dyDescent="0.2">
      <c r="A653" s="16"/>
      <c r="B653" s="16"/>
      <c r="C653" s="15"/>
      <c r="D653" s="16"/>
      <c r="E653" s="17"/>
      <c r="F653" s="17"/>
      <c r="H653" s="19"/>
      <c r="I653" s="47"/>
      <c r="J653" s="48"/>
      <c r="K653" s="49"/>
    </row>
    <row r="654" spans="1:11" ht="12.75" hidden="1" x14ac:dyDescent="0.2">
      <c r="A654" s="16"/>
      <c r="B654" s="16"/>
      <c r="C654" s="15"/>
      <c r="D654" s="16"/>
      <c r="E654" s="17"/>
      <c r="F654" s="17"/>
      <c r="H654" s="19"/>
      <c r="I654" s="47"/>
      <c r="J654" s="48"/>
      <c r="K654" s="49"/>
    </row>
    <row r="655" spans="1:11" ht="12.75" hidden="1" x14ac:dyDescent="0.2">
      <c r="A655" s="16"/>
      <c r="B655" s="16"/>
      <c r="C655" s="15"/>
      <c r="D655" s="16"/>
      <c r="E655" s="17"/>
      <c r="F655" s="17"/>
      <c r="H655" s="19"/>
      <c r="I655" s="47"/>
      <c r="J655" s="48"/>
      <c r="K655" s="49"/>
    </row>
    <row r="656" spans="1:11" ht="12.75" hidden="1" x14ac:dyDescent="0.2">
      <c r="A656" s="16"/>
      <c r="B656" s="16"/>
      <c r="C656" s="15"/>
      <c r="D656" s="16"/>
      <c r="E656" s="17"/>
      <c r="F656" s="17"/>
      <c r="H656" s="19"/>
      <c r="I656" s="47"/>
      <c r="J656" s="48"/>
      <c r="K656" s="49"/>
    </row>
    <row r="657" spans="1:11" ht="12.75" hidden="1" x14ac:dyDescent="0.2">
      <c r="A657" s="16"/>
      <c r="B657" s="16"/>
      <c r="C657" s="15"/>
      <c r="D657" s="16"/>
      <c r="E657" s="17"/>
      <c r="F657" s="17"/>
      <c r="H657" s="19"/>
      <c r="I657" s="47"/>
      <c r="J657" s="48"/>
      <c r="K657" s="49"/>
    </row>
    <row r="658" spans="1:11" ht="12.75" hidden="1" x14ac:dyDescent="0.2">
      <c r="A658" s="16"/>
      <c r="B658" s="16"/>
      <c r="C658" s="15"/>
      <c r="D658" s="16"/>
      <c r="E658" s="17"/>
      <c r="F658" s="17"/>
      <c r="H658" s="19"/>
      <c r="I658" s="47"/>
      <c r="J658" s="48"/>
      <c r="K658" s="49"/>
    </row>
    <row r="659" spans="1:11" ht="12.75" hidden="1" x14ac:dyDescent="0.2">
      <c r="A659" s="16"/>
      <c r="B659" s="16"/>
      <c r="C659" s="15"/>
      <c r="D659" s="16"/>
      <c r="E659" s="17"/>
      <c r="F659" s="17"/>
      <c r="H659" s="19"/>
      <c r="I659" s="47"/>
      <c r="J659" s="48"/>
      <c r="K659" s="49"/>
    </row>
    <row r="660" spans="1:11" ht="12.75" hidden="1" x14ac:dyDescent="0.2">
      <c r="A660" s="16"/>
      <c r="B660" s="16"/>
      <c r="C660" s="15"/>
      <c r="D660" s="16"/>
      <c r="E660" s="17"/>
      <c r="F660" s="17"/>
      <c r="H660" s="19"/>
      <c r="I660" s="47"/>
      <c r="J660" s="48"/>
      <c r="K660" s="49"/>
    </row>
    <row r="661" spans="1:11" ht="12.75" hidden="1" x14ac:dyDescent="0.2">
      <c r="A661" s="16"/>
      <c r="B661" s="16"/>
      <c r="C661" s="15"/>
      <c r="D661" s="16"/>
      <c r="E661" s="17"/>
      <c r="F661" s="17"/>
      <c r="H661" s="19"/>
      <c r="I661" s="47"/>
      <c r="J661" s="48"/>
      <c r="K661" s="49"/>
    </row>
    <row r="662" spans="1:11" ht="12.75" hidden="1" x14ac:dyDescent="0.2">
      <c r="A662" s="16"/>
      <c r="B662" s="16"/>
      <c r="C662" s="15"/>
      <c r="D662" s="16"/>
      <c r="E662" s="17"/>
      <c r="F662" s="17"/>
      <c r="H662" s="19"/>
      <c r="I662" s="47"/>
      <c r="J662" s="48"/>
      <c r="K662" s="49"/>
    </row>
    <row r="663" spans="1:11" ht="12.75" hidden="1" x14ac:dyDescent="0.2">
      <c r="A663" s="16"/>
      <c r="B663" s="16"/>
      <c r="C663" s="15"/>
      <c r="D663" s="16"/>
      <c r="E663" s="17"/>
      <c r="F663" s="17"/>
      <c r="H663" s="19"/>
      <c r="I663" s="47"/>
      <c r="J663" s="48"/>
      <c r="K663" s="49"/>
    </row>
    <row r="664" spans="1:11" ht="12.75" hidden="1" x14ac:dyDescent="0.2">
      <c r="A664" s="16"/>
      <c r="B664" s="16"/>
      <c r="C664" s="15"/>
      <c r="D664" s="16"/>
      <c r="E664" s="17"/>
      <c r="F664" s="17"/>
      <c r="H664" s="19"/>
      <c r="I664" s="47"/>
      <c r="J664" s="48"/>
      <c r="K664" s="49"/>
    </row>
    <row r="665" spans="1:11" ht="12.75" hidden="1" x14ac:dyDescent="0.2">
      <c r="A665" s="16"/>
      <c r="B665" s="16"/>
      <c r="C665" s="15"/>
      <c r="D665" s="16"/>
      <c r="E665" s="17"/>
      <c r="F665" s="17"/>
      <c r="H665" s="19"/>
      <c r="I665" s="47"/>
      <c r="J665" s="48"/>
      <c r="K665" s="49"/>
    </row>
    <row r="666" spans="1:11" ht="12.75" hidden="1" x14ac:dyDescent="0.2">
      <c r="A666" s="16"/>
      <c r="B666" s="16"/>
      <c r="C666" s="15"/>
      <c r="D666" s="16"/>
      <c r="E666" s="17"/>
      <c r="F666" s="17"/>
      <c r="H666" s="19"/>
      <c r="I666" s="47"/>
      <c r="J666" s="48"/>
      <c r="K666" s="49"/>
    </row>
    <row r="667" spans="1:11" ht="12.75" hidden="1" x14ac:dyDescent="0.2">
      <c r="A667" s="16"/>
      <c r="B667" s="16"/>
      <c r="C667" s="15"/>
      <c r="D667" s="16"/>
      <c r="E667" s="17"/>
      <c r="F667" s="17"/>
      <c r="H667" s="19"/>
      <c r="I667" s="47"/>
      <c r="J667" s="48"/>
      <c r="K667" s="49"/>
    </row>
    <row r="668" spans="1:11" ht="12.75" hidden="1" x14ac:dyDescent="0.2">
      <c r="A668" s="16"/>
      <c r="B668" s="16"/>
      <c r="C668" s="15"/>
      <c r="D668" s="16"/>
      <c r="E668" s="17"/>
      <c r="F668" s="17"/>
      <c r="H668" s="19"/>
      <c r="I668" s="47"/>
      <c r="J668" s="48"/>
      <c r="K668" s="49"/>
    </row>
    <row r="669" spans="1:11" ht="12.75" hidden="1" x14ac:dyDescent="0.2">
      <c r="A669" s="16"/>
      <c r="B669" s="16"/>
      <c r="C669" s="15"/>
      <c r="D669" s="16"/>
      <c r="E669" s="17"/>
      <c r="F669" s="17"/>
      <c r="H669" s="19"/>
      <c r="I669" s="47"/>
      <c r="J669" s="48"/>
      <c r="K669" s="49"/>
    </row>
    <row r="670" spans="1:11" ht="12.75" hidden="1" x14ac:dyDescent="0.2">
      <c r="A670" s="16"/>
      <c r="B670" s="16"/>
      <c r="C670" s="15"/>
      <c r="D670" s="16"/>
      <c r="E670" s="17"/>
      <c r="F670" s="17"/>
      <c r="H670" s="19"/>
      <c r="I670" s="47"/>
      <c r="J670" s="48"/>
      <c r="K670" s="49"/>
    </row>
    <row r="671" spans="1:11" ht="12.75" hidden="1" x14ac:dyDescent="0.2">
      <c r="A671" s="16"/>
      <c r="B671" s="16"/>
      <c r="C671" s="15"/>
      <c r="D671" s="16"/>
      <c r="E671" s="17"/>
      <c r="F671" s="17"/>
      <c r="H671" s="19"/>
      <c r="I671" s="47"/>
      <c r="J671" s="48"/>
      <c r="K671" s="49"/>
    </row>
    <row r="672" spans="1:11" ht="12.75" hidden="1" x14ac:dyDescent="0.2">
      <c r="A672" s="16"/>
      <c r="B672" s="16"/>
      <c r="C672" s="15"/>
      <c r="D672" s="16"/>
      <c r="E672" s="17"/>
      <c r="F672" s="17"/>
      <c r="H672" s="19"/>
      <c r="I672" s="47"/>
      <c r="J672" s="48"/>
      <c r="K672" s="49"/>
    </row>
    <row r="673" spans="1:11" ht="12.75" hidden="1" x14ac:dyDescent="0.2">
      <c r="A673" s="16"/>
      <c r="B673" s="16"/>
      <c r="C673" s="15"/>
      <c r="D673" s="16"/>
      <c r="E673" s="17"/>
      <c r="F673" s="17"/>
      <c r="H673" s="19"/>
      <c r="I673" s="47"/>
      <c r="J673" s="48"/>
      <c r="K673" s="49"/>
    </row>
    <row r="674" spans="1:11" ht="12.75" hidden="1" x14ac:dyDescent="0.2">
      <c r="A674" s="16"/>
      <c r="B674" s="16"/>
      <c r="C674" s="15"/>
      <c r="D674" s="16"/>
      <c r="E674" s="17"/>
      <c r="F674" s="17"/>
      <c r="H674" s="19"/>
      <c r="I674" s="47"/>
      <c r="J674" s="48"/>
      <c r="K674" s="49"/>
    </row>
    <row r="675" spans="1:11" ht="12.75" hidden="1" x14ac:dyDescent="0.2">
      <c r="A675" s="16"/>
      <c r="B675" s="16"/>
      <c r="C675" s="15"/>
      <c r="D675" s="16"/>
      <c r="E675" s="17"/>
      <c r="F675" s="17"/>
      <c r="H675" s="19"/>
      <c r="I675" s="47"/>
      <c r="J675" s="48"/>
      <c r="K675" s="49"/>
    </row>
    <row r="676" spans="1:11" ht="12.75" hidden="1" x14ac:dyDescent="0.2">
      <c r="A676" s="16"/>
      <c r="B676" s="16"/>
      <c r="C676" s="15"/>
      <c r="D676" s="16"/>
      <c r="E676" s="17"/>
      <c r="F676" s="17"/>
      <c r="H676" s="19"/>
      <c r="I676" s="47"/>
      <c r="J676" s="48"/>
      <c r="K676" s="49"/>
    </row>
    <row r="677" spans="1:11" ht="12.75" hidden="1" x14ac:dyDescent="0.2">
      <c r="A677" s="16"/>
      <c r="B677" s="16"/>
      <c r="C677" s="15"/>
      <c r="D677" s="16"/>
      <c r="E677" s="17"/>
      <c r="F677" s="17"/>
      <c r="H677" s="19"/>
      <c r="I677" s="47"/>
      <c r="J677" s="48"/>
      <c r="K677" s="49"/>
    </row>
    <row r="678" spans="1:11" ht="12.75" hidden="1" x14ac:dyDescent="0.2">
      <c r="A678" s="16"/>
      <c r="B678" s="16"/>
      <c r="C678" s="15"/>
      <c r="D678" s="16"/>
      <c r="E678" s="17"/>
      <c r="F678" s="17"/>
      <c r="H678" s="19"/>
      <c r="I678" s="47"/>
      <c r="J678" s="48"/>
      <c r="K678" s="49"/>
    </row>
    <row r="679" spans="1:11" ht="12.75" hidden="1" x14ac:dyDescent="0.2">
      <c r="A679" s="16"/>
      <c r="B679" s="16"/>
      <c r="C679" s="15"/>
      <c r="D679" s="16"/>
      <c r="E679" s="17"/>
      <c r="F679" s="17"/>
      <c r="H679" s="19"/>
      <c r="I679" s="47"/>
      <c r="J679" s="48"/>
      <c r="K679" s="49"/>
    </row>
    <row r="680" spans="1:11" ht="12.75" hidden="1" x14ac:dyDescent="0.2">
      <c r="A680" s="16"/>
      <c r="B680" s="16"/>
      <c r="C680" s="15"/>
      <c r="D680" s="16"/>
      <c r="E680" s="17"/>
      <c r="F680" s="17"/>
      <c r="H680" s="19"/>
      <c r="I680" s="47"/>
      <c r="J680" s="48"/>
      <c r="K680" s="49"/>
    </row>
    <row r="681" spans="1:11" ht="12.75" hidden="1" x14ac:dyDescent="0.2">
      <c r="A681" s="16"/>
      <c r="B681" s="16"/>
      <c r="C681" s="15"/>
      <c r="D681" s="16"/>
      <c r="E681" s="17"/>
      <c r="F681" s="17"/>
      <c r="H681" s="19"/>
      <c r="I681" s="47"/>
      <c r="J681" s="48"/>
      <c r="K681" s="49"/>
    </row>
    <row r="682" spans="1:11" ht="12.75" hidden="1" x14ac:dyDescent="0.2">
      <c r="A682" s="16"/>
      <c r="B682" s="16"/>
      <c r="C682" s="15"/>
      <c r="D682" s="16"/>
      <c r="E682" s="17"/>
      <c r="F682" s="17"/>
      <c r="H682" s="19"/>
      <c r="I682" s="47"/>
      <c r="J682" s="48"/>
      <c r="K682" s="49"/>
    </row>
    <row r="683" spans="1:11" ht="12.75" hidden="1" x14ac:dyDescent="0.2">
      <c r="A683" s="16"/>
      <c r="B683" s="16"/>
      <c r="C683" s="15"/>
      <c r="D683" s="16"/>
      <c r="E683" s="17"/>
      <c r="F683" s="17"/>
      <c r="H683" s="19"/>
      <c r="I683" s="47"/>
      <c r="J683" s="48"/>
      <c r="K683" s="49"/>
    </row>
    <row r="684" spans="1:11" ht="12.75" hidden="1" x14ac:dyDescent="0.2">
      <c r="A684" s="16"/>
      <c r="B684" s="16"/>
      <c r="C684" s="15"/>
      <c r="D684" s="16"/>
      <c r="E684" s="17"/>
      <c r="F684" s="17"/>
      <c r="H684" s="19"/>
      <c r="I684" s="47"/>
      <c r="J684" s="48"/>
      <c r="K684" s="49"/>
    </row>
    <row r="685" spans="1:11" ht="12.75" hidden="1" x14ac:dyDescent="0.2">
      <c r="A685" s="16"/>
      <c r="B685" s="16"/>
      <c r="C685" s="15"/>
      <c r="D685" s="16"/>
      <c r="E685" s="17"/>
      <c r="F685" s="17"/>
      <c r="H685" s="19"/>
      <c r="I685" s="47"/>
      <c r="J685" s="48"/>
      <c r="K685" s="49"/>
    </row>
    <row r="686" spans="1:11" ht="12.75" hidden="1" x14ac:dyDescent="0.2">
      <c r="A686" s="16"/>
      <c r="B686" s="16"/>
      <c r="C686" s="15"/>
      <c r="D686" s="16"/>
      <c r="E686" s="17"/>
      <c r="F686" s="17"/>
      <c r="H686" s="19"/>
      <c r="I686" s="47"/>
      <c r="J686" s="48"/>
      <c r="K686" s="49"/>
    </row>
    <row r="687" spans="1:11" ht="12.75" hidden="1" x14ac:dyDescent="0.2">
      <c r="A687" s="16"/>
      <c r="B687" s="16"/>
      <c r="C687" s="15"/>
      <c r="D687" s="16"/>
      <c r="E687" s="17"/>
      <c r="F687" s="17"/>
      <c r="H687" s="19"/>
      <c r="I687" s="47"/>
      <c r="J687" s="48"/>
      <c r="K687" s="49"/>
    </row>
    <row r="688" spans="1:11" ht="12.75" hidden="1" x14ac:dyDescent="0.2">
      <c r="A688" s="16"/>
      <c r="B688" s="16"/>
      <c r="C688" s="15"/>
      <c r="D688" s="16"/>
      <c r="E688" s="17"/>
      <c r="F688" s="17"/>
      <c r="H688" s="19"/>
      <c r="I688" s="47"/>
      <c r="J688" s="48"/>
      <c r="K688" s="49"/>
    </row>
    <row r="689" spans="1:11" ht="12.75" hidden="1" x14ac:dyDescent="0.2">
      <c r="A689" s="16"/>
      <c r="B689" s="16"/>
      <c r="C689" s="15"/>
      <c r="D689" s="16"/>
      <c r="E689" s="17"/>
      <c r="F689" s="17"/>
      <c r="H689" s="19"/>
      <c r="I689" s="47"/>
      <c r="J689" s="48"/>
      <c r="K689" s="49"/>
    </row>
    <row r="690" spans="1:11" ht="12.75" hidden="1" x14ac:dyDescent="0.2">
      <c r="A690" s="16"/>
      <c r="B690" s="16"/>
      <c r="C690" s="15"/>
      <c r="D690" s="16"/>
      <c r="E690" s="17"/>
      <c r="F690" s="17"/>
      <c r="H690" s="19"/>
      <c r="I690" s="47"/>
      <c r="J690" s="48"/>
      <c r="K690" s="49"/>
    </row>
    <row r="691" spans="1:11" ht="12.75" hidden="1" x14ac:dyDescent="0.2">
      <c r="A691" s="16"/>
      <c r="B691" s="16"/>
      <c r="C691" s="15"/>
      <c r="D691" s="16"/>
      <c r="E691" s="17"/>
      <c r="F691" s="17"/>
      <c r="H691" s="19"/>
      <c r="I691" s="47"/>
      <c r="J691" s="48"/>
      <c r="K691" s="49"/>
    </row>
    <row r="692" spans="1:11" ht="12.75" hidden="1" x14ac:dyDescent="0.2">
      <c r="A692" s="16"/>
      <c r="B692" s="16"/>
      <c r="C692" s="15"/>
      <c r="D692" s="16"/>
      <c r="E692" s="17"/>
      <c r="F692" s="17"/>
      <c r="H692" s="19"/>
      <c r="I692" s="47"/>
      <c r="J692" s="48"/>
      <c r="K692" s="49"/>
    </row>
    <row r="693" spans="1:11" ht="12.75" hidden="1" x14ac:dyDescent="0.2">
      <c r="A693" s="16"/>
      <c r="B693" s="16"/>
      <c r="C693" s="15"/>
      <c r="D693" s="16"/>
      <c r="E693" s="17"/>
      <c r="F693" s="17"/>
      <c r="H693" s="19"/>
      <c r="I693" s="47"/>
      <c r="J693" s="48"/>
      <c r="K693" s="49"/>
    </row>
    <row r="694" spans="1:11" ht="12.75" hidden="1" x14ac:dyDescent="0.2">
      <c r="A694" s="16"/>
      <c r="B694" s="16"/>
      <c r="C694" s="15"/>
      <c r="D694" s="16"/>
      <c r="E694" s="17"/>
      <c r="F694" s="17"/>
      <c r="H694" s="19"/>
      <c r="I694" s="47"/>
      <c r="J694" s="48"/>
      <c r="K694" s="49"/>
    </row>
    <row r="695" spans="1:11" ht="12.75" hidden="1" x14ac:dyDescent="0.2">
      <c r="A695" s="16"/>
      <c r="B695" s="16"/>
      <c r="C695" s="15"/>
      <c r="D695" s="16"/>
      <c r="E695" s="17"/>
      <c r="F695" s="17"/>
      <c r="H695" s="19"/>
      <c r="I695" s="47"/>
      <c r="J695" s="48"/>
      <c r="K695" s="49"/>
    </row>
    <row r="696" spans="1:11" ht="12.75" hidden="1" x14ac:dyDescent="0.2">
      <c r="A696" s="16"/>
      <c r="B696" s="16"/>
      <c r="C696" s="15"/>
      <c r="D696" s="16"/>
      <c r="E696" s="17"/>
      <c r="F696" s="17"/>
      <c r="H696" s="19"/>
      <c r="I696" s="47"/>
      <c r="J696" s="48"/>
      <c r="K696" s="49"/>
    </row>
    <row r="697" spans="1:11" ht="12.75" hidden="1" x14ac:dyDescent="0.2">
      <c r="A697" s="16"/>
      <c r="B697" s="16"/>
      <c r="C697" s="15"/>
      <c r="D697" s="16"/>
      <c r="E697" s="17"/>
      <c r="F697" s="17"/>
      <c r="H697" s="19"/>
      <c r="I697" s="47"/>
      <c r="J697" s="48"/>
      <c r="K697" s="49"/>
    </row>
    <row r="698" spans="1:11" ht="12.75" hidden="1" x14ac:dyDescent="0.2">
      <c r="A698" s="16"/>
      <c r="B698" s="16"/>
      <c r="C698" s="15"/>
      <c r="D698" s="16"/>
      <c r="E698" s="17"/>
      <c r="F698" s="17"/>
      <c r="H698" s="19"/>
      <c r="I698" s="47"/>
      <c r="J698" s="48"/>
      <c r="K698" s="49"/>
    </row>
    <row r="699" spans="1:11" ht="12.75" hidden="1" x14ac:dyDescent="0.2">
      <c r="A699" s="16"/>
      <c r="B699" s="16"/>
      <c r="C699" s="15"/>
      <c r="D699" s="16"/>
      <c r="E699" s="17"/>
      <c r="F699" s="17"/>
      <c r="H699" s="19"/>
      <c r="I699" s="47"/>
      <c r="J699" s="48"/>
      <c r="K699" s="49"/>
    </row>
    <row r="700" spans="1:11" ht="12.75" hidden="1" x14ac:dyDescent="0.2">
      <c r="A700" s="16"/>
      <c r="B700" s="16"/>
      <c r="C700" s="15"/>
      <c r="D700" s="16"/>
      <c r="E700" s="17"/>
      <c r="F700" s="17"/>
      <c r="H700" s="19"/>
      <c r="I700" s="47"/>
      <c r="J700" s="48"/>
      <c r="K700" s="49"/>
    </row>
    <row r="701" spans="1:11" ht="12.75" hidden="1" x14ac:dyDescent="0.2">
      <c r="A701" s="16"/>
      <c r="B701" s="16"/>
      <c r="C701" s="15"/>
      <c r="D701" s="16"/>
      <c r="E701" s="17"/>
      <c r="F701" s="17"/>
      <c r="H701" s="19"/>
      <c r="I701" s="47"/>
      <c r="J701" s="48"/>
      <c r="K701" s="49"/>
    </row>
    <row r="702" spans="1:11" ht="12.75" hidden="1" x14ac:dyDescent="0.2">
      <c r="A702" s="16"/>
      <c r="B702" s="16"/>
      <c r="C702" s="15"/>
      <c r="D702" s="16"/>
      <c r="E702" s="17"/>
      <c r="F702" s="17"/>
      <c r="H702" s="19"/>
      <c r="I702" s="47"/>
      <c r="J702" s="48"/>
      <c r="K702" s="49"/>
    </row>
    <row r="703" spans="1:11" ht="12.75" hidden="1" x14ac:dyDescent="0.2">
      <c r="A703" s="16"/>
      <c r="B703" s="16"/>
      <c r="C703" s="15"/>
      <c r="D703" s="16"/>
      <c r="E703" s="17"/>
      <c r="F703" s="17"/>
      <c r="H703" s="19"/>
      <c r="I703" s="47"/>
      <c r="J703" s="48"/>
      <c r="K703" s="49"/>
    </row>
    <row r="704" spans="1:11" ht="12.75" hidden="1" x14ac:dyDescent="0.2">
      <c r="A704" s="16"/>
      <c r="B704" s="16"/>
      <c r="C704" s="15"/>
      <c r="D704" s="16"/>
      <c r="E704" s="17"/>
      <c r="F704" s="17"/>
      <c r="H704" s="19"/>
      <c r="I704" s="47"/>
      <c r="J704" s="48"/>
      <c r="K704" s="49"/>
    </row>
    <row r="705" spans="1:11" ht="12.75" hidden="1" x14ac:dyDescent="0.2">
      <c r="A705" s="16"/>
      <c r="B705" s="16"/>
      <c r="C705" s="15"/>
      <c r="D705" s="16"/>
      <c r="E705" s="17"/>
      <c r="F705" s="17"/>
      <c r="H705" s="19"/>
      <c r="I705" s="47"/>
      <c r="J705" s="48"/>
      <c r="K705" s="49"/>
    </row>
    <row r="706" spans="1:11" ht="12.75" hidden="1" x14ac:dyDescent="0.2">
      <c r="A706" s="16"/>
      <c r="B706" s="16"/>
      <c r="C706" s="15"/>
      <c r="D706" s="16"/>
      <c r="E706" s="17"/>
      <c r="F706" s="17"/>
      <c r="H706" s="19"/>
      <c r="I706" s="47"/>
      <c r="J706" s="48"/>
      <c r="K706" s="49"/>
    </row>
    <row r="707" spans="1:11" ht="12.75" hidden="1" x14ac:dyDescent="0.2">
      <c r="A707" s="16"/>
      <c r="B707" s="16"/>
      <c r="C707" s="15"/>
      <c r="D707" s="16"/>
      <c r="E707" s="17"/>
      <c r="F707" s="17"/>
      <c r="H707" s="19"/>
      <c r="I707" s="47"/>
      <c r="J707" s="48"/>
      <c r="K707" s="49"/>
    </row>
    <row r="708" spans="1:11" ht="12.75" hidden="1" x14ac:dyDescent="0.2">
      <c r="A708" s="16"/>
      <c r="B708" s="16"/>
      <c r="C708" s="15"/>
      <c r="D708" s="16"/>
      <c r="E708" s="17"/>
      <c r="F708" s="17"/>
      <c r="H708" s="19"/>
      <c r="I708" s="47"/>
      <c r="J708" s="48"/>
      <c r="K708" s="49"/>
    </row>
    <row r="709" spans="1:11" ht="12.75" hidden="1" x14ac:dyDescent="0.2">
      <c r="A709" s="16"/>
      <c r="B709" s="16"/>
      <c r="C709" s="15"/>
      <c r="D709" s="16"/>
      <c r="E709" s="17"/>
      <c r="F709" s="17"/>
      <c r="H709" s="19"/>
      <c r="I709" s="47"/>
      <c r="J709" s="48"/>
      <c r="K709" s="49"/>
    </row>
    <row r="710" spans="1:11" ht="12.75" hidden="1" x14ac:dyDescent="0.2">
      <c r="A710" s="16"/>
      <c r="B710" s="16"/>
      <c r="C710" s="15"/>
      <c r="D710" s="16"/>
      <c r="E710" s="17"/>
      <c r="F710" s="17"/>
      <c r="H710" s="19"/>
      <c r="I710" s="47"/>
      <c r="J710" s="48"/>
      <c r="K710" s="49"/>
    </row>
    <row r="711" spans="1:11" ht="12.75" hidden="1" x14ac:dyDescent="0.2">
      <c r="A711" s="16"/>
      <c r="B711" s="16"/>
      <c r="C711" s="15"/>
      <c r="D711" s="16"/>
      <c r="E711" s="17"/>
      <c r="F711" s="17"/>
      <c r="H711" s="19"/>
      <c r="I711" s="47"/>
      <c r="J711" s="48"/>
      <c r="K711" s="49"/>
    </row>
    <row r="712" spans="1:11" ht="12.75" hidden="1" x14ac:dyDescent="0.2">
      <c r="A712" s="16"/>
      <c r="B712" s="16"/>
      <c r="C712" s="15"/>
      <c r="D712" s="16"/>
      <c r="E712" s="17"/>
      <c r="F712" s="17"/>
      <c r="H712" s="19"/>
      <c r="I712" s="47"/>
      <c r="J712" s="48"/>
      <c r="K712" s="49"/>
    </row>
    <row r="713" spans="1:11" ht="12.75" hidden="1" x14ac:dyDescent="0.2">
      <c r="A713" s="16"/>
      <c r="B713" s="16"/>
      <c r="C713" s="15"/>
      <c r="D713" s="16"/>
      <c r="E713" s="17"/>
      <c r="F713" s="17"/>
      <c r="H713" s="19"/>
      <c r="I713" s="47"/>
      <c r="J713" s="48"/>
      <c r="K713" s="49"/>
    </row>
    <row r="714" spans="1:11" ht="12.75" hidden="1" x14ac:dyDescent="0.2">
      <c r="A714" s="16"/>
      <c r="B714" s="16"/>
      <c r="C714" s="15"/>
      <c r="D714" s="16"/>
      <c r="E714" s="17"/>
      <c r="F714" s="17"/>
      <c r="H714" s="19"/>
      <c r="I714" s="47"/>
      <c r="J714" s="48"/>
      <c r="K714" s="49"/>
    </row>
    <row r="715" spans="1:11" ht="12.75" hidden="1" x14ac:dyDescent="0.2">
      <c r="A715" s="16"/>
      <c r="B715" s="16"/>
      <c r="C715" s="15"/>
      <c r="D715" s="16"/>
      <c r="E715" s="17"/>
      <c r="F715" s="17"/>
      <c r="H715" s="19"/>
      <c r="I715" s="47"/>
      <c r="J715" s="48"/>
      <c r="K715" s="49"/>
    </row>
    <row r="716" spans="1:11" ht="12.75" hidden="1" x14ac:dyDescent="0.2">
      <c r="A716" s="16"/>
      <c r="B716" s="16"/>
      <c r="C716" s="15"/>
      <c r="D716" s="16"/>
      <c r="E716" s="17"/>
      <c r="F716" s="17"/>
      <c r="H716" s="19"/>
      <c r="I716" s="47"/>
      <c r="J716" s="48"/>
      <c r="K716" s="49"/>
    </row>
    <row r="717" spans="1:11" ht="12.75" hidden="1" x14ac:dyDescent="0.2">
      <c r="A717" s="16"/>
      <c r="B717" s="16"/>
      <c r="C717" s="15"/>
      <c r="D717" s="16"/>
      <c r="E717" s="17"/>
      <c r="F717" s="17"/>
      <c r="H717" s="19"/>
      <c r="I717" s="47"/>
      <c r="J717" s="48"/>
      <c r="K717" s="49"/>
    </row>
    <row r="718" spans="1:11" ht="12.75" hidden="1" x14ac:dyDescent="0.2">
      <c r="A718" s="16"/>
      <c r="B718" s="16"/>
      <c r="C718" s="15"/>
      <c r="D718" s="16"/>
      <c r="E718" s="17"/>
      <c r="F718" s="17"/>
      <c r="H718" s="19"/>
      <c r="I718" s="47"/>
      <c r="J718" s="48"/>
      <c r="K718" s="49"/>
    </row>
    <row r="719" spans="1:11" ht="12.75" hidden="1" x14ac:dyDescent="0.2">
      <c r="A719" s="16"/>
      <c r="B719" s="16"/>
      <c r="C719" s="15"/>
      <c r="D719" s="16"/>
      <c r="E719" s="17"/>
      <c r="F719" s="17"/>
      <c r="H719" s="19"/>
      <c r="I719" s="47"/>
      <c r="J719" s="48"/>
      <c r="K719" s="49"/>
    </row>
    <row r="720" spans="1:11" ht="12.75" hidden="1" x14ac:dyDescent="0.2">
      <c r="A720" s="16"/>
      <c r="B720" s="16"/>
      <c r="C720" s="15"/>
      <c r="D720" s="16"/>
      <c r="E720" s="17"/>
      <c r="F720" s="17"/>
      <c r="H720" s="19"/>
      <c r="I720" s="47"/>
      <c r="J720" s="48"/>
      <c r="K720" s="49"/>
    </row>
    <row r="721" spans="1:11" ht="12.75" hidden="1" x14ac:dyDescent="0.2">
      <c r="A721" s="16"/>
      <c r="B721" s="16"/>
      <c r="C721" s="15"/>
      <c r="D721" s="16"/>
      <c r="E721" s="17"/>
      <c r="F721" s="17"/>
      <c r="H721" s="19"/>
      <c r="I721" s="47"/>
      <c r="J721" s="48"/>
      <c r="K721" s="49"/>
    </row>
    <row r="722" spans="1:11" ht="12.75" hidden="1" x14ac:dyDescent="0.2">
      <c r="A722" s="16"/>
      <c r="B722" s="16"/>
      <c r="C722" s="15"/>
      <c r="D722" s="16"/>
      <c r="E722" s="17"/>
      <c r="F722" s="17"/>
      <c r="H722" s="19"/>
      <c r="I722" s="47"/>
      <c r="J722" s="48"/>
      <c r="K722" s="49"/>
    </row>
    <row r="723" spans="1:11" ht="12.75" hidden="1" x14ac:dyDescent="0.2">
      <c r="A723" s="16"/>
      <c r="B723" s="16"/>
      <c r="C723" s="15"/>
      <c r="D723" s="16"/>
      <c r="E723" s="17"/>
      <c r="F723" s="17"/>
      <c r="H723" s="19"/>
      <c r="I723" s="47"/>
      <c r="J723" s="48"/>
      <c r="K723" s="49"/>
    </row>
    <row r="724" spans="1:11" ht="12.75" hidden="1" x14ac:dyDescent="0.2">
      <c r="A724" s="16"/>
      <c r="B724" s="16"/>
      <c r="C724" s="15"/>
      <c r="D724" s="16"/>
      <c r="E724" s="17"/>
      <c r="F724" s="17"/>
      <c r="H724" s="19"/>
      <c r="I724" s="47"/>
      <c r="J724" s="48"/>
      <c r="K724" s="49"/>
    </row>
    <row r="725" spans="1:11" ht="12.75" hidden="1" x14ac:dyDescent="0.2">
      <c r="A725" s="16"/>
      <c r="B725" s="16"/>
      <c r="C725" s="15"/>
      <c r="D725" s="16"/>
      <c r="E725" s="17"/>
      <c r="F725" s="17"/>
      <c r="H725" s="19"/>
      <c r="I725" s="47"/>
      <c r="J725" s="48"/>
      <c r="K725" s="49"/>
    </row>
    <row r="726" spans="1:11" ht="12.75" hidden="1" x14ac:dyDescent="0.2">
      <c r="A726" s="16"/>
      <c r="B726" s="16"/>
      <c r="C726" s="15"/>
      <c r="D726" s="16"/>
      <c r="E726" s="17"/>
      <c r="F726" s="17"/>
      <c r="H726" s="19"/>
      <c r="I726" s="47"/>
      <c r="J726" s="48"/>
      <c r="K726" s="49"/>
    </row>
    <row r="727" spans="1:11" ht="12.75" hidden="1" x14ac:dyDescent="0.2">
      <c r="A727" s="16"/>
      <c r="B727" s="16"/>
      <c r="C727" s="15"/>
      <c r="D727" s="16"/>
      <c r="E727" s="17"/>
      <c r="F727" s="17"/>
      <c r="H727" s="19"/>
      <c r="I727" s="47"/>
      <c r="J727" s="48"/>
      <c r="K727" s="49"/>
    </row>
    <row r="728" spans="1:11" ht="12.75" hidden="1" x14ac:dyDescent="0.2">
      <c r="A728" s="16"/>
      <c r="B728" s="16"/>
      <c r="C728" s="15"/>
      <c r="D728" s="16"/>
      <c r="E728" s="17"/>
      <c r="F728" s="17"/>
      <c r="H728" s="19"/>
      <c r="I728" s="47"/>
      <c r="J728" s="48"/>
      <c r="K728" s="49"/>
    </row>
    <row r="729" spans="1:11" ht="12.75" hidden="1" x14ac:dyDescent="0.2">
      <c r="A729" s="16"/>
      <c r="B729" s="16"/>
      <c r="C729" s="15"/>
      <c r="D729" s="16"/>
      <c r="E729" s="17"/>
      <c r="F729" s="17"/>
      <c r="H729" s="19"/>
      <c r="I729" s="47"/>
      <c r="J729" s="48"/>
      <c r="K729" s="49"/>
    </row>
    <row r="730" spans="1:11" ht="12.75" hidden="1" x14ac:dyDescent="0.2">
      <c r="A730" s="16"/>
      <c r="B730" s="16"/>
      <c r="C730" s="15"/>
      <c r="D730" s="16"/>
      <c r="E730" s="17"/>
      <c r="F730" s="17"/>
      <c r="H730" s="19"/>
      <c r="I730" s="47"/>
      <c r="J730" s="48"/>
      <c r="K730" s="49"/>
    </row>
    <row r="731" spans="1:11" ht="12.75" hidden="1" x14ac:dyDescent="0.2">
      <c r="A731" s="16"/>
      <c r="B731" s="16"/>
      <c r="C731" s="15"/>
      <c r="D731" s="16"/>
      <c r="E731" s="17"/>
      <c r="F731" s="17"/>
      <c r="H731" s="19"/>
      <c r="I731" s="47"/>
      <c r="J731" s="48"/>
      <c r="K731" s="49"/>
    </row>
    <row r="732" spans="1:11" ht="12.75" hidden="1" x14ac:dyDescent="0.2">
      <c r="A732" s="16"/>
      <c r="B732" s="16"/>
      <c r="C732" s="15"/>
      <c r="D732" s="16"/>
      <c r="E732" s="17"/>
      <c r="F732" s="17"/>
      <c r="H732" s="19"/>
      <c r="I732" s="47"/>
      <c r="J732" s="48"/>
      <c r="K732" s="49"/>
    </row>
    <row r="733" spans="1:11" ht="12.75" hidden="1" x14ac:dyDescent="0.2">
      <c r="A733" s="16"/>
      <c r="B733" s="16"/>
      <c r="C733" s="15"/>
      <c r="D733" s="16"/>
      <c r="E733" s="17"/>
      <c r="F733" s="17"/>
      <c r="H733" s="19"/>
      <c r="I733" s="47"/>
      <c r="J733" s="48"/>
      <c r="K733" s="49"/>
    </row>
    <row r="734" spans="1:11" ht="12.75" hidden="1" x14ac:dyDescent="0.2">
      <c r="A734" s="16"/>
      <c r="B734" s="16"/>
      <c r="C734" s="15"/>
      <c r="D734" s="16"/>
      <c r="E734" s="17"/>
      <c r="F734" s="17"/>
      <c r="H734" s="19"/>
      <c r="I734" s="47"/>
      <c r="J734" s="48"/>
      <c r="K734" s="49"/>
    </row>
    <row r="735" spans="1:11" ht="12.75" hidden="1" x14ac:dyDescent="0.2">
      <c r="A735" s="16"/>
      <c r="B735" s="16"/>
      <c r="C735" s="15"/>
      <c r="D735" s="16"/>
      <c r="E735" s="17"/>
      <c r="F735" s="17"/>
      <c r="H735" s="19"/>
      <c r="I735" s="47"/>
      <c r="J735" s="48"/>
      <c r="K735" s="49"/>
    </row>
    <row r="736" spans="1:11" ht="12.75" hidden="1" x14ac:dyDescent="0.2">
      <c r="A736" s="16"/>
      <c r="B736" s="16"/>
      <c r="C736" s="15"/>
      <c r="D736" s="16"/>
      <c r="E736" s="17"/>
      <c r="F736" s="17"/>
      <c r="H736" s="19"/>
      <c r="I736" s="47"/>
      <c r="J736" s="48"/>
      <c r="K736" s="49"/>
    </row>
    <row r="737" spans="1:11" ht="12.75" hidden="1" x14ac:dyDescent="0.2">
      <c r="A737" s="16"/>
      <c r="B737" s="16"/>
      <c r="C737" s="15"/>
      <c r="D737" s="16"/>
      <c r="E737" s="17"/>
      <c r="F737" s="17"/>
      <c r="H737" s="19"/>
      <c r="I737" s="47"/>
      <c r="J737" s="48"/>
      <c r="K737" s="49"/>
    </row>
    <row r="738" spans="1:11" ht="12.75" hidden="1" x14ac:dyDescent="0.2">
      <c r="A738" s="16"/>
      <c r="B738" s="16"/>
      <c r="C738" s="15"/>
      <c r="D738" s="16"/>
      <c r="E738" s="17"/>
      <c r="F738" s="17"/>
      <c r="H738" s="19"/>
      <c r="I738" s="47"/>
      <c r="J738" s="48"/>
      <c r="K738" s="49"/>
    </row>
    <row r="739" spans="1:11" ht="12.75" hidden="1" x14ac:dyDescent="0.2">
      <c r="A739" s="16"/>
      <c r="B739" s="16"/>
      <c r="C739" s="15"/>
      <c r="D739" s="16"/>
      <c r="E739" s="17"/>
      <c r="F739" s="17"/>
      <c r="H739" s="19"/>
      <c r="I739" s="47"/>
      <c r="J739" s="48"/>
      <c r="K739" s="49"/>
    </row>
    <row r="740" spans="1:11" ht="12.75" hidden="1" x14ac:dyDescent="0.2">
      <c r="A740" s="16"/>
      <c r="B740" s="16"/>
      <c r="C740" s="15"/>
      <c r="D740" s="16"/>
      <c r="E740" s="17"/>
      <c r="F740" s="17"/>
      <c r="H740" s="19"/>
      <c r="I740" s="47"/>
      <c r="J740" s="48"/>
      <c r="K740" s="49"/>
    </row>
    <row r="741" spans="1:11" ht="12.75" hidden="1" x14ac:dyDescent="0.2">
      <c r="A741" s="16"/>
      <c r="B741" s="16"/>
      <c r="C741" s="15"/>
      <c r="D741" s="16"/>
      <c r="E741" s="17"/>
      <c r="F741" s="17"/>
      <c r="H741" s="19"/>
      <c r="I741" s="47"/>
      <c r="J741" s="48"/>
      <c r="K741" s="49"/>
    </row>
    <row r="742" spans="1:11" ht="12.75" hidden="1" x14ac:dyDescent="0.2">
      <c r="A742" s="16"/>
      <c r="B742" s="16"/>
      <c r="C742" s="15"/>
      <c r="D742" s="16"/>
      <c r="E742" s="17"/>
      <c r="F742" s="17"/>
      <c r="H742" s="19"/>
      <c r="I742" s="47"/>
      <c r="J742" s="48"/>
      <c r="K742" s="49"/>
    </row>
    <row r="743" spans="1:11" ht="12.75" hidden="1" x14ac:dyDescent="0.2">
      <c r="A743" s="16"/>
      <c r="B743" s="16"/>
      <c r="C743" s="15"/>
      <c r="D743" s="16"/>
      <c r="E743" s="17"/>
      <c r="F743" s="17"/>
      <c r="H743" s="19"/>
      <c r="I743" s="47"/>
      <c r="J743" s="48"/>
      <c r="K743" s="49"/>
    </row>
    <row r="744" spans="1:11" ht="12.75" hidden="1" x14ac:dyDescent="0.2">
      <c r="A744" s="16"/>
      <c r="B744" s="16"/>
      <c r="C744" s="15"/>
      <c r="D744" s="16"/>
      <c r="E744" s="17"/>
      <c r="F744" s="17"/>
      <c r="H744" s="19"/>
      <c r="I744" s="47"/>
      <c r="J744" s="48"/>
      <c r="K744" s="49"/>
    </row>
    <row r="745" spans="1:11" ht="12.75" hidden="1" x14ac:dyDescent="0.2">
      <c r="A745" s="16"/>
      <c r="B745" s="16"/>
      <c r="C745" s="15"/>
      <c r="D745" s="16"/>
      <c r="E745" s="17"/>
      <c r="F745" s="17"/>
      <c r="H745" s="19"/>
      <c r="I745" s="47"/>
      <c r="J745" s="48"/>
      <c r="K745" s="49"/>
    </row>
    <row r="746" spans="1:11" ht="12.75" hidden="1" x14ac:dyDescent="0.2">
      <c r="A746" s="16"/>
      <c r="B746" s="16"/>
      <c r="C746" s="15"/>
      <c r="D746" s="16"/>
      <c r="E746" s="17"/>
      <c r="F746" s="17"/>
      <c r="H746" s="19"/>
      <c r="I746" s="47"/>
      <c r="J746" s="48"/>
      <c r="K746" s="49"/>
    </row>
    <row r="747" spans="1:11" ht="12.75" hidden="1" x14ac:dyDescent="0.2">
      <c r="A747" s="16"/>
      <c r="B747" s="16"/>
      <c r="C747" s="15"/>
      <c r="D747" s="16"/>
      <c r="E747" s="17"/>
      <c r="F747" s="17"/>
      <c r="H747" s="19"/>
      <c r="I747" s="47"/>
      <c r="J747" s="48"/>
      <c r="K747" s="49"/>
    </row>
    <row r="748" spans="1:11" ht="12.75" hidden="1" x14ac:dyDescent="0.2">
      <c r="A748" s="16"/>
      <c r="B748" s="16"/>
      <c r="C748" s="15"/>
      <c r="D748" s="16"/>
      <c r="E748" s="17"/>
      <c r="F748" s="17"/>
      <c r="H748" s="19"/>
      <c r="I748" s="47"/>
      <c r="J748" s="48"/>
      <c r="K748" s="49"/>
    </row>
    <row r="749" spans="1:11" ht="12.75" hidden="1" x14ac:dyDescent="0.2">
      <c r="A749" s="16"/>
      <c r="B749" s="16"/>
      <c r="C749" s="15"/>
      <c r="D749" s="16"/>
      <c r="E749" s="17"/>
      <c r="F749" s="17"/>
      <c r="H749" s="19"/>
      <c r="I749" s="47"/>
      <c r="J749" s="48"/>
      <c r="K749" s="49"/>
    </row>
    <row r="750" spans="1:11" ht="12.75" hidden="1" x14ac:dyDescent="0.2">
      <c r="A750" s="16"/>
      <c r="B750" s="16"/>
      <c r="C750" s="15"/>
      <c r="D750" s="16"/>
      <c r="E750" s="17"/>
      <c r="F750" s="17"/>
      <c r="H750" s="19"/>
      <c r="I750" s="47"/>
      <c r="J750" s="48"/>
      <c r="K750" s="49"/>
    </row>
    <row r="751" spans="1:11" ht="12.75" hidden="1" x14ac:dyDescent="0.2">
      <c r="A751" s="16"/>
      <c r="B751" s="16"/>
      <c r="C751" s="15"/>
      <c r="D751" s="16"/>
      <c r="E751" s="17"/>
      <c r="F751" s="17"/>
      <c r="H751" s="19"/>
      <c r="I751" s="47"/>
      <c r="J751" s="48"/>
      <c r="K751" s="49"/>
    </row>
    <row r="752" spans="1:11" ht="12.75" hidden="1" x14ac:dyDescent="0.2">
      <c r="A752" s="16"/>
      <c r="B752" s="16"/>
      <c r="C752" s="15"/>
      <c r="D752" s="16"/>
      <c r="E752" s="17"/>
      <c r="F752" s="17"/>
      <c r="H752" s="19"/>
      <c r="I752" s="47"/>
      <c r="J752" s="48"/>
      <c r="K752" s="49"/>
    </row>
    <row r="753" spans="1:11" ht="12.75" hidden="1" x14ac:dyDescent="0.2">
      <c r="A753" s="16"/>
      <c r="B753" s="16"/>
      <c r="C753" s="15"/>
      <c r="D753" s="16"/>
      <c r="E753" s="17"/>
      <c r="F753" s="17"/>
      <c r="H753" s="19"/>
      <c r="I753" s="47"/>
      <c r="J753" s="48"/>
      <c r="K753" s="49"/>
    </row>
    <row r="754" spans="1:11" ht="12.75" hidden="1" x14ac:dyDescent="0.2">
      <c r="A754" s="16"/>
      <c r="B754" s="16"/>
      <c r="C754" s="15"/>
      <c r="D754" s="16"/>
      <c r="E754" s="17"/>
      <c r="F754" s="17"/>
      <c r="H754" s="19"/>
      <c r="I754" s="47"/>
      <c r="J754" s="48"/>
      <c r="K754" s="49"/>
    </row>
    <row r="755" spans="1:11" ht="12.75" hidden="1" x14ac:dyDescent="0.2">
      <c r="A755" s="16"/>
      <c r="B755" s="16"/>
      <c r="C755" s="15"/>
      <c r="D755" s="16"/>
      <c r="E755" s="17"/>
      <c r="F755" s="17"/>
      <c r="H755" s="19"/>
      <c r="I755" s="47"/>
      <c r="J755" s="48"/>
      <c r="K755" s="49"/>
    </row>
    <row r="756" spans="1:11" ht="12.75" hidden="1" x14ac:dyDescent="0.2">
      <c r="A756" s="16"/>
      <c r="B756" s="16"/>
      <c r="C756" s="15"/>
      <c r="D756" s="16"/>
      <c r="E756" s="17"/>
      <c r="F756" s="17"/>
      <c r="H756" s="19"/>
      <c r="I756" s="47"/>
      <c r="J756" s="48"/>
      <c r="K756" s="49"/>
    </row>
    <row r="757" spans="1:11" ht="12.75" hidden="1" x14ac:dyDescent="0.2">
      <c r="A757" s="16"/>
      <c r="B757" s="16"/>
      <c r="C757" s="15"/>
      <c r="D757" s="16"/>
      <c r="E757" s="17"/>
      <c r="F757" s="17"/>
      <c r="H757" s="19"/>
      <c r="I757" s="47"/>
      <c r="J757" s="48"/>
      <c r="K757" s="49"/>
    </row>
    <row r="758" spans="1:11" ht="12.75" hidden="1" x14ac:dyDescent="0.2">
      <c r="A758" s="16"/>
      <c r="B758" s="16"/>
      <c r="C758" s="15"/>
      <c r="D758" s="16"/>
      <c r="E758" s="17"/>
      <c r="F758" s="17"/>
      <c r="H758" s="19"/>
      <c r="I758" s="47"/>
      <c r="J758" s="48"/>
      <c r="K758" s="49"/>
    </row>
    <row r="759" spans="1:11" ht="12.75" hidden="1" x14ac:dyDescent="0.2">
      <c r="A759" s="16"/>
      <c r="B759" s="16"/>
      <c r="C759" s="15"/>
      <c r="D759" s="16"/>
      <c r="E759" s="17"/>
      <c r="F759" s="17"/>
      <c r="H759" s="19"/>
      <c r="I759" s="47"/>
      <c r="J759" s="48"/>
      <c r="K759" s="49"/>
    </row>
    <row r="760" spans="1:11" ht="12.75" hidden="1" x14ac:dyDescent="0.2">
      <c r="A760" s="16"/>
      <c r="B760" s="16"/>
      <c r="C760" s="15"/>
      <c r="D760" s="16"/>
      <c r="E760" s="17"/>
      <c r="F760" s="17"/>
      <c r="H760" s="19"/>
      <c r="I760" s="47"/>
      <c r="J760" s="48"/>
      <c r="K760" s="49"/>
    </row>
    <row r="761" spans="1:11" ht="12.75" hidden="1" x14ac:dyDescent="0.2">
      <c r="A761" s="16"/>
      <c r="B761" s="16"/>
      <c r="C761" s="15"/>
      <c r="D761" s="16"/>
      <c r="E761" s="17"/>
      <c r="F761" s="17"/>
      <c r="H761" s="19"/>
      <c r="I761" s="47"/>
      <c r="J761" s="48"/>
      <c r="K761" s="49"/>
    </row>
    <row r="762" spans="1:11" ht="12.75" hidden="1" x14ac:dyDescent="0.2">
      <c r="A762" s="16"/>
      <c r="B762" s="16"/>
      <c r="C762" s="15"/>
      <c r="D762" s="16"/>
      <c r="E762" s="17"/>
      <c r="F762" s="17"/>
      <c r="H762" s="19"/>
      <c r="I762" s="47"/>
      <c r="J762" s="48"/>
      <c r="K762" s="49"/>
    </row>
    <row r="763" spans="1:11" ht="12.75" hidden="1" x14ac:dyDescent="0.2">
      <c r="A763" s="16"/>
      <c r="B763" s="16"/>
      <c r="C763" s="15"/>
      <c r="D763" s="16"/>
      <c r="E763" s="17"/>
      <c r="F763" s="17"/>
      <c r="H763" s="19"/>
      <c r="I763" s="47"/>
      <c r="J763" s="48"/>
      <c r="K763" s="49"/>
    </row>
    <row r="764" spans="1:11" ht="12.75" hidden="1" x14ac:dyDescent="0.2">
      <c r="A764" s="16"/>
      <c r="B764" s="16"/>
      <c r="C764" s="15"/>
      <c r="D764" s="16"/>
      <c r="E764" s="17"/>
      <c r="F764" s="17"/>
      <c r="H764" s="19"/>
      <c r="I764" s="47"/>
      <c r="J764" s="48"/>
      <c r="K764" s="49"/>
    </row>
    <row r="765" spans="1:11" ht="12.75" hidden="1" x14ac:dyDescent="0.2">
      <c r="A765" s="16"/>
      <c r="B765" s="16"/>
      <c r="C765" s="15"/>
      <c r="D765" s="16"/>
      <c r="E765" s="17"/>
      <c r="F765" s="17"/>
      <c r="H765" s="19"/>
      <c r="I765" s="47"/>
      <c r="J765" s="48"/>
      <c r="K765" s="49"/>
    </row>
    <row r="766" spans="1:11" ht="12.75" hidden="1" x14ac:dyDescent="0.2">
      <c r="A766" s="16"/>
      <c r="B766" s="16"/>
      <c r="C766" s="15"/>
      <c r="D766" s="16"/>
      <c r="E766" s="17"/>
      <c r="F766" s="17"/>
      <c r="H766" s="19"/>
      <c r="I766" s="47"/>
      <c r="J766" s="48"/>
      <c r="K766" s="49"/>
    </row>
    <row r="767" spans="1:11" ht="12.75" hidden="1" x14ac:dyDescent="0.2">
      <c r="A767" s="16"/>
      <c r="B767" s="16"/>
      <c r="C767" s="15"/>
      <c r="D767" s="16"/>
      <c r="E767" s="17"/>
      <c r="F767" s="17"/>
      <c r="H767" s="19"/>
      <c r="I767" s="47"/>
      <c r="J767" s="48"/>
      <c r="K767" s="49"/>
    </row>
    <row r="768" spans="1:11" ht="12.75" hidden="1" x14ac:dyDescent="0.2">
      <c r="A768" s="16"/>
      <c r="B768" s="16"/>
      <c r="C768" s="15"/>
      <c r="D768" s="16"/>
      <c r="E768" s="17"/>
      <c r="F768" s="17"/>
      <c r="H768" s="19"/>
      <c r="I768" s="47"/>
      <c r="J768" s="48"/>
      <c r="K768" s="49"/>
    </row>
    <row r="769" spans="1:11" ht="12.75" hidden="1" x14ac:dyDescent="0.2">
      <c r="A769" s="16"/>
      <c r="B769" s="16"/>
      <c r="C769" s="15"/>
      <c r="D769" s="16"/>
      <c r="E769" s="17"/>
      <c r="F769" s="17"/>
      <c r="H769" s="19"/>
      <c r="I769" s="47"/>
      <c r="J769" s="48"/>
      <c r="K769" s="49"/>
    </row>
    <row r="770" spans="1:11" ht="12.75" hidden="1" x14ac:dyDescent="0.2">
      <c r="A770" s="16"/>
      <c r="B770" s="16"/>
      <c r="C770" s="15"/>
      <c r="D770" s="16"/>
      <c r="E770" s="17"/>
      <c r="F770" s="17"/>
      <c r="H770" s="19"/>
      <c r="I770" s="47"/>
      <c r="J770" s="48"/>
      <c r="K770" s="49"/>
    </row>
    <row r="771" spans="1:11" ht="12.75" hidden="1" x14ac:dyDescent="0.2">
      <c r="A771" s="16"/>
      <c r="B771" s="16"/>
      <c r="C771" s="15"/>
      <c r="D771" s="16"/>
      <c r="E771" s="17"/>
      <c r="F771" s="17"/>
      <c r="H771" s="19"/>
      <c r="I771" s="47"/>
      <c r="J771" s="48"/>
      <c r="K771" s="49"/>
    </row>
    <row r="772" spans="1:11" ht="12.75" hidden="1" x14ac:dyDescent="0.2">
      <c r="A772" s="16"/>
      <c r="B772" s="16"/>
      <c r="C772" s="15"/>
      <c r="D772" s="16"/>
      <c r="E772" s="17"/>
      <c r="F772" s="17"/>
      <c r="H772" s="19"/>
      <c r="I772" s="47"/>
      <c r="J772" s="48"/>
      <c r="K772" s="49"/>
    </row>
    <row r="773" spans="1:11" ht="12.75" hidden="1" x14ac:dyDescent="0.2">
      <c r="A773" s="16"/>
      <c r="B773" s="16"/>
      <c r="C773" s="15"/>
      <c r="D773" s="16"/>
      <c r="E773" s="17"/>
      <c r="F773" s="17"/>
      <c r="H773" s="19"/>
      <c r="I773" s="47"/>
      <c r="J773" s="48"/>
      <c r="K773" s="49"/>
    </row>
    <row r="774" spans="1:11" ht="12.75" hidden="1" x14ac:dyDescent="0.2">
      <c r="A774" s="16"/>
      <c r="B774" s="16"/>
      <c r="C774" s="15"/>
      <c r="D774" s="16"/>
      <c r="E774" s="17"/>
      <c r="F774" s="17"/>
      <c r="H774" s="19"/>
      <c r="I774" s="47"/>
      <c r="J774" s="48"/>
      <c r="K774" s="49"/>
    </row>
    <row r="775" spans="1:11" ht="12.75" hidden="1" x14ac:dyDescent="0.2">
      <c r="A775" s="16"/>
      <c r="B775" s="16"/>
      <c r="C775" s="15"/>
      <c r="D775" s="16"/>
      <c r="E775" s="17"/>
      <c r="F775" s="17"/>
      <c r="H775" s="19"/>
      <c r="I775" s="47"/>
      <c r="J775" s="48"/>
      <c r="K775" s="49"/>
    </row>
    <row r="776" spans="1:11" ht="12.75" hidden="1" x14ac:dyDescent="0.2">
      <c r="A776" s="16"/>
      <c r="B776" s="16"/>
      <c r="C776" s="15"/>
      <c r="D776" s="16"/>
      <c r="E776" s="17"/>
      <c r="F776" s="17"/>
      <c r="H776" s="19"/>
      <c r="I776" s="47"/>
      <c r="J776" s="48"/>
      <c r="K776" s="49"/>
    </row>
    <row r="777" spans="1:11" ht="12.75" hidden="1" x14ac:dyDescent="0.2">
      <c r="A777" s="16"/>
      <c r="B777" s="16"/>
      <c r="C777" s="15"/>
      <c r="D777" s="16"/>
      <c r="E777" s="17"/>
      <c r="F777" s="17"/>
      <c r="H777" s="19"/>
      <c r="I777" s="47"/>
      <c r="J777" s="48"/>
      <c r="K777" s="49"/>
    </row>
    <row r="778" spans="1:11" ht="12.75" hidden="1" x14ac:dyDescent="0.2">
      <c r="A778" s="16"/>
      <c r="B778" s="16"/>
      <c r="C778" s="15"/>
      <c r="D778" s="16"/>
      <c r="E778" s="17"/>
      <c r="F778" s="17"/>
      <c r="H778" s="19"/>
      <c r="I778" s="47"/>
      <c r="J778" s="48"/>
      <c r="K778" s="49"/>
    </row>
    <row r="779" spans="1:11" ht="12.75" hidden="1" x14ac:dyDescent="0.2">
      <c r="A779" s="16"/>
      <c r="B779" s="16"/>
      <c r="C779" s="15"/>
      <c r="D779" s="16"/>
      <c r="E779" s="17"/>
      <c r="F779" s="17"/>
      <c r="H779" s="19"/>
      <c r="I779" s="47"/>
      <c r="J779" s="48"/>
      <c r="K779" s="49"/>
    </row>
    <row r="780" spans="1:11" ht="12.75" hidden="1" x14ac:dyDescent="0.2">
      <c r="A780" s="16"/>
      <c r="B780" s="16"/>
      <c r="C780" s="15"/>
      <c r="D780" s="16"/>
      <c r="E780" s="17"/>
      <c r="F780" s="17"/>
      <c r="H780" s="19"/>
      <c r="I780" s="47"/>
      <c r="J780" s="48"/>
      <c r="K780" s="49"/>
    </row>
    <row r="781" spans="1:11" ht="12.75" hidden="1" x14ac:dyDescent="0.2">
      <c r="A781" s="16"/>
      <c r="B781" s="16"/>
      <c r="C781" s="15"/>
      <c r="D781" s="16"/>
      <c r="E781" s="17"/>
      <c r="F781" s="17"/>
      <c r="H781" s="19"/>
      <c r="I781" s="47"/>
      <c r="J781" s="48"/>
      <c r="K781" s="49"/>
    </row>
    <row r="782" spans="1:11" ht="12.75" hidden="1" x14ac:dyDescent="0.2">
      <c r="A782" s="16"/>
      <c r="B782" s="16"/>
      <c r="C782" s="15"/>
      <c r="D782" s="16"/>
      <c r="E782" s="17"/>
      <c r="F782" s="17"/>
      <c r="H782" s="19"/>
      <c r="I782" s="47"/>
      <c r="J782" s="48"/>
      <c r="K782" s="49"/>
    </row>
    <row r="783" spans="1:11" ht="12.75" hidden="1" x14ac:dyDescent="0.2">
      <c r="A783" s="16"/>
      <c r="B783" s="16"/>
      <c r="C783" s="15"/>
      <c r="D783" s="16"/>
      <c r="E783" s="17"/>
      <c r="F783" s="17"/>
      <c r="H783" s="19"/>
      <c r="I783" s="47"/>
      <c r="J783" s="48"/>
      <c r="K783" s="49"/>
    </row>
    <row r="784" spans="1:11" ht="12.75" hidden="1" x14ac:dyDescent="0.2">
      <c r="A784" s="16"/>
      <c r="B784" s="16"/>
      <c r="C784" s="15"/>
      <c r="D784" s="16"/>
      <c r="E784" s="17"/>
      <c r="F784" s="17"/>
      <c r="H784" s="19"/>
      <c r="I784" s="47"/>
      <c r="J784" s="48"/>
      <c r="K784" s="49"/>
    </row>
    <row r="785" spans="1:11" ht="12.75" hidden="1" x14ac:dyDescent="0.2">
      <c r="A785" s="16"/>
      <c r="B785" s="16"/>
      <c r="C785" s="15"/>
      <c r="D785" s="16"/>
      <c r="E785" s="17"/>
      <c r="F785" s="17"/>
      <c r="H785" s="19"/>
      <c r="I785" s="47"/>
      <c r="J785" s="48"/>
      <c r="K785" s="49"/>
    </row>
    <row r="786" spans="1:11" ht="12.75" hidden="1" x14ac:dyDescent="0.2">
      <c r="A786" s="16"/>
      <c r="B786" s="16"/>
      <c r="C786" s="15"/>
      <c r="D786" s="16"/>
      <c r="E786" s="17"/>
      <c r="F786" s="17"/>
      <c r="H786" s="19"/>
      <c r="I786" s="47"/>
      <c r="J786" s="48"/>
      <c r="K786" s="49"/>
    </row>
    <row r="787" spans="1:11" ht="12.75" hidden="1" x14ac:dyDescent="0.2">
      <c r="A787" s="16"/>
      <c r="B787" s="16"/>
      <c r="C787" s="15"/>
      <c r="D787" s="16"/>
      <c r="E787" s="17"/>
      <c r="F787" s="17"/>
      <c r="H787" s="19"/>
      <c r="I787" s="47"/>
      <c r="J787" s="48"/>
      <c r="K787" s="49"/>
    </row>
    <row r="788" spans="1:11" ht="12.75" hidden="1" x14ac:dyDescent="0.2">
      <c r="A788" s="16"/>
      <c r="B788" s="16"/>
      <c r="C788" s="15"/>
      <c r="D788" s="16"/>
      <c r="E788" s="17"/>
      <c r="F788" s="17"/>
      <c r="H788" s="19"/>
      <c r="I788" s="47"/>
      <c r="J788" s="48"/>
      <c r="K788" s="49"/>
    </row>
    <row r="789" spans="1:11" ht="12.75" hidden="1" x14ac:dyDescent="0.2">
      <c r="A789" s="16"/>
      <c r="B789" s="16"/>
      <c r="C789" s="15"/>
      <c r="D789" s="16"/>
      <c r="E789" s="17"/>
      <c r="F789" s="17"/>
      <c r="H789" s="19"/>
      <c r="I789" s="47"/>
      <c r="J789" s="48"/>
      <c r="K789" s="49"/>
    </row>
    <row r="790" spans="1:11" ht="12.75" hidden="1" x14ac:dyDescent="0.2">
      <c r="A790" s="16"/>
      <c r="B790" s="16"/>
      <c r="C790" s="15"/>
      <c r="D790" s="16"/>
      <c r="E790" s="17"/>
      <c r="F790" s="17"/>
      <c r="H790" s="19"/>
      <c r="I790" s="47"/>
      <c r="J790" s="48"/>
      <c r="K790" s="49"/>
    </row>
    <row r="791" spans="1:11" ht="12.75" hidden="1" x14ac:dyDescent="0.2">
      <c r="A791" s="16"/>
      <c r="B791" s="16"/>
      <c r="C791" s="15"/>
      <c r="D791" s="16"/>
      <c r="E791" s="17"/>
      <c r="F791" s="17"/>
      <c r="H791" s="19"/>
      <c r="I791" s="47"/>
      <c r="J791" s="48"/>
      <c r="K791" s="49"/>
    </row>
    <row r="792" spans="1:11" ht="12.75" hidden="1" x14ac:dyDescent="0.2">
      <c r="A792" s="16"/>
      <c r="B792" s="16"/>
      <c r="C792" s="15"/>
      <c r="D792" s="16"/>
      <c r="E792" s="17"/>
      <c r="F792" s="17"/>
      <c r="H792" s="19"/>
      <c r="I792" s="47"/>
      <c r="J792" s="48"/>
      <c r="K792" s="49"/>
    </row>
    <row r="793" spans="1:11" ht="12.75" hidden="1" x14ac:dyDescent="0.2">
      <c r="A793" s="16"/>
      <c r="B793" s="16"/>
      <c r="C793" s="15"/>
      <c r="D793" s="16"/>
      <c r="E793" s="17"/>
      <c r="F793" s="17"/>
      <c r="H793" s="19"/>
      <c r="I793" s="47"/>
      <c r="J793" s="48"/>
      <c r="K793" s="49"/>
    </row>
    <row r="794" spans="1:11" ht="12.75" hidden="1" x14ac:dyDescent="0.2">
      <c r="A794" s="16"/>
      <c r="B794" s="16"/>
      <c r="C794" s="15"/>
      <c r="D794" s="16"/>
      <c r="E794" s="17"/>
      <c r="F794" s="17"/>
      <c r="H794" s="19"/>
      <c r="I794" s="47"/>
      <c r="J794" s="48"/>
      <c r="K794" s="49"/>
    </row>
    <row r="795" spans="1:11" ht="12.75" hidden="1" x14ac:dyDescent="0.2">
      <c r="A795" s="16"/>
      <c r="B795" s="16"/>
      <c r="C795" s="15"/>
      <c r="D795" s="16"/>
      <c r="E795" s="17"/>
      <c r="F795" s="17"/>
      <c r="H795" s="19"/>
      <c r="I795" s="47"/>
      <c r="J795" s="48"/>
      <c r="K795" s="49"/>
    </row>
    <row r="796" spans="1:11" ht="12.75" hidden="1" x14ac:dyDescent="0.2">
      <c r="A796" s="16"/>
      <c r="B796" s="16"/>
      <c r="C796" s="15"/>
      <c r="D796" s="16"/>
      <c r="E796" s="17"/>
      <c r="F796" s="17"/>
      <c r="H796" s="19"/>
      <c r="I796" s="47"/>
      <c r="J796" s="48"/>
      <c r="K796" s="49"/>
    </row>
    <row r="797" spans="1:11" ht="12.75" hidden="1" x14ac:dyDescent="0.2">
      <c r="A797" s="16"/>
      <c r="B797" s="16"/>
      <c r="C797" s="15"/>
      <c r="D797" s="16"/>
      <c r="E797" s="17"/>
      <c r="F797" s="17"/>
      <c r="H797" s="19"/>
      <c r="I797" s="47"/>
      <c r="J797" s="48"/>
      <c r="K797" s="49"/>
    </row>
    <row r="798" spans="1:11" ht="12.75" hidden="1" x14ac:dyDescent="0.2">
      <c r="A798" s="16"/>
      <c r="B798" s="16"/>
      <c r="C798" s="15"/>
      <c r="D798" s="16"/>
      <c r="E798" s="17"/>
      <c r="F798" s="17"/>
      <c r="H798" s="19"/>
      <c r="I798" s="47"/>
      <c r="J798" s="48"/>
      <c r="K798" s="49"/>
    </row>
    <row r="799" spans="1:11" ht="12.75" hidden="1" x14ac:dyDescent="0.2">
      <c r="A799" s="16"/>
      <c r="B799" s="16"/>
      <c r="C799" s="15"/>
      <c r="D799" s="16"/>
      <c r="E799" s="17"/>
      <c r="F799" s="17"/>
      <c r="H799" s="19"/>
      <c r="I799" s="47"/>
      <c r="J799" s="48"/>
      <c r="K799" s="49"/>
    </row>
    <row r="800" spans="1:11" ht="12.75" hidden="1" x14ac:dyDescent="0.2">
      <c r="A800" s="16"/>
      <c r="B800" s="16"/>
      <c r="C800" s="15"/>
      <c r="D800" s="16"/>
      <c r="E800" s="17"/>
      <c r="F800" s="17"/>
      <c r="H800" s="19"/>
      <c r="I800" s="47"/>
      <c r="J800" s="48"/>
      <c r="K800" s="49"/>
    </row>
    <row r="801" spans="1:11" ht="12.75" hidden="1" x14ac:dyDescent="0.2">
      <c r="A801" s="16"/>
      <c r="B801" s="16"/>
      <c r="C801" s="15"/>
      <c r="D801" s="16"/>
      <c r="E801" s="17"/>
      <c r="F801" s="17"/>
      <c r="H801" s="19"/>
      <c r="I801" s="47"/>
      <c r="J801" s="48"/>
      <c r="K801" s="49"/>
    </row>
    <row r="802" spans="1:11" ht="12.75" hidden="1" x14ac:dyDescent="0.2">
      <c r="A802" s="16"/>
      <c r="B802" s="16"/>
      <c r="C802" s="15"/>
      <c r="D802" s="16"/>
      <c r="E802" s="17"/>
      <c r="F802" s="17"/>
      <c r="H802" s="19"/>
      <c r="I802" s="47"/>
      <c r="J802" s="48"/>
      <c r="K802" s="49"/>
    </row>
    <row r="803" spans="1:11" ht="12.75" hidden="1" x14ac:dyDescent="0.2">
      <c r="A803" s="16"/>
      <c r="B803" s="16"/>
      <c r="C803" s="15"/>
      <c r="D803" s="16"/>
      <c r="E803" s="17"/>
      <c r="F803" s="17"/>
      <c r="H803" s="19"/>
      <c r="I803" s="47"/>
      <c r="J803" s="48"/>
      <c r="K803" s="49"/>
    </row>
    <row r="804" spans="1:11" ht="12.75" hidden="1" x14ac:dyDescent="0.2">
      <c r="A804" s="16"/>
      <c r="B804" s="16"/>
      <c r="C804" s="15"/>
      <c r="D804" s="16"/>
      <c r="E804" s="17"/>
      <c r="F804" s="17"/>
      <c r="H804" s="19"/>
      <c r="I804" s="47"/>
      <c r="J804" s="48"/>
      <c r="K804" s="49"/>
    </row>
    <row r="805" spans="1:11" ht="12.75" hidden="1" x14ac:dyDescent="0.2">
      <c r="A805" s="16"/>
      <c r="B805" s="16"/>
      <c r="C805" s="15"/>
      <c r="D805" s="16"/>
      <c r="E805" s="17"/>
      <c r="F805" s="17"/>
      <c r="H805" s="19"/>
      <c r="I805" s="47"/>
      <c r="J805" s="48"/>
      <c r="K805" s="49"/>
    </row>
    <row r="806" spans="1:11" ht="12.75" hidden="1" x14ac:dyDescent="0.2">
      <c r="A806" s="16"/>
      <c r="B806" s="16"/>
      <c r="C806" s="15"/>
      <c r="D806" s="16"/>
      <c r="E806" s="17"/>
      <c r="F806" s="17"/>
      <c r="H806" s="19"/>
      <c r="I806" s="47"/>
      <c r="J806" s="48"/>
      <c r="K806" s="49"/>
    </row>
    <row r="807" spans="1:11" ht="12.75" hidden="1" x14ac:dyDescent="0.2">
      <c r="A807" s="16"/>
      <c r="B807" s="16"/>
      <c r="C807" s="15"/>
      <c r="D807" s="16"/>
      <c r="E807" s="17"/>
      <c r="F807" s="17"/>
      <c r="H807" s="19"/>
      <c r="I807" s="47"/>
      <c r="J807" s="48"/>
      <c r="K807" s="49"/>
    </row>
    <row r="808" spans="1:11" ht="12.75" hidden="1" x14ac:dyDescent="0.2">
      <c r="A808" s="16"/>
      <c r="B808" s="16"/>
      <c r="C808" s="15"/>
      <c r="D808" s="16"/>
      <c r="E808" s="17"/>
      <c r="F808" s="17"/>
      <c r="H808" s="19"/>
      <c r="I808" s="47"/>
      <c r="J808" s="48"/>
      <c r="K808" s="49"/>
    </row>
    <row r="809" spans="1:11" ht="12.75" hidden="1" x14ac:dyDescent="0.2">
      <c r="A809" s="16"/>
      <c r="B809" s="16"/>
      <c r="C809" s="15"/>
      <c r="D809" s="16"/>
      <c r="E809" s="17"/>
      <c r="F809" s="17"/>
      <c r="H809" s="19"/>
      <c r="I809" s="47"/>
      <c r="J809" s="48"/>
      <c r="K809" s="49"/>
    </row>
    <row r="810" spans="1:11" ht="12.75" hidden="1" x14ac:dyDescent="0.2">
      <c r="A810" s="16"/>
      <c r="B810" s="16"/>
      <c r="C810" s="15"/>
      <c r="D810" s="16"/>
      <c r="E810" s="17"/>
      <c r="F810" s="17"/>
      <c r="H810" s="19"/>
      <c r="I810" s="47"/>
      <c r="J810" s="48"/>
      <c r="K810" s="49"/>
    </row>
    <row r="811" spans="1:11" ht="12.75" hidden="1" x14ac:dyDescent="0.2">
      <c r="A811" s="16"/>
      <c r="B811" s="16"/>
      <c r="C811" s="15"/>
      <c r="D811" s="16"/>
      <c r="E811" s="17"/>
      <c r="F811" s="17"/>
      <c r="H811" s="19"/>
      <c r="I811" s="47"/>
      <c r="J811" s="48"/>
      <c r="K811" s="49"/>
    </row>
    <row r="812" spans="1:11" ht="12.75" hidden="1" x14ac:dyDescent="0.2">
      <c r="A812" s="16"/>
      <c r="B812" s="16"/>
      <c r="C812" s="15"/>
      <c r="D812" s="16"/>
      <c r="E812" s="17"/>
      <c r="F812" s="17"/>
      <c r="H812" s="19"/>
      <c r="I812" s="47"/>
      <c r="J812" s="48"/>
      <c r="K812" s="49"/>
    </row>
    <row r="813" spans="1:11" ht="12.75" hidden="1" x14ac:dyDescent="0.2">
      <c r="A813" s="16"/>
      <c r="B813" s="16"/>
      <c r="C813" s="15"/>
      <c r="D813" s="16"/>
      <c r="E813" s="17"/>
      <c r="F813" s="17"/>
      <c r="H813" s="19"/>
      <c r="I813" s="47"/>
      <c r="J813" s="48"/>
      <c r="K813" s="49"/>
    </row>
    <row r="814" spans="1:11" ht="12.75" hidden="1" x14ac:dyDescent="0.2">
      <c r="A814" s="16"/>
      <c r="B814" s="16"/>
      <c r="C814" s="15"/>
      <c r="D814" s="16"/>
      <c r="E814" s="17"/>
      <c r="F814" s="17"/>
      <c r="H814" s="19"/>
      <c r="I814" s="47"/>
      <c r="J814" s="48"/>
      <c r="K814" s="49"/>
    </row>
    <row r="815" spans="1:11" ht="12.75" hidden="1" x14ac:dyDescent="0.2">
      <c r="A815" s="16"/>
      <c r="B815" s="16"/>
      <c r="C815" s="15"/>
      <c r="D815" s="16"/>
      <c r="E815" s="17"/>
      <c r="F815" s="17"/>
      <c r="H815" s="19"/>
      <c r="I815" s="47"/>
      <c r="J815" s="48"/>
      <c r="K815" s="49"/>
    </row>
    <row r="816" spans="1:11" ht="12.75" hidden="1" x14ac:dyDescent="0.2">
      <c r="A816" s="16"/>
      <c r="B816" s="16"/>
      <c r="C816" s="15"/>
      <c r="D816" s="16"/>
      <c r="E816" s="17"/>
      <c r="F816" s="17"/>
      <c r="H816" s="19"/>
      <c r="I816" s="47"/>
      <c r="J816" s="48"/>
      <c r="K816" s="49"/>
    </row>
    <row r="817" spans="1:11" ht="12.75" hidden="1" x14ac:dyDescent="0.2">
      <c r="A817" s="16"/>
      <c r="B817" s="16"/>
      <c r="C817" s="15"/>
      <c r="D817" s="16"/>
      <c r="E817" s="17"/>
      <c r="F817" s="17"/>
      <c r="H817" s="19"/>
      <c r="I817" s="47"/>
      <c r="J817" s="48"/>
      <c r="K817" s="49"/>
    </row>
    <row r="818" spans="1:11" ht="12.75" hidden="1" x14ac:dyDescent="0.2">
      <c r="A818" s="16"/>
      <c r="B818" s="16"/>
      <c r="C818" s="15"/>
      <c r="D818" s="16"/>
      <c r="E818" s="17"/>
      <c r="F818" s="17"/>
      <c r="H818" s="19"/>
      <c r="I818" s="47"/>
      <c r="J818" s="48"/>
      <c r="K818" s="49"/>
    </row>
    <row r="819" spans="1:11" ht="12.75" hidden="1" x14ac:dyDescent="0.2">
      <c r="A819" s="16"/>
      <c r="B819" s="16"/>
      <c r="C819" s="15"/>
      <c r="D819" s="16"/>
      <c r="E819" s="17"/>
      <c r="F819" s="17"/>
      <c r="H819" s="19"/>
      <c r="I819" s="47"/>
      <c r="J819" s="48"/>
      <c r="K819" s="49"/>
    </row>
    <row r="820" spans="1:11" ht="12.75" hidden="1" x14ac:dyDescent="0.2">
      <c r="A820" s="16"/>
      <c r="B820" s="16"/>
      <c r="C820" s="15"/>
      <c r="D820" s="16"/>
      <c r="E820" s="17"/>
      <c r="F820" s="17"/>
      <c r="H820" s="19"/>
      <c r="I820" s="47"/>
      <c r="J820" s="48"/>
      <c r="K820" s="49"/>
    </row>
    <row r="821" spans="1:11" ht="12.75" hidden="1" x14ac:dyDescent="0.2">
      <c r="A821" s="16"/>
      <c r="B821" s="16"/>
      <c r="C821" s="15"/>
      <c r="D821" s="16"/>
      <c r="E821" s="17"/>
      <c r="F821" s="17"/>
      <c r="H821" s="19"/>
      <c r="I821" s="47"/>
      <c r="J821" s="48"/>
      <c r="K821" s="49"/>
    </row>
    <row r="822" spans="1:11" ht="12.75" hidden="1" x14ac:dyDescent="0.2">
      <c r="A822" s="16"/>
      <c r="B822" s="16"/>
      <c r="C822" s="15"/>
      <c r="D822" s="16"/>
      <c r="E822" s="17"/>
      <c r="F822" s="17"/>
      <c r="H822" s="19"/>
      <c r="I822" s="47"/>
      <c r="J822" s="48"/>
      <c r="K822" s="49"/>
    </row>
    <row r="823" spans="1:11" ht="12.75" hidden="1" x14ac:dyDescent="0.2">
      <c r="A823" s="16"/>
      <c r="B823" s="16"/>
      <c r="C823" s="15"/>
      <c r="D823" s="16"/>
      <c r="E823" s="17"/>
      <c r="F823" s="17"/>
      <c r="H823" s="19"/>
      <c r="I823" s="47"/>
      <c r="J823" s="48"/>
      <c r="K823" s="49"/>
    </row>
    <row r="824" spans="1:11" ht="12.75" hidden="1" x14ac:dyDescent="0.2">
      <c r="A824" s="16"/>
      <c r="B824" s="16"/>
      <c r="C824" s="15"/>
      <c r="D824" s="16"/>
      <c r="E824" s="17"/>
      <c r="F824" s="17"/>
      <c r="H824" s="19"/>
      <c r="I824" s="47"/>
      <c r="J824" s="48"/>
      <c r="K824" s="49"/>
    </row>
    <row r="825" spans="1:11" ht="12.75" hidden="1" x14ac:dyDescent="0.2">
      <c r="A825" s="16"/>
      <c r="B825" s="16"/>
      <c r="C825" s="15"/>
      <c r="D825" s="16"/>
      <c r="E825" s="17"/>
      <c r="F825" s="17"/>
      <c r="H825" s="19"/>
      <c r="I825" s="47"/>
      <c r="J825" s="48"/>
      <c r="K825" s="49"/>
    </row>
    <row r="826" spans="1:11" ht="12.75" hidden="1" x14ac:dyDescent="0.2">
      <c r="A826" s="16"/>
      <c r="B826" s="16"/>
      <c r="C826" s="15"/>
      <c r="D826" s="16"/>
      <c r="E826" s="17"/>
      <c r="F826" s="17"/>
      <c r="H826" s="19"/>
      <c r="I826" s="47"/>
      <c r="J826" s="48"/>
      <c r="K826" s="49"/>
    </row>
    <row r="827" spans="1:11" ht="12.75" hidden="1" x14ac:dyDescent="0.2">
      <c r="A827" s="16"/>
      <c r="B827" s="16"/>
      <c r="C827" s="15"/>
      <c r="D827" s="16"/>
      <c r="E827" s="17"/>
      <c r="F827" s="17"/>
      <c r="H827" s="19"/>
      <c r="I827" s="47"/>
      <c r="J827" s="48"/>
      <c r="K827" s="49"/>
    </row>
    <row r="828" spans="1:11" ht="12.75" hidden="1" x14ac:dyDescent="0.2">
      <c r="A828" s="16"/>
      <c r="B828" s="16"/>
      <c r="C828" s="15"/>
      <c r="D828" s="16"/>
      <c r="E828" s="17"/>
      <c r="F828" s="17"/>
      <c r="H828" s="19"/>
      <c r="I828" s="47"/>
      <c r="J828" s="48"/>
      <c r="K828" s="49"/>
    </row>
    <row r="829" spans="1:11" ht="12.75" hidden="1" x14ac:dyDescent="0.2">
      <c r="A829" s="16"/>
      <c r="B829" s="16"/>
      <c r="C829" s="15"/>
      <c r="D829" s="16"/>
      <c r="E829" s="17"/>
      <c r="F829" s="17"/>
      <c r="H829" s="19"/>
      <c r="I829" s="47"/>
      <c r="J829" s="48"/>
      <c r="K829" s="49"/>
    </row>
    <row r="830" spans="1:11" ht="12.75" hidden="1" x14ac:dyDescent="0.2">
      <c r="A830" s="16"/>
      <c r="B830" s="16"/>
      <c r="C830" s="15"/>
      <c r="D830" s="16"/>
      <c r="E830" s="17"/>
      <c r="F830" s="17"/>
      <c r="H830" s="19"/>
      <c r="I830" s="47"/>
      <c r="J830" s="48"/>
      <c r="K830" s="49"/>
    </row>
    <row r="831" spans="1:11" ht="12.75" hidden="1" x14ac:dyDescent="0.2">
      <c r="A831" s="16"/>
      <c r="B831" s="16"/>
      <c r="C831" s="15"/>
      <c r="D831" s="16"/>
      <c r="E831" s="17"/>
      <c r="F831" s="17"/>
      <c r="H831" s="19"/>
      <c r="I831" s="47"/>
      <c r="J831" s="48"/>
      <c r="K831" s="49"/>
    </row>
    <row r="832" spans="1:11" ht="12.75" hidden="1" x14ac:dyDescent="0.2">
      <c r="A832" s="16"/>
      <c r="B832" s="16"/>
      <c r="C832" s="15"/>
      <c r="D832" s="16"/>
      <c r="E832" s="17"/>
      <c r="F832" s="17"/>
      <c r="H832" s="19"/>
      <c r="I832" s="47"/>
      <c r="J832" s="48"/>
      <c r="K832" s="49"/>
    </row>
    <row r="833" spans="1:11" ht="12.75" hidden="1" x14ac:dyDescent="0.2">
      <c r="A833" s="16"/>
      <c r="B833" s="16"/>
      <c r="C833" s="15"/>
      <c r="D833" s="16"/>
      <c r="E833" s="17"/>
      <c r="F833" s="17"/>
      <c r="H833" s="19"/>
      <c r="I833" s="47"/>
      <c r="J833" s="48"/>
      <c r="K833" s="49"/>
    </row>
    <row r="834" spans="1:11" ht="12.75" hidden="1" x14ac:dyDescent="0.2">
      <c r="A834" s="16"/>
      <c r="B834" s="16"/>
      <c r="C834" s="15"/>
      <c r="D834" s="16"/>
      <c r="E834" s="17"/>
      <c r="F834" s="17"/>
      <c r="H834" s="19"/>
      <c r="I834" s="47"/>
      <c r="J834" s="48"/>
      <c r="K834" s="49"/>
    </row>
    <row r="835" spans="1:11" ht="12.75" hidden="1" x14ac:dyDescent="0.2">
      <c r="A835" s="16"/>
      <c r="B835" s="16"/>
      <c r="C835" s="15"/>
      <c r="D835" s="16"/>
      <c r="E835" s="17"/>
      <c r="F835" s="17"/>
      <c r="H835" s="19"/>
      <c r="I835" s="47"/>
      <c r="J835" s="48"/>
      <c r="K835" s="49"/>
    </row>
    <row r="836" spans="1:11" ht="12.75" hidden="1" x14ac:dyDescent="0.2">
      <c r="A836" s="16"/>
      <c r="B836" s="16"/>
      <c r="C836" s="15"/>
      <c r="D836" s="16"/>
      <c r="E836" s="17"/>
      <c r="F836" s="17"/>
      <c r="H836" s="19"/>
      <c r="I836" s="47"/>
      <c r="J836" s="48"/>
      <c r="K836" s="49"/>
    </row>
    <row r="837" spans="1:11" ht="12.75" hidden="1" x14ac:dyDescent="0.2">
      <c r="A837" s="16"/>
      <c r="B837" s="16"/>
      <c r="C837" s="15"/>
      <c r="D837" s="16"/>
      <c r="E837" s="17"/>
      <c r="F837" s="17"/>
      <c r="H837" s="19"/>
      <c r="I837" s="47"/>
      <c r="J837" s="48"/>
      <c r="K837" s="49"/>
    </row>
    <row r="838" spans="1:11" ht="12.75" hidden="1" x14ac:dyDescent="0.2">
      <c r="A838" s="16"/>
      <c r="B838" s="16"/>
      <c r="C838" s="15"/>
      <c r="D838" s="16"/>
      <c r="E838" s="17"/>
      <c r="F838" s="17"/>
      <c r="H838" s="19"/>
      <c r="I838" s="47"/>
      <c r="J838" s="48"/>
      <c r="K838" s="49"/>
    </row>
    <row r="839" spans="1:11" ht="12.75" hidden="1" x14ac:dyDescent="0.2">
      <c r="A839" s="16"/>
      <c r="B839" s="16"/>
      <c r="C839" s="15"/>
      <c r="D839" s="16"/>
      <c r="E839" s="17"/>
      <c r="F839" s="17"/>
      <c r="H839" s="19"/>
      <c r="I839" s="47"/>
      <c r="J839" s="48"/>
      <c r="K839" s="49"/>
    </row>
    <row r="840" spans="1:11" ht="12.75" hidden="1" x14ac:dyDescent="0.2">
      <c r="A840" s="16"/>
      <c r="B840" s="16"/>
      <c r="C840" s="15"/>
      <c r="D840" s="16"/>
      <c r="E840" s="17"/>
      <c r="F840" s="17"/>
      <c r="H840" s="19"/>
      <c r="I840" s="47"/>
      <c r="J840" s="48"/>
      <c r="K840" s="49"/>
    </row>
    <row r="841" spans="1:11" ht="12.75" hidden="1" x14ac:dyDescent="0.2">
      <c r="A841" s="16"/>
      <c r="B841" s="16"/>
      <c r="C841" s="15"/>
      <c r="D841" s="16"/>
      <c r="E841" s="17"/>
      <c r="F841" s="17"/>
      <c r="H841" s="19"/>
      <c r="I841" s="47"/>
      <c r="J841" s="48"/>
      <c r="K841" s="49"/>
    </row>
    <row r="842" spans="1:11" ht="12.75" hidden="1" x14ac:dyDescent="0.2">
      <c r="A842" s="16"/>
      <c r="B842" s="16"/>
      <c r="C842" s="15"/>
      <c r="D842" s="16"/>
      <c r="E842" s="17"/>
      <c r="F842" s="17"/>
      <c r="H842" s="19"/>
      <c r="I842" s="47"/>
      <c r="J842" s="48"/>
      <c r="K842" s="49"/>
    </row>
    <row r="843" spans="1:11" ht="12.75" hidden="1" x14ac:dyDescent="0.2">
      <c r="A843" s="16"/>
      <c r="B843" s="16"/>
      <c r="C843" s="15"/>
      <c r="D843" s="16"/>
      <c r="E843" s="17"/>
      <c r="F843" s="17"/>
      <c r="H843" s="19"/>
      <c r="I843" s="47"/>
      <c r="J843" s="48"/>
      <c r="K843" s="49"/>
    </row>
    <row r="844" spans="1:11" ht="12.75" hidden="1" x14ac:dyDescent="0.2">
      <c r="A844" s="16"/>
      <c r="B844" s="16"/>
      <c r="C844" s="15"/>
      <c r="D844" s="16"/>
      <c r="E844" s="17"/>
      <c r="F844" s="17"/>
      <c r="H844" s="19"/>
      <c r="I844" s="47"/>
      <c r="J844" s="48"/>
      <c r="K844" s="49"/>
    </row>
    <row r="845" spans="1:11" ht="12.75" hidden="1" x14ac:dyDescent="0.2">
      <c r="A845" s="16"/>
      <c r="B845" s="16"/>
      <c r="C845" s="15"/>
      <c r="D845" s="16"/>
      <c r="E845" s="17"/>
      <c r="F845" s="17"/>
      <c r="H845" s="19"/>
      <c r="I845" s="47"/>
      <c r="J845" s="48"/>
      <c r="K845" s="49"/>
    </row>
    <row r="846" spans="1:11" ht="12.75" hidden="1" x14ac:dyDescent="0.2">
      <c r="A846" s="16"/>
      <c r="B846" s="16"/>
      <c r="C846" s="15"/>
      <c r="D846" s="16"/>
      <c r="E846" s="17"/>
      <c r="F846" s="17"/>
      <c r="H846" s="19"/>
      <c r="I846" s="47"/>
      <c r="J846" s="48"/>
      <c r="K846" s="49"/>
    </row>
    <row r="847" spans="1:11" ht="12.75" hidden="1" x14ac:dyDescent="0.2">
      <c r="A847" s="16"/>
      <c r="B847" s="16"/>
      <c r="C847" s="15"/>
      <c r="D847" s="16"/>
      <c r="E847" s="17"/>
      <c r="F847" s="17"/>
      <c r="H847" s="19"/>
      <c r="I847" s="47"/>
      <c r="J847" s="48"/>
      <c r="K847" s="49"/>
    </row>
    <row r="848" spans="1:11" ht="12.75" hidden="1" x14ac:dyDescent="0.2">
      <c r="A848" s="16"/>
      <c r="B848" s="16"/>
      <c r="C848" s="15"/>
      <c r="D848" s="16"/>
      <c r="E848" s="17"/>
      <c r="F848" s="17"/>
      <c r="H848" s="19"/>
      <c r="I848" s="47"/>
      <c r="J848" s="48"/>
      <c r="K848" s="49"/>
    </row>
    <row r="849" spans="1:11" ht="12.75" hidden="1" x14ac:dyDescent="0.2">
      <c r="A849" s="16"/>
      <c r="B849" s="16"/>
      <c r="C849" s="15"/>
      <c r="D849" s="16"/>
      <c r="E849" s="17"/>
      <c r="F849" s="17"/>
      <c r="H849" s="19"/>
      <c r="I849" s="47"/>
      <c r="J849" s="48"/>
      <c r="K849" s="49"/>
    </row>
    <row r="850" spans="1:11" ht="12.75" hidden="1" x14ac:dyDescent="0.2">
      <c r="A850" s="16"/>
      <c r="B850" s="16"/>
      <c r="C850" s="15"/>
      <c r="D850" s="16"/>
      <c r="E850" s="17"/>
      <c r="F850" s="17"/>
      <c r="H850" s="19"/>
      <c r="I850" s="47"/>
      <c r="J850" s="48"/>
      <c r="K850" s="49"/>
    </row>
    <row r="851" spans="1:11" ht="12.75" hidden="1" x14ac:dyDescent="0.2">
      <c r="A851" s="16"/>
      <c r="B851" s="16"/>
      <c r="C851" s="15"/>
      <c r="D851" s="16"/>
      <c r="E851" s="17"/>
      <c r="F851" s="17"/>
      <c r="H851" s="19"/>
      <c r="I851" s="47"/>
      <c r="J851" s="48"/>
      <c r="K851" s="49"/>
    </row>
    <row r="852" spans="1:11" ht="12.75" hidden="1" x14ac:dyDescent="0.2">
      <c r="A852" s="16"/>
      <c r="B852" s="16"/>
      <c r="C852" s="15"/>
      <c r="D852" s="16"/>
      <c r="E852" s="17"/>
      <c r="F852" s="17"/>
      <c r="H852" s="19"/>
      <c r="I852" s="47"/>
      <c r="J852" s="48"/>
      <c r="K852" s="49"/>
    </row>
    <row r="853" spans="1:11" ht="12.75" hidden="1" x14ac:dyDescent="0.2">
      <c r="A853" s="16"/>
      <c r="B853" s="16"/>
      <c r="C853" s="15"/>
      <c r="D853" s="16"/>
      <c r="E853" s="17"/>
      <c r="F853" s="17"/>
      <c r="H853" s="50"/>
      <c r="I853" s="51"/>
      <c r="J853" s="52"/>
      <c r="K853" s="53"/>
    </row>
  </sheetData>
  <autoFilter ref="A6:I215" xr:uid="{00000000-0009-0000-0000-000009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6:C853">
    <cfRule type="cellIs" dxfId="21" priority="4" operator="lessThan">
      <formula>"92%"</formula>
    </cfRule>
  </conditionalFormatting>
  <conditionalFormatting sqref="C7:C215">
    <cfRule type="cellIs" dxfId="20" priority="1" operator="lessThan">
      <formula>"90%"</formula>
    </cfRule>
    <cfRule type="cellIs" dxfId="19" priority="2" operator="lessThan">
      <formula>"94%"</formula>
    </cfRule>
  </conditionalFormatting>
  <conditionalFormatting sqref="K1:K853">
    <cfRule type="cellIs" dxfId="18" priority="3" operator="lessThan">
      <formula>0</formula>
    </cfRule>
  </conditionalFormatting>
  <dataValidations count="1">
    <dataValidation type="list" allowBlank="1" sqref="E7:E215" xr:uid="{00000000-0002-0000-0900-000000000000}">
      <formula1>"Weather,Health,Safety,Other"</formula1>
    </dataValidation>
  </dataValidations>
  <printOptions horizontalCentered="1" gridLines="1"/>
  <pageMargins left="0" right="0" top="1.0432357043235705" bottom="0" header="0" footer="0"/>
  <pageSetup scale="68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FF"/>
    <outlinePr summaryBelow="0" summaryRight="0"/>
    <pageSetUpPr fitToPage="1"/>
  </sheetPr>
  <dimension ref="A1:K853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25.5703125" customWidth="1"/>
    <col min="6" max="6" width="16.7109375" customWidth="1"/>
    <col min="7" max="7" width="12.42578125" customWidth="1"/>
    <col min="8" max="10" width="16.28515625" customWidth="1"/>
    <col min="11" max="11" width="17.42578125" customWidth="1"/>
  </cols>
  <sheetData>
    <row r="1" spans="1:11" ht="26.25" x14ac:dyDescent="0.35">
      <c r="A1" s="1"/>
      <c r="B1" s="1"/>
      <c r="C1" s="1"/>
      <c r="D1" s="1"/>
      <c r="E1" s="1"/>
      <c r="F1" s="1"/>
      <c r="G1" s="1"/>
      <c r="H1" s="2"/>
      <c r="I1" s="2"/>
      <c r="J1" s="3"/>
      <c r="K1" s="4">
        <f>SUM(K7:K215)</f>
        <v>-443.4704999999974</v>
      </c>
    </row>
    <row r="2" spans="1:11" x14ac:dyDescent="0.25">
      <c r="A2" s="122" t="s">
        <v>59</v>
      </c>
      <c r="B2" s="119"/>
      <c r="C2" s="119"/>
      <c r="D2" s="119"/>
      <c r="E2" s="119"/>
      <c r="F2" s="119"/>
      <c r="G2" s="119"/>
      <c r="H2" s="123" t="s">
        <v>0</v>
      </c>
      <c r="I2" s="124"/>
      <c r="J2" s="5" t="s">
        <v>9</v>
      </c>
      <c r="K2" s="125" t="s">
        <v>238</v>
      </c>
    </row>
    <row r="3" spans="1:11" ht="23.25" x14ac:dyDescent="0.3">
      <c r="A3" s="119"/>
      <c r="B3" s="119"/>
      <c r="C3" s="119"/>
      <c r="D3" s="119"/>
      <c r="E3" s="119"/>
      <c r="F3" s="119"/>
      <c r="G3" s="119"/>
      <c r="H3" s="126">
        <f>SUM(I7:I128)</f>
        <v>170567.28699999998</v>
      </c>
      <c r="I3" s="124"/>
      <c r="J3" s="127">
        <v>0.95</v>
      </c>
      <c r="K3" s="124"/>
    </row>
    <row r="4" spans="1:11" ht="12.75" x14ac:dyDescent="0.2">
      <c r="A4" s="119"/>
      <c r="B4" s="119"/>
      <c r="C4" s="119"/>
      <c r="D4" s="119"/>
      <c r="E4" s="119"/>
      <c r="F4" s="119"/>
      <c r="G4" s="119"/>
      <c r="H4" s="129" t="s">
        <v>11</v>
      </c>
      <c r="I4" s="119"/>
      <c r="J4" s="128"/>
      <c r="K4" s="124"/>
    </row>
    <row r="5" spans="1:11" ht="15" x14ac:dyDescent="0.35">
      <c r="A5" s="119"/>
      <c r="B5" s="119"/>
      <c r="C5" s="119"/>
      <c r="D5" s="119"/>
      <c r="E5" s="119"/>
      <c r="F5" s="119"/>
      <c r="G5" s="119"/>
      <c r="H5" s="130">
        <v>55</v>
      </c>
      <c r="I5" s="119"/>
      <c r="J5" s="128"/>
      <c r="K5" s="124"/>
    </row>
    <row r="6" spans="1:11" ht="24" x14ac:dyDescent="0.2">
      <c r="A6" s="6" t="s">
        <v>12</v>
      </c>
      <c r="B6" s="7" t="s">
        <v>13</v>
      </c>
      <c r="C6" s="8" t="s">
        <v>14</v>
      </c>
      <c r="D6" s="7" t="s">
        <v>15</v>
      </c>
      <c r="E6" s="9" t="s">
        <v>16</v>
      </c>
      <c r="F6" s="7" t="s">
        <v>17</v>
      </c>
      <c r="G6" s="7" t="s">
        <v>18</v>
      </c>
      <c r="H6" s="10" t="s">
        <v>19</v>
      </c>
      <c r="I6" s="11" t="s">
        <v>20</v>
      </c>
      <c r="J6" s="12" t="s">
        <v>21</v>
      </c>
      <c r="K6" s="124"/>
    </row>
    <row r="7" spans="1:11" ht="12.75" x14ac:dyDescent="0.2">
      <c r="A7" s="13">
        <v>45516</v>
      </c>
      <c r="B7" s="14" t="s">
        <v>3</v>
      </c>
      <c r="C7" s="15">
        <v>1</v>
      </c>
      <c r="D7" s="16" t="s">
        <v>22</v>
      </c>
      <c r="E7" s="17"/>
      <c r="F7" s="17"/>
      <c r="G7" s="18">
        <v>560</v>
      </c>
      <c r="H7" s="19">
        <f t="shared" ref="H7:H215" si="0">G7-(C7*G7)</f>
        <v>0</v>
      </c>
      <c r="I7" s="20">
        <f t="shared" ref="I7:I215" si="1">H7*$H$5</f>
        <v>0</v>
      </c>
      <c r="J7" s="21">
        <v>0</v>
      </c>
      <c r="K7" s="22">
        <f t="shared" ref="K7:K215" si="2">J7-H7</f>
        <v>0</v>
      </c>
    </row>
    <row r="8" spans="1:11" ht="12.75" x14ac:dyDescent="0.2">
      <c r="A8" s="13">
        <v>45517</v>
      </c>
      <c r="B8" s="14" t="s">
        <v>4</v>
      </c>
      <c r="C8" s="15">
        <v>0.99480000000000002</v>
      </c>
      <c r="D8" s="16" t="s">
        <v>22</v>
      </c>
      <c r="E8" s="17"/>
      <c r="F8" s="17"/>
      <c r="G8" s="18">
        <v>581</v>
      </c>
      <c r="H8" s="19">
        <f t="shared" si="0"/>
        <v>3.0212000000000216</v>
      </c>
      <c r="I8" s="20">
        <f t="shared" si="1"/>
        <v>166.16600000000119</v>
      </c>
      <c r="J8" s="21">
        <f t="shared" ref="J8:J215" si="3">G8-(G8*J$3)</f>
        <v>29.050000000000068</v>
      </c>
      <c r="K8" s="22">
        <f t="shared" si="2"/>
        <v>26.028800000000047</v>
      </c>
    </row>
    <row r="9" spans="1:11" ht="12.75" x14ac:dyDescent="0.2">
      <c r="A9" s="13">
        <v>45518</v>
      </c>
      <c r="B9" s="14" t="s">
        <v>5</v>
      </c>
      <c r="C9" s="15">
        <v>0.99150000000000005</v>
      </c>
      <c r="D9" s="16" t="s">
        <v>22</v>
      </c>
      <c r="E9" s="17"/>
      <c r="F9" s="17"/>
      <c r="G9" s="18">
        <v>589</v>
      </c>
      <c r="H9" s="19">
        <f t="shared" si="0"/>
        <v>5.00649999999996</v>
      </c>
      <c r="I9" s="20">
        <f t="shared" si="1"/>
        <v>275.3574999999978</v>
      </c>
      <c r="J9" s="21">
        <f t="shared" si="3"/>
        <v>29.450000000000045</v>
      </c>
      <c r="K9" s="22">
        <f t="shared" si="2"/>
        <v>24.443500000000085</v>
      </c>
    </row>
    <row r="10" spans="1:11" ht="12.75" x14ac:dyDescent="0.2">
      <c r="A10" s="13">
        <v>45519</v>
      </c>
      <c r="B10" s="14" t="s">
        <v>6</v>
      </c>
      <c r="C10" s="15">
        <v>0.98150000000000004</v>
      </c>
      <c r="D10" s="16" t="s">
        <v>22</v>
      </c>
      <c r="E10" s="17"/>
      <c r="F10" s="17"/>
      <c r="G10" s="18">
        <v>594</v>
      </c>
      <c r="H10" s="19">
        <f t="shared" si="0"/>
        <v>10.989000000000033</v>
      </c>
      <c r="I10" s="20">
        <f t="shared" si="1"/>
        <v>604.3950000000018</v>
      </c>
      <c r="J10" s="21">
        <f t="shared" si="3"/>
        <v>29.700000000000045</v>
      </c>
      <c r="K10" s="22">
        <f t="shared" si="2"/>
        <v>18.711000000000013</v>
      </c>
    </row>
    <row r="11" spans="1:11" ht="12.75" x14ac:dyDescent="0.2">
      <c r="A11" s="13">
        <v>45520</v>
      </c>
      <c r="B11" s="14" t="s">
        <v>7</v>
      </c>
      <c r="C11" s="15">
        <v>0.96130000000000004</v>
      </c>
      <c r="D11" s="16" t="s">
        <v>22</v>
      </c>
      <c r="E11" s="17"/>
      <c r="F11" s="17"/>
      <c r="G11" s="18">
        <v>594</v>
      </c>
      <c r="H11" s="19">
        <f t="shared" si="0"/>
        <v>22.987799999999993</v>
      </c>
      <c r="I11" s="20">
        <f t="shared" si="1"/>
        <v>1264.3289999999997</v>
      </c>
      <c r="J11" s="21">
        <f t="shared" si="3"/>
        <v>29.700000000000045</v>
      </c>
      <c r="K11" s="22">
        <f t="shared" si="2"/>
        <v>6.7122000000000526</v>
      </c>
    </row>
    <row r="12" spans="1:11" ht="12.75" x14ac:dyDescent="0.2">
      <c r="A12" s="13">
        <v>45523</v>
      </c>
      <c r="B12" s="14" t="s">
        <v>3</v>
      </c>
      <c r="C12" s="15">
        <v>0.94730000000000003</v>
      </c>
      <c r="D12" s="16" t="s">
        <v>22</v>
      </c>
      <c r="E12" s="17"/>
      <c r="F12" s="17"/>
      <c r="G12" s="18">
        <v>607</v>
      </c>
      <c r="H12" s="19">
        <f t="shared" si="0"/>
        <v>31.988899999999944</v>
      </c>
      <c r="I12" s="20">
        <f t="shared" si="1"/>
        <v>1759.389499999997</v>
      </c>
      <c r="J12" s="21">
        <f t="shared" si="3"/>
        <v>30.350000000000023</v>
      </c>
      <c r="K12" s="22">
        <f t="shared" si="2"/>
        <v>-1.6388999999999214</v>
      </c>
    </row>
    <row r="13" spans="1:11" ht="12.75" x14ac:dyDescent="0.2">
      <c r="A13" s="13">
        <v>45524</v>
      </c>
      <c r="B13" s="14" t="s">
        <v>4</v>
      </c>
      <c r="C13" s="15">
        <v>0.93620000000000003</v>
      </c>
      <c r="D13" s="16" t="s">
        <v>79</v>
      </c>
      <c r="E13" s="17" t="s">
        <v>25</v>
      </c>
      <c r="F13" s="17"/>
      <c r="G13" s="18">
        <v>611</v>
      </c>
      <c r="H13" s="19">
        <f t="shared" si="0"/>
        <v>38.981800000000021</v>
      </c>
      <c r="I13" s="20">
        <f t="shared" si="1"/>
        <v>2143.9990000000012</v>
      </c>
      <c r="J13" s="21">
        <f t="shared" si="3"/>
        <v>30.550000000000068</v>
      </c>
      <c r="K13" s="22">
        <f t="shared" si="2"/>
        <v>-8.4317999999999529</v>
      </c>
    </row>
    <row r="14" spans="1:11" ht="12.75" x14ac:dyDescent="0.2">
      <c r="A14" s="13">
        <v>45525</v>
      </c>
      <c r="B14" s="14" t="s">
        <v>5</v>
      </c>
      <c r="C14" s="15">
        <v>0.93779999999999997</v>
      </c>
      <c r="D14" s="16" t="s">
        <v>90</v>
      </c>
      <c r="E14" s="17"/>
      <c r="F14" s="17"/>
      <c r="G14" s="18">
        <v>611</v>
      </c>
      <c r="H14" s="19">
        <f t="shared" si="0"/>
        <v>38.004199999999969</v>
      </c>
      <c r="I14" s="20">
        <f t="shared" si="1"/>
        <v>2090.2309999999984</v>
      </c>
      <c r="J14" s="21">
        <f t="shared" si="3"/>
        <v>30.550000000000068</v>
      </c>
      <c r="K14" s="22">
        <f t="shared" si="2"/>
        <v>-7.4541999999999007</v>
      </c>
    </row>
    <row r="15" spans="1:11" ht="12.75" x14ac:dyDescent="0.2">
      <c r="A15" s="13">
        <v>45526</v>
      </c>
      <c r="B15" s="14" t="s">
        <v>6</v>
      </c>
      <c r="C15" s="15">
        <v>0.95750000000000002</v>
      </c>
      <c r="D15" s="16" t="s">
        <v>22</v>
      </c>
      <c r="E15" s="17"/>
      <c r="F15" s="17"/>
      <c r="G15" s="18">
        <v>612</v>
      </c>
      <c r="H15" s="19">
        <f t="shared" si="0"/>
        <v>26.009999999999991</v>
      </c>
      <c r="I15" s="20">
        <f t="shared" si="1"/>
        <v>1430.5499999999995</v>
      </c>
      <c r="J15" s="21">
        <f t="shared" si="3"/>
        <v>30.600000000000023</v>
      </c>
      <c r="K15" s="22">
        <f t="shared" si="2"/>
        <v>4.5900000000000318</v>
      </c>
    </row>
    <row r="16" spans="1:11" ht="12.75" x14ac:dyDescent="0.2">
      <c r="A16" s="13">
        <v>45527</v>
      </c>
      <c r="B16" s="14" t="s">
        <v>7</v>
      </c>
      <c r="C16" s="15">
        <v>0.93310000000000004</v>
      </c>
      <c r="D16" s="16" t="s">
        <v>23</v>
      </c>
      <c r="E16" s="17"/>
      <c r="F16" s="17"/>
      <c r="G16" s="18">
        <v>613</v>
      </c>
      <c r="H16" s="19">
        <f t="shared" si="0"/>
        <v>41.009699999999953</v>
      </c>
      <c r="I16" s="20">
        <f t="shared" si="1"/>
        <v>2255.5334999999973</v>
      </c>
      <c r="J16" s="21">
        <f t="shared" si="3"/>
        <v>30.649999999999977</v>
      </c>
      <c r="K16" s="22">
        <f t="shared" si="2"/>
        <v>-10.359699999999975</v>
      </c>
    </row>
    <row r="17" spans="1:11" ht="12.75" x14ac:dyDescent="0.2">
      <c r="A17" s="13">
        <v>45530</v>
      </c>
      <c r="B17" s="14" t="s">
        <v>3</v>
      </c>
      <c r="C17" s="15">
        <v>0.93830000000000002</v>
      </c>
      <c r="D17" s="16" t="s">
        <v>22</v>
      </c>
      <c r="E17" s="17"/>
      <c r="F17" s="17"/>
      <c r="G17" s="18">
        <v>616</v>
      </c>
      <c r="H17" s="19">
        <f t="shared" si="0"/>
        <v>38.007200000000012</v>
      </c>
      <c r="I17" s="20">
        <f t="shared" si="1"/>
        <v>2090.3960000000006</v>
      </c>
      <c r="J17" s="21">
        <f t="shared" si="3"/>
        <v>30.800000000000068</v>
      </c>
      <c r="K17" s="22">
        <f t="shared" si="2"/>
        <v>-7.2071999999999434</v>
      </c>
    </row>
    <row r="18" spans="1:11" ht="12.75" x14ac:dyDescent="0.2">
      <c r="A18" s="13">
        <v>45531</v>
      </c>
      <c r="B18" s="14" t="s">
        <v>4</v>
      </c>
      <c r="C18" s="15">
        <v>0.96930000000000005</v>
      </c>
      <c r="D18" s="16" t="s">
        <v>23</v>
      </c>
      <c r="E18" s="17"/>
      <c r="F18" s="17"/>
      <c r="G18" s="18">
        <v>618</v>
      </c>
      <c r="H18" s="19">
        <f t="shared" si="0"/>
        <v>18.972599999999943</v>
      </c>
      <c r="I18" s="20">
        <f t="shared" si="1"/>
        <v>1043.4929999999968</v>
      </c>
      <c r="J18" s="21">
        <f t="shared" si="3"/>
        <v>30.899999999999977</v>
      </c>
      <c r="K18" s="22">
        <f t="shared" si="2"/>
        <v>11.927400000000034</v>
      </c>
    </row>
    <row r="19" spans="1:11" ht="12.75" x14ac:dyDescent="0.2">
      <c r="A19" s="13">
        <v>45532</v>
      </c>
      <c r="B19" s="14" t="s">
        <v>5</v>
      </c>
      <c r="C19" s="15">
        <v>0.95950000000000002</v>
      </c>
      <c r="D19" s="16" t="s">
        <v>23</v>
      </c>
      <c r="E19" s="17"/>
      <c r="F19" s="23"/>
      <c r="G19" s="18">
        <v>618</v>
      </c>
      <c r="H19" s="19">
        <f t="shared" si="0"/>
        <v>25.028999999999996</v>
      </c>
      <c r="I19" s="20">
        <f t="shared" si="1"/>
        <v>1376.5949999999998</v>
      </c>
      <c r="J19" s="21">
        <f t="shared" si="3"/>
        <v>30.899999999999977</v>
      </c>
      <c r="K19" s="22">
        <f t="shared" si="2"/>
        <v>5.8709999999999809</v>
      </c>
    </row>
    <row r="20" spans="1:11" ht="12.75" x14ac:dyDescent="0.2">
      <c r="A20" s="13">
        <v>45533</v>
      </c>
      <c r="B20" s="14" t="s">
        <v>6</v>
      </c>
      <c r="C20" s="15">
        <v>0.95340000000000003</v>
      </c>
      <c r="D20" s="16" t="s">
        <v>22</v>
      </c>
      <c r="E20" s="17"/>
      <c r="F20" s="17"/>
      <c r="G20" s="18">
        <v>622</v>
      </c>
      <c r="H20" s="19">
        <f t="shared" si="0"/>
        <v>28.985199999999963</v>
      </c>
      <c r="I20" s="20">
        <f t="shared" si="1"/>
        <v>1594.1859999999979</v>
      </c>
      <c r="J20" s="21">
        <f t="shared" si="3"/>
        <v>31.100000000000023</v>
      </c>
      <c r="K20" s="22">
        <f t="shared" si="2"/>
        <v>2.1148000000000593</v>
      </c>
    </row>
    <row r="21" spans="1:11" ht="12.75" x14ac:dyDescent="0.2">
      <c r="A21" s="13">
        <v>45534</v>
      </c>
      <c r="B21" s="14" t="s">
        <v>7</v>
      </c>
      <c r="C21" s="15">
        <v>0.93889999999999996</v>
      </c>
      <c r="D21" s="16" t="s">
        <v>22</v>
      </c>
      <c r="E21" s="17"/>
      <c r="F21" s="17"/>
      <c r="G21" s="18">
        <v>622</v>
      </c>
      <c r="H21" s="19">
        <f t="shared" si="0"/>
        <v>38.004200000000083</v>
      </c>
      <c r="I21" s="20">
        <f t="shared" si="1"/>
        <v>2090.2310000000043</v>
      </c>
      <c r="J21" s="21">
        <f t="shared" si="3"/>
        <v>31.100000000000023</v>
      </c>
      <c r="K21" s="22">
        <f t="shared" si="2"/>
        <v>-6.9042000000000598</v>
      </c>
    </row>
    <row r="22" spans="1:11" ht="12.75" x14ac:dyDescent="0.2">
      <c r="A22" s="24">
        <v>45537</v>
      </c>
      <c r="B22" s="25" t="s">
        <v>3</v>
      </c>
      <c r="C22" s="26"/>
      <c r="D22" s="27"/>
      <c r="E22" s="28"/>
      <c r="F22" s="28"/>
      <c r="G22" s="29"/>
      <c r="H22" s="19">
        <f t="shared" si="0"/>
        <v>0</v>
      </c>
      <c r="I22" s="20">
        <f t="shared" si="1"/>
        <v>0</v>
      </c>
      <c r="J22" s="21">
        <f t="shared" si="3"/>
        <v>0</v>
      </c>
      <c r="K22" s="22">
        <f t="shared" si="2"/>
        <v>0</v>
      </c>
    </row>
    <row r="23" spans="1:11" ht="12.75" x14ac:dyDescent="0.2">
      <c r="A23" s="13">
        <v>45538</v>
      </c>
      <c r="B23" s="14" t="s">
        <v>4</v>
      </c>
      <c r="C23" s="15">
        <v>0.95650000000000002</v>
      </c>
      <c r="D23" s="16" t="s">
        <v>22</v>
      </c>
      <c r="E23" s="17"/>
      <c r="F23" s="17"/>
      <c r="G23" s="18">
        <v>621</v>
      </c>
      <c r="H23" s="19">
        <f t="shared" si="0"/>
        <v>27.013500000000022</v>
      </c>
      <c r="I23" s="20">
        <f t="shared" si="1"/>
        <v>1485.7425000000012</v>
      </c>
      <c r="J23" s="21">
        <f t="shared" si="3"/>
        <v>31.050000000000068</v>
      </c>
      <c r="K23" s="22">
        <f t="shared" si="2"/>
        <v>4.0365000000000464</v>
      </c>
    </row>
    <row r="24" spans="1:11" ht="12.75" x14ac:dyDescent="0.2">
      <c r="A24" s="13">
        <v>45539</v>
      </c>
      <c r="B24" s="14" t="s">
        <v>5</v>
      </c>
      <c r="C24" s="15">
        <v>0.9647</v>
      </c>
      <c r="D24" s="16" t="s">
        <v>22</v>
      </c>
      <c r="E24" s="17"/>
      <c r="F24" s="17"/>
      <c r="G24" s="18">
        <v>623</v>
      </c>
      <c r="H24" s="19">
        <f t="shared" si="0"/>
        <v>21.991899999999987</v>
      </c>
      <c r="I24" s="20">
        <f t="shared" si="1"/>
        <v>1209.5544999999993</v>
      </c>
      <c r="J24" s="21">
        <f t="shared" si="3"/>
        <v>31.149999999999977</v>
      </c>
      <c r="K24" s="22">
        <f t="shared" si="2"/>
        <v>9.1580999999999904</v>
      </c>
    </row>
    <row r="25" spans="1:11" ht="12.75" x14ac:dyDescent="0.2">
      <c r="A25" s="13">
        <v>45540</v>
      </c>
      <c r="B25" s="14" t="s">
        <v>6</v>
      </c>
      <c r="C25" s="15">
        <v>0.96630000000000005</v>
      </c>
      <c r="D25" s="16" t="s">
        <v>22</v>
      </c>
      <c r="E25" s="17"/>
      <c r="F25" s="17"/>
      <c r="G25" s="18">
        <v>623</v>
      </c>
      <c r="H25" s="19">
        <f t="shared" si="0"/>
        <v>20.995099999999979</v>
      </c>
      <c r="I25" s="20">
        <f t="shared" si="1"/>
        <v>1154.7304999999988</v>
      </c>
      <c r="J25" s="21">
        <f t="shared" si="3"/>
        <v>31.149999999999977</v>
      </c>
      <c r="K25" s="22">
        <f t="shared" si="2"/>
        <v>10.154899999999998</v>
      </c>
    </row>
    <row r="26" spans="1:11" ht="12.75" x14ac:dyDescent="0.2">
      <c r="A26" s="13">
        <v>45541</v>
      </c>
      <c r="B26" s="14" t="s">
        <v>7</v>
      </c>
      <c r="C26" s="15">
        <v>0.94869999999999999</v>
      </c>
      <c r="D26" s="16" t="s">
        <v>22</v>
      </c>
      <c r="E26" s="17"/>
      <c r="F26" s="17"/>
      <c r="G26" s="18">
        <v>624</v>
      </c>
      <c r="H26" s="19">
        <f t="shared" si="0"/>
        <v>32.011200000000031</v>
      </c>
      <c r="I26" s="20">
        <f t="shared" si="1"/>
        <v>1760.6160000000018</v>
      </c>
      <c r="J26" s="21">
        <f t="shared" si="3"/>
        <v>31.200000000000045</v>
      </c>
      <c r="K26" s="22">
        <f t="shared" si="2"/>
        <v>-0.81119999999998527</v>
      </c>
    </row>
    <row r="27" spans="1:11" ht="12.75" x14ac:dyDescent="0.2">
      <c r="A27" s="13">
        <v>45544</v>
      </c>
      <c r="B27" s="14" t="s">
        <v>3</v>
      </c>
      <c r="C27" s="15">
        <v>0.94899999999999995</v>
      </c>
      <c r="D27" s="16" t="s">
        <v>22</v>
      </c>
      <c r="E27" s="17"/>
      <c r="F27" s="17"/>
      <c r="G27" s="18">
        <v>628</v>
      </c>
      <c r="H27" s="19">
        <f t="shared" si="0"/>
        <v>32.02800000000002</v>
      </c>
      <c r="I27" s="20">
        <f t="shared" si="1"/>
        <v>1761.5400000000011</v>
      </c>
      <c r="J27" s="21">
        <f t="shared" si="3"/>
        <v>31.399999999999977</v>
      </c>
      <c r="K27" s="22">
        <f t="shared" si="2"/>
        <v>-0.62800000000004275</v>
      </c>
    </row>
    <row r="28" spans="1:11" ht="12.75" x14ac:dyDescent="0.2">
      <c r="A28" s="13">
        <v>45545</v>
      </c>
      <c r="B28" s="14" t="s">
        <v>4</v>
      </c>
      <c r="C28" s="15">
        <v>0.94899999999999995</v>
      </c>
      <c r="D28" s="16" t="s">
        <v>22</v>
      </c>
      <c r="E28" s="17"/>
      <c r="F28" s="17"/>
      <c r="G28" s="18">
        <v>628</v>
      </c>
      <c r="H28" s="19">
        <f t="shared" si="0"/>
        <v>32.02800000000002</v>
      </c>
      <c r="I28" s="20">
        <f t="shared" si="1"/>
        <v>1761.5400000000011</v>
      </c>
      <c r="J28" s="21">
        <f t="shared" si="3"/>
        <v>31.399999999999977</v>
      </c>
      <c r="K28" s="22">
        <f t="shared" si="2"/>
        <v>-0.62800000000004275</v>
      </c>
    </row>
    <row r="29" spans="1:11" ht="12.75" x14ac:dyDescent="0.2">
      <c r="A29" s="13">
        <v>45546</v>
      </c>
      <c r="B29" s="14" t="s">
        <v>5</v>
      </c>
      <c r="C29" s="15">
        <v>0.95220000000000005</v>
      </c>
      <c r="D29" s="16" t="s">
        <v>22</v>
      </c>
      <c r="E29" s="17"/>
      <c r="F29" s="17"/>
      <c r="G29" s="18">
        <v>628</v>
      </c>
      <c r="H29" s="19">
        <f t="shared" si="0"/>
        <v>30.018399999999929</v>
      </c>
      <c r="I29" s="20">
        <f t="shared" si="1"/>
        <v>1651.0119999999961</v>
      </c>
      <c r="J29" s="21">
        <f t="shared" si="3"/>
        <v>31.399999999999977</v>
      </c>
      <c r="K29" s="22">
        <f t="shared" si="2"/>
        <v>1.3816000000000486</v>
      </c>
    </row>
    <row r="30" spans="1:11" ht="12.75" x14ac:dyDescent="0.2">
      <c r="A30" s="13">
        <v>45547</v>
      </c>
      <c r="B30" s="14" t="s">
        <v>6</v>
      </c>
      <c r="C30" s="15">
        <v>0.96970000000000001</v>
      </c>
      <c r="D30" s="16" t="s">
        <v>22</v>
      </c>
      <c r="E30" s="17"/>
      <c r="F30" s="17"/>
      <c r="G30" s="18">
        <v>627</v>
      </c>
      <c r="H30" s="19">
        <f t="shared" si="0"/>
        <v>18.998100000000022</v>
      </c>
      <c r="I30" s="20">
        <f t="shared" si="1"/>
        <v>1044.8955000000012</v>
      </c>
      <c r="J30" s="21">
        <f t="shared" si="3"/>
        <v>31.350000000000023</v>
      </c>
      <c r="K30" s="22">
        <f t="shared" si="2"/>
        <v>12.351900000000001</v>
      </c>
    </row>
    <row r="31" spans="1:11" ht="12.75" x14ac:dyDescent="0.2">
      <c r="A31" s="13">
        <v>45548</v>
      </c>
      <c r="B31" s="14" t="s">
        <v>7</v>
      </c>
      <c r="C31" s="15">
        <v>0.94420000000000004</v>
      </c>
      <c r="D31" s="16" t="s">
        <v>22</v>
      </c>
      <c r="E31" s="17"/>
      <c r="F31" s="17"/>
      <c r="G31" s="18">
        <v>627</v>
      </c>
      <c r="H31" s="19">
        <f t="shared" si="0"/>
        <v>34.986599999999953</v>
      </c>
      <c r="I31" s="20">
        <f t="shared" si="1"/>
        <v>1924.2629999999974</v>
      </c>
      <c r="J31" s="21">
        <f t="shared" si="3"/>
        <v>31.350000000000023</v>
      </c>
      <c r="K31" s="22">
        <f t="shared" si="2"/>
        <v>-3.6365999999999303</v>
      </c>
    </row>
    <row r="32" spans="1:11" ht="12.75" x14ac:dyDescent="0.2">
      <c r="A32" s="30">
        <v>45551</v>
      </c>
      <c r="B32" s="31" t="s">
        <v>3</v>
      </c>
      <c r="C32" s="32"/>
      <c r="D32" s="33"/>
      <c r="E32" s="34"/>
      <c r="F32" s="34"/>
      <c r="G32" s="35"/>
      <c r="H32" s="19">
        <f t="shared" si="0"/>
        <v>0</v>
      </c>
      <c r="I32" s="20">
        <f t="shared" si="1"/>
        <v>0</v>
      </c>
      <c r="J32" s="21">
        <f t="shared" si="3"/>
        <v>0</v>
      </c>
      <c r="K32" s="22">
        <f t="shared" si="2"/>
        <v>0</v>
      </c>
    </row>
    <row r="33" spans="1:11" ht="12.75" x14ac:dyDescent="0.2">
      <c r="A33" s="13">
        <v>45552</v>
      </c>
      <c r="B33" s="14" t="s">
        <v>4</v>
      </c>
      <c r="C33" s="15">
        <v>0.98250000000000004</v>
      </c>
      <c r="D33" s="16" t="s">
        <v>22</v>
      </c>
      <c r="E33" s="17"/>
      <c r="F33" s="17"/>
      <c r="G33" s="18">
        <v>630</v>
      </c>
      <c r="H33" s="19">
        <f t="shared" si="0"/>
        <v>11.024999999999977</v>
      </c>
      <c r="I33" s="20">
        <f t="shared" si="1"/>
        <v>606.37499999999875</v>
      </c>
      <c r="J33" s="21">
        <f t="shared" si="3"/>
        <v>31.5</v>
      </c>
      <c r="K33" s="22">
        <f t="shared" si="2"/>
        <v>20.475000000000023</v>
      </c>
    </row>
    <row r="34" spans="1:11" ht="12.75" x14ac:dyDescent="0.2">
      <c r="A34" s="13">
        <v>45553</v>
      </c>
      <c r="B34" s="14" t="s">
        <v>5</v>
      </c>
      <c r="C34" s="15">
        <v>0.98250000000000004</v>
      </c>
      <c r="D34" s="16" t="s">
        <v>79</v>
      </c>
      <c r="E34" s="17"/>
      <c r="F34" s="17"/>
      <c r="G34" s="18">
        <v>630</v>
      </c>
      <c r="H34" s="19">
        <f t="shared" si="0"/>
        <v>11.024999999999977</v>
      </c>
      <c r="I34" s="20">
        <f t="shared" si="1"/>
        <v>606.37499999999875</v>
      </c>
      <c r="J34" s="21">
        <f t="shared" si="3"/>
        <v>31.5</v>
      </c>
      <c r="K34" s="22">
        <f t="shared" si="2"/>
        <v>20.475000000000023</v>
      </c>
    </row>
    <row r="35" spans="1:11" ht="12.75" x14ac:dyDescent="0.2">
      <c r="A35" s="13">
        <v>45554</v>
      </c>
      <c r="B35" s="14" t="s">
        <v>6</v>
      </c>
      <c r="C35" s="15">
        <v>0.9667</v>
      </c>
      <c r="D35" s="16" t="s">
        <v>22</v>
      </c>
      <c r="E35" s="17"/>
      <c r="F35" s="17"/>
      <c r="G35" s="18">
        <v>630</v>
      </c>
      <c r="H35" s="19">
        <f t="shared" si="0"/>
        <v>20.979000000000042</v>
      </c>
      <c r="I35" s="20">
        <f t="shared" si="1"/>
        <v>1153.8450000000023</v>
      </c>
      <c r="J35" s="21">
        <f t="shared" si="3"/>
        <v>31.5</v>
      </c>
      <c r="K35" s="22">
        <f t="shared" si="2"/>
        <v>10.520999999999958</v>
      </c>
    </row>
    <row r="36" spans="1:11" ht="12.75" x14ac:dyDescent="0.2">
      <c r="A36" s="13">
        <v>45555</v>
      </c>
      <c r="B36" s="14" t="s">
        <v>7</v>
      </c>
      <c r="C36" s="15">
        <v>0.94130000000000003</v>
      </c>
      <c r="D36" s="16" t="s">
        <v>23</v>
      </c>
      <c r="E36" s="17"/>
      <c r="F36" s="17"/>
      <c r="G36" s="18">
        <v>630</v>
      </c>
      <c r="H36" s="19">
        <f t="shared" si="0"/>
        <v>36.980999999999995</v>
      </c>
      <c r="I36" s="20">
        <f t="shared" si="1"/>
        <v>2033.9549999999997</v>
      </c>
      <c r="J36" s="21">
        <f t="shared" si="3"/>
        <v>31.5</v>
      </c>
      <c r="K36" s="22">
        <f t="shared" si="2"/>
        <v>-5.4809999999999945</v>
      </c>
    </row>
    <row r="37" spans="1:11" ht="12.75" x14ac:dyDescent="0.2">
      <c r="A37" s="13">
        <v>45558</v>
      </c>
      <c r="B37" s="14" t="s">
        <v>3</v>
      </c>
      <c r="C37" s="15">
        <v>0.94289999999999996</v>
      </c>
      <c r="D37" s="16" t="s">
        <v>22</v>
      </c>
      <c r="E37" s="17"/>
      <c r="F37" s="17"/>
      <c r="G37" s="18">
        <v>630</v>
      </c>
      <c r="H37" s="19">
        <f t="shared" si="0"/>
        <v>35.97300000000007</v>
      </c>
      <c r="I37" s="20">
        <f t="shared" si="1"/>
        <v>1978.515000000004</v>
      </c>
      <c r="J37" s="21">
        <f t="shared" si="3"/>
        <v>31.5</v>
      </c>
      <c r="K37" s="22">
        <f t="shared" si="2"/>
        <v>-4.47300000000007</v>
      </c>
    </row>
    <row r="38" spans="1:11" ht="12.75" x14ac:dyDescent="0.2">
      <c r="A38" s="13">
        <v>45559</v>
      </c>
      <c r="B38" s="14" t="s">
        <v>4</v>
      </c>
      <c r="C38" s="15">
        <v>0.9556</v>
      </c>
      <c r="D38" s="16" t="s">
        <v>22</v>
      </c>
      <c r="E38" s="17"/>
      <c r="F38" s="17"/>
      <c r="G38" s="18">
        <v>630</v>
      </c>
      <c r="H38" s="19">
        <f t="shared" si="0"/>
        <v>27.97199999999998</v>
      </c>
      <c r="I38" s="20">
        <f t="shared" si="1"/>
        <v>1538.4599999999989</v>
      </c>
      <c r="J38" s="21">
        <f t="shared" si="3"/>
        <v>31.5</v>
      </c>
      <c r="K38" s="22">
        <f t="shared" si="2"/>
        <v>3.52800000000002</v>
      </c>
    </row>
    <row r="39" spans="1:11" ht="12.75" x14ac:dyDescent="0.2">
      <c r="A39" s="13">
        <v>45560</v>
      </c>
      <c r="B39" s="14" t="s">
        <v>5</v>
      </c>
      <c r="C39" s="15">
        <v>0.95399999999999996</v>
      </c>
      <c r="D39" s="16" t="s">
        <v>22</v>
      </c>
      <c r="E39" s="17"/>
      <c r="F39" s="17"/>
      <c r="G39" s="18">
        <v>630</v>
      </c>
      <c r="H39" s="19">
        <f t="shared" si="0"/>
        <v>28.980000000000018</v>
      </c>
      <c r="I39" s="20">
        <f t="shared" si="1"/>
        <v>1593.900000000001</v>
      </c>
      <c r="J39" s="21">
        <f t="shared" si="3"/>
        <v>31.5</v>
      </c>
      <c r="K39" s="22">
        <f t="shared" si="2"/>
        <v>2.5199999999999818</v>
      </c>
    </row>
    <row r="40" spans="1:11" ht="12.75" x14ac:dyDescent="0.2">
      <c r="A40" s="13">
        <v>45561</v>
      </c>
      <c r="B40" s="14" t="s">
        <v>6</v>
      </c>
      <c r="C40" s="15">
        <v>0.92859999999999998</v>
      </c>
      <c r="D40" s="16" t="s">
        <v>22</v>
      </c>
      <c r="E40" s="17"/>
      <c r="F40" s="17"/>
      <c r="G40" s="18">
        <v>630</v>
      </c>
      <c r="H40" s="19">
        <f t="shared" si="0"/>
        <v>44.981999999999971</v>
      </c>
      <c r="I40" s="20">
        <f t="shared" si="1"/>
        <v>2474.0099999999984</v>
      </c>
      <c r="J40" s="21">
        <f t="shared" si="3"/>
        <v>31.5</v>
      </c>
      <c r="K40" s="22">
        <f t="shared" si="2"/>
        <v>-13.481999999999971</v>
      </c>
    </row>
    <row r="41" spans="1:11" ht="12.75" x14ac:dyDescent="0.2">
      <c r="A41" s="13">
        <v>45562</v>
      </c>
      <c r="B41" s="14" t="s">
        <v>7</v>
      </c>
      <c r="C41" s="15">
        <v>0.95240000000000002</v>
      </c>
      <c r="D41" s="16" t="s">
        <v>22</v>
      </c>
      <c r="E41" s="17"/>
      <c r="F41" s="17"/>
      <c r="G41" s="18">
        <v>630</v>
      </c>
      <c r="H41" s="19">
        <f t="shared" si="0"/>
        <v>29.987999999999943</v>
      </c>
      <c r="I41" s="20">
        <f t="shared" si="1"/>
        <v>1649.339999999997</v>
      </c>
      <c r="J41" s="21">
        <f t="shared" si="3"/>
        <v>31.5</v>
      </c>
      <c r="K41" s="22">
        <f t="shared" si="2"/>
        <v>1.5120000000000573</v>
      </c>
    </row>
    <row r="42" spans="1:11" ht="12.75" x14ac:dyDescent="0.2">
      <c r="A42" s="13">
        <v>45565</v>
      </c>
      <c r="B42" s="14" t="s">
        <v>3</v>
      </c>
      <c r="C42" s="15">
        <v>0.9395</v>
      </c>
      <c r="D42" s="16" t="s">
        <v>22</v>
      </c>
      <c r="E42" s="17"/>
      <c r="F42" s="17"/>
      <c r="G42" s="18">
        <v>628</v>
      </c>
      <c r="H42" s="19">
        <f t="shared" si="0"/>
        <v>37.994000000000028</v>
      </c>
      <c r="I42" s="20">
        <f t="shared" si="1"/>
        <v>2089.6700000000014</v>
      </c>
      <c r="J42" s="21">
        <f t="shared" si="3"/>
        <v>31.399999999999977</v>
      </c>
      <c r="K42" s="22">
        <f t="shared" si="2"/>
        <v>-6.5940000000000509</v>
      </c>
    </row>
    <row r="43" spans="1:11" ht="12.75" x14ac:dyDescent="0.2">
      <c r="A43" s="13">
        <v>45566</v>
      </c>
      <c r="B43" s="14" t="s">
        <v>4</v>
      </c>
      <c r="C43" s="15">
        <v>0.96499999999999997</v>
      </c>
      <c r="D43" s="16" t="s">
        <v>22</v>
      </c>
      <c r="E43" s="17"/>
      <c r="F43" s="17"/>
      <c r="G43" s="18">
        <v>628</v>
      </c>
      <c r="H43" s="19">
        <f t="shared" si="0"/>
        <v>21.980000000000018</v>
      </c>
      <c r="I43" s="20">
        <f t="shared" si="1"/>
        <v>1208.900000000001</v>
      </c>
      <c r="J43" s="21">
        <f t="shared" si="3"/>
        <v>31.399999999999977</v>
      </c>
      <c r="K43" s="22">
        <f t="shared" si="2"/>
        <v>9.4199999999999591</v>
      </c>
    </row>
    <row r="44" spans="1:11" ht="12.75" x14ac:dyDescent="0.2">
      <c r="A44" s="13">
        <v>45567</v>
      </c>
      <c r="B44" s="14" t="s">
        <v>5</v>
      </c>
      <c r="C44" s="15">
        <v>0.95709999999999995</v>
      </c>
      <c r="D44" s="16" t="s">
        <v>22</v>
      </c>
      <c r="E44" s="17"/>
      <c r="F44" s="17"/>
      <c r="G44" s="18">
        <v>629</v>
      </c>
      <c r="H44" s="19">
        <f t="shared" si="0"/>
        <v>26.984100000000012</v>
      </c>
      <c r="I44" s="20">
        <f t="shared" si="1"/>
        <v>1484.1255000000006</v>
      </c>
      <c r="J44" s="21">
        <f t="shared" si="3"/>
        <v>31.450000000000045</v>
      </c>
      <c r="K44" s="22">
        <f t="shared" si="2"/>
        <v>4.4659000000000333</v>
      </c>
    </row>
    <row r="45" spans="1:11" ht="12.75" x14ac:dyDescent="0.2">
      <c r="A45" s="13">
        <v>45568</v>
      </c>
      <c r="B45" s="14" t="s">
        <v>6</v>
      </c>
      <c r="C45" s="15">
        <v>0.94589999999999996</v>
      </c>
      <c r="D45" s="16" t="s">
        <v>23</v>
      </c>
      <c r="E45" s="17"/>
      <c r="F45" s="17"/>
      <c r="G45" s="18">
        <v>629</v>
      </c>
      <c r="H45" s="19">
        <f t="shared" si="0"/>
        <v>34.028900000000021</v>
      </c>
      <c r="I45" s="20">
        <f t="shared" si="1"/>
        <v>1871.5895000000012</v>
      </c>
      <c r="J45" s="21">
        <f t="shared" si="3"/>
        <v>31.450000000000045</v>
      </c>
      <c r="K45" s="22">
        <f t="shared" si="2"/>
        <v>-2.578899999999976</v>
      </c>
    </row>
    <row r="46" spans="1:11" ht="25.5" x14ac:dyDescent="0.2">
      <c r="A46" s="13">
        <v>45569</v>
      </c>
      <c r="B46" s="14" t="s">
        <v>7</v>
      </c>
      <c r="C46" s="15">
        <v>0.93</v>
      </c>
      <c r="D46" s="16" t="s">
        <v>22</v>
      </c>
      <c r="E46" s="17" t="s">
        <v>239</v>
      </c>
      <c r="F46" s="17"/>
      <c r="G46" s="18">
        <v>629</v>
      </c>
      <c r="H46" s="19">
        <f t="shared" si="0"/>
        <v>44.029999999999973</v>
      </c>
      <c r="I46" s="20">
        <f t="shared" si="1"/>
        <v>2421.6499999999987</v>
      </c>
      <c r="J46" s="21">
        <f t="shared" si="3"/>
        <v>31.450000000000045</v>
      </c>
      <c r="K46" s="22">
        <f t="shared" si="2"/>
        <v>-12.579999999999927</v>
      </c>
    </row>
    <row r="47" spans="1:11" ht="12.75" x14ac:dyDescent="0.2">
      <c r="A47" s="24">
        <v>45572</v>
      </c>
      <c r="B47" s="25" t="s">
        <v>3</v>
      </c>
      <c r="C47" s="26"/>
      <c r="D47" s="27"/>
      <c r="E47" s="28"/>
      <c r="F47" s="28"/>
      <c r="G47" s="29"/>
      <c r="H47" s="19">
        <f t="shared" si="0"/>
        <v>0</v>
      </c>
      <c r="I47" s="20">
        <f t="shared" si="1"/>
        <v>0</v>
      </c>
      <c r="J47" s="21">
        <f t="shared" si="3"/>
        <v>0</v>
      </c>
      <c r="K47" s="22">
        <f t="shared" si="2"/>
        <v>0</v>
      </c>
    </row>
    <row r="48" spans="1:11" ht="12.75" x14ac:dyDescent="0.2">
      <c r="A48" s="24">
        <v>45573</v>
      </c>
      <c r="B48" s="25" t="s">
        <v>4</v>
      </c>
      <c r="C48" s="26"/>
      <c r="D48" s="27"/>
      <c r="E48" s="28"/>
      <c r="F48" s="28"/>
      <c r="G48" s="29"/>
      <c r="H48" s="19">
        <f t="shared" si="0"/>
        <v>0</v>
      </c>
      <c r="I48" s="20">
        <f t="shared" si="1"/>
        <v>0</v>
      </c>
      <c r="J48" s="21">
        <f t="shared" si="3"/>
        <v>0</v>
      </c>
      <c r="K48" s="22">
        <f t="shared" si="2"/>
        <v>0</v>
      </c>
    </row>
    <row r="49" spans="1:11" ht="12.75" x14ac:dyDescent="0.2">
      <c r="A49" s="24">
        <v>45574</v>
      </c>
      <c r="B49" s="25" t="s">
        <v>5</v>
      </c>
      <c r="C49" s="26"/>
      <c r="D49" s="27"/>
      <c r="E49" s="28"/>
      <c r="F49" s="28"/>
      <c r="G49" s="29"/>
      <c r="H49" s="19">
        <f t="shared" si="0"/>
        <v>0</v>
      </c>
      <c r="I49" s="20">
        <f t="shared" si="1"/>
        <v>0</v>
      </c>
      <c r="J49" s="21">
        <f t="shared" si="3"/>
        <v>0</v>
      </c>
      <c r="K49" s="22">
        <f t="shared" si="2"/>
        <v>0</v>
      </c>
    </row>
    <row r="50" spans="1:11" ht="12.75" x14ac:dyDescent="0.2">
      <c r="A50" s="24">
        <v>45575</v>
      </c>
      <c r="B50" s="25" t="s">
        <v>6</v>
      </c>
      <c r="C50" s="26"/>
      <c r="D50" s="27"/>
      <c r="E50" s="28"/>
      <c r="F50" s="28"/>
      <c r="G50" s="29"/>
      <c r="H50" s="19">
        <f t="shared" si="0"/>
        <v>0</v>
      </c>
      <c r="I50" s="20">
        <f t="shared" si="1"/>
        <v>0</v>
      </c>
      <c r="J50" s="21">
        <f t="shared" si="3"/>
        <v>0</v>
      </c>
      <c r="K50" s="22">
        <f t="shared" si="2"/>
        <v>0</v>
      </c>
    </row>
    <row r="51" spans="1:11" ht="12.75" x14ac:dyDescent="0.2">
      <c r="A51" s="24">
        <v>45576</v>
      </c>
      <c r="B51" s="25" t="s">
        <v>7</v>
      </c>
      <c r="C51" s="26"/>
      <c r="D51" s="27"/>
      <c r="E51" s="28"/>
      <c r="F51" s="28"/>
      <c r="G51" s="29"/>
      <c r="H51" s="19">
        <f t="shared" si="0"/>
        <v>0</v>
      </c>
      <c r="I51" s="20">
        <f t="shared" si="1"/>
        <v>0</v>
      </c>
      <c r="J51" s="21">
        <f t="shared" si="3"/>
        <v>0</v>
      </c>
      <c r="K51" s="22">
        <f t="shared" si="2"/>
        <v>0</v>
      </c>
    </row>
    <row r="52" spans="1:11" ht="12.75" x14ac:dyDescent="0.2">
      <c r="A52" s="13">
        <v>45579</v>
      </c>
      <c r="B52" s="14" t="s">
        <v>3</v>
      </c>
      <c r="C52" s="15">
        <v>0.92220000000000002</v>
      </c>
      <c r="D52" s="16" t="s">
        <v>22</v>
      </c>
      <c r="E52" s="17"/>
      <c r="F52" s="17"/>
      <c r="G52" s="18">
        <v>630</v>
      </c>
      <c r="H52" s="19">
        <f t="shared" si="0"/>
        <v>49.01400000000001</v>
      </c>
      <c r="I52" s="20">
        <f t="shared" si="1"/>
        <v>2695.7700000000004</v>
      </c>
      <c r="J52" s="21">
        <f t="shared" si="3"/>
        <v>31.5</v>
      </c>
      <c r="K52" s="22">
        <f t="shared" si="2"/>
        <v>-17.51400000000001</v>
      </c>
    </row>
    <row r="53" spans="1:11" ht="12.75" x14ac:dyDescent="0.2">
      <c r="A53" s="13">
        <v>45580</v>
      </c>
      <c r="B53" s="14" t="s">
        <v>4</v>
      </c>
      <c r="C53" s="15">
        <v>0.94130000000000003</v>
      </c>
      <c r="D53" s="16" t="s">
        <v>22</v>
      </c>
      <c r="E53" s="17"/>
      <c r="F53" s="17"/>
      <c r="G53" s="18">
        <v>630</v>
      </c>
      <c r="H53" s="19">
        <f t="shared" si="0"/>
        <v>36.980999999999995</v>
      </c>
      <c r="I53" s="20">
        <f t="shared" si="1"/>
        <v>2033.9549999999997</v>
      </c>
      <c r="J53" s="21">
        <f t="shared" si="3"/>
        <v>31.5</v>
      </c>
      <c r="K53" s="22">
        <f t="shared" si="2"/>
        <v>-5.4809999999999945</v>
      </c>
    </row>
    <row r="54" spans="1:11" ht="12.75" x14ac:dyDescent="0.2">
      <c r="A54" s="13">
        <v>45581</v>
      </c>
      <c r="B54" s="14" t="s">
        <v>5</v>
      </c>
      <c r="C54" s="36">
        <v>0.9556</v>
      </c>
      <c r="D54" s="16" t="s">
        <v>23</v>
      </c>
      <c r="E54" s="17"/>
      <c r="F54" s="37"/>
      <c r="G54" s="18">
        <v>630</v>
      </c>
      <c r="H54" s="19">
        <f t="shared" si="0"/>
        <v>27.97199999999998</v>
      </c>
      <c r="I54" s="20">
        <f t="shared" si="1"/>
        <v>1538.4599999999989</v>
      </c>
      <c r="J54" s="21">
        <f t="shared" si="3"/>
        <v>31.5</v>
      </c>
      <c r="K54" s="22">
        <f t="shared" si="2"/>
        <v>3.52800000000002</v>
      </c>
    </row>
    <row r="55" spans="1:11" ht="12.75" x14ac:dyDescent="0.2">
      <c r="A55" s="13">
        <v>45582</v>
      </c>
      <c r="B55" s="14" t="s">
        <v>6</v>
      </c>
      <c r="C55" s="15">
        <v>0.96519999999999995</v>
      </c>
      <c r="D55" s="16" t="s">
        <v>22</v>
      </c>
      <c r="E55" s="17"/>
      <c r="F55" s="17"/>
      <c r="G55" s="18">
        <v>632</v>
      </c>
      <c r="H55" s="19">
        <f t="shared" si="0"/>
        <v>21.993600000000015</v>
      </c>
      <c r="I55" s="20">
        <f t="shared" si="1"/>
        <v>1209.6480000000008</v>
      </c>
      <c r="J55" s="21">
        <f t="shared" si="3"/>
        <v>31.600000000000023</v>
      </c>
      <c r="K55" s="22">
        <f t="shared" si="2"/>
        <v>9.6064000000000078</v>
      </c>
    </row>
    <row r="56" spans="1:11" ht="12.75" x14ac:dyDescent="0.2">
      <c r="A56" s="13">
        <v>45583</v>
      </c>
      <c r="B56" s="14" t="s">
        <v>7</v>
      </c>
      <c r="C56" s="15">
        <v>0.95889999999999997</v>
      </c>
      <c r="D56" s="16" t="s">
        <v>22</v>
      </c>
      <c r="E56" s="17"/>
      <c r="F56" s="17"/>
      <c r="G56" s="18">
        <v>633</v>
      </c>
      <c r="H56" s="19">
        <f t="shared" si="0"/>
        <v>26.016300000000001</v>
      </c>
      <c r="I56" s="20">
        <f t="shared" si="1"/>
        <v>1430.8965000000001</v>
      </c>
      <c r="J56" s="21">
        <f t="shared" si="3"/>
        <v>31.649999999999977</v>
      </c>
      <c r="K56" s="22">
        <f t="shared" si="2"/>
        <v>5.6336999999999762</v>
      </c>
    </row>
    <row r="57" spans="1:11" ht="12.75" x14ac:dyDescent="0.2">
      <c r="A57" s="13">
        <v>45586</v>
      </c>
      <c r="B57" s="14" t="s">
        <v>3</v>
      </c>
      <c r="C57" s="15">
        <v>0.94159999999999999</v>
      </c>
      <c r="D57" s="16" t="s">
        <v>22</v>
      </c>
      <c r="E57" s="17"/>
      <c r="F57" s="17"/>
      <c r="G57" s="18">
        <v>634</v>
      </c>
      <c r="H57" s="19">
        <f t="shared" si="0"/>
        <v>37.025600000000054</v>
      </c>
      <c r="I57" s="20">
        <f t="shared" si="1"/>
        <v>2036.4080000000031</v>
      </c>
      <c r="J57" s="21">
        <f t="shared" si="3"/>
        <v>31.700000000000045</v>
      </c>
      <c r="K57" s="22">
        <f t="shared" si="2"/>
        <v>-5.3256000000000085</v>
      </c>
    </row>
    <row r="58" spans="1:11" ht="12.75" x14ac:dyDescent="0.2">
      <c r="A58" s="13">
        <v>45587</v>
      </c>
      <c r="B58" s="14" t="s">
        <v>4</v>
      </c>
      <c r="C58" s="15">
        <v>0.96209999999999996</v>
      </c>
      <c r="D58" s="16" t="s">
        <v>22</v>
      </c>
      <c r="E58" s="17"/>
      <c r="F58" s="17"/>
      <c r="G58" s="18">
        <v>634</v>
      </c>
      <c r="H58" s="19">
        <f t="shared" si="0"/>
        <v>24.028599999999983</v>
      </c>
      <c r="I58" s="20">
        <f t="shared" si="1"/>
        <v>1321.572999999999</v>
      </c>
      <c r="J58" s="21">
        <f t="shared" si="3"/>
        <v>31.700000000000045</v>
      </c>
      <c r="K58" s="22">
        <f t="shared" si="2"/>
        <v>7.6714000000000624</v>
      </c>
    </row>
    <row r="59" spans="1:11" ht="12.75" x14ac:dyDescent="0.2">
      <c r="A59" s="13">
        <v>45588</v>
      </c>
      <c r="B59" s="14" t="s">
        <v>5</v>
      </c>
      <c r="C59" s="15">
        <v>0.9637</v>
      </c>
      <c r="D59" s="16" t="s">
        <v>22</v>
      </c>
      <c r="E59" s="17"/>
      <c r="F59" s="17"/>
      <c r="G59" s="18">
        <v>634</v>
      </c>
      <c r="H59" s="19">
        <f t="shared" si="0"/>
        <v>23.01419999999996</v>
      </c>
      <c r="I59" s="20">
        <f t="shared" si="1"/>
        <v>1265.7809999999977</v>
      </c>
      <c r="J59" s="21">
        <f t="shared" si="3"/>
        <v>31.700000000000045</v>
      </c>
      <c r="K59" s="22">
        <f t="shared" si="2"/>
        <v>8.6858000000000857</v>
      </c>
    </row>
    <row r="60" spans="1:11" ht="12.75" x14ac:dyDescent="0.2">
      <c r="A60" s="13">
        <v>45589</v>
      </c>
      <c r="B60" s="14" t="s">
        <v>6</v>
      </c>
      <c r="C60" s="15">
        <v>0.96379999999999999</v>
      </c>
      <c r="D60" s="16" t="s">
        <v>22</v>
      </c>
      <c r="E60" s="17"/>
      <c r="F60" s="17"/>
      <c r="G60" s="18">
        <v>635</v>
      </c>
      <c r="H60" s="19">
        <f t="shared" si="0"/>
        <v>22.986999999999966</v>
      </c>
      <c r="I60" s="20">
        <f t="shared" si="1"/>
        <v>1264.284999999998</v>
      </c>
      <c r="J60" s="21">
        <f t="shared" si="3"/>
        <v>31.75</v>
      </c>
      <c r="K60" s="22">
        <f t="shared" si="2"/>
        <v>8.7630000000000337</v>
      </c>
    </row>
    <row r="61" spans="1:11" ht="12.75" x14ac:dyDescent="0.2">
      <c r="A61" s="13">
        <v>45590</v>
      </c>
      <c r="B61" s="14" t="s">
        <v>7</v>
      </c>
      <c r="C61" s="15">
        <v>0.94489999999999996</v>
      </c>
      <c r="D61" s="16" t="s">
        <v>22</v>
      </c>
      <c r="E61" s="17"/>
      <c r="F61" s="17"/>
      <c r="G61" s="18">
        <v>635</v>
      </c>
      <c r="H61" s="19">
        <f t="shared" si="0"/>
        <v>34.988500000000045</v>
      </c>
      <c r="I61" s="20">
        <f t="shared" si="1"/>
        <v>1924.3675000000026</v>
      </c>
      <c r="J61" s="21">
        <f t="shared" si="3"/>
        <v>31.75</v>
      </c>
      <c r="K61" s="22">
        <f t="shared" si="2"/>
        <v>-3.2385000000000446</v>
      </c>
    </row>
    <row r="62" spans="1:11" ht="12.75" x14ac:dyDescent="0.2">
      <c r="A62" s="13">
        <v>45593</v>
      </c>
      <c r="B62" s="14" t="s">
        <v>3</v>
      </c>
      <c r="C62" s="15">
        <v>0.93689999999999996</v>
      </c>
      <c r="D62" s="16" t="s">
        <v>22</v>
      </c>
      <c r="E62" s="17"/>
      <c r="F62" s="17"/>
      <c r="G62" s="18">
        <v>634</v>
      </c>
      <c r="H62" s="19">
        <f t="shared" si="0"/>
        <v>40.005400000000009</v>
      </c>
      <c r="I62" s="20">
        <f t="shared" si="1"/>
        <v>2200.2970000000005</v>
      </c>
      <c r="J62" s="21">
        <f t="shared" si="3"/>
        <v>31.700000000000045</v>
      </c>
      <c r="K62" s="22">
        <f t="shared" si="2"/>
        <v>-8.3053999999999633</v>
      </c>
    </row>
    <row r="63" spans="1:11" ht="12.75" x14ac:dyDescent="0.2">
      <c r="A63" s="13">
        <v>45594</v>
      </c>
      <c r="B63" s="14" t="s">
        <v>4</v>
      </c>
      <c r="C63" s="15">
        <v>0.9496</v>
      </c>
      <c r="D63" s="16" t="s">
        <v>22</v>
      </c>
      <c r="E63" s="17"/>
      <c r="F63" s="17"/>
      <c r="G63" s="18">
        <v>634</v>
      </c>
      <c r="H63" s="19">
        <f t="shared" si="0"/>
        <v>31.953600000000051</v>
      </c>
      <c r="I63" s="20">
        <f t="shared" si="1"/>
        <v>1757.4480000000028</v>
      </c>
      <c r="J63" s="21">
        <f t="shared" si="3"/>
        <v>31.700000000000045</v>
      </c>
      <c r="K63" s="22">
        <f t="shared" si="2"/>
        <v>-0.25360000000000582</v>
      </c>
    </row>
    <row r="64" spans="1:11" ht="12.75" x14ac:dyDescent="0.2">
      <c r="A64" s="13">
        <v>45595</v>
      </c>
      <c r="B64" s="14" t="s">
        <v>5</v>
      </c>
      <c r="C64" s="15">
        <v>0.95909999999999995</v>
      </c>
      <c r="D64" s="16" t="s">
        <v>23</v>
      </c>
      <c r="E64" s="17"/>
      <c r="F64" s="17"/>
      <c r="G64" s="18">
        <v>634</v>
      </c>
      <c r="H64" s="19">
        <f t="shared" si="0"/>
        <v>25.930600000000027</v>
      </c>
      <c r="I64" s="20">
        <f t="shared" si="1"/>
        <v>1426.1830000000014</v>
      </c>
      <c r="J64" s="21">
        <f t="shared" si="3"/>
        <v>31.700000000000045</v>
      </c>
      <c r="K64" s="22">
        <f t="shared" si="2"/>
        <v>5.7694000000000187</v>
      </c>
    </row>
    <row r="65" spans="1:11" ht="12.75" x14ac:dyDescent="0.2">
      <c r="A65" s="13">
        <v>45596</v>
      </c>
      <c r="B65" s="14" t="s">
        <v>6</v>
      </c>
      <c r="C65" s="15">
        <v>0.95120000000000005</v>
      </c>
      <c r="D65" s="16" t="s">
        <v>23</v>
      </c>
      <c r="E65" s="17"/>
      <c r="F65" s="17"/>
      <c r="G65" s="18">
        <v>636</v>
      </c>
      <c r="H65" s="19">
        <f t="shared" si="0"/>
        <v>31.036799999999971</v>
      </c>
      <c r="I65" s="20">
        <f t="shared" si="1"/>
        <v>1707.0239999999985</v>
      </c>
      <c r="J65" s="21">
        <f t="shared" si="3"/>
        <v>31.800000000000068</v>
      </c>
      <c r="K65" s="22">
        <f t="shared" si="2"/>
        <v>0.76320000000009713</v>
      </c>
    </row>
    <row r="66" spans="1:11" ht="12.75" x14ac:dyDescent="0.2">
      <c r="A66" s="13">
        <v>45597</v>
      </c>
      <c r="B66" s="14" t="s">
        <v>7</v>
      </c>
      <c r="C66" s="15">
        <v>0.88660000000000005</v>
      </c>
      <c r="D66" s="16" t="s">
        <v>22</v>
      </c>
      <c r="E66" s="17" t="s">
        <v>25</v>
      </c>
      <c r="F66" s="17"/>
      <c r="G66" s="18">
        <v>635</v>
      </c>
      <c r="H66" s="19">
        <f t="shared" si="0"/>
        <v>72.009000000000015</v>
      </c>
      <c r="I66" s="20">
        <f t="shared" si="1"/>
        <v>3960.4950000000008</v>
      </c>
      <c r="J66" s="21">
        <f t="shared" si="3"/>
        <v>31.75</v>
      </c>
      <c r="K66" s="22">
        <f t="shared" si="2"/>
        <v>-40.259000000000015</v>
      </c>
    </row>
    <row r="67" spans="1:11" ht="12.75" x14ac:dyDescent="0.2">
      <c r="A67" s="38">
        <v>45600</v>
      </c>
      <c r="B67" s="39" t="s">
        <v>3</v>
      </c>
      <c r="C67" s="40"/>
      <c r="D67" s="41"/>
      <c r="E67" s="42"/>
      <c r="F67" s="42"/>
      <c r="G67" s="43"/>
      <c r="H67" s="19">
        <f t="shared" si="0"/>
        <v>0</v>
      </c>
      <c r="I67" s="20">
        <f t="shared" si="1"/>
        <v>0</v>
      </c>
      <c r="J67" s="21">
        <f t="shared" si="3"/>
        <v>0</v>
      </c>
      <c r="K67" s="22">
        <f t="shared" si="2"/>
        <v>0</v>
      </c>
    </row>
    <row r="68" spans="1:11" ht="12.75" x14ac:dyDescent="0.2">
      <c r="A68" s="30">
        <v>45601</v>
      </c>
      <c r="B68" s="31" t="s">
        <v>4</v>
      </c>
      <c r="C68" s="32"/>
      <c r="D68" s="33"/>
      <c r="E68" s="34"/>
      <c r="F68" s="34"/>
      <c r="G68" s="35"/>
      <c r="H68" s="19">
        <f t="shared" si="0"/>
        <v>0</v>
      </c>
      <c r="I68" s="20">
        <f t="shared" si="1"/>
        <v>0</v>
      </c>
      <c r="J68" s="21">
        <f t="shared" si="3"/>
        <v>0</v>
      </c>
      <c r="K68" s="22">
        <f t="shared" si="2"/>
        <v>0</v>
      </c>
    </row>
    <row r="69" spans="1:11" ht="12.75" x14ac:dyDescent="0.2">
      <c r="A69" s="13">
        <v>45602</v>
      </c>
      <c r="B69" s="14" t="s">
        <v>5</v>
      </c>
      <c r="C69" s="15">
        <v>0.97</v>
      </c>
      <c r="D69" s="16" t="s">
        <v>79</v>
      </c>
      <c r="E69" s="17"/>
      <c r="F69" s="17"/>
      <c r="G69" s="18">
        <v>634</v>
      </c>
      <c r="H69" s="19">
        <f t="shared" si="0"/>
        <v>19.019999999999982</v>
      </c>
      <c r="I69" s="20">
        <f t="shared" si="1"/>
        <v>1046.099999999999</v>
      </c>
      <c r="J69" s="21">
        <f t="shared" si="3"/>
        <v>31.700000000000045</v>
      </c>
      <c r="K69" s="22">
        <f t="shared" si="2"/>
        <v>12.680000000000064</v>
      </c>
    </row>
    <row r="70" spans="1:11" ht="12.75" x14ac:dyDescent="0.2">
      <c r="A70" s="13">
        <v>45603</v>
      </c>
      <c r="B70" s="14" t="s">
        <v>6</v>
      </c>
      <c r="C70" s="15">
        <v>0.97789999999999999</v>
      </c>
      <c r="D70" s="23" t="s">
        <v>23</v>
      </c>
      <c r="E70" s="17"/>
      <c r="F70" s="17"/>
      <c r="G70" s="18">
        <v>634</v>
      </c>
      <c r="H70" s="19">
        <f t="shared" si="0"/>
        <v>14.011399999999981</v>
      </c>
      <c r="I70" s="20">
        <f t="shared" si="1"/>
        <v>770.62699999999893</v>
      </c>
      <c r="J70" s="21">
        <f t="shared" si="3"/>
        <v>31.700000000000045</v>
      </c>
      <c r="K70" s="22">
        <f t="shared" si="2"/>
        <v>17.688600000000065</v>
      </c>
    </row>
    <row r="71" spans="1:11" ht="12.75" x14ac:dyDescent="0.2">
      <c r="A71" s="13">
        <v>45604</v>
      </c>
      <c r="B71" s="14" t="s">
        <v>7</v>
      </c>
      <c r="C71" s="15">
        <v>0.95430000000000004</v>
      </c>
      <c r="D71" s="23" t="s">
        <v>22</v>
      </c>
      <c r="E71" s="17"/>
      <c r="F71" s="17"/>
      <c r="G71" s="18">
        <v>634</v>
      </c>
      <c r="H71" s="19">
        <f t="shared" si="0"/>
        <v>28.973799999999983</v>
      </c>
      <c r="I71" s="20">
        <f t="shared" si="1"/>
        <v>1593.5589999999991</v>
      </c>
      <c r="J71" s="21">
        <f t="shared" si="3"/>
        <v>31.700000000000045</v>
      </c>
      <c r="K71" s="22">
        <f t="shared" si="2"/>
        <v>2.7262000000000626</v>
      </c>
    </row>
    <row r="72" spans="1:11" ht="12.75" x14ac:dyDescent="0.2">
      <c r="A72" s="13">
        <v>45607</v>
      </c>
      <c r="B72" s="14" t="s">
        <v>3</v>
      </c>
      <c r="C72" s="15">
        <v>0.93859999999999999</v>
      </c>
      <c r="D72" s="23" t="s">
        <v>22</v>
      </c>
      <c r="E72" s="17"/>
      <c r="F72" s="17"/>
      <c r="G72" s="18">
        <v>635</v>
      </c>
      <c r="H72" s="19">
        <f t="shared" si="0"/>
        <v>38.989000000000033</v>
      </c>
      <c r="I72" s="20">
        <f t="shared" si="1"/>
        <v>2144.3950000000018</v>
      </c>
      <c r="J72" s="21">
        <f t="shared" si="3"/>
        <v>31.75</v>
      </c>
      <c r="K72" s="22">
        <f t="shared" si="2"/>
        <v>-7.2390000000000327</v>
      </c>
    </row>
    <row r="73" spans="1:11" ht="12.75" x14ac:dyDescent="0.2">
      <c r="A73" s="13">
        <v>45608</v>
      </c>
      <c r="B73" s="14" t="s">
        <v>4</v>
      </c>
      <c r="C73" s="15">
        <v>0.96540000000000004</v>
      </c>
      <c r="D73" s="16" t="s">
        <v>23</v>
      </c>
      <c r="E73" s="17"/>
      <c r="F73" s="17"/>
      <c r="G73" s="18">
        <v>635</v>
      </c>
      <c r="H73" s="19">
        <f t="shared" si="0"/>
        <v>21.971000000000004</v>
      </c>
      <c r="I73" s="20">
        <f t="shared" si="1"/>
        <v>1208.4050000000002</v>
      </c>
      <c r="J73" s="21">
        <f t="shared" si="3"/>
        <v>31.75</v>
      </c>
      <c r="K73" s="22">
        <f t="shared" si="2"/>
        <v>9.7789999999999964</v>
      </c>
    </row>
    <row r="74" spans="1:11" ht="12.75" x14ac:dyDescent="0.2">
      <c r="A74" s="13">
        <v>45609</v>
      </c>
      <c r="B74" s="14" t="s">
        <v>5</v>
      </c>
      <c r="C74" s="15">
        <v>0.96220000000000006</v>
      </c>
      <c r="D74" s="16" t="s">
        <v>23</v>
      </c>
      <c r="E74" s="17"/>
      <c r="F74" s="17"/>
      <c r="G74" s="18">
        <v>635</v>
      </c>
      <c r="H74" s="19">
        <f t="shared" si="0"/>
        <v>24.002999999999929</v>
      </c>
      <c r="I74" s="20">
        <f t="shared" si="1"/>
        <v>1320.1649999999961</v>
      </c>
      <c r="J74" s="21">
        <f t="shared" si="3"/>
        <v>31.75</v>
      </c>
      <c r="K74" s="22">
        <f t="shared" si="2"/>
        <v>7.7470000000000709</v>
      </c>
    </row>
    <row r="75" spans="1:11" ht="12.75" x14ac:dyDescent="0.2">
      <c r="A75" s="13">
        <v>45610</v>
      </c>
      <c r="B75" s="14" t="s">
        <v>6</v>
      </c>
      <c r="C75" s="15">
        <v>0.96699999999999997</v>
      </c>
      <c r="D75" s="16" t="s">
        <v>23</v>
      </c>
      <c r="E75" s="17"/>
      <c r="F75" s="17"/>
      <c r="G75" s="18">
        <v>637</v>
      </c>
      <c r="H75" s="19">
        <f t="shared" si="0"/>
        <v>21.021000000000072</v>
      </c>
      <c r="I75" s="20">
        <f t="shared" si="1"/>
        <v>1156.1550000000038</v>
      </c>
      <c r="J75" s="21">
        <f t="shared" si="3"/>
        <v>31.850000000000023</v>
      </c>
      <c r="K75" s="22">
        <f t="shared" si="2"/>
        <v>10.828999999999951</v>
      </c>
    </row>
    <row r="76" spans="1:11" ht="12.75" x14ac:dyDescent="0.2">
      <c r="A76" s="13">
        <v>45611</v>
      </c>
      <c r="B76" s="14" t="s">
        <v>7</v>
      </c>
      <c r="C76" s="15">
        <v>0.93559999999999999</v>
      </c>
      <c r="D76" s="16" t="s">
        <v>23</v>
      </c>
      <c r="E76" s="17"/>
      <c r="F76" s="17"/>
      <c r="G76" s="18">
        <v>637</v>
      </c>
      <c r="H76" s="19">
        <f t="shared" si="0"/>
        <v>41.022799999999961</v>
      </c>
      <c r="I76" s="20">
        <f t="shared" si="1"/>
        <v>2256.2539999999981</v>
      </c>
      <c r="J76" s="21">
        <f t="shared" si="3"/>
        <v>31.850000000000023</v>
      </c>
      <c r="K76" s="22">
        <f t="shared" si="2"/>
        <v>-9.1727999999999383</v>
      </c>
    </row>
    <row r="77" spans="1:11" ht="12.75" x14ac:dyDescent="0.2">
      <c r="A77" s="13">
        <v>45614</v>
      </c>
      <c r="B77" s="14" t="s">
        <v>3</v>
      </c>
      <c r="C77" s="15">
        <v>0.93389999999999995</v>
      </c>
      <c r="D77" s="16" t="s">
        <v>23</v>
      </c>
      <c r="E77" s="17"/>
      <c r="F77" s="17"/>
      <c r="G77" s="18">
        <v>635</v>
      </c>
      <c r="H77" s="19">
        <f t="shared" si="0"/>
        <v>41.973500000000058</v>
      </c>
      <c r="I77" s="20">
        <f t="shared" si="1"/>
        <v>2308.5425000000032</v>
      </c>
      <c r="J77" s="21">
        <f t="shared" si="3"/>
        <v>31.75</v>
      </c>
      <c r="K77" s="22">
        <f t="shared" si="2"/>
        <v>-10.223500000000058</v>
      </c>
    </row>
    <row r="78" spans="1:11" ht="12.75" x14ac:dyDescent="0.2">
      <c r="A78" s="13">
        <v>45615</v>
      </c>
      <c r="B78" s="14" t="s">
        <v>4</v>
      </c>
      <c r="C78" s="15">
        <v>0.94169999999999998</v>
      </c>
      <c r="D78" s="16" t="s">
        <v>79</v>
      </c>
      <c r="E78" s="17"/>
      <c r="F78" s="17"/>
      <c r="G78" s="18">
        <v>635</v>
      </c>
      <c r="H78" s="19">
        <f t="shared" si="0"/>
        <v>37.02049999999997</v>
      </c>
      <c r="I78" s="20">
        <f t="shared" si="1"/>
        <v>2036.1274999999982</v>
      </c>
      <c r="J78" s="21">
        <f t="shared" si="3"/>
        <v>31.75</v>
      </c>
      <c r="K78" s="22">
        <f t="shared" si="2"/>
        <v>-5.27049999999997</v>
      </c>
    </row>
    <row r="79" spans="1:11" ht="12.75" x14ac:dyDescent="0.2">
      <c r="A79" s="13">
        <v>45616</v>
      </c>
      <c r="B79" s="14" t="s">
        <v>5</v>
      </c>
      <c r="C79" s="15">
        <v>0.93859999999999999</v>
      </c>
      <c r="D79" s="16" t="s">
        <v>23</v>
      </c>
      <c r="E79" s="17"/>
      <c r="F79" s="17"/>
      <c r="G79" s="18">
        <v>635</v>
      </c>
      <c r="H79" s="19">
        <f t="shared" si="0"/>
        <v>38.989000000000033</v>
      </c>
      <c r="I79" s="20">
        <f t="shared" si="1"/>
        <v>2144.3950000000018</v>
      </c>
      <c r="J79" s="21">
        <f t="shared" si="3"/>
        <v>31.75</v>
      </c>
      <c r="K79" s="22">
        <f t="shared" si="2"/>
        <v>-7.2390000000000327</v>
      </c>
    </row>
    <row r="80" spans="1:11" ht="12.75" x14ac:dyDescent="0.2">
      <c r="A80" s="13">
        <v>45617</v>
      </c>
      <c r="B80" s="14" t="s">
        <v>6</v>
      </c>
      <c r="C80" s="15">
        <v>0.94489999999999996</v>
      </c>
      <c r="D80" s="16" t="s">
        <v>23</v>
      </c>
      <c r="E80" s="17"/>
      <c r="F80" s="17"/>
      <c r="G80" s="18">
        <v>635</v>
      </c>
      <c r="H80" s="19">
        <f t="shared" si="0"/>
        <v>34.988500000000045</v>
      </c>
      <c r="I80" s="20">
        <f t="shared" si="1"/>
        <v>1924.3675000000026</v>
      </c>
      <c r="J80" s="21">
        <f t="shared" si="3"/>
        <v>31.75</v>
      </c>
      <c r="K80" s="22">
        <f t="shared" si="2"/>
        <v>-3.2385000000000446</v>
      </c>
    </row>
    <row r="81" spans="1:11" ht="12.75" x14ac:dyDescent="0.2">
      <c r="A81" s="13">
        <v>45618</v>
      </c>
      <c r="B81" s="14" t="s">
        <v>7</v>
      </c>
      <c r="C81" s="15">
        <v>0.88190000000000002</v>
      </c>
      <c r="D81" s="16" t="s">
        <v>24</v>
      </c>
      <c r="E81" s="17" t="s">
        <v>240</v>
      </c>
      <c r="F81" s="17"/>
      <c r="G81" s="18">
        <v>635</v>
      </c>
      <c r="H81" s="19">
        <f t="shared" si="0"/>
        <v>74.99350000000004</v>
      </c>
      <c r="I81" s="20">
        <f t="shared" si="1"/>
        <v>4124.6425000000017</v>
      </c>
      <c r="J81" s="21">
        <f t="shared" si="3"/>
        <v>31.75</v>
      </c>
      <c r="K81" s="22">
        <f t="shared" si="2"/>
        <v>-43.24350000000004</v>
      </c>
    </row>
    <row r="82" spans="1:11" ht="12.75" x14ac:dyDescent="0.2">
      <c r="A82" s="30">
        <v>45621</v>
      </c>
      <c r="B82" s="31" t="s">
        <v>3</v>
      </c>
      <c r="C82" s="32"/>
      <c r="D82" s="33"/>
      <c r="E82" s="34"/>
      <c r="F82" s="34"/>
      <c r="G82" s="35"/>
      <c r="H82" s="19">
        <f t="shared" si="0"/>
        <v>0</v>
      </c>
      <c r="I82" s="20">
        <f t="shared" si="1"/>
        <v>0</v>
      </c>
      <c r="J82" s="21">
        <f t="shared" si="3"/>
        <v>0</v>
      </c>
      <c r="K82" s="22">
        <f t="shared" si="2"/>
        <v>0</v>
      </c>
    </row>
    <row r="83" spans="1:11" ht="12.75" x14ac:dyDescent="0.2">
      <c r="A83" s="30">
        <v>45622</v>
      </c>
      <c r="B83" s="31" t="s">
        <v>4</v>
      </c>
      <c r="C83" s="32"/>
      <c r="D83" s="33"/>
      <c r="E83" s="34"/>
      <c r="F83" s="34"/>
      <c r="G83" s="35"/>
      <c r="H83" s="19">
        <f t="shared" si="0"/>
        <v>0</v>
      </c>
      <c r="I83" s="20">
        <f t="shared" si="1"/>
        <v>0</v>
      </c>
      <c r="J83" s="21">
        <f t="shared" si="3"/>
        <v>0</v>
      </c>
      <c r="K83" s="22">
        <f t="shared" si="2"/>
        <v>0</v>
      </c>
    </row>
    <row r="84" spans="1:11" ht="12.75" x14ac:dyDescent="0.2">
      <c r="A84" s="30">
        <v>45623</v>
      </c>
      <c r="B84" s="31" t="s">
        <v>5</v>
      </c>
      <c r="C84" s="32"/>
      <c r="D84" s="33"/>
      <c r="E84" s="34"/>
      <c r="F84" s="34"/>
      <c r="G84" s="35"/>
      <c r="H84" s="19">
        <f t="shared" si="0"/>
        <v>0</v>
      </c>
      <c r="I84" s="20">
        <f t="shared" si="1"/>
        <v>0</v>
      </c>
      <c r="J84" s="21">
        <f t="shared" si="3"/>
        <v>0</v>
      </c>
      <c r="K84" s="22">
        <f t="shared" si="2"/>
        <v>0</v>
      </c>
    </row>
    <row r="85" spans="1:11" ht="12.75" x14ac:dyDescent="0.2">
      <c r="A85" s="30">
        <v>45624</v>
      </c>
      <c r="B85" s="31" t="s">
        <v>6</v>
      </c>
      <c r="C85" s="32"/>
      <c r="D85" s="33"/>
      <c r="E85" s="34"/>
      <c r="F85" s="34"/>
      <c r="G85" s="35"/>
      <c r="H85" s="19">
        <f t="shared" si="0"/>
        <v>0</v>
      </c>
      <c r="I85" s="20">
        <f t="shared" si="1"/>
        <v>0</v>
      </c>
      <c r="J85" s="21">
        <f t="shared" si="3"/>
        <v>0</v>
      </c>
      <c r="K85" s="22">
        <f t="shared" si="2"/>
        <v>0</v>
      </c>
    </row>
    <row r="86" spans="1:11" ht="12.75" x14ac:dyDescent="0.2">
      <c r="A86" s="30">
        <v>45625</v>
      </c>
      <c r="B86" s="31" t="s">
        <v>7</v>
      </c>
      <c r="C86" s="32"/>
      <c r="D86" s="33"/>
      <c r="E86" s="34"/>
      <c r="F86" s="34"/>
      <c r="G86" s="35"/>
      <c r="H86" s="19">
        <f t="shared" si="0"/>
        <v>0</v>
      </c>
      <c r="I86" s="20">
        <f t="shared" si="1"/>
        <v>0</v>
      </c>
      <c r="J86" s="21">
        <f t="shared" si="3"/>
        <v>0</v>
      </c>
      <c r="K86" s="22">
        <f t="shared" si="2"/>
        <v>0</v>
      </c>
    </row>
    <row r="87" spans="1:11" ht="12.75" x14ac:dyDescent="0.2">
      <c r="A87" s="13">
        <v>45628</v>
      </c>
      <c r="B87" s="14" t="s">
        <v>3</v>
      </c>
      <c r="C87" s="15">
        <v>0.92889999999999995</v>
      </c>
      <c r="D87" s="16" t="s">
        <v>23</v>
      </c>
      <c r="E87" s="17"/>
      <c r="F87" s="17"/>
      <c r="G87" s="18">
        <v>634</v>
      </c>
      <c r="H87" s="19">
        <f t="shared" si="0"/>
        <v>45.077400000000011</v>
      </c>
      <c r="I87" s="20">
        <f t="shared" si="1"/>
        <v>2479.2570000000005</v>
      </c>
      <c r="J87" s="21">
        <f t="shared" si="3"/>
        <v>31.700000000000045</v>
      </c>
      <c r="K87" s="22">
        <f t="shared" si="2"/>
        <v>-13.377399999999966</v>
      </c>
    </row>
    <row r="88" spans="1:11" ht="12.75" x14ac:dyDescent="0.2">
      <c r="A88" s="13">
        <v>45629</v>
      </c>
      <c r="B88" s="14" t="s">
        <v>4</v>
      </c>
      <c r="C88" s="15">
        <v>0.95109999999999995</v>
      </c>
      <c r="D88" s="16" t="s">
        <v>22</v>
      </c>
      <c r="E88" s="17"/>
      <c r="F88" s="17"/>
      <c r="G88" s="18">
        <v>634</v>
      </c>
      <c r="H88" s="19">
        <f t="shared" si="0"/>
        <v>31.002600000000029</v>
      </c>
      <c r="I88" s="20">
        <f t="shared" si="1"/>
        <v>1705.1430000000016</v>
      </c>
      <c r="J88" s="21">
        <f t="shared" si="3"/>
        <v>31.700000000000045</v>
      </c>
      <c r="K88" s="22">
        <f t="shared" si="2"/>
        <v>0.69740000000001601</v>
      </c>
    </row>
    <row r="89" spans="1:11" ht="12.75" x14ac:dyDescent="0.2">
      <c r="A89" s="13">
        <v>45630</v>
      </c>
      <c r="B89" s="14" t="s">
        <v>5</v>
      </c>
      <c r="C89" s="15">
        <v>0.95899999999999996</v>
      </c>
      <c r="D89" s="16" t="s">
        <v>22</v>
      </c>
      <c r="E89" s="17"/>
      <c r="F89" s="17"/>
      <c r="G89" s="18">
        <v>634</v>
      </c>
      <c r="H89" s="19">
        <f t="shared" si="0"/>
        <v>25.994000000000028</v>
      </c>
      <c r="I89" s="20">
        <f t="shared" si="1"/>
        <v>1429.6700000000014</v>
      </c>
      <c r="J89" s="21">
        <f t="shared" si="3"/>
        <v>31.700000000000045</v>
      </c>
      <c r="K89" s="22">
        <f t="shared" si="2"/>
        <v>5.7060000000000173</v>
      </c>
    </row>
    <row r="90" spans="1:11" ht="12.75" x14ac:dyDescent="0.2">
      <c r="A90" s="13">
        <v>45631</v>
      </c>
      <c r="B90" s="14" t="s">
        <v>6</v>
      </c>
      <c r="C90" s="15">
        <v>0.98419999999999996</v>
      </c>
      <c r="D90" s="16" t="s">
        <v>79</v>
      </c>
      <c r="E90" s="17"/>
      <c r="F90" s="17"/>
      <c r="G90" s="18">
        <v>634</v>
      </c>
      <c r="H90" s="19">
        <f t="shared" si="0"/>
        <v>10.017200000000003</v>
      </c>
      <c r="I90" s="20">
        <f t="shared" si="1"/>
        <v>550.94600000000014</v>
      </c>
      <c r="J90" s="21">
        <f t="shared" si="3"/>
        <v>31.700000000000045</v>
      </c>
      <c r="K90" s="22">
        <f t="shared" si="2"/>
        <v>21.682800000000043</v>
      </c>
    </row>
    <row r="91" spans="1:11" ht="12.75" x14ac:dyDescent="0.2">
      <c r="A91" s="13">
        <v>45632</v>
      </c>
      <c r="B91" s="14" t="s">
        <v>7</v>
      </c>
      <c r="C91" s="15">
        <v>0.94950000000000001</v>
      </c>
      <c r="D91" s="16" t="s">
        <v>22</v>
      </c>
      <c r="E91" s="17"/>
      <c r="F91" s="17"/>
      <c r="G91" s="18">
        <v>634</v>
      </c>
      <c r="H91" s="19">
        <f t="shared" si="0"/>
        <v>32.016999999999939</v>
      </c>
      <c r="I91" s="20">
        <f t="shared" si="1"/>
        <v>1760.9349999999968</v>
      </c>
      <c r="J91" s="21">
        <f t="shared" si="3"/>
        <v>31.700000000000045</v>
      </c>
      <c r="K91" s="22">
        <f t="shared" si="2"/>
        <v>-0.31699999999989359</v>
      </c>
    </row>
    <row r="92" spans="1:11" ht="12.75" x14ac:dyDescent="0.2">
      <c r="A92" s="13">
        <v>45635</v>
      </c>
      <c r="B92" s="14" t="s">
        <v>3</v>
      </c>
      <c r="C92" s="15">
        <v>0.93889999999999996</v>
      </c>
      <c r="D92" s="16" t="s">
        <v>22</v>
      </c>
      <c r="E92" s="17"/>
      <c r="F92" s="17"/>
      <c r="G92" s="18">
        <v>638</v>
      </c>
      <c r="H92" s="19">
        <f t="shared" si="0"/>
        <v>38.981800000000021</v>
      </c>
      <c r="I92" s="20">
        <f t="shared" si="1"/>
        <v>2143.9990000000012</v>
      </c>
      <c r="J92" s="21">
        <f t="shared" si="3"/>
        <v>31.899999999999977</v>
      </c>
      <c r="K92" s="22">
        <f t="shared" si="2"/>
        <v>-7.0818000000000438</v>
      </c>
    </row>
    <row r="93" spans="1:11" ht="12.75" x14ac:dyDescent="0.2">
      <c r="A93" s="13">
        <v>45636</v>
      </c>
      <c r="B93" s="14" t="s">
        <v>4</v>
      </c>
      <c r="C93" s="15">
        <v>0.96079999999999999</v>
      </c>
      <c r="D93" s="16" t="s">
        <v>23</v>
      </c>
      <c r="E93" s="17"/>
      <c r="F93" s="17"/>
      <c r="G93" s="18">
        <v>638</v>
      </c>
      <c r="H93" s="19">
        <f t="shared" si="0"/>
        <v>25.009599999999978</v>
      </c>
      <c r="I93" s="20">
        <f t="shared" si="1"/>
        <v>1375.5279999999989</v>
      </c>
      <c r="J93" s="21">
        <f t="shared" si="3"/>
        <v>31.899999999999977</v>
      </c>
      <c r="K93" s="22">
        <f t="shared" si="2"/>
        <v>6.8903999999999996</v>
      </c>
    </row>
    <row r="94" spans="1:11" ht="12.75" x14ac:dyDescent="0.2">
      <c r="A94" s="13">
        <v>45637</v>
      </c>
      <c r="B94" s="14" t="s">
        <v>5</v>
      </c>
      <c r="C94" s="15">
        <v>0.93420000000000003</v>
      </c>
      <c r="D94" s="16" t="s">
        <v>22</v>
      </c>
      <c r="E94" s="17"/>
      <c r="F94" s="17"/>
      <c r="G94" s="18">
        <v>638</v>
      </c>
      <c r="H94" s="19">
        <f t="shared" si="0"/>
        <v>41.980400000000031</v>
      </c>
      <c r="I94" s="20">
        <f t="shared" si="1"/>
        <v>2308.9220000000018</v>
      </c>
      <c r="J94" s="21">
        <f t="shared" si="3"/>
        <v>31.899999999999977</v>
      </c>
      <c r="K94" s="22">
        <f t="shared" si="2"/>
        <v>-10.080400000000054</v>
      </c>
    </row>
    <row r="95" spans="1:11" ht="12.75" x14ac:dyDescent="0.2">
      <c r="A95" s="13">
        <v>45638</v>
      </c>
      <c r="B95" s="14" t="s">
        <v>6</v>
      </c>
      <c r="C95" s="15">
        <v>0.93569999999999998</v>
      </c>
      <c r="D95" s="16" t="s">
        <v>23</v>
      </c>
      <c r="E95" s="17"/>
      <c r="F95" s="17"/>
      <c r="G95" s="18">
        <v>638</v>
      </c>
      <c r="H95" s="19">
        <f t="shared" si="0"/>
        <v>41.023400000000038</v>
      </c>
      <c r="I95" s="20">
        <f t="shared" si="1"/>
        <v>2256.2870000000021</v>
      </c>
      <c r="J95" s="21">
        <f t="shared" si="3"/>
        <v>31.899999999999977</v>
      </c>
      <c r="K95" s="22">
        <f t="shared" si="2"/>
        <v>-9.1234000000000606</v>
      </c>
    </row>
    <row r="96" spans="1:11" ht="12.75" x14ac:dyDescent="0.2">
      <c r="A96" s="13">
        <v>45639</v>
      </c>
      <c r="B96" s="14" t="s">
        <v>7</v>
      </c>
      <c r="C96" s="15">
        <v>0.93100000000000005</v>
      </c>
      <c r="D96" s="16" t="s">
        <v>23</v>
      </c>
      <c r="E96" s="17"/>
      <c r="F96" s="17"/>
      <c r="G96" s="18">
        <v>638</v>
      </c>
      <c r="H96" s="19">
        <f t="shared" si="0"/>
        <v>44.021999999999935</v>
      </c>
      <c r="I96" s="20">
        <f t="shared" si="1"/>
        <v>2421.2099999999964</v>
      </c>
      <c r="J96" s="21">
        <f t="shared" si="3"/>
        <v>31.899999999999977</v>
      </c>
      <c r="K96" s="22">
        <f t="shared" si="2"/>
        <v>-12.121999999999957</v>
      </c>
    </row>
    <row r="97" spans="1:11" ht="12.75" x14ac:dyDescent="0.2">
      <c r="A97" s="13">
        <v>45642</v>
      </c>
      <c r="B97" s="14" t="s">
        <v>3</v>
      </c>
      <c r="C97" s="15">
        <v>0.92630000000000001</v>
      </c>
      <c r="D97" s="16" t="s">
        <v>23</v>
      </c>
      <c r="E97" s="17"/>
      <c r="F97" s="17"/>
      <c r="G97" s="18">
        <v>638</v>
      </c>
      <c r="H97" s="19">
        <f t="shared" si="0"/>
        <v>47.020599999999945</v>
      </c>
      <c r="I97" s="20">
        <f t="shared" si="1"/>
        <v>2586.1329999999971</v>
      </c>
      <c r="J97" s="21">
        <f t="shared" si="3"/>
        <v>31.899999999999977</v>
      </c>
      <c r="K97" s="22">
        <f t="shared" si="2"/>
        <v>-15.120599999999968</v>
      </c>
    </row>
    <row r="98" spans="1:11" ht="12.75" x14ac:dyDescent="0.2">
      <c r="A98" s="13">
        <v>45643</v>
      </c>
      <c r="B98" s="14" t="s">
        <v>4</v>
      </c>
      <c r="C98" s="15">
        <v>0.94989999999999997</v>
      </c>
      <c r="D98" s="16" t="s">
        <v>23</v>
      </c>
      <c r="E98" s="17"/>
      <c r="F98" s="17"/>
      <c r="G98" s="18">
        <v>639</v>
      </c>
      <c r="H98" s="19">
        <f t="shared" si="0"/>
        <v>32.013900000000035</v>
      </c>
      <c r="I98" s="20">
        <f t="shared" si="1"/>
        <v>1760.764500000002</v>
      </c>
      <c r="J98" s="21">
        <f t="shared" si="3"/>
        <v>31.950000000000045</v>
      </c>
      <c r="K98" s="22">
        <f t="shared" si="2"/>
        <v>-6.3899999999989632E-2</v>
      </c>
    </row>
    <row r="99" spans="1:11" ht="12.75" x14ac:dyDescent="0.2">
      <c r="A99" s="13">
        <v>45644</v>
      </c>
      <c r="B99" s="14" t="s">
        <v>5</v>
      </c>
      <c r="C99" s="15">
        <v>0.9577</v>
      </c>
      <c r="D99" s="16" t="s">
        <v>22</v>
      </c>
      <c r="E99" s="17"/>
      <c r="F99" s="17"/>
      <c r="G99" s="18">
        <v>638</v>
      </c>
      <c r="H99" s="19">
        <f t="shared" si="0"/>
        <v>26.98739999999998</v>
      </c>
      <c r="I99" s="20">
        <f t="shared" si="1"/>
        <v>1484.3069999999989</v>
      </c>
      <c r="J99" s="21">
        <f t="shared" si="3"/>
        <v>31.899999999999977</v>
      </c>
      <c r="K99" s="22">
        <f t="shared" si="2"/>
        <v>4.9125999999999976</v>
      </c>
    </row>
    <row r="100" spans="1:11" ht="12.75" x14ac:dyDescent="0.2">
      <c r="A100" s="13">
        <v>45645</v>
      </c>
      <c r="B100" s="14" t="s">
        <v>6</v>
      </c>
      <c r="C100" s="15">
        <v>0.95140000000000002</v>
      </c>
      <c r="D100" s="16" t="s">
        <v>23</v>
      </c>
      <c r="E100" s="17"/>
      <c r="F100" s="17"/>
      <c r="G100" s="18">
        <v>638</v>
      </c>
      <c r="H100" s="19">
        <f t="shared" si="0"/>
        <v>31.006799999999998</v>
      </c>
      <c r="I100" s="20">
        <f t="shared" si="1"/>
        <v>1705.3739999999998</v>
      </c>
      <c r="J100" s="21">
        <f t="shared" si="3"/>
        <v>31.899999999999977</v>
      </c>
      <c r="K100" s="22">
        <f t="shared" si="2"/>
        <v>0.8931999999999789</v>
      </c>
    </row>
    <row r="101" spans="1:11" ht="25.5" x14ac:dyDescent="0.2">
      <c r="A101" s="13">
        <v>45646</v>
      </c>
      <c r="B101" s="14" t="s">
        <v>7</v>
      </c>
      <c r="C101" s="15">
        <v>0.90600000000000003</v>
      </c>
      <c r="D101" s="16" t="s">
        <v>23</v>
      </c>
      <c r="E101" s="17"/>
      <c r="F101" s="17" t="s">
        <v>241</v>
      </c>
      <c r="G101" s="18">
        <v>638</v>
      </c>
      <c r="H101" s="19">
        <f t="shared" si="0"/>
        <v>59.97199999999998</v>
      </c>
      <c r="I101" s="20">
        <f t="shared" si="1"/>
        <v>3298.4599999999991</v>
      </c>
      <c r="J101" s="21">
        <f t="shared" si="3"/>
        <v>31.899999999999977</v>
      </c>
      <c r="K101" s="22">
        <f t="shared" si="2"/>
        <v>-28.072000000000003</v>
      </c>
    </row>
    <row r="102" spans="1:11" ht="12.75" x14ac:dyDescent="0.2">
      <c r="A102" s="24">
        <v>45649</v>
      </c>
      <c r="B102" s="25" t="s">
        <v>3</v>
      </c>
      <c r="C102" s="26"/>
      <c r="D102" s="27"/>
      <c r="E102" s="28"/>
      <c r="F102" s="28"/>
      <c r="G102" s="29"/>
      <c r="H102" s="19">
        <f t="shared" si="0"/>
        <v>0</v>
      </c>
      <c r="I102" s="20">
        <f t="shared" si="1"/>
        <v>0</v>
      </c>
      <c r="J102" s="21">
        <f t="shared" si="3"/>
        <v>0</v>
      </c>
      <c r="K102" s="22">
        <f t="shared" si="2"/>
        <v>0</v>
      </c>
    </row>
    <row r="103" spans="1:11" ht="12.75" x14ac:dyDescent="0.2">
      <c r="A103" s="24">
        <v>45650</v>
      </c>
      <c r="B103" s="25" t="s">
        <v>4</v>
      </c>
      <c r="C103" s="26"/>
      <c r="D103" s="27"/>
      <c r="E103" s="28"/>
      <c r="F103" s="28"/>
      <c r="G103" s="29"/>
      <c r="H103" s="19">
        <f t="shared" si="0"/>
        <v>0</v>
      </c>
      <c r="I103" s="20">
        <f t="shared" si="1"/>
        <v>0</v>
      </c>
      <c r="J103" s="21">
        <f t="shared" si="3"/>
        <v>0</v>
      </c>
      <c r="K103" s="22">
        <f t="shared" si="2"/>
        <v>0</v>
      </c>
    </row>
    <row r="104" spans="1:11" ht="12.75" x14ac:dyDescent="0.2">
      <c r="A104" s="24">
        <v>45651</v>
      </c>
      <c r="B104" s="25" t="s">
        <v>5</v>
      </c>
      <c r="C104" s="26"/>
      <c r="D104" s="27"/>
      <c r="E104" s="28"/>
      <c r="F104" s="28"/>
      <c r="G104" s="29"/>
      <c r="H104" s="19">
        <f t="shared" si="0"/>
        <v>0</v>
      </c>
      <c r="I104" s="20">
        <f t="shared" si="1"/>
        <v>0</v>
      </c>
      <c r="J104" s="21">
        <f t="shared" si="3"/>
        <v>0</v>
      </c>
      <c r="K104" s="22">
        <f t="shared" si="2"/>
        <v>0</v>
      </c>
    </row>
    <row r="105" spans="1:11" ht="12.75" x14ac:dyDescent="0.2">
      <c r="A105" s="24">
        <v>45652</v>
      </c>
      <c r="B105" s="25" t="s">
        <v>6</v>
      </c>
      <c r="C105" s="26"/>
      <c r="D105" s="27"/>
      <c r="E105" s="28"/>
      <c r="F105" s="28"/>
      <c r="G105" s="29"/>
      <c r="H105" s="19">
        <f t="shared" si="0"/>
        <v>0</v>
      </c>
      <c r="I105" s="20">
        <f t="shared" si="1"/>
        <v>0</v>
      </c>
      <c r="J105" s="21">
        <f t="shared" si="3"/>
        <v>0</v>
      </c>
      <c r="K105" s="22">
        <f t="shared" si="2"/>
        <v>0</v>
      </c>
    </row>
    <row r="106" spans="1:11" ht="12.75" x14ac:dyDescent="0.2">
      <c r="A106" s="24">
        <v>45653</v>
      </c>
      <c r="B106" s="25" t="s">
        <v>7</v>
      </c>
      <c r="C106" s="26"/>
      <c r="D106" s="27"/>
      <c r="E106" s="28"/>
      <c r="F106" s="28"/>
      <c r="G106" s="29"/>
      <c r="H106" s="19">
        <f t="shared" si="0"/>
        <v>0</v>
      </c>
      <c r="I106" s="20">
        <f t="shared" si="1"/>
        <v>0</v>
      </c>
      <c r="J106" s="21">
        <f t="shared" si="3"/>
        <v>0</v>
      </c>
      <c r="K106" s="22">
        <f t="shared" si="2"/>
        <v>0</v>
      </c>
    </row>
    <row r="107" spans="1:11" ht="12.75" x14ac:dyDescent="0.2">
      <c r="A107" s="24">
        <v>45656</v>
      </c>
      <c r="B107" s="25" t="s">
        <v>3</v>
      </c>
      <c r="C107" s="26"/>
      <c r="D107" s="27"/>
      <c r="E107" s="28"/>
      <c r="F107" s="28"/>
      <c r="G107" s="29"/>
      <c r="H107" s="19">
        <f t="shared" si="0"/>
        <v>0</v>
      </c>
      <c r="I107" s="20">
        <f t="shared" si="1"/>
        <v>0</v>
      </c>
      <c r="J107" s="21">
        <f t="shared" si="3"/>
        <v>0</v>
      </c>
      <c r="K107" s="22">
        <f t="shared" si="2"/>
        <v>0</v>
      </c>
    </row>
    <row r="108" spans="1:11" ht="12.75" x14ac:dyDescent="0.2">
      <c r="A108" s="24">
        <v>45657</v>
      </c>
      <c r="B108" s="25" t="s">
        <v>4</v>
      </c>
      <c r="C108" s="26"/>
      <c r="D108" s="27"/>
      <c r="E108" s="28"/>
      <c r="F108" s="28"/>
      <c r="G108" s="29"/>
      <c r="H108" s="19">
        <f t="shared" si="0"/>
        <v>0</v>
      </c>
      <c r="I108" s="20">
        <f t="shared" si="1"/>
        <v>0</v>
      </c>
      <c r="J108" s="21">
        <f t="shared" si="3"/>
        <v>0</v>
      </c>
      <c r="K108" s="22">
        <f t="shared" si="2"/>
        <v>0</v>
      </c>
    </row>
    <row r="109" spans="1:11" ht="12.75" x14ac:dyDescent="0.2">
      <c r="A109" s="24">
        <v>45658</v>
      </c>
      <c r="B109" s="25" t="s">
        <v>5</v>
      </c>
      <c r="C109" s="26"/>
      <c r="D109" s="27"/>
      <c r="E109" s="28"/>
      <c r="F109" s="28"/>
      <c r="G109" s="29"/>
      <c r="H109" s="19">
        <f t="shared" si="0"/>
        <v>0</v>
      </c>
      <c r="I109" s="20">
        <f t="shared" si="1"/>
        <v>0</v>
      </c>
      <c r="J109" s="21">
        <f t="shared" si="3"/>
        <v>0</v>
      </c>
      <c r="K109" s="22">
        <f t="shared" si="2"/>
        <v>0</v>
      </c>
    </row>
    <row r="110" spans="1:11" ht="12.75" x14ac:dyDescent="0.2">
      <c r="A110" s="24">
        <v>45659</v>
      </c>
      <c r="B110" s="25" t="s">
        <v>6</v>
      </c>
      <c r="C110" s="26"/>
      <c r="D110" s="27"/>
      <c r="E110" s="28"/>
      <c r="F110" s="28"/>
      <c r="G110" s="29"/>
      <c r="H110" s="19">
        <f t="shared" si="0"/>
        <v>0</v>
      </c>
      <c r="I110" s="20">
        <f t="shared" si="1"/>
        <v>0</v>
      </c>
      <c r="J110" s="21">
        <f t="shared" si="3"/>
        <v>0</v>
      </c>
      <c r="K110" s="22">
        <f t="shared" si="2"/>
        <v>0</v>
      </c>
    </row>
    <row r="111" spans="1:11" ht="12.75" x14ac:dyDescent="0.2">
      <c r="A111" s="24">
        <v>45660</v>
      </c>
      <c r="B111" s="25" t="s">
        <v>7</v>
      </c>
      <c r="C111" s="26"/>
      <c r="D111" s="27"/>
      <c r="E111" s="28"/>
      <c r="F111" s="28"/>
      <c r="G111" s="29"/>
      <c r="H111" s="19">
        <f t="shared" si="0"/>
        <v>0</v>
      </c>
      <c r="I111" s="20">
        <f t="shared" si="1"/>
        <v>0</v>
      </c>
      <c r="J111" s="21">
        <f t="shared" si="3"/>
        <v>0</v>
      </c>
      <c r="K111" s="22">
        <f t="shared" si="2"/>
        <v>0</v>
      </c>
    </row>
    <row r="112" spans="1:11" ht="12.75" x14ac:dyDescent="0.2">
      <c r="A112" s="30">
        <v>45663</v>
      </c>
      <c r="B112" s="31" t="s">
        <v>3</v>
      </c>
      <c r="C112" s="32"/>
      <c r="D112" s="33"/>
      <c r="E112" s="34"/>
      <c r="F112" s="34"/>
      <c r="G112" s="35"/>
      <c r="H112" s="19">
        <f t="shared" si="0"/>
        <v>0</v>
      </c>
      <c r="I112" s="20">
        <f t="shared" si="1"/>
        <v>0</v>
      </c>
      <c r="J112" s="21">
        <f t="shared" si="3"/>
        <v>0</v>
      </c>
      <c r="K112" s="22">
        <f t="shared" si="2"/>
        <v>0</v>
      </c>
    </row>
    <row r="113" spans="1:11" ht="12.75" x14ac:dyDescent="0.2">
      <c r="A113" s="30">
        <v>45664</v>
      </c>
      <c r="B113" s="31" t="s">
        <v>4</v>
      </c>
      <c r="C113" s="32"/>
      <c r="D113" s="33"/>
      <c r="E113" s="34"/>
      <c r="F113" s="34"/>
      <c r="G113" s="35"/>
      <c r="H113" s="19">
        <f t="shared" si="0"/>
        <v>0</v>
      </c>
      <c r="I113" s="20">
        <f t="shared" si="1"/>
        <v>0</v>
      </c>
      <c r="J113" s="21">
        <f t="shared" si="3"/>
        <v>0</v>
      </c>
      <c r="K113" s="22">
        <f t="shared" si="2"/>
        <v>0</v>
      </c>
    </row>
    <row r="114" spans="1:11" ht="12.75" x14ac:dyDescent="0.2">
      <c r="A114" s="13">
        <v>45665</v>
      </c>
      <c r="B114" s="14" t="s">
        <v>5</v>
      </c>
      <c r="C114" s="15">
        <v>0.93520000000000003</v>
      </c>
      <c r="D114" s="16" t="s">
        <v>23</v>
      </c>
      <c r="E114" s="17"/>
      <c r="F114" s="17"/>
      <c r="G114" s="18">
        <v>633</v>
      </c>
      <c r="H114" s="19">
        <f t="shared" si="0"/>
        <v>41.018399999999929</v>
      </c>
      <c r="I114" s="20">
        <f t="shared" si="1"/>
        <v>2256.0119999999961</v>
      </c>
      <c r="J114" s="21">
        <f t="shared" si="3"/>
        <v>31.649999999999977</v>
      </c>
      <c r="K114" s="22">
        <f t="shared" si="2"/>
        <v>-9.3683999999999514</v>
      </c>
    </row>
    <row r="115" spans="1:11" ht="12.75" x14ac:dyDescent="0.2">
      <c r="A115" s="13">
        <v>45666</v>
      </c>
      <c r="B115" s="14" t="s">
        <v>6</v>
      </c>
      <c r="C115" s="15">
        <v>0.89700000000000002</v>
      </c>
      <c r="D115" s="16" t="s">
        <v>24</v>
      </c>
      <c r="E115" s="17" t="s">
        <v>43</v>
      </c>
      <c r="F115" s="17"/>
      <c r="G115" s="18">
        <v>631</v>
      </c>
      <c r="H115" s="19">
        <f t="shared" si="0"/>
        <v>64.992999999999938</v>
      </c>
      <c r="I115" s="20">
        <f t="shared" si="1"/>
        <v>3574.6149999999966</v>
      </c>
      <c r="J115" s="21">
        <f t="shared" si="3"/>
        <v>31.550000000000068</v>
      </c>
      <c r="K115" s="22">
        <f t="shared" si="2"/>
        <v>-33.44299999999987</v>
      </c>
    </row>
    <row r="116" spans="1:11" ht="12.75" x14ac:dyDescent="0.2">
      <c r="A116" s="13">
        <v>45667</v>
      </c>
      <c r="B116" s="14" t="s">
        <v>7</v>
      </c>
      <c r="C116" s="15">
        <v>0.88429999999999997</v>
      </c>
      <c r="D116" s="16" t="s">
        <v>242</v>
      </c>
      <c r="E116" s="17" t="s">
        <v>243</v>
      </c>
      <c r="F116" s="17"/>
      <c r="G116" s="18">
        <v>631</v>
      </c>
      <c r="H116" s="19">
        <f t="shared" si="0"/>
        <v>73.006700000000023</v>
      </c>
      <c r="I116" s="20">
        <f t="shared" si="1"/>
        <v>4015.3685000000014</v>
      </c>
      <c r="J116" s="21">
        <f t="shared" si="3"/>
        <v>31.550000000000068</v>
      </c>
      <c r="K116" s="22">
        <f t="shared" si="2"/>
        <v>-41.456699999999955</v>
      </c>
    </row>
    <row r="117" spans="1:11" ht="12.75" x14ac:dyDescent="0.2">
      <c r="A117" s="13">
        <v>45670</v>
      </c>
      <c r="B117" s="14" t="s">
        <v>3</v>
      </c>
      <c r="C117" s="15">
        <v>0.93659999999999999</v>
      </c>
      <c r="D117" s="16" t="s">
        <v>22</v>
      </c>
      <c r="E117" s="17"/>
      <c r="F117" s="17"/>
      <c r="G117" s="18">
        <v>631</v>
      </c>
      <c r="H117" s="19">
        <f t="shared" si="0"/>
        <v>40.005400000000009</v>
      </c>
      <c r="I117" s="20">
        <f t="shared" si="1"/>
        <v>2200.2970000000005</v>
      </c>
      <c r="J117" s="21">
        <f t="shared" si="3"/>
        <v>31.550000000000068</v>
      </c>
      <c r="K117" s="22">
        <f t="shared" si="2"/>
        <v>-8.4553999999999405</v>
      </c>
    </row>
    <row r="118" spans="1:11" ht="12.75" x14ac:dyDescent="0.2">
      <c r="A118" s="13">
        <v>45671</v>
      </c>
      <c r="B118" s="14" t="s">
        <v>4</v>
      </c>
      <c r="C118" s="15">
        <v>0.9556</v>
      </c>
      <c r="D118" s="16" t="s">
        <v>22</v>
      </c>
      <c r="E118" s="17"/>
      <c r="F118" s="17"/>
      <c r="G118" s="18">
        <v>631</v>
      </c>
      <c r="H118" s="19">
        <f t="shared" si="0"/>
        <v>28.016399999999976</v>
      </c>
      <c r="I118" s="20">
        <f t="shared" si="1"/>
        <v>1540.9019999999987</v>
      </c>
      <c r="J118" s="21">
        <f t="shared" si="3"/>
        <v>31.550000000000068</v>
      </c>
      <c r="K118" s="22">
        <f t="shared" si="2"/>
        <v>3.5336000000000922</v>
      </c>
    </row>
    <row r="119" spans="1:11" ht="12.75" x14ac:dyDescent="0.2">
      <c r="A119" s="13">
        <v>45672</v>
      </c>
      <c r="B119" s="14" t="s">
        <v>5</v>
      </c>
      <c r="C119" s="15">
        <v>0.95740000000000003</v>
      </c>
      <c r="D119" s="16" t="s">
        <v>22</v>
      </c>
      <c r="E119" s="17"/>
      <c r="F119" s="17"/>
      <c r="G119" s="18">
        <v>634</v>
      </c>
      <c r="H119" s="19">
        <f t="shared" si="0"/>
        <v>27.008399999999938</v>
      </c>
      <c r="I119" s="20">
        <f t="shared" si="1"/>
        <v>1485.4619999999966</v>
      </c>
      <c r="J119" s="21">
        <f t="shared" si="3"/>
        <v>31.700000000000045</v>
      </c>
      <c r="K119" s="22">
        <f t="shared" si="2"/>
        <v>4.6916000000001077</v>
      </c>
    </row>
    <row r="120" spans="1:11" ht="12.75" x14ac:dyDescent="0.2">
      <c r="A120" s="13">
        <v>45673</v>
      </c>
      <c r="B120" s="14" t="s">
        <v>6</v>
      </c>
      <c r="C120" s="15">
        <v>0.95740000000000003</v>
      </c>
      <c r="D120" s="16" t="s">
        <v>23</v>
      </c>
      <c r="E120" s="17"/>
      <c r="F120" s="17"/>
      <c r="G120" s="18">
        <v>634</v>
      </c>
      <c r="H120" s="19">
        <f t="shared" si="0"/>
        <v>27.008399999999938</v>
      </c>
      <c r="I120" s="20">
        <f t="shared" si="1"/>
        <v>1485.4619999999966</v>
      </c>
      <c r="J120" s="21">
        <f t="shared" si="3"/>
        <v>31.700000000000045</v>
      </c>
      <c r="K120" s="22">
        <f t="shared" si="2"/>
        <v>4.6916000000001077</v>
      </c>
    </row>
    <row r="121" spans="1:11" ht="12.75" x14ac:dyDescent="0.2">
      <c r="A121" s="13">
        <v>45674</v>
      </c>
      <c r="B121" s="14" t="s">
        <v>7</v>
      </c>
      <c r="C121" s="15">
        <v>0.93520000000000003</v>
      </c>
      <c r="D121" s="16" t="s">
        <v>22</v>
      </c>
      <c r="E121" s="17"/>
      <c r="F121" s="17"/>
      <c r="G121" s="18">
        <v>633</v>
      </c>
      <c r="H121" s="19">
        <f t="shared" si="0"/>
        <v>41.018399999999929</v>
      </c>
      <c r="I121" s="20">
        <f t="shared" si="1"/>
        <v>2256.0119999999961</v>
      </c>
      <c r="J121" s="21">
        <f t="shared" si="3"/>
        <v>31.649999999999977</v>
      </c>
      <c r="K121" s="22">
        <f t="shared" si="2"/>
        <v>-9.3683999999999514</v>
      </c>
    </row>
    <row r="122" spans="1:11" ht="12.75" x14ac:dyDescent="0.2">
      <c r="A122" s="24">
        <v>45677</v>
      </c>
      <c r="B122" s="25" t="s">
        <v>3</v>
      </c>
      <c r="C122" s="26"/>
      <c r="D122" s="27"/>
      <c r="E122" s="28"/>
      <c r="F122" s="28"/>
      <c r="G122" s="29"/>
      <c r="H122" s="19">
        <f t="shared" si="0"/>
        <v>0</v>
      </c>
      <c r="I122" s="20">
        <f t="shared" si="1"/>
        <v>0</v>
      </c>
      <c r="J122" s="21">
        <f t="shared" si="3"/>
        <v>0</v>
      </c>
      <c r="K122" s="22">
        <f t="shared" si="2"/>
        <v>0</v>
      </c>
    </row>
    <row r="123" spans="1:11" ht="12.75" x14ac:dyDescent="0.2">
      <c r="A123" s="13">
        <v>45678</v>
      </c>
      <c r="B123" s="14" t="s">
        <v>4</v>
      </c>
      <c r="C123" s="15"/>
      <c r="D123" s="16"/>
      <c r="E123" s="17"/>
      <c r="F123" s="17"/>
      <c r="H123" s="19">
        <f t="shared" si="0"/>
        <v>0</v>
      </c>
      <c r="I123" s="20">
        <f t="shared" si="1"/>
        <v>0</v>
      </c>
      <c r="J123" s="21">
        <f t="shared" si="3"/>
        <v>0</v>
      </c>
      <c r="K123" s="22">
        <f t="shared" si="2"/>
        <v>0</v>
      </c>
    </row>
    <row r="124" spans="1:11" ht="12.75" x14ac:dyDescent="0.2">
      <c r="A124" s="13">
        <v>45679</v>
      </c>
      <c r="B124" s="14" t="s">
        <v>5</v>
      </c>
      <c r="C124" s="15"/>
      <c r="D124" s="16"/>
      <c r="E124" s="17"/>
      <c r="F124" s="17"/>
      <c r="H124" s="19">
        <f t="shared" si="0"/>
        <v>0</v>
      </c>
      <c r="I124" s="20">
        <f t="shared" si="1"/>
        <v>0</v>
      </c>
      <c r="J124" s="21">
        <f t="shared" si="3"/>
        <v>0</v>
      </c>
      <c r="K124" s="22">
        <f t="shared" si="2"/>
        <v>0</v>
      </c>
    </row>
    <row r="125" spans="1:11" ht="12.75" x14ac:dyDescent="0.2">
      <c r="A125" s="13">
        <v>45680</v>
      </c>
      <c r="B125" s="14" t="s">
        <v>6</v>
      </c>
      <c r="C125" s="15">
        <v>0.8357</v>
      </c>
      <c r="D125" s="16" t="s">
        <v>242</v>
      </c>
      <c r="E125" s="17" t="s">
        <v>43</v>
      </c>
      <c r="F125" s="17"/>
      <c r="G125" s="18">
        <v>633</v>
      </c>
      <c r="H125" s="19">
        <f t="shared" si="0"/>
        <v>104.00189999999998</v>
      </c>
      <c r="I125" s="20">
        <f t="shared" si="1"/>
        <v>5720.1044999999986</v>
      </c>
      <c r="J125" s="21">
        <f t="shared" si="3"/>
        <v>31.649999999999977</v>
      </c>
      <c r="K125" s="22">
        <f t="shared" si="2"/>
        <v>-72.351900000000001</v>
      </c>
    </row>
    <row r="126" spans="1:11" ht="12.75" x14ac:dyDescent="0.2">
      <c r="A126" s="13">
        <v>45681</v>
      </c>
      <c r="B126" s="14" t="s">
        <v>7</v>
      </c>
      <c r="C126" s="15">
        <v>0.89419999999999999</v>
      </c>
      <c r="D126" s="16" t="s">
        <v>242</v>
      </c>
      <c r="E126" s="17" t="s">
        <v>25</v>
      </c>
      <c r="F126" s="17"/>
      <c r="G126" s="18">
        <v>633</v>
      </c>
      <c r="H126" s="19">
        <f t="shared" si="0"/>
        <v>66.971400000000017</v>
      </c>
      <c r="I126" s="20">
        <f t="shared" si="1"/>
        <v>3683.427000000001</v>
      </c>
      <c r="J126" s="21">
        <f t="shared" si="3"/>
        <v>31.649999999999977</v>
      </c>
      <c r="K126" s="22">
        <f t="shared" si="2"/>
        <v>-35.32140000000004</v>
      </c>
    </row>
    <row r="127" spans="1:11" ht="12.75" x14ac:dyDescent="0.2">
      <c r="A127" s="13">
        <v>45684</v>
      </c>
      <c r="B127" s="14" t="s">
        <v>3</v>
      </c>
      <c r="C127" s="15">
        <v>0.93359999999999999</v>
      </c>
      <c r="D127" s="16"/>
      <c r="E127" s="17"/>
      <c r="F127" s="17"/>
      <c r="G127" s="18">
        <v>634</v>
      </c>
      <c r="H127" s="19">
        <f t="shared" si="0"/>
        <v>42.097600000000057</v>
      </c>
      <c r="I127" s="20">
        <f t="shared" si="1"/>
        <v>2315.3680000000031</v>
      </c>
      <c r="J127" s="21">
        <f t="shared" si="3"/>
        <v>31.700000000000045</v>
      </c>
      <c r="K127" s="22">
        <f t="shared" si="2"/>
        <v>-10.397600000000011</v>
      </c>
    </row>
    <row r="128" spans="1:11" ht="12.75" x14ac:dyDescent="0.2">
      <c r="A128" s="13">
        <v>45685</v>
      </c>
      <c r="B128" s="14" t="s">
        <v>4</v>
      </c>
      <c r="C128" s="15">
        <v>0.9335</v>
      </c>
      <c r="D128" s="16"/>
      <c r="E128" s="17"/>
      <c r="F128" s="17"/>
      <c r="G128" s="18">
        <v>632</v>
      </c>
      <c r="H128" s="19">
        <f t="shared" si="0"/>
        <v>42.02800000000002</v>
      </c>
      <c r="I128" s="20">
        <f t="shared" si="1"/>
        <v>2311.5400000000009</v>
      </c>
      <c r="J128" s="21">
        <f t="shared" si="3"/>
        <v>31.600000000000023</v>
      </c>
      <c r="K128" s="22">
        <f t="shared" si="2"/>
        <v>-10.427999999999997</v>
      </c>
    </row>
    <row r="129" spans="1:11" ht="12.75" x14ac:dyDescent="0.2">
      <c r="A129" s="13">
        <v>45686</v>
      </c>
      <c r="B129" s="14" t="s">
        <v>5</v>
      </c>
      <c r="C129" s="15">
        <v>0.92720000000000002</v>
      </c>
      <c r="D129" s="16"/>
      <c r="E129" s="17"/>
      <c r="F129" s="17"/>
      <c r="G129" s="18">
        <v>632</v>
      </c>
      <c r="H129" s="19">
        <f t="shared" si="0"/>
        <v>46.009599999999978</v>
      </c>
      <c r="I129" s="20">
        <f t="shared" si="1"/>
        <v>2530.5279999999989</v>
      </c>
      <c r="J129" s="21">
        <f t="shared" si="3"/>
        <v>31.600000000000023</v>
      </c>
      <c r="K129" s="22">
        <f t="shared" si="2"/>
        <v>-14.409599999999955</v>
      </c>
    </row>
    <row r="130" spans="1:11" ht="12.75" x14ac:dyDescent="0.2">
      <c r="A130" s="13">
        <v>45687</v>
      </c>
      <c r="B130" s="14" t="s">
        <v>6</v>
      </c>
      <c r="C130" s="15">
        <v>0.95089999999999997</v>
      </c>
      <c r="D130" s="16"/>
      <c r="E130" s="17"/>
      <c r="F130" s="17"/>
      <c r="G130" s="18">
        <v>632</v>
      </c>
      <c r="H130" s="19">
        <f t="shared" si="0"/>
        <v>31.031200000000013</v>
      </c>
      <c r="I130" s="20">
        <f t="shared" si="1"/>
        <v>1706.7160000000008</v>
      </c>
      <c r="J130" s="21">
        <f t="shared" si="3"/>
        <v>31.600000000000023</v>
      </c>
      <c r="K130" s="22">
        <f t="shared" si="2"/>
        <v>0.56880000000001019</v>
      </c>
    </row>
    <row r="131" spans="1:11" ht="12.75" x14ac:dyDescent="0.2">
      <c r="A131" s="13">
        <v>45688</v>
      </c>
      <c r="B131" s="14" t="s">
        <v>7</v>
      </c>
      <c r="C131" s="15">
        <v>0.94450000000000001</v>
      </c>
      <c r="D131" s="16"/>
      <c r="E131" s="17"/>
      <c r="F131" s="17"/>
      <c r="G131" s="18">
        <v>631</v>
      </c>
      <c r="H131" s="19">
        <f t="shared" si="0"/>
        <v>35.02049999999997</v>
      </c>
      <c r="I131" s="20">
        <f t="shared" si="1"/>
        <v>1926.1274999999982</v>
      </c>
      <c r="J131" s="21">
        <f t="shared" si="3"/>
        <v>31.550000000000068</v>
      </c>
      <c r="K131" s="22">
        <f t="shared" si="2"/>
        <v>-3.4704999999999018</v>
      </c>
    </row>
    <row r="132" spans="1:11" ht="12.75" x14ac:dyDescent="0.2">
      <c r="A132" s="13">
        <v>45691</v>
      </c>
      <c r="B132" s="14" t="s">
        <v>3</v>
      </c>
      <c r="C132" s="15">
        <v>0.77969999999999995</v>
      </c>
      <c r="D132" s="16" t="s">
        <v>242</v>
      </c>
      <c r="E132" s="17" t="s">
        <v>244</v>
      </c>
      <c r="F132" s="17"/>
      <c r="G132" s="18">
        <v>631</v>
      </c>
      <c r="H132" s="19">
        <f t="shared" si="0"/>
        <v>139.00930000000005</v>
      </c>
      <c r="I132" s="20">
        <f t="shared" si="1"/>
        <v>7645.5115000000033</v>
      </c>
      <c r="J132" s="21">
        <f t="shared" si="3"/>
        <v>31.550000000000068</v>
      </c>
      <c r="K132" s="22">
        <f t="shared" si="2"/>
        <v>-107.45929999999998</v>
      </c>
    </row>
    <row r="133" spans="1:11" ht="12.75" x14ac:dyDescent="0.2">
      <c r="A133" s="13">
        <v>45692</v>
      </c>
      <c r="B133" s="14" t="s">
        <v>4</v>
      </c>
      <c r="C133" s="15">
        <v>0.96030000000000004</v>
      </c>
      <c r="D133" s="16" t="s">
        <v>23</v>
      </c>
      <c r="E133" s="17"/>
      <c r="F133" s="17"/>
      <c r="G133" s="18">
        <v>630</v>
      </c>
      <c r="H133" s="19">
        <f t="shared" si="0"/>
        <v>25.010999999999967</v>
      </c>
      <c r="I133" s="20">
        <f t="shared" si="1"/>
        <v>1375.6049999999982</v>
      </c>
      <c r="J133" s="21">
        <f t="shared" si="3"/>
        <v>31.5</v>
      </c>
      <c r="K133" s="22">
        <f t="shared" si="2"/>
        <v>6.4890000000000327</v>
      </c>
    </row>
    <row r="134" spans="1:11" ht="12.75" x14ac:dyDescent="0.2">
      <c r="A134" s="13">
        <v>45693</v>
      </c>
      <c r="B134" s="14" t="s">
        <v>5</v>
      </c>
      <c r="C134" s="15">
        <v>0.97460000000000002</v>
      </c>
      <c r="D134" s="16" t="s">
        <v>23</v>
      </c>
      <c r="E134" s="17"/>
      <c r="F134" s="17"/>
      <c r="G134" s="18">
        <v>630</v>
      </c>
      <c r="H134" s="19">
        <f t="shared" si="0"/>
        <v>16.001999999999953</v>
      </c>
      <c r="I134" s="20">
        <f t="shared" si="1"/>
        <v>880.1099999999974</v>
      </c>
      <c r="J134" s="21">
        <f t="shared" si="3"/>
        <v>31.5</v>
      </c>
      <c r="K134" s="22">
        <f t="shared" si="2"/>
        <v>15.498000000000047</v>
      </c>
    </row>
    <row r="135" spans="1:11" ht="12.75" x14ac:dyDescent="0.2">
      <c r="A135" s="13">
        <v>45694</v>
      </c>
      <c r="B135" s="14" t="s">
        <v>6</v>
      </c>
      <c r="C135" s="15">
        <v>0.96030000000000004</v>
      </c>
      <c r="D135" s="16" t="s">
        <v>23</v>
      </c>
      <c r="E135" s="17"/>
      <c r="F135" s="17"/>
      <c r="G135" s="18">
        <v>629</v>
      </c>
      <c r="H135" s="19">
        <f t="shared" si="0"/>
        <v>24.971299999999928</v>
      </c>
      <c r="I135" s="20">
        <f t="shared" si="1"/>
        <v>1373.4214999999961</v>
      </c>
      <c r="J135" s="21">
        <f t="shared" si="3"/>
        <v>31.450000000000045</v>
      </c>
      <c r="K135" s="22">
        <f t="shared" si="2"/>
        <v>6.4787000000001171</v>
      </c>
    </row>
    <row r="136" spans="1:11" ht="12.75" x14ac:dyDescent="0.2">
      <c r="A136" s="13">
        <v>45695</v>
      </c>
      <c r="B136" s="14" t="s">
        <v>7</v>
      </c>
      <c r="C136" s="15">
        <v>0.94120000000000004</v>
      </c>
      <c r="D136" s="16" t="s">
        <v>23</v>
      </c>
      <c r="E136" s="17"/>
      <c r="F136" s="17"/>
      <c r="G136" s="18">
        <v>629</v>
      </c>
      <c r="H136" s="19">
        <f t="shared" si="0"/>
        <v>36.985199999999963</v>
      </c>
      <c r="I136" s="20">
        <f t="shared" si="1"/>
        <v>2034.1859999999979</v>
      </c>
      <c r="J136" s="21">
        <f t="shared" si="3"/>
        <v>31.450000000000045</v>
      </c>
      <c r="K136" s="22">
        <f t="shared" si="2"/>
        <v>-5.535199999999918</v>
      </c>
    </row>
    <row r="137" spans="1:11" ht="12.75" x14ac:dyDescent="0.2">
      <c r="A137" s="30">
        <v>45698</v>
      </c>
      <c r="B137" s="31" t="s">
        <v>3</v>
      </c>
      <c r="C137" s="32"/>
      <c r="D137" s="33"/>
      <c r="E137" s="34"/>
      <c r="F137" s="34"/>
      <c r="G137" s="35"/>
      <c r="H137" s="19">
        <f t="shared" si="0"/>
        <v>0</v>
      </c>
      <c r="I137" s="20">
        <f t="shared" si="1"/>
        <v>0</v>
      </c>
      <c r="J137" s="21">
        <f t="shared" si="3"/>
        <v>0</v>
      </c>
      <c r="K137" s="22">
        <f t="shared" si="2"/>
        <v>0</v>
      </c>
    </row>
    <row r="138" spans="1:11" ht="12.75" x14ac:dyDescent="0.2">
      <c r="A138" s="30">
        <v>45699</v>
      </c>
      <c r="B138" s="31" t="s">
        <v>4</v>
      </c>
      <c r="C138" s="32"/>
      <c r="D138" s="33"/>
      <c r="E138" s="34"/>
      <c r="F138" s="34"/>
      <c r="G138" s="35"/>
      <c r="H138" s="19">
        <f t="shared" si="0"/>
        <v>0</v>
      </c>
      <c r="I138" s="20">
        <f t="shared" si="1"/>
        <v>0</v>
      </c>
      <c r="J138" s="21">
        <f t="shared" si="3"/>
        <v>0</v>
      </c>
      <c r="K138" s="22">
        <f t="shared" si="2"/>
        <v>0</v>
      </c>
    </row>
    <row r="139" spans="1:11" ht="12.75" x14ac:dyDescent="0.2">
      <c r="A139" s="13">
        <v>45700</v>
      </c>
      <c r="B139" s="14" t="s">
        <v>5</v>
      </c>
      <c r="C139" s="15">
        <v>0.9476</v>
      </c>
      <c r="D139" s="16" t="s">
        <v>23</v>
      </c>
      <c r="E139" s="17"/>
      <c r="F139" s="17"/>
      <c r="G139" s="18">
        <v>630</v>
      </c>
      <c r="H139" s="19">
        <f t="shared" si="0"/>
        <v>33.012000000000057</v>
      </c>
      <c r="I139" s="20">
        <f t="shared" si="1"/>
        <v>1815.660000000003</v>
      </c>
      <c r="J139" s="21">
        <f t="shared" si="3"/>
        <v>31.5</v>
      </c>
      <c r="K139" s="22">
        <f t="shared" si="2"/>
        <v>-1.5120000000000573</v>
      </c>
    </row>
    <row r="140" spans="1:11" ht="12.75" x14ac:dyDescent="0.2">
      <c r="A140" s="13">
        <v>45701</v>
      </c>
      <c r="B140" s="14" t="s">
        <v>6</v>
      </c>
      <c r="C140" s="15">
        <v>0.96830000000000005</v>
      </c>
      <c r="D140" s="16" t="s">
        <v>23</v>
      </c>
      <c r="E140" s="17"/>
      <c r="F140" s="17"/>
      <c r="G140" s="18">
        <v>630</v>
      </c>
      <c r="H140" s="19">
        <f t="shared" si="0"/>
        <v>19.971000000000004</v>
      </c>
      <c r="I140" s="20">
        <f t="shared" si="1"/>
        <v>1098.4050000000002</v>
      </c>
      <c r="J140" s="21">
        <f t="shared" si="3"/>
        <v>31.5</v>
      </c>
      <c r="K140" s="22">
        <f t="shared" si="2"/>
        <v>11.528999999999996</v>
      </c>
    </row>
    <row r="141" spans="1:11" ht="12.75" x14ac:dyDescent="0.2">
      <c r="A141" s="13">
        <v>45702</v>
      </c>
      <c r="B141" s="14" t="s">
        <v>7</v>
      </c>
      <c r="C141" s="15">
        <v>0.94750000000000001</v>
      </c>
      <c r="D141" s="16" t="s">
        <v>23</v>
      </c>
      <c r="E141" s="17"/>
      <c r="F141" s="17"/>
      <c r="G141" s="18">
        <v>629</v>
      </c>
      <c r="H141" s="19">
        <f t="shared" si="0"/>
        <v>33.022500000000036</v>
      </c>
      <c r="I141" s="20">
        <f t="shared" si="1"/>
        <v>1816.237500000002</v>
      </c>
      <c r="J141" s="21">
        <f t="shared" si="3"/>
        <v>31.450000000000045</v>
      </c>
      <c r="K141" s="22">
        <f t="shared" si="2"/>
        <v>-1.5724999999999909</v>
      </c>
    </row>
    <row r="142" spans="1:11" ht="12.75" x14ac:dyDescent="0.2">
      <c r="A142" s="38">
        <v>45705</v>
      </c>
      <c r="B142" s="39" t="s">
        <v>3</v>
      </c>
      <c r="C142" s="40"/>
      <c r="D142" s="41"/>
      <c r="E142" s="42"/>
      <c r="F142" s="42"/>
      <c r="G142" s="43"/>
      <c r="H142" s="19">
        <f t="shared" si="0"/>
        <v>0</v>
      </c>
      <c r="I142" s="20">
        <f t="shared" si="1"/>
        <v>0</v>
      </c>
      <c r="J142" s="21">
        <f t="shared" si="3"/>
        <v>0</v>
      </c>
      <c r="K142" s="22">
        <f t="shared" si="2"/>
        <v>0</v>
      </c>
    </row>
    <row r="143" spans="1:11" ht="12.75" x14ac:dyDescent="0.2">
      <c r="A143" s="13">
        <v>45706</v>
      </c>
      <c r="B143" s="14" t="s">
        <v>4</v>
      </c>
      <c r="C143" s="15">
        <v>0.96509999999999996</v>
      </c>
      <c r="D143" s="16" t="s">
        <v>23</v>
      </c>
      <c r="E143" s="17"/>
      <c r="F143" s="17"/>
      <c r="G143" s="18">
        <v>630</v>
      </c>
      <c r="H143" s="19">
        <f t="shared" si="0"/>
        <v>21.98700000000008</v>
      </c>
      <c r="I143" s="20">
        <f t="shared" si="1"/>
        <v>1209.2850000000044</v>
      </c>
      <c r="J143" s="21">
        <f t="shared" si="3"/>
        <v>31.5</v>
      </c>
      <c r="K143" s="22">
        <f t="shared" si="2"/>
        <v>9.51299999999992</v>
      </c>
    </row>
    <row r="144" spans="1:11" ht="12.75" x14ac:dyDescent="0.2">
      <c r="A144" s="13">
        <v>45707</v>
      </c>
      <c r="B144" s="14" t="s">
        <v>5</v>
      </c>
      <c r="C144" s="15">
        <v>0.97299999999999998</v>
      </c>
      <c r="D144" s="16" t="s">
        <v>23</v>
      </c>
      <c r="E144" s="17"/>
      <c r="F144" s="17"/>
      <c r="G144" s="18">
        <v>630</v>
      </c>
      <c r="H144" s="19">
        <f t="shared" si="0"/>
        <v>17.009999999999991</v>
      </c>
      <c r="I144" s="20">
        <f t="shared" si="1"/>
        <v>935.5499999999995</v>
      </c>
      <c r="J144" s="21">
        <f t="shared" si="3"/>
        <v>31.5</v>
      </c>
      <c r="K144" s="22">
        <f t="shared" si="2"/>
        <v>14.490000000000009</v>
      </c>
    </row>
    <row r="145" spans="1:11" ht="12.75" x14ac:dyDescent="0.2">
      <c r="A145" s="13">
        <v>45708</v>
      </c>
      <c r="B145" s="14" t="s">
        <v>6</v>
      </c>
      <c r="C145" s="15">
        <v>0.87460000000000004</v>
      </c>
      <c r="D145" s="16" t="s">
        <v>242</v>
      </c>
      <c r="E145" s="17" t="s">
        <v>43</v>
      </c>
      <c r="F145" s="17"/>
      <c r="G145" s="18">
        <v>630</v>
      </c>
      <c r="H145" s="19">
        <f t="shared" si="0"/>
        <v>79.001999999999953</v>
      </c>
      <c r="I145" s="20">
        <f t="shared" si="1"/>
        <v>4345.1099999999969</v>
      </c>
      <c r="J145" s="21">
        <f t="shared" si="3"/>
        <v>31.5</v>
      </c>
      <c r="K145" s="22">
        <f t="shared" si="2"/>
        <v>-47.501999999999953</v>
      </c>
    </row>
    <row r="146" spans="1:11" ht="12.75" x14ac:dyDescent="0.2">
      <c r="A146" s="13">
        <v>45709</v>
      </c>
      <c r="B146" s="14" t="s">
        <v>7</v>
      </c>
      <c r="C146" s="15">
        <v>0.92679999999999996</v>
      </c>
      <c r="D146" s="16" t="s">
        <v>23</v>
      </c>
      <c r="E146" s="17"/>
      <c r="F146" s="17"/>
      <c r="G146" s="18">
        <v>630</v>
      </c>
      <c r="H146" s="19">
        <f t="shared" si="0"/>
        <v>46.115999999999985</v>
      </c>
      <c r="I146" s="20">
        <f t="shared" si="1"/>
        <v>2536.3799999999992</v>
      </c>
      <c r="J146" s="21">
        <f t="shared" si="3"/>
        <v>31.5</v>
      </c>
      <c r="K146" s="22">
        <f t="shared" si="2"/>
        <v>-14.615999999999985</v>
      </c>
    </row>
    <row r="147" spans="1:11" ht="12.75" x14ac:dyDescent="0.2">
      <c r="A147" s="13">
        <v>45712</v>
      </c>
      <c r="B147" s="14" t="s">
        <v>3</v>
      </c>
      <c r="C147" s="15">
        <v>0.9153</v>
      </c>
      <c r="D147" s="16" t="s">
        <v>79</v>
      </c>
      <c r="E147" s="17"/>
      <c r="F147" s="17"/>
      <c r="G147" s="18">
        <v>626</v>
      </c>
      <c r="H147" s="19">
        <f t="shared" si="0"/>
        <v>53.022199999999998</v>
      </c>
      <c r="I147" s="20">
        <f t="shared" si="1"/>
        <v>2916.221</v>
      </c>
      <c r="J147" s="21">
        <f t="shared" si="3"/>
        <v>31.300000000000068</v>
      </c>
      <c r="K147" s="22">
        <f t="shared" si="2"/>
        <v>-21.72219999999993</v>
      </c>
    </row>
    <row r="148" spans="1:11" ht="12.75" x14ac:dyDescent="0.2">
      <c r="A148" s="13">
        <v>45713</v>
      </c>
      <c r="B148" s="14" t="s">
        <v>4</v>
      </c>
      <c r="C148" s="15">
        <v>0.94730000000000003</v>
      </c>
      <c r="D148" s="16" t="s">
        <v>22</v>
      </c>
      <c r="E148" s="17"/>
      <c r="F148" s="17"/>
      <c r="G148" s="18">
        <v>626</v>
      </c>
      <c r="H148" s="19">
        <f t="shared" si="0"/>
        <v>32.990199999999959</v>
      </c>
      <c r="I148" s="20">
        <f t="shared" si="1"/>
        <v>1814.4609999999977</v>
      </c>
      <c r="J148" s="21">
        <f t="shared" si="3"/>
        <v>31.300000000000068</v>
      </c>
      <c r="K148" s="22">
        <f t="shared" si="2"/>
        <v>-1.6901999999998907</v>
      </c>
    </row>
    <row r="149" spans="1:11" ht="12.75" x14ac:dyDescent="0.2">
      <c r="A149" s="13">
        <v>45714</v>
      </c>
      <c r="B149" s="14" t="s">
        <v>5</v>
      </c>
      <c r="C149" s="15">
        <v>0.94089999999999996</v>
      </c>
      <c r="D149" s="16" t="s">
        <v>23</v>
      </c>
      <c r="E149" s="17"/>
      <c r="F149" s="17"/>
      <c r="G149" s="18">
        <v>626</v>
      </c>
      <c r="H149" s="19">
        <f t="shared" si="0"/>
        <v>36.996600000000058</v>
      </c>
      <c r="I149" s="20">
        <f t="shared" si="1"/>
        <v>2034.8130000000033</v>
      </c>
      <c r="J149" s="21">
        <f t="shared" si="3"/>
        <v>31.300000000000068</v>
      </c>
      <c r="K149" s="22">
        <f t="shared" si="2"/>
        <v>-5.6965999999999894</v>
      </c>
    </row>
    <row r="150" spans="1:11" ht="12.75" x14ac:dyDescent="0.2">
      <c r="A150" s="13">
        <v>45715</v>
      </c>
      <c r="B150" s="14" t="s">
        <v>6</v>
      </c>
      <c r="C150" s="15">
        <v>0.95530000000000004</v>
      </c>
      <c r="D150" s="16" t="s">
        <v>79</v>
      </c>
      <c r="E150" s="17"/>
      <c r="F150" s="17"/>
      <c r="G150" s="18">
        <v>626</v>
      </c>
      <c r="H150" s="19">
        <f t="shared" si="0"/>
        <v>27.982199999999921</v>
      </c>
      <c r="I150" s="20">
        <f t="shared" si="1"/>
        <v>1539.0209999999956</v>
      </c>
      <c r="J150" s="21">
        <f t="shared" si="3"/>
        <v>31.300000000000068</v>
      </c>
      <c r="K150" s="22">
        <f t="shared" si="2"/>
        <v>3.3178000000001475</v>
      </c>
    </row>
    <row r="151" spans="1:11" ht="12.75" x14ac:dyDescent="0.2">
      <c r="A151" s="13">
        <v>45716</v>
      </c>
      <c r="B151" s="14" t="s">
        <v>7</v>
      </c>
      <c r="C151" s="15">
        <v>0.92490000000000006</v>
      </c>
      <c r="D151" s="16" t="s">
        <v>22</v>
      </c>
      <c r="E151" s="17"/>
      <c r="F151" s="17"/>
      <c r="G151" s="18">
        <v>626</v>
      </c>
      <c r="H151" s="19">
        <f t="shared" si="0"/>
        <v>47.01260000000002</v>
      </c>
      <c r="I151" s="20">
        <f t="shared" si="1"/>
        <v>2585.6930000000011</v>
      </c>
      <c r="J151" s="21">
        <f t="shared" si="3"/>
        <v>31.300000000000068</v>
      </c>
      <c r="K151" s="22">
        <f t="shared" si="2"/>
        <v>-15.712599999999952</v>
      </c>
    </row>
    <row r="152" spans="1:11" ht="12.75" x14ac:dyDescent="0.2">
      <c r="A152" s="13">
        <v>45719</v>
      </c>
      <c r="B152" s="14" t="s">
        <v>3</v>
      </c>
      <c r="C152" s="15">
        <v>0.94089999999999996</v>
      </c>
      <c r="D152" s="16" t="s">
        <v>23</v>
      </c>
      <c r="E152" s="17"/>
      <c r="F152" s="17"/>
      <c r="G152" s="18">
        <v>625</v>
      </c>
      <c r="H152" s="19">
        <f t="shared" si="0"/>
        <v>36.9375</v>
      </c>
      <c r="I152" s="20">
        <f t="shared" si="1"/>
        <v>2031.5625</v>
      </c>
      <c r="J152" s="21">
        <f t="shared" si="3"/>
        <v>31.25</v>
      </c>
      <c r="K152" s="22">
        <f t="shared" si="2"/>
        <v>-5.6875</v>
      </c>
    </row>
    <row r="153" spans="1:11" ht="25.5" x14ac:dyDescent="0.2">
      <c r="A153" s="13">
        <v>45720</v>
      </c>
      <c r="B153" s="14" t="s">
        <v>4</v>
      </c>
      <c r="C153" s="15">
        <v>0.8448</v>
      </c>
      <c r="D153" s="16" t="s">
        <v>242</v>
      </c>
      <c r="E153" s="17" t="s">
        <v>245</v>
      </c>
      <c r="F153" s="17"/>
      <c r="G153" s="18">
        <v>625</v>
      </c>
      <c r="H153" s="19">
        <f t="shared" si="0"/>
        <v>97</v>
      </c>
      <c r="I153" s="20">
        <f t="shared" si="1"/>
        <v>5335</v>
      </c>
      <c r="J153" s="21">
        <f t="shared" si="3"/>
        <v>31.25</v>
      </c>
      <c r="K153" s="22">
        <f t="shared" si="2"/>
        <v>-65.75</v>
      </c>
    </row>
    <row r="154" spans="1:11" ht="12.75" x14ac:dyDescent="0.2">
      <c r="A154" s="13">
        <v>45721</v>
      </c>
      <c r="B154" s="14" t="s">
        <v>5</v>
      </c>
      <c r="C154" s="15">
        <v>0.97109999999999996</v>
      </c>
      <c r="D154" s="16" t="s">
        <v>23</v>
      </c>
      <c r="E154" s="17"/>
      <c r="F154" s="17"/>
      <c r="G154" s="18">
        <v>622</v>
      </c>
      <c r="H154" s="19">
        <f t="shared" si="0"/>
        <v>17.975800000000049</v>
      </c>
      <c r="I154" s="20">
        <f t="shared" si="1"/>
        <v>988.66900000000271</v>
      </c>
      <c r="J154" s="21">
        <f t="shared" si="3"/>
        <v>31.100000000000023</v>
      </c>
      <c r="K154" s="22">
        <f t="shared" si="2"/>
        <v>13.124199999999973</v>
      </c>
    </row>
    <row r="155" spans="1:11" ht="12.75" x14ac:dyDescent="0.2">
      <c r="A155" s="13">
        <v>45722</v>
      </c>
      <c r="B155" s="14" t="s">
        <v>6</v>
      </c>
      <c r="C155" s="15">
        <v>0.95509999999999995</v>
      </c>
      <c r="D155" s="16" t="s">
        <v>23</v>
      </c>
      <c r="E155" s="17"/>
      <c r="F155" s="17"/>
      <c r="G155" s="18">
        <v>623</v>
      </c>
      <c r="H155" s="19">
        <f t="shared" si="0"/>
        <v>27.972700000000032</v>
      </c>
      <c r="I155" s="20">
        <f t="shared" si="1"/>
        <v>1538.4985000000017</v>
      </c>
      <c r="J155" s="21">
        <f t="shared" si="3"/>
        <v>31.149999999999977</v>
      </c>
      <c r="K155" s="22">
        <f t="shared" si="2"/>
        <v>3.1772999999999456</v>
      </c>
    </row>
    <row r="156" spans="1:11" ht="12.75" x14ac:dyDescent="0.2">
      <c r="A156" s="13">
        <v>45723</v>
      </c>
      <c r="B156" s="14" t="s">
        <v>7</v>
      </c>
      <c r="C156" s="15">
        <v>0.94389999999999996</v>
      </c>
      <c r="D156" s="16" t="s">
        <v>23</v>
      </c>
      <c r="E156" s="17"/>
      <c r="F156" s="17"/>
      <c r="G156" s="18">
        <v>624</v>
      </c>
      <c r="H156" s="19">
        <f t="shared" si="0"/>
        <v>35.006399999999985</v>
      </c>
      <c r="I156" s="20">
        <f t="shared" si="1"/>
        <v>1925.3519999999992</v>
      </c>
      <c r="J156" s="21">
        <f t="shared" si="3"/>
        <v>31.200000000000045</v>
      </c>
      <c r="K156" s="22">
        <f t="shared" si="2"/>
        <v>-3.8063999999999396</v>
      </c>
    </row>
    <row r="157" spans="1:11" ht="12.75" x14ac:dyDescent="0.2">
      <c r="A157" s="44">
        <v>45726</v>
      </c>
      <c r="B157" s="45" t="s">
        <v>3</v>
      </c>
      <c r="C157" s="15">
        <v>0.92630000000000001</v>
      </c>
      <c r="D157" s="16" t="s">
        <v>23</v>
      </c>
      <c r="E157" s="17"/>
      <c r="F157" s="17"/>
      <c r="G157" s="18">
        <v>624</v>
      </c>
      <c r="H157" s="19">
        <f t="shared" si="0"/>
        <v>45.988799999999969</v>
      </c>
      <c r="I157" s="20">
        <f t="shared" si="1"/>
        <v>2529.3839999999982</v>
      </c>
      <c r="J157" s="21">
        <f t="shared" si="3"/>
        <v>31.200000000000045</v>
      </c>
      <c r="K157" s="22">
        <f t="shared" si="2"/>
        <v>-14.788799999999924</v>
      </c>
    </row>
    <row r="158" spans="1:11" ht="12.75" x14ac:dyDescent="0.2">
      <c r="A158" s="44">
        <v>45727</v>
      </c>
      <c r="B158" s="45" t="s">
        <v>4</v>
      </c>
      <c r="C158" s="15">
        <v>0.96950000000000003</v>
      </c>
      <c r="D158" s="16" t="s">
        <v>79</v>
      </c>
      <c r="E158" s="17"/>
      <c r="F158" s="17"/>
      <c r="G158" s="18">
        <v>623</v>
      </c>
      <c r="H158" s="19">
        <f t="shared" si="0"/>
        <v>19.001499999999965</v>
      </c>
      <c r="I158" s="20">
        <f t="shared" si="1"/>
        <v>1045.0824999999982</v>
      </c>
      <c r="J158" s="21">
        <f t="shared" si="3"/>
        <v>31.149999999999977</v>
      </c>
      <c r="K158" s="22">
        <f t="shared" si="2"/>
        <v>12.148500000000013</v>
      </c>
    </row>
    <row r="159" spans="1:11" ht="12.75" x14ac:dyDescent="0.2">
      <c r="A159" s="44">
        <v>45728</v>
      </c>
      <c r="B159" s="45" t="s">
        <v>5</v>
      </c>
      <c r="C159" s="15"/>
      <c r="D159" s="16"/>
      <c r="E159" s="17"/>
      <c r="F159" s="17"/>
      <c r="H159" s="19">
        <f t="shared" si="0"/>
        <v>0</v>
      </c>
      <c r="I159" s="20">
        <f t="shared" si="1"/>
        <v>0</v>
      </c>
      <c r="J159" s="21">
        <f t="shared" si="3"/>
        <v>0</v>
      </c>
      <c r="K159" s="22">
        <f t="shared" si="2"/>
        <v>0</v>
      </c>
    </row>
    <row r="160" spans="1:11" ht="12.75" x14ac:dyDescent="0.2">
      <c r="A160" s="44">
        <v>45729</v>
      </c>
      <c r="B160" s="45" t="s">
        <v>6</v>
      </c>
      <c r="C160" s="15"/>
      <c r="D160" s="16"/>
      <c r="E160" s="17"/>
      <c r="F160" s="17"/>
      <c r="H160" s="19">
        <f t="shared" si="0"/>
        <v>0</v>
      </c>
      <c r="I160" s="20">
        <f t="shared" si="1"/>
        <v>0</v>
      </c>
      <c r="J160" s="21">
        <f t="shared" si="3"/>
        <v>0</v>
      </c>
      <c r="K160" s="22">
        <f t="shared" si="2"/>
        <v>0</v>
      </c>
    </row>
    <row r="161" spans="1:11" ht="12.75" x14ac:dyDescent="0.2">
      <c r="A161" s="44">
        <v>45730</v>
      </c>
      <c r="B161" s="45" t="s">
        <v>7</v>
      </c>
      <c r="C161" s="15"/>
      <c r="D161" s="16"/>
      <c r="E161" s="17"/>
      <c r="F161" s="17"/>
      <c r="H161" s="19">
        <f t="shared" si="0"/>
        <v>0</v>
      </c>
      <c r="I161" s="20">
        <f t="shared" si="1"/>
        <v>0</v>
      </c>
      <c r="J161" s="21">
        <f t="shared" si="3"/>
        <v>0</v>
      </c>
      <c r="K161" s="22">
        <f t="shared" si="2"/>
        <v>0</v>
      </c>
    </row>
    <row r="162" spans="1:11" ht="12.75" x14ac:dyDescent="0.2">
      <c r="A162" s="24">
        <v>45733</v>
      </c>
      <c r="B162" s="25" t="s">
        <v>3</v>
      </c>
      <c r="C162" s="26"/>
      <c r="D162" s="27"/>
      <c r="E162" s="28"/>
      <c r="F162" s="28"/>
      <c r="G162" s="29"/>
      <c r="H162" s="19">
        <f t="shared" si="0"/>
        <v>0</v>
      </c>
      <c r="I162" s="20">
        <f t="shared" si="1"/>
        <v>0</v>
      </c>
      <c r="J162" s="21">
        <f t="shared" si="3"/>
        <v>0</v>
      </c>
      <c r="K162" s="22">
        <f t="shared" si="2"/>
        <v>0</v>
      </c>
    </row>
    <row r="163" spans="1:11" ht="12.75" x14ac:dyDescent="0.2">
      <c r="A163" s="24">
        <v>45734</v>
      </c>
      <c r="B163" s="25" t="s">
        <v>4</v>
      </c>
      <c r="C163" s="26"/>
      <c r="D163" s="27"/>
      <c r="E163" s="28"/>
      <c r="F163" s="28"/>
      <c r="G163" s="29"/>
      <c r="H163" s="19">
        <f t="shared" si="0"/>
        <v>0</v>
      </c>
      <c r="I163" s="20">
        <f t="shared" si="1"/>
        <v>0</v>
      </c>
      <c r="J163" s="21">
        <f t="shared" si="3"/>
        <v>0</v>
      </c>
      <c r="K163" s="22">
        <f t="shared" si="2"/>
        <v>0</v>
      </c>
    </row>
    <row r="164" spans="1:11" ht="12.75" x14ac:dyDescent="0.2">
      <c r="A164" s="24">
        <v>45735</v>
      </c>
      <c r="B164" s="25" t="s">
        <v>5</v>
      </c>
      <c r="C164" s="26"/>
      <c r="D164" s="27"/>
      <c r="E164" s="28"/>
      <c r="F164" s="28"/>
      <c r="G164" s="29"/>
      <c r="H164" s="19">
        <f t="shared" si="0"/>
        <v>0</v>
      </c>
      <c r="I164" s="20">
        <f t="shared" si="1"/>
        <v>0</v>
      </c>
      <c r="J164" s="21">
        <f t="shared" si="3"/>
        <v>0</v>
      </c>
      <c r="K164" s="22">
        <f t="shared" si="2"/>
        <v>0</v>
      </c>
    </row>
    <row r="165" spans="1:11" ht="12.75" x14ac:dyDescent="0.2">
      <c r="A165" s="24">
        <v>45736</v>
      </c>
      <c r="B165" s="25" t="s">
        <v>6</v>
      </c>
      <c r="C165" s="26"/>
      <c r="D165" s="27"/>
      <c r="E165" s="28"/>
      <c r="F165" s="28"/>
      <c r="G165" s="29"/>
      <c r="H165" s="19">
        <f t="shared" si="0"/>
        <v>0</v>
      </c>
      <c r="I165" s="20">
        <f t="shared" si="1"/>
        <v>0</v>
      </c>
      <c r="J165" s="21">
        <f t="shared" si="3"/>
        <v>0</v>
      </c>
      <c r="K165" s="22">
        <f t="shared" si="2"/>
        <v>0</v>
      </c>
    </row>
    <row r="166" spans="1:11" ht="12.75" x14ac:dyDescent="0.2">
      <c r="A166" s="24">
        <v>45737</v>
      </c>
      <c r="B166" s="25" t="s">
        <v>7</v>
      </c>
      <c r="C166" s="26"/>
      <c r="D166" s="27"/>
      <c r="E166" s="28"/>
      <c r="F166" s="28"/>
      <c r="G166" s="29"/>
      <c r="H166" s="19">
        <f t="shared" si="0"/>
        <v>0</v>
      </c>
      <c r="I166" s="20">
        <f t="shared" si="1"/>
        <v>0</v>
      </c>
      <c r="J166" s="21">
        <f t="shared" si="3"/>
        <v>0</v>
      </c>
      <c r="K166" s="22">
        <f t="shared" si="2"/>
        <v>0</v>
      </c>
    </row>
    <row r="167" spans="1:11" ht="12.75" x14ac:dyDescent="0.2">
      <c r="A167" s="13">
        <v>45740</v>
      </c>
      <c r="B167" s="14" t="s">
        <v>3</v>
      </c>
      <c r="C167" s="15"/>
      <c r="D167" s="16"/>
      <c r="E167" s="17"/>
      <c r="F167" s="17"/>
      <c r="H167" s="19">
        <f t="shared" si="0"/>
        <v>0</v>
      </c>
      <c r="I167" s="20">
        <f t="shared" si="1"/>
        <v>0</v>
      </c>
      <c r="J167" s="21">
        <f t="shared" si="3"/>
        <v>0</v>
      </c>
      <c r="K167" s="22">
        <f t="shared" si="2"/>
        <v>0</v>
      </c>
    </row>
    <row r="168" spans="1:11" ht="12.75" x14ac:dyDescent="0.2">
      <c r="A168" s="13">
        <v>45741</v>
      </c>
      <c r="B168" s="14" t="s">
        <v>4</v>
      </c>
      <c r="C168" s="15"/>
      <c r="D168" s="16"/>
      <c r="E168" s="17"/>
      <c r="F168" s="17"/>
      <c r="H168" s="19">
        <f t="shared" si="0"/>
        <v>0</v>
      </c>
      <c r="I168" s="20">
        <f t="shared" si="1"/>
        <v>0</v>
      </c>
      <c r="J168" s="21">
        <f t="shared" si="3"/>
        <v>0</v>
      </c>
      <c r="K168" s="22">
        <f t="shared" si="2"/>
        <v>0</v>
      </c>
    </row>
    <row r="169" spans="1:11" ht="12.75" x14ac:dyDescent="0.2">
      <c r="A169" s="13">
        <v>45742</v>
      </c>
      <c r="B169" s="14" t="s">
        <v>5</v>
      </c>
      <c r="C169" s="15"/>
      <c r="D169" s="16"/>
      <c r="E169" s="17"/>
      <c r="F169" s="17"/>
      <c r="H169" s="19">
        <f t="shared" si="0"/>
        <v>0</v>
      </c>
      <c r="I169" s="20">
        <f t="shared" si="1"/>
        <v>0</v>
      </c>
      <c r="J169" s="21">
        <f t="shared" si="3"/>
        <v>0</v>
      </c>
      <c r="K169" s="22">
        <f t="shared" si="2"/>
        <v>0</v>
      </c>
    </row>
    <row r="170" spans="1:11" ht="12.75" x14ac:dyDescent="0.2">
      <c r="A170" s="13">
        <v>45743</v>
      </c>
      <c r="B170" s="14" t="s">
        <v>6</v>
      </c>
      <c r="C170" s="15"/>
      <c r="D170" s="16"/>
      <c r="E170" s="17"/>
      <c r="F170" s="17"/>
      <c r="H170" s="19">
        <f t="shared" si="0"/>
        <v>0</v>
      </c>
      <c r="I170" s="20">
        <f t="shared" si="1"/>
        <v>0</v>
      </c>
      <c r="J170" s="21">
        <f t="shared" si="3"/>
        <v>0</v>
      </c>
      <c r="K170" s="22">
        <f t="shared" si="2"/>
        <v>0</v>
      </c>
    </row>
    <row r="171" spans="1:11" ht="12.75" x14ac:dyDescent="0.2">
      <c r="A171" s="13">
        <v>45744</v>
      </c>
      <c r="B171" s="14" t="s">
        <v>7</v>
      </c>
      <c r="C171" s="15"/>
      <c r="D171" s="16"/>
      <c r="E171" s="17"/>
      <c r="F171" s="17"/>
      <c r="H171" s="19">
        <f t="shared" si="0"/>
        <v>0</v>
      </c>
      <c r="I171" s="20">
        <f t="shared" si="1"/>
        <v>0</v>
      </c>
      <c r="J171" s="21">
        <f t="shared" si="3"/>
        <v>0</v>
      </c>
      <c r="K171" s="22">
        <f t="shared" si="2"/>
        <v>0</v>
      </c>
    </row>
    <row r="172" spans="1:11" ht="12.75" x14ac:dyDescent="0.2">
      <c r="A172" s="13">
        <v>45747</v>
      </c>
      <c r="B172" s="14" t="s">
        <v>3</v>
      </c>
      <c r="C172" s="15"/>
      <c r="D172" s="16"/>
      <c r="E172" s="17"/>
      <c r="F172" s="17"/>
      <c r="H172" s="19">
        <f t="shared" si="0"/>
        <v>0</v>
      </c>
      <c r="I172" s="20">
        <f t="shared" si="1"/>
        <v>0</v>
      </c>
      <c r="J172" s="21">
        <f t="shared" si="3"/>
        <v>0</v>
      </c>
      <c r="K172" s="22">
        <f t="shared" si="2"/>
        <v>0</v>
      </c>
    </row>
    <row r="173" spans="1:11" ht="12.75" x14ac:dyDescent="0.2">
      <c r="A173" s="13">
        <v>45748</v>
      </c>
      <c r="B173" s="14" t="s">
        <v>4</v>
      </c>
      <c r="C173" s="15"/>
      <c r="D173" s="16"/>
      <c r="E173" s="17"/>
      <c r="F173" s="17"/>
      <c r="H173" s="19">
        <f t="shared" si="0"/>
        <v>0</v>
      </c>
      <c r="I173" s="20">
        <f t="shared" si="1"/>
        <v>0</v>
      </c>
      <c r="J173" s="21">
        <f t="shared" si="3"/>
        <v>0</v>
      </c>
      <c r="K173" s="22">
        <f t="shared" si="2"/>
        <v>0</v>
      </c>
    </row>
    <row r="174" spans="1:11" ht="12.75" x14ac:dyDescent="0.2">
      <c r="A174" s="13">
        <v>45749</v>
      </c>
      <c r="B174" s="14" t="s">
        <v>5</v>
      </c>
      <c r="C174" s="15"/>
      <c r="D174" s="16"/>
      <c r="E174" s="17"/>
      <c r="F174" s="17"/>
      <c r="H174" s="19">
        <f t="shared" si="0"/>
        <v>0</v>
      </c>
      <c r="I174" s="20">
        <f t="shared" si="1"/>
        <v>0</v>
      </c>
      <c r="J174" s="21">
        <f t="shared" si="3"/>
        <v>0</v>
      </c>
      <c r="K174" s="22">
        <f t="shared" si="2"/>
        <v>0</v>
      </c>
    </row>
    <row r="175" spans="1:11" ht="12.75" x14ac:dyDescent="0.2">
      <c r="A175" s="13">
        <v>45750</v>
      </c>
      <c r="B175" s="14" t="s">
        <v>6</v>
      </c>
      <c r="C175" s="15"/>
      <c r="D175" s="16"/>
      <c r="E175" s="17"/>
      <c r="F175" s="17"/>
      <c r="H175" s="19">
        <f t="shared" si="0"/>
        <v>0</v>
      </c>
      <c r="I175" s="20">
        <f t="shared" si="1"/>
        <v>0</v>
      </c>
      <c r="J175" s="21">
        <f t="shared" si="3"/>
        <v>0</v>
      </c>
      <c r="K175" s="22">
        <f t="shared" si="2"/>
        <v>0</v>
      </c>
    </row>
    <row r="176" spans="1:11" ht="12.75" x14ac:dyDescent="0.2">
      <c r="A176" s="13">
        <v>45751</v>
      </c>
      <c r="B176" s="14" t="s">
        <v>7</v>
      </c>
      <c r="C176" s="15"/>
      <c r="D176" s="16"/>
      <c r="E176" s="17"/>
      <c r="F176" s="17"/>
      <c r="H176" s="19">
        <f t="shared" si="0"/>
        <v>0</v>
      </c>
      <c r="I176" s="20">
        <f t="shared" si="1"/>
        <v>0</v>
      </c>
      <c r="J176" s="21">
        <f t="shared" si="3"/>
        <v>0</v>
      </c>
      <c r="K176" s="22">
        <f t="shared" si="2"/>
        <v>0</v>
      </c>
    </row>
    <row r="177" spans="1:11" ht="12.75" x14ac:dyDescent="0.2">
      <c r="A177" s="13">
        <v>45754</v>
      </c>
      <c r="B177" s="14" t="s">
        <v>3</v>
      </c>
      <c r="C177" s="15"/>
      <c r="D177" s="16"/>
      <c r="E177" s="17"/>
      <c r="F177" s="17"/>
      <c r="H177" s="19">
        <f t="shared" si="0"/>
        <v>0</v>
      </c>
      <c r="I177" s="20">
        <f t="shared" si="1"/>
        <v>0</v>
      </c>
      <c r="J177" s="21">
        <f t="shared" si="3"/>
        <v>0</v>
      </c>
      <c r="K177" s="22">
        <f t="shared" si="2"/>
        <v>0</v>
      </c>
    </row>
    <row r="178" spans="1:11" ht="12.75" x14ac:dyDescent="0.2">
      <c r="A178" s="13">
        <v>45755</v>
      </c>
      <c r="B178" s="14" t="s">
        <v>4</v>
      </c>
      <c r="C178" s="15"/>
      <c r="D178" s="16"/>
      <c r="E178" s="17"/>
      <c r="F178" s="17"/>
      <c r="H178" s="19">
        <f t="shared" si="0"/>
        <v>0</v>
      </c>
      <c r="I178" s="20">
        <f t="shared" si="1"/>
        <v>0</v>
      </c>
      <c r="J178" s="21">
        <f t="shared" si="3"/>
        <v>0</v>
      </c>
      <c r="K178" s="22">
        <f t="shared" si="2"/>
        <v>0</v>
      </c>
    </row>
    <row r="179" spans="1:11" ht="12.75" x14ac:dyDescent="0.2">
      <c r="A179" s="13">
        <v>45756</v>
      </c>
      <c r="B179" s="14" t="s">
        <v>5</v>
      </c>
      <c r="C179" s="15"/>
      <c r="D179" s="16"/>
      <c r="E179" s="17"/>
      <c r="F179" s="17"/>
      <c r="H179" s="19">
        <f t="shared" si="0"/>
        <v>0</v>
      </c>
      <c r="I179" s="20">
        <f t="shared" si="1"/>
        <v>0</v>
      </c>
      <c r="J179" s="21">
        <f t="shared" si="3"/>
        <v>0</v>
      </c>
      <c r="K179" s="22">
        <f t="shared" si="2"/>
        <v>0</v>
      </c>
    </row>
    <row r="180" spans="1:11" ht="12.75" x14ac:dyDescent="0.2">
      <c r="A180" s="13">
        <v>45757</v>
      </c>
      <c r="B180" s="14" t="s">
        <v>6</v>
      </c>
      <c r="C180" s="15"/>
      <c r="D180" s="16"/>
      <c r="E180" s="17"/>
      <c r="F180" s="17"/>
      <c r="H180" s="19">
        <f t="shared" si="0"/>
        <v>0</v>
      </c>
      <c r="I180" s="20">
        <f t="shared" si="1"/>
        <v>0</v>
      </c>
      <c r="J180" s="21">
        <f t="shared" si="3"/>
        <v>0</v>
      </c>
      <c r="K180" s="22">
        <f t="shared" si="2"/>
        <v>0</v>
      </c>
    </row>
    <row r="181" spans="1:11" ht="12.75" x14ac:dyDescent="0.2">
      <c r="A181" s="13">
        <v>45758</v>
      </c>
      <c r="B181" s="14" t="s">
        <v>7</v>
      </c>
      <c r="C181" s="15"/>
      <c r="D181" s="16"/>
      <c r="E181" s="17"/>
      <c r="F181" s="17"/>
      <c r="H181" s="19">
        <f t="shared" si="0"/>
        <v>0</v>
      </c>
      <c r="I181" s="20">
        <f t="shared" si="1"/>
        <v>0</v>
      </c>
      <c r="J181" s="21">
        <f t="shared" si="3"/>
        <v>0</v>
      </c>
      <c r="K181" s="22">
        <f t="shared" si="2"/>
        <v>0</v>
      </c>
    </row>
    <row r="182" spans="1:11" ht="12.75" x14ac:dyDescent="0.2">
      <c r="A182" s="13">
        <v>45761</v>
      </c>
      <c r="B182" s="14" t="s">
        <v>3</v>
      </c>
      <c r="C182" s="15"/>
      <c r="D182" s="16"/>
      <c r="E182" s="17"/>
      <c r="F182" s="17"/>
      <c r="H182" s="19">
        <f t="shared" si="0"/>
        <v>0</v>
      </c>
      <c r="I182" s="20">
        <f t="shared" si="1"/>
        <v>0</v>
      </c>
      <c r="J182" s="21">
        <f t="shared" si="3"/>
        <v>0</v>
      </c>
      <c r="K182" s="22">
        <f t="shared" si="2"/>
        <v>0</v>
      </c>
    </row>
    <row r="183" spans="1:11" ht="12.75" x14ac:dyDescent="0.2">
      <c r="A183" s="13">
        <v>45762</v>
      </c>
      <c r="B183" s="14" t="s">
        <v>4</v>
      </c>
      <c r="C183" s="15"/>
      <c r="D183" s="16"/>
      <c r="E183" s="17"/>
      <c r="F183" s="17"/>
      <c r="H183" s="19">
        <f t="shared" si="0"/>
        <v>0</v>
      </c>
      <c r="I183" s="20">
        <f t="shared" si="1"/>
        <v>0</v>
      </c>
      <c r="J183" s="21">
        <f t="shared" si="3"/>
        <v>0</v>
      </c>
      <c r="K183" s="22">
        <f t="shared" si="2"/>
        <v>0</v>
      </c>
    </row>
    <row r="184" spans="1:11" ht="12.75" x14ac:dyDescent="0.2">
      <c r="A184" s="13">
        <v>45763</v>
      </c>
      <c r="B184" s="14" t="s">
        <v>5</v>
      </c>
      <c r="C184" s="15"/>
      <c r="D184" s="16"/>
      <c r="E184" s="17"/>
      <c r="F184" s="17"/>
      <c r="H184" s="19">
        <f t="shared" si="0"/>
        <v>0</v>
      </c>
      <c r="I184" s="20">
        <f t="shared" si="1"/>
        <v>0</v>
      </c>
      <c r="J184" s="21">
        <f t="shared" si="3"/>
        <v>0</v>
      </c>
      <c r="K184" s="22">
        <f t="shared" si="2"/>
        <v>0</v>
      </c>
    </row>
    <row r="185" spans="1:11" ht="12.75" x14ac:dyDescent="0.2">
      <c r="A185" s="13">
        <v>45764</v>
      </c>
      <c r="B185" s="14" t="s">
        <v>6</v>
      </c>
      <c r="C185" s="15"/>
      <c r="D185" s="16"/>
      <c r="E185" s="17"/>
      <c r="F185" s="17"/>
      <c r="H185" s="19">
        <f t="shared" si="0"/>
        <v>0</v>
      </c>
      <c r="I185" s="20">
        <f t="shared" si="1"/>
        <v>0</v>
      </c>
      <c r="J185" s="21">
        <f t="shared" si="3"/>
        <v>0</v>
      </c>
      <c r="K185" s="22">
        <f t="shared" si="2"/>
        <v>0</v>
      </c>
    </row>
    <row r="186" spans="1:11" ht="12.75" x14ac:dyDescent="0.2">
      <c r="A186" s="24">
        <v>45765</v>
      </c>
      <c r="B186" s="25" t="s">
        <v>7</v>
      </c>
      <c r="C186" s="26"/>
      <c r="D186" s="27"/>
      <c r="E186" s="28"/>
      <c r="F186" s="28"/>
      <c r="G186" s="29"/>
      <c r="H186" s="19">
        <f t="shared" si="0"/>
        <v>0</v>
      </c>
      <c r="I186" s="20">
        <f t="shared" si="1"/>
        <v>0</v>
      </c>
      <c r="J186" s="21">
        <f t="shared" si="3"/>
        <v>0</v>
      </c>
      <c r="K186" s="22">
        <f t="shared" si="2"/>
        <v>0</v>
      </c>
    </row>
    <row r="187" spans="1:11" ht="12.75" x14ac:dyDescent="0.2">
      <c r="A187" s="24">
        <v>45768</v>
      </c>
      <c r="B187" s="25" t="s">
        <v>3</v>
      </c>
      <c r="C187" s="26"/>
      <c r="D187" s="27"/>
      <c r="E187" s="28"/>
      <c r="F187" s="28"/>
      <c r="G187" s="29"/>
      <c r="H187" s="19">
        <f t="shared" si="0"/>
        <v>0</v>
      </c>
      <c r="I187" s="20">
        <f t="shared" si="1"/>
        <v>0</v>
      </c>
      <c r="J187" s="21">
        <f t="shared" si="3"/>
        <v>0</v>
      </c>
      <c r="K187" s="22">
        <f t="shared" si="2"/>
        <v>0</v>
      </c>
    </row>
    <row r="188" spans="1:11" ht="12.75" x14ac:dyDescent="0.2">
      <c r="A188" s="13">
        <v>45769</v>
      </c>
      <c r="B188" s="14" t="s">
        <v>4</v>
      </c>
      <c r="C188" s="15"/>
      <c r="D188" s="16"/>
      <c r="E188" s="17"/>
      <c r="F188" s="17"/>
      <c r="H188" s="19">
        <f t="shared" si="0"/>
        <v>0</v>
      </c>
      <c r="I188" s="20">
        <f t="shared" si="1"/>
        <v>0</v>
      </c>
      <c r="J188" s="21">
        <f t="shared" si="3"/>
        <v>0</v>
      </c>
      <c r="K188" s="22">
        <f t="shared" si="2"/>
        <v>0</v>
      </c>
    </row>
    <row r="189" spans="1:11" ht="12.75" x14ac:dyDescent="0.2">
      <c r="A189" s="13">
        <v>45770</v>
      </c>
      <c r="B189" s="14" t="s">
        <v>5</v>
      </c>
      <c r="C189" s="15"/>
      <c r="D189" s="16"/>
      <c r="E189" s="17"/>
      <c r="F189" s="17"/>
      <c r="H189" s="19">
        <f t="shared" si="0"/>
        <v>0</v>
      </c>
      <c r="I189" s="20">
        <f t="shared" si="1"/>
        <v>0</v>
      </c>
      <c r="J189" s="21">
        <f t="shared" si="3"/>
        <v>0</v>
      </c>
      <c r="K189" s="22">
        <f t="shared" si="2"/>
        <v>0</v>
      </c>
    </row>
    <row r="190" spans="1:11" ht="12.75" x14ac:dyDescent="0.2">
      <c r="A190" s="13">
        <v>45771</v>
      </c>
      <c r="B190" s="14" t="s">
        <v>6</v>
      </c>
      <c r="C190" s="15"/>
      <c r="D190" s="16"/>
      <c r="E190" s="17"/>
      <c r="F190" s="17"/>
      <c r="H190" s="19">
        <f t="shared" si="0"/>
        <v>0</v>
      </c>
      <c r="I190" s="20">
        <f t="shared" si="1"/>
        <v>0</v>
      </c>
      <c r="J190" s="21">
        <f t="shared" si="3"/>
        <v>0</v>
      </c>
      <c r="K190" s="22">
        <f t="shared" si="2"/>
        <v>0</v>
      </c>
    </row>
    <row r="191" spans="1:11" ht="12.75" x14ac:dyDescent="0.2">
      <c r="A191" s="13">
        <v>45772</v>
      </c>
      <c r="B191" s="14" t="s">
        <v>7</v>
      </c>
      <c r="C191" s="15"/>
      <c r="D191" s="16"/>
      <c r="E191" s="17"/>
      <c r="F191" s="17"/>
      <c r="H191" s="19">
        <f t="shared" si="0"/>
        <v>0</v>
      </c>
      <c r="I191" s="20">
        <f t="shared" si="1"/>
        <v>0</v>
      </c>
      <c r="J191" s="21">
        <f t="shared" si="3"/>
        <v>0</v>
      </c>
      <c r="K191" s="22">
        <f t="shared" si="2"/>
        <v>0</v>
      </c>
    </row>
    <row r="192" spans="1:11" ht="12.75" x14ac:dyDescent="0.2">
      <c r="A192" s="13">
        <v>45775</v>
      </c>
      <c r="B192" s="14" t="s">
        <v>3</v>
      </c>
      <c r="C192" s="15"/>
      <c r="D192" s="16"/>
      <c r="E192" s="17"/>
      <c r="F192" s="17"/>
      <c r="H192" s="19">
        <f t="shared" si="0"/>
        <v>0</v>
      </c>
      <c r="I192" s="20">
        <f t="shared" si="1"/>
        <v>0</v>
      </c>
      <c r="J192" s="21">
        <f t="shared" si="3"/>
        <v>0</v>
      </c>
      <c r="K192" s="22">
        <f t="shared" si="2"/>
        <v>0</v>
      </c>
    </row>
    <row r="193" spans="1:11" ht="12.75" x14ac:dyDescent="0.2">
      <c r="A193" s="13">
        <v>45776</v>
      </c>
      <c r="B193" s="14" t="s">
        <v>4</v>
      </c>
      <c r="C193" s="15"/>
      <c r="D193" s="16"/>
      <c r="E193" s="17"/>
      <c r="F193" s="17"/>
      <c r="H193" s="19">
        <f t="shared" si="0"/>
        <v>0</v>
      </c>
      <c r="I193" s="20">
        <f t="shared" si="1"/>
        <v>0</v>
      </c>
      <c r="J193" s="21">
        <f t="shared" si="3"/>
        <v>0</v>
      </c>
      <c r="K193" s="22">
        <f t="shared" si="2"/>
        <v>0</v>
      </c>
    </row>
    <row r="194" spans="1:11" ht="12.75" x14ac:dyDescent="0.2">
      <c r="A194" s="13">
        <v>45777</v>
      </c>
      <c r="B194" s="14" t="s">
        <v>5</v>
      </c>
      <c r="C194" s="15"/>
      <c r="D194" s="16"/>
      <c r="E194" s="17"/>
      <c r="F194" s="17"/>
      <c r="H194" s="19">
        <f t="shared" si="0"/>
        <v>0</v>
      </c>
      <c r="I194" s="20">
        <f t="shared" si="1"/>
        <v>0</v>
      </c>
      <c r="J194" s="21">
        <f t="shared" si="3"/>
        <v>0</v>
      </c>
      <c r="K194" s="22">
        <f t="shared" si="2"/>
        <v>0</v>
      </c>
    </row>
    <row r="195" spans="1:11" ht="12.75" x14ac:dyDescent="0.2">
      <c r="A195" s="13">
        <v>45778</v>
      </c>
      <c r="B195" s="14" t="s">
        <v>6</v>
      </c>
      <c r="C195" s="15"/>
      <c r="D195" s="16"/>
      <c r="E195" s="17"/>
      <c r="F195" s="17"/>
      <c r="H195" s="19">
        <f t="shared" si="0"/>
        <v>0</v>
      </c>
      <c r="I195" s="20">
        <f t="shared" si="1"/>
        <v>0</v>
      </c>
      <c r="J195" s="21">
        <f t="shared" si="3"/>
        <v>0</v>
      </c>
      <c r="K195" s="22">
        <f t="shared" si="2"/>
        <v>0</v>
      </c>
    </row>
    <row r="196" spans="1:11" ht="12.75" x14ac:dyDescent="0.2">
      <c r="A196" s="13">
        <v>45779</v>
      </c>
      <c r="B196" s="14" t="s">
        <v>7</v>
      </c>
      <c r="C196" s="15"/>
      <c r="D196" s="16"/>
      <c r="E196" s="17"/>
      <c r="F196" s="17"/>
      <c r="H196" s="19">
        <f t="shared" si="0"/>
        <v>0</v>
      </c>
      <c r="I196" s="20">
        <f t="shared" si="1"/>
        <v>0</v>
      </c>
      <c r="J196" s="21">
        <f t="shared" si="3"/>
        <v>0</v>
      </c>
      <c r="K196" s="22">
        <f t="shared" si="2"/>
        <v>0</v>
      </c>
    </row>
    <row r="197" spans="1:11" ht="12.75" x14ac:dyDescent="0.2">
      <c r="A197" s="13">
        <v>45782</v>
      </c>
      <c r="B197" s="14" t="s">
        <v>3</v>
      </c>
      <c r="C197" s="15"/>
      <c r="D197" s="16"/>
      <c r="E197" s="17"/>
      <c r="F197" s="17"/>
      <c r="H197" s="19">
        <f t="shared" si="0"/>
        <v>0</v>
      </c>
      <c r="I197" s="20">
        <f t="shared" si="1"/>
        <v>0</v>
      </c>
      <c r="J197" s="21">
        <f t="shared" si="3"/>
        <v>0</v>
      </c>
      <c r="K197" s="22">
        <f t="shared" si="2"/>
        <v>0</v>
      </c>
    </row>
    <row r="198" spans="1:11" ht="12.75" x14ac:dyDescent="0.2">
      <c r="A198" s="13">
        <v>45783</v>
      </c>
      <c r="B198" s="14" t="s">
        <v>4</v>
      </c>
      <c r="C198" s="15"/>
      <c r="D198" s="16"/>
      <c r="E198" s="17"/>
      <c r="F198" s="17"/>
      <c r="H198" s="19">
        <f t="shared" si="0"/>
        <v>0</v>
      </c>
      <c r="I198" s="20">
        <f t="shared" si="1"/>
        <v>0</v>
      </c>
      <c r="J198" s="21">
        <f t="shared" si="3"/>
        <v>0</v>
      </c>
      <c r="K198" s="22">
        <f t="shared" si="2"/>
        <v>0</v>
      </c>
    </row>
    <row r="199" spans="1:11" ht="12.75" x14ac:dyDescent="0.2">
      <c r="A199" s="13">
        <v>45784</v>
      </c>
      <c r="B199" s="14" t="s">
        <v>5</v>
      </c>
      <c r="C199" s="15"/>
      <c r="D199" s="16"/>
      <c r="E199" s="17"/>
      <c r="F199" s="17"/>
      <c r="H199" s="19">
        <f t="shared" si="0"/>
        <v>0</v>
      </c>
      <c r="I199" s="20">
        <f t="shared" si="1"/>
        <v>0</v>
      </c>
      <c r="J199" s="21">
        <f t="shared" si="3"/>
        <v>0</v>
      </c>
      <c r="K199" s="22">
        <f t="shared" si="2"/>
        <v>0</v>
      </c>
    </row>
    <row r="200" spans="1:11" ht="12.75" x14ac:dyDescent="0.2">
      <c r="A200" s="13">
        <v>45785</v>
      </c>
      <c r="B200" s="14" t="s">
        <v>6</v>
      </c>
      <c r="C200" s="15"/>
      <c r="D200" s="16"/>
      <c r="E200" s="17"/>
      <c r="F200" s="17"/>
      <c r="H200" s="19">
        <f t="shared" si="0"/>
        <v>0</v>
      </c>
      <c r="I200" s="20">
        <f t="shared" si="1"/>
        <v>0</v>
      </c>
      <c r="J200" s="21">
        <f t="shared" si="3"/>
        <v>0</v>
      </c>
      <c r="K200" s="22">
        <f t="shared" si="2"/>
        <v>0</v>
      </c>
    </row>
    <row r="201" spans="1:11" ht="12.75" x14ac:dyDescent="0.2">
      <c r="A201" s="13">
        <v>45786</v>
      </c>
      <c r="B201" s="14" t="s">
        <v>7</v>
      </c>
      <c r="C201" s="15"/>
      <c r="D201" s="16"/>
      <c r="E201" s="17"/>
      <c r="F201" s="17"/>
      <c r="H201" s="19">
        <f t="shared" si="0"/>
        <v>0</v>
      </c>
      <c r="I201" s="20">
        <f t="shared" si="1"/>
        <v>0</v>
      </c>
      <c r="J201" s="21">
        <f t="shared" si="3"/>
        <v>0</v>
      </c>
      <c r="K201" s="22">
        <f t="shared" si="2"/>
        <v>0</v>
      </c>
    </row>
    <row r="202" spans="1:11" ht="12.75" x14ac:dyDescent="0.2">
      <c r="A202" s="13">
        <v>45789</v>
      </c>
      <c r="B202" s="14" t="s">
        <v>3</v>
      </c>
      <c r="C202" s="15"/>
      <c r="D202" s="16"/>
      <c r="E202" s="17"/>
      <c r="F202" s="17"/>
      <c r="H202" s="19">
        <f t="shared" si="0"/>
        <v>0</v>
      </c>
      <c r="I202" s="20">
        <f t="shared" si="1"/>
        <v>0</v>
      </c>
      <c r="J202" s="21">
        <f t="shared" si="3"/>
        <v>0</v>
      </c>
      <c r="K202" s="22">
        <f t="shared" si="2"/>
        <v>0</v>
      </c>
    </row>
    <row r="203" spans="1:11" ht="12.75" x14ac:dyDescent="0.2">
      <c r="A203" s="13">
        <v>45790</v>
      </c>
      <c r="B203" s="14" t="s">
        <v>4</v>
      </c>
      <c r="C203" s="15"/>
      <c r="D203" s="16"/>
      <c r="E203" s="17"/>
      <c r="F203" s="17"/>
      <c r="H203" s="19">
        <f t="shared" si="0"/>
        <v>0</v>
      </c>
      <c r="I203" s="20">
        <f t="shared" si="1"/>
        <v>0</v>
      </c>
      <c r="J203" s="21">
        <f t="shared" si="3"/>
        <v>0</v>
      </c>
      <c r="K203" s="22">
        <f t="shared" si="2"/>
        <v>0</v>
      </c>
    </row>
    <row r="204" spans="1:11" ht="12.75" x14ac:dyDescent="0.2">
      <c r="A204" s="13">
        <v>45791</v>
      </c>
      <c r="B204" s="14" t="s">
        <v>5</v>
      </c>
      <c r="C204" s="15"/>
      <c r="D204" s="16"/>
      <c r="E204" s="17"/>
      <c r="F204" s="17"/>
      <c r="H204" s="19">
        <f t="shared" si="0"/>
        <v>0</v>
      </c>
      <c r="I204" s="20">
        <f t="shared" si="1"/>
        <v>0</v>
      </c>
      <c r="J204" s="21">
        <f t="shared" si="3"/>
        <v>0</v>
      </c>
      <c r="K204" s="22">
        <f t="shared" si="2"/>
        <v>0</v>
      </c>
    </row>
    <row r="205" spans="1:11" ht="12.75" x14ac:dyDescent="0.2">
      <c r="A205" s="13">
        <v>45792</v>
      </c>
      <c r="B205" s="14" t="s">
        <v>6</v>
      </c>
      <c r="C205" s="15"/>
      <c r="D205" s="16"/>
      <c r="E205" s="17"/>
      <c r="F205" s="17"/>
      <c r="H205" s="19">
        <f t="shared" si="0"/>
        <v>0</v>
      </c>
      <c r="I205" s="20">
        <f t="shared" si="1"/>
        <v>0</v>
      </c>
      <c r="J205" s="21">
        <f t="shared" si="3"/>
        <v>0</v>
      </c>
      <c r="K205" s="22">
        <f t="shared" si="2"/>
        <v>0</v>
      </c>
    </row>
    <row r="206" spans="1:11" ht="12.75" x14ac:dyDescent="0.2">
      <c r="A206" s="13">
        <v>45793</v>
      </c>
      <c r="B206" s="14" t="s">
        <v>7</v>
      </c>
      <c r="C206" s="15"/>
      <c r="D206" s="16"/>
      <c r="E206" s="17"/>
      <c r="F206" s="17"/>
      <c r="H206" s="19">
        <f t="shared" si="0"/>
        <v>0</v>
      </c>
      <c r="I206" s="20">
        <f t="shared" si="1"/>
        <v>0</v>
      </c>
      <c r="J206" s="21">
        <f t="shared" si="3"/>
        <v>0</v>
      </c>
      <c r="K206" s="22">
        <f t="shared" si="2"/>
        <v>0</v>
      </c>
    </row>
    <row r="207" spans="1:11" ht="12.75" x14ac:dyDescent="0.2">
      <c r="A207" s="13">
        <v>45796</v>
      </c>
      <c r="B207" s="14" t="s">
        <v>3</v>
      </c>
      <c r="C207" s="15"/>
      <c r="D207" s="16"/>
      <c r="E207" s="17"/>
      <c r="F207" s="17"/>
      <c r="H207" s="19">
        <f t="shared" si="0"/>
        <v>0</v>
      </c>
      <c r="I207" s="20">
        <f t="shared" si="1"/>
        <v>0</v>
      </c>
      <c r="J207" s="21">
        <f t="shared" si="3"/>
        <v>0</v>
      </c>
      <c r="K207" s="22">
        <f t="shared" si="2"/>
        <v>0</v>
      </c>
    </row>
    <row r="208" spans="1:11" ht="12.75" x14ac:dyDescent="0.2">
      <c r="A208" s="13">
        <v>45797</v>
      </c>
      <c r="B208" s="14" t="s">
        <v>4</v>
      </c>
      <c r="C208" s="15"/>
      <c r="D208" s="16"/>
      <c r="E208" s="17"/>
      <c r="F208" s="17"/>
      <c r="H208" s="19">
        <f t="shared" si="0"/>
        <v>0</v>
      </c>
      <c r="I208" s="20">
        <f t="shared" si="1"/>
        <v>0</v>
      </c>
      <c r="J208" s="21">
        <f t="shared" si="3"/>
        <v>0</v>
      </c>
      <c r="K208" s="22">
        <f t="shared" si="2"/>
        <v>0</v>
      </c>
    </row>
    <row r="209" spans="1:11" ht="12.75" x14ac:dyDescent="0.2">
      <c r="A209" s="13">
        <v>45798</v>
      </c>
      <c r="B209" s="14" t="s">
        <v>5</v>
      </c>
      <c r="C209" s="15"/>
      <c r="D209" s="16"/>
      <c r="E209" s="17"/>
      <c r="F209" s="17"/>
      <c r="H209" s="19">
        <f t="shared" si="0"/>
        <v>0</v>
      </c>
      <c r="I209" s="20">
        <f t="shared" si="1"/>
        <v>0</v>
      </c>
      <c r="J209" s="21">
        <f t="shared" si="3"/>
        <v>0</v>
      </c>
      <c r="K209" s="22">
        <f t="shared" si="2"/>
        <v>0</v>
      </c>
    </row>
    <row r="210" spans="1:11" ht="12.75" x14ac:dyDescent="0.2">
      <c r="A210" s="13">
        <v>45799</v>
      </c>
      <c r="B210" s="14" t="s">
        <v>6</v>
      </c>
      <c r="C210" s="15"/>
      <c r="D210" s="16"/>
      <c r="E210" s="17"/>
      <c r="F210" s="17"/>
      <c r="H210" s="19">
        <f t="shared" si="0"/>
        <v>0</v>
      </c>
      <c r="I210" s="20">
        <f t="shared" si="1"/>
        <v>0</v>
      </c>
      <c r="J210" s="21">
        <f t="shared" si="3"/>
        <v>0</v>
      </c>
      <c r="K210" s="22">
        <f t="shared" si="2"/>
        <v>0</v>
      </c>
    </row>
    <row r="211" spans="1:11" ht="12.75" x14ac:dyDescent="0.2">
      <c r="A211" s="13">
        <v>45800</v>
      </c>
      <c r="B211" s="14" t="s">
        <v>7</v>
      </c>
      <c r="C211" s="15"/>
      <c r="D211" s="16"/>
      <c r="E211" s="17"/>
      <c r="F211" s="17"/>
      <c r="H211" s="19">
        <f t="shared" si="0"/>
        <v>0</v>
      </c>
      <c r="I211" s="20">
        <f t="shared" si="1"/>
        <v>0</v>
      </c>
      <c r="J211" s="21">
        <f t="shared" si="3"/>
        <v>0</v>
      </c>
      <c r="K211" s="22">
        <f t="shared" si="2"/>
        <v>0</v>
      </c>
    </row>
    <row r="212" spans="1:11" ht="12.75" x14ac:dyDescent="0.2">
      <c r="A212" s="24">
        <v>45803</v>
      </c>
      <c r="B212" s="25" t="s">
        <v>3</v>
      </c>
      <c r="C212" s="26"/>
      <c r="D212" s="27"/>
      <c r="E212" s="28"/>
      <c r="F212" s="28"/>
      <c r="G212" s="29"/>
      <c r="H212" s="19">
        <f t="shared" si="0"/>
        <v>0</v>
      </c>
      <c r="I212" s="20">
        <f t="shared" si="1"/>
        <v>0</v>
      </c>
      <c r="J212" s="21">
        <f t="shared" si="3"/>
        <v>0</v>
      </c>
      <c r="K212" s="22">
        <f t="shared" si="2"/>
        <v>0</v>
      </c>
    </row>
    <row r="213" spans="1:11" ht="12.75" x14ac:dyDescent="0.2">
      <c r="A213" s="13">
        <v>45804</v>
      </c>
      <c r="B213" s="14" t="s">
        <v>4</v>
      </c>
      <c r="C213" s="15"/>
      <c r="D213" s="16"/>
      <c r="E213" s="17"/>
      <c r="F213" s="17"/>
      <c r="H213" s="19">
        <f t="shared" si="0"/>
        <v>0</v>
      </c>
      <c r="I213" s="20">
        <f t="shared" si="1"/>
        <v>0</v>
      </c>
      <c r="J213" s="21">
        <f t="shared" si="3"/>
        <v>0</v>
      </c>
      <c r="K213" s="22">
        <f t="shared" si="2"/>
        <v>0</v>
      </c>
    </row>
    <row r="214" spans="1:11" ht="12.75" x14ac:dyDescent="0.2">
      <c r="A214" s="13">
        <v>45805</v>
      </c>
      <c r="B214" s="14" t="s">
        <v>5</v>
      </c>
      <c r="C214" s="15"/>
      <c r="D214" s="16"/>
      <c r="E214" s="17"/>
      <c r="F214" s="17"/>
      <c r="H214" s="19">
        <f t="shared" si="0"/>
        <v>0</v>
      </c>
      <c r="I214" s="20">
        <f t="shared" si="1"/>
        <v>0</v>
      </c>
      <c r="J214" s="21">
        <f t="shared" si="3"/>
        <v>0</v>
      </c>
      <c r="K214" s="22">
        <f t="shared" si="2"/>
        <v>0</v>
      </c>
    </row>
    <row r="215" spans="1:11" ht="12.75" x14ac:dyDescent="0.2">
      <c r="A215" s="13">
        <v>45806</v>
      </c>
      <c r="B215" s="46" t="s">
        <v>6</v>
      </c>
      <c r="C215" s="15"/>
      <c r="D215" s="16"/>
      <c r="E215" s="17"/>
      <c r="F215" s="17"/>
      <c r="H215" s="19">
        <f t="shared" si="0"/>
        <v>0</v>
      </c>
      <c r="I215" s="20">
        <f t="shared" si="1"/>
        <v>0</v>
      </c>
      <c r="J215" s="21">
        <f t="shared" si="3"/>
        <v>0</v>
      </c>
      <c r="K215" s="22">
        <f t="shared" si="2"/>
        <v>0</v>
      </c>
    </row>
    <row r="216" spans="1:11" ht="12.75" hidden="1" x14ac:dyDescent="0.2">
      <c r="A216" s="16"/>
      <c r="B216" s="16"/>
      <c r="C216" s="15"/>
      <c r="D216" s="16"/>
      <c r="E216" s="17"/>
      <c r="F216" s="17"/>
      <c r="H216" s="19"/>
      <c r="I216" s="47"/>
      <c r="J216" s="48"/>
      <c r="K216" s="49"/>
    </row>
    <row r="217" spans="1:11" ht="12.75" hidden="1" x14ac:dyDescent="0.2">
      <c r="A217" s="16"/>
      <c r="B217" s="16"/>
      <c r="C217" s="15"/>
      <c r="D217" s="16"/>
      <c r="E217" s="17"/>
      <c r="F217" s="17"/>
      <c r="H217" s="19"/>
      <c r="I217" s="47"/>
      <c r="J217" s="48"/>
      <c r="K217" s="49"/>
    </row>
    <row r="218" spans="1:11" ht="12.75" hidden="1" x14ac:dyDescent="0.2">
      <c r="A218" s="16"/>
      <c r="B218" s="16"/>
      <c r="C218" s="15"/>
      <c r="D218" s="16"/>
      <c r="E218" s="17"/>
      <c r="F218" s="17"/>
      <c r="H218" s="19"/>
      <c r="I218" s="47"/>
      <c r="J218" s="48"/>
      <c r="K218" s="49"/>
    </row>
    <row r="219" spans="1:11" ht="12.75" hidden="1" x14ac:dyDescent="0.2">
      <c r="A219" s="16"/>
      <c r="B219" s="16"/>
      <c r="C219" s="15"/>
      <c r="D219" s="16"/>
      <c r="E219" s="17"/>
      <c r="F219" s="17"/>
      <c r="H219" s="19"/>
      <c r="I219" s="47"/>
      <c r="J219" s="48"/>
      <c r="K219" s="49"/>
    </row>
    <row r="220" spans="1:11" ht="12.75" hidden="1" x14ac:dyDescent="0.2">
      <c r="A220" s="16"/>
      <c r="B220" s="16"/>
      <c r="C220" s="15"/>
      <c r="D220" s="16"/>
      <c r="E220" s="17"/>
      <c r="F220" s="17"/>
      <c r="H220" s="19"/>
      <c r="I220" s="47"/>
      <c r="J220" s="48"/>
      <c r="K220" s="49"/>
    </row>
    <row r="221" spans="1:11" ht="12.75" hidden="1" x14ac:dyDescent="0.2">
      <c r="A221" s="16"/>
      <c r="B221" s="16"/>
      <c r="C221" s="15"/>
      <c r="D221" s="16"/>
      <c r="E221" s="17"/>
      <c r="F221" s="17"/>
      <c r="H221" s="19"/>
      <c r="I221" s="47"/>
      <c r="J221" s="48"/>
      <c r="K221" s="49"/>
    </row>
    <row r="222" spans="1:11" ht="12.75" hidden="1" x14ac:dyDescent="0.2">
      <c r="A222" s="16"/>
      <c r="B222" s="16"/>
      <c r="C222" s="15"/>
      <c r="D222" s="16"/>
      <c r="E222" s="17"/>
      <c r="F222" s="17"/>
      <c r="H222" s="19"/>
      <c r="I222" s="47"/>
      <c r="J222" s="48"/>
      <c r="K222" s="49"/>
    </row>
    <row r="223" spans="1:11" ht="12.75" hidden="1" x14ac:dyDescent="0.2">
      <c r="A223" s="16"/>
      <c r="B223" s="16"/>
      <c r="C223" s="15"/>
      <c r="D223" s="16"/>
      <c r="E223" s="17"/>
      <c r="F223" s="17"/>
      <c r="H223" s="19"/>
      <c r="I223" s="47"/>
      <c r="J223" s="48"/>
      <c r="K223" s="49"/>
    </row>
    <row r="224" spans="1:11" ht="12.75" hidden="1" x14ac:dyDescent="0.2">
      <c r="A224" s="16"/>
      <c r="B224" s="16"/>
      <c r="C224" s="15"/>
      <c r="D224" s="16"/>
      <c r="E224" s="17"/>
      <c r="F224" s="17"/>
      <c r="H224" s="19"/>
      <c r="I224" s="47"/>
      <c r="J224" s="48"/>
      <c r="K224" s="49"/>
    </row>
    <row r="225" spans="1:11" ht="12.75" hidden="1" x14ac:dyDescent="0.2">
      <c r="A225" s="16"/>
      <c r="B225" s="16"/>
      <c r="C225" s="15"/>
      <c r="D225" s="16"/>
      <c r="E225" s="17"/>
      <c r="F225" s="17"/>
      <c r="H225" s="19"/>
      <c r="I225" s="47"/>
      <c r="J225" s="48"/>
      <c r="K225" s="49"/>
    </row>
    <row r="226" spans="1:11" ht="12.75" hidden="1" x14ac:dyDescent="0.2">
      <c r="A226" s="16"/>
      <c r="B226" s="16"/>
      <c r="C226" s="15"/>
      <c r="D226" s="16"/>
      <c r="E226" s="17"/>
      <c r="F226" s="17"/>
      <c r="H226" s="19"/>
      <c r="I226" s="47"/>
      <c r="J226" s="48"/>
      <c r="K226" s="49"/>
    </row>
    <row r="227" spans="1:11" ht="12.75" hidden="1" x14ac:dyDescent="0.2">
      <c r="A227" s="16"/>
      <c r="B227" s="16"/>
      <c r="C227" s="15"/>
      <c r="D227" s="16"/>
      <c r="E227" s="17"/>
      <c r="F227" s="17"/>
      <c r="H227" s="19"/>
      <c r="I227" s="47"/>
      <c r="J227" s="48"/>
      <c r="K227" s="49"/>
    </row>
    <row r="228" spans="1:11" ht="12.75" hidden="1" x14ac:dyDescent="0.2">
      <c r="A228" s="16"/>
      <c r="B228" s="16"/>
      <c r="C228" s="15"/>
      <c r="D228" s="16"/>
      <c r="E228" s="17"/>
      <c r="F228" s="17"/>
      <c r="H228" s="19"/>
      <c r="I228" s="47"/>
      <c r="J228" s="48"/>
      <c r="K228" s="49"/>
    </row>
    <row r="229" spans="1:11" ht="12.75" hidden="1" x14ac:dyDescent="0.2">
      <c r="A229" s="16"/>
      <c r="B229" s="16"/>
      <c r="C229" s="15"/>
      <c r="D229" s="16"/>
      <c r="E229" s="17"/>
      <c r="F229" s="17"/>
      <c r="H229" s="19"/>
      <c r="I229" s="47"/>
      <c r="J229" s="48"/>
      <c r="K229" s="49"/>
    </row>
    <row r="230" spans="1:11" ht="12.75" hidden="1" x14ac:dyDescent="0.2">
      <c r="A230" s="16"/>
      <c r="B230" s="16"/>
      <c r="C230" s="15"/>
      <c r="D230" s="16"/>
      <c r="E230" s="17"/>
      <c r="F230" s="17"/>
      <c r="H230" s="19"/>
      <c r="I230" s="47"/>
      <c r="J230" s="48"/>
      <c r="K230" s="49"/>
    </row>
    <row r="231" spans="1:11" ht="12.75" hidden="1" x14ac:dyDescent="0.2">
      <c r="A231" s="16"/>
      <c r="B231" s="16"/>
      <c r="C231" s="15"/>
      <c r="D231" s="16"/>
      <c r="E231" s="17"/>
      <c r="F231" s="17"/>
      <c r="H231" s="19"/>
      <c r="I231" s="47"/>
      <c r="J231" s="48"/>
      <c r="K231" s="49"/>
    </row>
    <row r="232" spans="1:11" ht="12.75" hidden="1" x14ac:dyDescent="0.2">
      <c r="A232" s="16"/>
      <c r="B232" s="16"/>
      <c r="C232" s="15"/>
      <c r="D232" s="16"/>
      <c r="E232" s="17"/>
      <c r="F232" s="17"/>
      <c r="H232" s="19"/>
      <c r="I232" s="47"/>
      <c r="J232" s="48"/>
      <c r="K232" s="49"/>
    </row>
    <row r="233" spans="1:11" ht="12.75" hidden="1" x14ac:dyDescent="0.2">
      <c r="A233" s="16"/>
      <c r="B233" s="16"/>
      <c r="C233" s="15"/>
      <c r="D233" s="16"/>
      <c r="E233" s="17"/>
      <c r="F233" s="17"/>
      <c r="H233" s="19"/>
      <c r="I233" s="47"/>
      <c r="J233" s="48"/>
      <c r="K233" s="49"/>
    </row>
    <row r="234" spans="1:11" ht="12.75" hidden="1" x14ac:dyDescent="0.2">
      <c r="A234" s="16"/>
      <c r="B234" s="16"/>
      <c r="C234" s="15"/>
      <c r="D234" s="16"/>
      <c r="E234" s="17"/>
      <c r="F234" s="17"/>
      <c r="H234" s="19"/>
      <c r="I234" s="47"/>
      <c r="J234" s="48"/>
      <c r="K234" s="49"/>
    </row>
    <row r="235" spans="1:11" ht="12.75" hidden="1" x14ac:dyDescent="0.2">
      <c r="A235" s="16"/>
      <c r="B235" s="16"/>
      <c r="C235" s="15"/>
      <c r="D235" s="16"/>
      <c r="E235" s="17"/>
      <c r="F235" s="17"/>
      <c r="H235" s="19"/>
      <c r="I235" s="47"/>
      <c r="J235" s="48"/>
      <c r="K235" s="49"/>
    </row>
    <row r="236" spans="1:11" ht="12.75" hidden="1" x14ac:dyDescent="0.2">
      <c r="A236" s="16"/>
      <c r="B236" s="16"/>
      <c r="C236" s="15"/>
      <c r="D236" s="16"/>
      <c r="E236" s="17"/>
      <c r="F236" s="17"/>
      <c r="H236" s="19"/>
      <c r="I236" s="47"/>
      <c r="J236" s="48"/>
      <c r="K236" s="49"/>
    </row>
    <row r="237" spans="1:11" ht="12.75" hidden="1" x14ac:dyDescent="0.2">
      <c r="A237" s="16"/>
      <c r="B237" s="16"/>
      <c r="C237" s="15"/>
      <c r="D237" s="16"/>
      <c r="E237" s="17"/>
      <c r="F237" s="17"/>
      <c r="H237" s="19"/>
      <c r="I237" s="47"/>
      <c r="J237" s="48"/>
      <c r="K237" s="49"/>
    </row>
    <row r="238" spans="1:11" ht="12.75" hidden="1" x14ac:dyDescent="0.2">
      <c r="A238" s="16"/>
      <c r="B238" s="16"/>
      <c r="C238" s="15"/>
      <c r="D238" s="16"/>
      <c r="E238" s="17"/>
      <c r="F238" s="17"/>
      <c r="H238" s="19"/>
      <c r="I238" s="47"/>
      <c r="J238" s="48"/>
      <c r="K238" s="49"/>
    </row>
    <row r="239" spans="1:11" ht="12.75" hidden="1" x14ac:dyDescent="0.2">
      <c r="A239" s="16"/>
      <c r="B239" s="16"/>
      <c r="C239" s="15"/>
      <c r="D239" s="16"/>
      <c r="E239" s="17"/>
      <c r="F239" s="17"/>
      <c r="H239" s="19"/>
      <c r="I239" s="47"/>
      <c r="J239" s="48"/>
      <c r="K239" s="49"/>
    </row>
    <row r="240" spans="1:11" ht="12.75" hidden="1" x14ac:dyDescent="0.2">
      <c r="A240" s="16"/>
      <c r="B240" s="16"/>
      <c r="C240" s="15"/>
      <c r="D240" s="16"/>
      <c r="E240" s="17"/>
      <c r="F240" s="17"/>
      <c r="H240" s="19"/>
      <c r="I240" s="47"/>
      <c r="J240" s="48"/>
      <c r="K240" s="49"/>
    </row>
    <row r="241" spans="1:11" ht="12.75" hidden="1" x14ac:dyDescent="0.2">
      <c r="A241" s="16"/>
      <c r="B241" s="16"/>
      <c r="C241" s="15"/>
      <c r="D241" s="16"/>
      <c r="E241" s="17"/>
      <c r="F241" s="17"/>
      <c r="H241" s="19"/>
      <c r="I241" s="47"/>
      <c r="J241" s="48"/>
      <c r="K241" s="49"/>
    </row>
    <row r="242" spans="1:11" ht="12.75" hidden="1" x14ac:dyDescent="0.2">
      <c r="A242" s="16"/>
      <c r="B242" s="16"/>
      <c r="C242" s="15"/>
      <c r="D242" s="16"/>
      <c r="E242" s="17"/>
      <c r="F242" s="17"/>
      <c r="H242" s="19"/>
      <c r="I242" s="47"/>
      <c r="J242" s="48"/>
      <c r="K242" s="49"/>
    </row>
    <row r="243" spans="1:11" ht="12.75" hidden="1" x14ac:dyDescent="0.2">
      <c r="A243" s="16"/>
      <c r="B243" s="16"/>
      <c r="C243" s="15"/>
      <c r="D243" s="16"/>
      <c r="E243" s="17"/>
      <c r="F243" s="17"/>
      <c r="H243" s="19"/>
      <c r="I243" s="47"/>
      <c r="J243" s="48"/>
      <c r="K243" s="49"/>
    </row>
    <row r="244" spans="1:11" ht="12.75" hidden="1" x14ac:dyDescent="0.2">
      <c r="A244" s="16"/>
      <c r="B244" s="16"/>
      <c r="C244" s="15"/>
      <c r="D244" s="16"/>
      <c r="E244" s="17"/>
      <c r="F244" s="17"/>
      <c r="H244" s="19"/>
      <c r="I244" s="47"/>
      <c r="J244" s="48"/>
      <c r="K244" s="49"/>
    </row>
    <row r="245" spans="1:11" ht="12.75" hidden="1" x14ac:dyDescent="0.2">
      <c r="A245" s="16"/>
      <c r="B245" s="16"/>
      <c r="C245" s="15"/>
      <c r="D245" s="16"/>
      <c r="E245" s="17"/>
      <c r="F245" s="17"/>
      <c r="H245" s="19"/>
      <c r="I245" s="47"/>
      <c r="J245" s="48"/>
      <c r="K245" s="49"/>
    </row>
    <row r="246" spans="1:11" ht="12.75" hidden="1" x14ac:dyDescent="0.2">
      <c r="A246" s="16"/>
      <c r="B246" s="16"/>
      <c r="C246" s="15"/>
      <c r="D246" s="16"/>
      <c r="E246" s="17"/>
      <c r="F246" s="17"/>
      <c r="H246" s="19"/>
      <c r="I246" s="47"/>
      <c r="J246" s="48"/>
      <c r="K246" s="49"/>
    </row>
    <row r="247" spans="1:11" ht="12.75" hidden="1" x14ac:dyDescent="0.2">
      <c r="A247" s="16"/>
      <c r="B247" s="16"/>
      <c r="C247" s="15"/>
      <c r="D247" s="16"/>
      <c r="E247" s="17"/>
      <c r="F247" s="17"/>
      <c r="H247" s="19"/>
      <c r="I247" s="47"/>
      <c r="J247" s="48"/>
      <c r="K247" s="49"/>
    </row>
    <row r="248" spans="1:11" ht="12.75" hidden="1" x14ac:dyDescent="0.2">
      <c r="A248" s="16"/>
      <c r="B248" s="16"/>
      <c r="C248" s="15"/>
      <c r="D248" s="16"/>
      <c r="E248" s="17"/>
      <c r="F248" s="17"/>
      <c r="H248" s="19"/>
      <c r="I248" s="47"/>
      <c r="J248" s="48"/>
      <c r="K248" s="49"/>
    </row>
    <row r="249" spans="1:11" ht="12.75" hidden="1" x14ac:dyDescent="0.2">
      <c r="A249" s="16"/>
      <c r="B249" s="16"/>
      <c r="C249" s="15"/>
      <c r="D249" s="16"/>
      <c r="E249" s="17"/>
      <c r="F249" s="17"/>
      <c r="H249" s="19"/>
      <c r="I249" s="47"/>
      <c r="J249" s="48"/>
      <c r="K249" s="49"/>
    </row>
    <row r="250" spans="1:11" ht="12.75" hidden="1" x14ac:dyDescent="0.2">
      <c r="A250" s="16"/>
      <c r="B250" s="16"/>
      <c r="C250" s="15"/>
      <c r="D250" s="16"/>
      <c r="E250" s="17"/>
      <c r="F250" s="17"/>
      <c r="H250" s="19"/>
      <c r="I250" s="47"/>
      <c r="J250" s="48"/>
      <c r="K250" s="49"/>
    </row>
    <row r="251" spans="1:11" ht="12.75" hidden="1" x14ac:dyDescent="0.2">
      <c r="A251" s="16"/>
      <c r="B251" s="16"/>
      <c r="C251" s="15"/>
      <c r="D251" s="16"/>
      <c r="E251" s="17"/>
      <c r="F251" s="17"/>
      <c r="H251" s="19"/>
      <c r="I251" s="47"/>
      <c r="J251" s="48"/>
      <c r="K251" s="49"/>
    </row>
    <row r="252" spans="1:11" ht="12.75" hidden="1" x14ac:dyDescent="0.2">
      <c r="A252" s="16"/>
      <c r="B252" s="16"/>
      <c r="C252" s="15"/>
      <c r="D252" s="16"/>
      <c r="E252" s="17"/>
      <c r="F252" s="17"/>
      <c r="H252" s="19"/>
      <c r="I252" s="47"/>
      <c r="J252" s="48"/>
      <c r="K252" s="49"/>
    </row>
    <row r="253" spans="1:11" ht="12.75" hidden="1" x14ac:dyDescent="0.2">
      <c r="A253" s="16"/>
      <c r="B253" s="16"/>
      <c r="C253" s="15"/>
      <c r="D253" s="16"/>
      <c r="E253" s="17"/>
      <c r="F253" s="17"/>
      <c r="H253" s="19"/>
      <c r="I253" s="47"/>
      <c r="J253" s="48"/>
      <c r="K253" s="49"/>
    </row>
    <row r="254" spans="1:11" ht="12.75" hidden="1" x14ac:dyDescent="0.2">
      <c r="A254" s="16"/>
      <c r="B254" s="16"/>
      <c r="C254" s="15"/>
      <c r="D254" s="16"/>
      <c r="E254" s="17"/>
      <c r="F254" s="17"/>
      <c r="H254" s="19"/>
      <c r="I254" s="47"/>
      <c r="J254" s="48"/>
      <c r="K254" s="49"/>
    </row>
    <row r="255" spans="1:11" ht="12.75" hidden="1" x14ac:dyDescent="0.2">
      <c r="A255" s="16"/>
      <c r="B255" s="16"/>
      <c r="C255" s="15"/>
      <c r="D255" s="16"/>
      <c r="E255" s="17"/>
      <c r="F255" s="17"/>
      <c r="H255" s="19"/>
      <c r="I255" s="47"/>
      <c r="J255" s="48"/>
      <c r="K255" s="49"/>
    </row>
    <row r="256" spans="1:11" ht="12.75" hidden="1" x14ac:dyDescent="0.2">
      <c r="A256" s="16"/>
      <c r="B256" s="16"/>
      <c r="C256" s="15"/>
      <c r="D256" s="16"/>
      <c r="E256" s="17"/>
      <c r="F256" s="17"/>
      <c r="H256" s="19"/>
      <c r="I256" s="47"/>
      <c r="J256" s="48"/>
      <c r="K256" s="49"/>
    </row>
    <row r="257" spans="1:11" ht="12.75" hidden="1" x14ac:dyDescent="0.2">
      <c r="A257" s="16"/>
      <c r="B257" s="16"/>
      <c r="C257" s="15"/>
      <c r="D257" s="16"/>
      <c r="E257" s="17"/>
      <c r="F257" s="17"/>
      <c r="H257" s="19"/>
      <c r="I257" s="47"/>
      <c r="J257" s="48"/>
      <c r="K257" s="49"/>
    </row>
    <row r="258" spans="1:11" ht="12.75" hidden="1" x14ac:dyDescent="0.2">
      <c r="A258" s="16"/>
      <c r="B258" s="16"/>
      <c r="C258" s="15"/>
      <c r="D258" s="16"/>
      <c r="E258" s="17"/>
      <c r="F258" s="17"/>
      <c r="H258" s="19"/>
      <c r="I258" s="47"/>
      <c r="J258" s="48"/>
      <c r="K258" s="49"/>
    </row>
    <row r="259" spans="1:11" ht="12.75" hidden="1" x14ac:dyDescent="0.2">
      <c r="A259" s="16"/>
      <c r="B259" s="16"/>
      <c r="C259" s="15"/>
      <c r="D259" s="16"/>
      <c r="E259" s="17"/>
      <c r="F259" s="17"/>
      <c r="H259" s="19"/>
      <c r="I259" s="47"/>
      <c r="J259" s="48"/>
      <c r="K259" s="49"/>
    </row>
    <row r="260" spans="1:11" ht="12.75" hidden="1" x14ac:dyDescent="0.2">
      <c r="A260" s="16"/>
      <c r="B260" s="16"/>
      <c r="C260" s="15"/>
      <c r="D260" s="16"/>
      <c r="E260" s="17"/>
      <c r="F260" s="17"/>
      <c r="H260" s="19"/>
      <c r="I260" s="47"/>
      <c r="J260" s="48"/>
      <c r="K260" s="49"/>
    </row>
    <row r="261" spans="1:11" ht="12.75" hidden="1" x14ac:dyDescent="0.2">
      <c r="A261" s="16"/>
      <c r="B261" s="16"/>
      <c r="C261" s="15"/>
      <c r="D261" s="16"/>
      <c r="E261" s="17"/>
      <c r="F261" s="17"/>
      <c r="H261" s="19"/>
      <c r="I261" s="47"/>
      <c r="J261" s="48"/>
      <c r="K261" s="49"/>
    </row>
    <row r="262" spans="1:11" ht="12.75" hidden="1" x14ac:dyDescent="0.2">
      <c r="A262" s="16"/>
      <c r="B262" s="16"/>
      <c r="C262" s="15"/>
      <c r="D262" s="16"/>
      <c r="E262" s="17"/>
      <c r="F262" s="17"/>
      <c r="H262" s="19"/>
      <c r="I262" s="47"/>
      <c r="J262" s="48"/>
      <c r="K262" s="49"/>
    </row>
    <row r="263" spans="1:11" ht="12.75" hidden="1" x14ac:dyDescent="0.2">
      <c r="A263" s="16"/>
      <c r="B263" s="16"/>
      <c r="C263" s="15"/>
      <c r="D263" s="16"/>
      <c r="E263" s="17"/>
      <c r="F263" s="17"/>
      <c r="H263" s="19"/>
      <c r="I263" s="47"/>
      <c r="J263" s="48"/>
      <c r="K263" s="49"/>
    </row>
    <row r="264" spans="1:11" ht="12.75" hidden="1" x14ac:dyDescent="0.2">
      <c r="A264" s="16"/>
      <c r="B264" s="16"/>
      <c r="C264" s="15"/>
      <c r="D264" s="16"/>
      <c r="E264" s="17"/>
      <c r="F264" s="17"/>
      <c r="H264" s="19"/>
      <c r="I264" s="47"/>
      <c r="J264" s="48"/>
      <c r="K264" s="49"/>
    </row>
    <row r="265" spans="1:11" ht="12.75" hidden="1" x14ac:dyDescent="0.2">
      <c r="A265" s="16"/>
      <c r="B265" s="16"/>
      <c r="C265" s="15"/>
      <c r="D265" s="16"/>
      <c r="E265" s="17"/>
      <c r="F265" s="17"/>
      <c r="H265" s="19"/>
      <c r="I265" s="47"/>
      <c r="J265" s="48"/>
      <c r="K265" s="49"/>
    </row>
    <row r="266" spans="1:11" ht="12.75" hidden="1" x14ac:dyDescent="0.2">
      <c r="A266" s="16"/>
      <c r="B266" s="16"/>
      <c r="C266" s="15"/>
      <c r="D266" s="16"/>
      <c r="E266" s="17"/>
      <c r="F266" s="17"/>
      <c r="H266" s="19"/>
      <c r="I266" s="47"/>
      <c r="J266" s="48"/>
      <c r="K266" s="49"/>
    </row>
    <row r="267" spans="1:11" ht="12.75" hidden="1" x14ac:dyDescent="0.2">
      <c r="A267" s="16"/>
      <c r="B267" s="16"/>
      <c r="C267" s="15"/>
      <c r="D267" s="16"/>
      <c r="E267" s="17"/>
      <c r="F267" s="17"/>
      <c r="H267" s="19"/>
      <c r="I267" s="47"/>
      <c r="J267" s="48"/>
      <c r="K267" s="49"/>
    </row>
    <row r="268" spans="1:11" ht="12.75" hidden="1" x14ac:dyDescent="0.2">
      <c r="A268" s="16"/>
      <c r="B268" s="16"/>
      <c r="C268" s="15"/>
      <c r="D268" s="16"/>
      <c r="E268" s="17"/>
      <c r="F268" s="17"/>
      <c r="H268" s="19"/>
      <c r="I268" s="47"/>
      <c r="J268" s="48"/>
      <c r="K268" s="49"/>
    </row>
    <row r="269" spans="1:11" ht="12.75" hidden="1" x14ac:dyDescent="0.2">
      <c r="A269" s="16"/>
      <c r="B269" s="16"/>
      <c r="C269" s="15"/>
      <c r="D269" s="16"/>
      <c r="E269" s="17"/>
      <c r="F269" s="17"/>
      <c r="H269" s="19"/>
      <c r="I269" s="47"/>
      <c r="J269" s="48"/>
      <c r="K269" s="49"/>
    </row>
    <row r="270" spans="1:11" ht="12.75" hidden="1" x14ac:dyDescent="0.2">
      <c r="A270" s="16"/>
      <c r="B270" s="16"/>
      <c r="C270" s="15"/>
      <c r="D270" s="16"/>
      <c r="E270" s="17"/>
      <c r="F270" s="17"/>
      <c r="H270" s="19"/>
      <c r="I270" s="47"/>
      <c r="J270" s="48"/>
      <c r="K270" s="49"/>
    </row>
    <row r="271" spans="1:11" ht="12.75" hidden="1" x14ac:dyDescent="0.2">
      <c r="A271" s="16"/>
      <c r="B271" s="16"/>
      <c r="C271" s="15"/>
      <c r="D271" s="16"/>
      <c r="E271" s="17"/>
      <c r="F271" s="17"/>
      <c r="H271" s="19"/>
      <c r="I271" s="47"/>
      <c r="J271" s="48"/>
      <c r="K271" s="49"/>
    </row>
    <row r="272" spans="1:11" ht="12.75" hidden="1" x14ac:dyDescent="0.2">
      <c r="A272" s="16"/>
      <c r="B272" s="16"/>
      <c r="C272" s="15"/>
      <c r="D272" s="16"/>
      <c r="E272" s="17"/>
      <c r="F272" s="17"/>
      <c r="H272" s="19"/>
      <c r="I272" s="47"/>
      <c r="J272" s="48"/>
      <c r="K272" s="49"/>
    </row>
    <row r="273" spans="1:11" ht="12.75" hidden="1" x14ac:dyDescent="0.2">
      <c r="A273" s="16"/>
      <c r="B273" s="16"/>
      <c r="C273" s="15"/>
      <c r="D273" s="16"/>
      <c r="E273" s="17"/>
      <c r="F273" s="17"/>
      <c r="H273" s="19"/>
      <c r="I273" s="47"/>
      <c r="J273" s="48"/>
      <c r="K273" s="49"/>
    </row>
    <row r="274" spans="1:11" ht="12.75" hidden="1" x14ac:dyDescent="0.2">
      <c r="A274" s="16"/>
      <c r="B274" s="16"/>
      <c r="C274" s="15"/>
      <c r="D274" s="16"/>
      <c r="E274" s="17"/>
      <c r="F274" s="17"/>
      <c r="H274" s="19"/>
      <c r="I274" s="47"/>
      <c r="J274" s="48"/>
      <c r="K274" s="49"/>
    </row>
    <row r="275" spans="1:11" ht="12.75" hidden="1" x14ac:dyDescent="0.2">
      <c r="A275" s="16"/>
      <c r="B275" s="16"/>
      <c r="C275" s="15"/>
      <c r="D275" s="16"/>
      <c r="E275" s="17"/>
      <c r="F275" s="17"/>
      <c r="H275" s="19"/>
      <c r="I275" s="47"/>
      <c r="J275" s="48"/>
      <c r="K275" s="49"/>
    </row>
    <row r="276" spans="1:11" ht="12.75" hidden="1" x14ac:dyDescent="0.2">
      <c r="A276" s="16"/>
      <c r="B276" s="16"/>
      <c r="C276" s="15"/>
      <c r="D276" s="16"/>
      <c r="E276" s="17"/>
      <c r="F276" s="17"/>
      <c r="H276" s="19"/>
      <c r="I276" s="47"/>
      <c r="J276" s="48"/>
      <c r="K276" s="49"/>
    </row>
    <row r="277" spans="1:11" ht="12.75" hidden="1" x14ac:dyDescent="0.2">
      <c r="A277" s="16"/>
      <c r="B277" s="16"/>
      <c r="C277" s="15"/>
      <c r="D277" s="16"/>
      <c r="E277" s="17"/>
      <c r="F277" s="17"/>
      <c r="H277" s="19"/>
      <c r="I277" s="47"/>
      <c r="J277" s="48"/>
      <c r="K277" s="49"/>
    </row>
    <row r="278" spans="1:11" ht="12.75" hidden="1" x14ac:dyDescent="0.2">
      <c r="A278" s="16"/>
      <c r="B278" s="16"/>
      <c r="C278" s="15"/>
      <c r="D278" s="16"/>
      <c r="E278" s="17"/>
      <c r="F278" s="17"/>
      <c r="H278" s="19"/>
      <c r="I278" s="47"/>
      <c r="J278" s="48"/>
      <c r="K278" s="49"/>
    </row>
    <row r="279" spans="1:11" ht="12.75" hidden="1" x14ac:dyDescent="0.2">
      <c r="A279" s="16"/>
      <c r="B279" s="16"/>
      <c r="C279" s="15"/>
      <c r="D279" s="16"/>
      <c r="E279" s="17"/>
      <c r="F279" s="17"/>
      <c r="H279" s="19"/>
      <c r="I279" s="47"/>
      <c r="J279" s="48"/>
      <c r="K279" s="49"/>
    </row>
    <row r="280" spans="1:11" ht="12.75" hidden="1" x14ac:dyDescent="0.2">
      <c r="A280" s="16"/>
      <c r="B280" s="16"/>
      <c r="C280" s="15"/>
      <c r="D280" s="16"/>
      <c r="E280" s="17"/>
      <c r="F280" s="17"/>
      <c r="H280" s="19"/>
      <c r="I280" s="47"/>
      <c r="J280" s="48"/>
      <c r="K280" s="49"/>
    </row>
    <row r="281" spans="1:11" ht="12.75" hidden="1" x14ac:dyDescent="0.2">
      <c r="A281" s="16"/>
      <c r="B281" s="16"/>
      <c r="C281" s="15"/>
      <c r="D281" s="16"/>
      <c r="E281" s="17"/>
      <c r="F281" s="17"/>
      <c r="H281" s="19"/>
      <c r="I281" s="47"/>
      <c r="J281" s="48"/>
      <c r="K281" s="49"/>
    </row>
    <row r="282" spans="1:11" ht="12.75" hidden="1" x14ac:dyDescent="0.2">
      <c r="A282" s="16"/>
      <c r="B282" s="16"/>
      <c r="C282" s="15"/>
      <c r="D282" s="16"/>
      <c r="E282" s="17"/>
      <c r="F282" s="17"/>
      <c r="H282" s="19"/>
      <c r="I282" s="47"/>
      <c r="J282" s="48"/>
      <c r="K282" s="49"/>
    </row>
    <row r="283" spans="1:11" ht="12.75" hidden="1" x14ac:dyDescent="0.2">
      <c r="A283" s="16"/>
      <c r="B283" s="16"/>
      <c r="C283" s="15"/>
      <c r="D283" s="16"/>
      <c r="E283" s="17"/>
      <c r="F283" s="17"/>
      <c r="H283" s="19"/>
      <c r="I283" s="47"/>
      <c r="J283" s="48"/>
      <c r="K283" s="49"/>
    </row>
    <row r="284" spans="1:11" ht="12.75" hidden="1" x14ac:dyDescent="0.2">
      <c r="A284" s="16"/>
      <c r="B284" s="16"/>
      <c r="C284" s="15"/>
      <c r="D284" s="16"/>
      <c r="E284" s="17"/>
      <c r="F284" s="17"/>
      <c r="H284" s="19"/>
      <c r="I284" s="47"/>
      <c r="J284" s="48"/>
      <c r="K284" s="49"/>
    </row>
    <row r="285" spans="1:11" ht="12.75" hidden="1" x14ac:dyDescent="0.2">
      <c r="A285" s="16"/>
      <c r="B285" s="16"/>
      <c r="C285" s="15"/>
      <c r="D285" s="16"/>
      <c r="E285" s="17"/>
      <c r="F285" s="17"/>
      <c r="H285" s="19"/>
      <c r="I285" s="47"/>
      <c r="J285" s="48"/>
      <c r="K285" s="49"/>
    </row>
    <row r="286" spans="1:11" ht="12.75" hidden="1" x14ac:dyDescent="0.2">
      <c r="A286" s="16"/>
      <c r="B286" s="16"/>
      <c r="C286" s="15"/>
      <c r="D286" s="16"/>
      <c r="E286" s="17"/>
      <c r="F286" s="17"/>
      <c r="H286" s="19"/>
      <c r="I286" s="47"/>
      <c r="J286" s="48"/>
      <c r="K286" s="49"/>
    </row>
    <row r="287" spans="1:11" ht="12.75" hidden="1" x14ac:dyDescent="0.2">
      <c r="A287" s="16"/>
      <c r="B287" s="16"/>
      <c r="C287" s="15"/>
      <c r="D287" s="16"/>
      <c r="E287" s="17"/>
      <c r="F287" s="17"/>
      <c r="H287" s="19"/>
      <c r="I287" s="47"/>
      <c r="J287" s="48"/>
      <c r="K287" s="49"/>
    </row>
    <row r="288" spans="1:11" ht="12.75" hidden="1" x14ac:dyDescent="0.2">
      <c r="A288" s="16"/>
      <c r="B288" s="16"/>
      <c r="C288" s="15"/>
      <c r="D288" s="16"/>
      <c r="E288" s="17"/>
      <c r="F288" s="17"/>
      <c r="H288" s="19"/>
      <c r="I288" s="47"/>
      <c r="J288" s="48"/>
      <c r="K288" s="49"/>
    </row>
    <row r="289" spans="1:11" ht="12.75" hidden="1" x14ac:dyDescent="0.2">
      <c r="A289" s="16"/>
      <c r="B289" s="16"/>
      <c r="C289" s="15"/>
      <c r="D289" s="16"/>
      <c r="E289" s="17"/>
      <c r="F289" s="17"/>
      <c r="H289" s="19"/>
      <c r="I289" s="47"/>
      <c r="J289" s="48"/>
      <c r="K289" s="49"/>
    </row>
    <row r="290" spans="1:11" ht="12.75" hidden="1" x14ac:dyDescent="0.2">
      <c r="A290" s="16"/>
      <c r="B290" s="16"/>
      <c r="C290" s="15"/>
      <c r="D290" s="16"/>
      <c r="E290" s="17"/>
      <c r="F290" s="17"/>
      <c r="H290" s="19"/>
      <c r="I290" s="47"/>
      <c r="J290" s="48"/>
      <c r="K290" s="49"/>
    </row>
    <row r="291" spans="1:11" ht="12.75" hidden="1" x14ac:dyDescent="0.2">
      <c r="A291" s="16"/>
      <c r="B291" s="16"/>
      <c r="C291" s="15"/>
      <c r="D291" s="16"/>
      <c r="E291" s="17"/>
      <c r="F291" s="17"/>
      <c r="H291" s="19"/>
      <c r="I291" s="47"/>
      <c r="J291" s="48"/>
      <c r="K291" s="49"/>
    </row>
    <row r="292" spans="1:11" ht="12.75" hidden="1" x14ac:dyDescent="0.2">
      <c r="A292" s="16"/>
      <c r="B292" s="16"/>
      <c r="C292" s="15"/>
      <c r="D292" s="16"/>
      <c r="E292" s="17"/>
      <c r="F292" s="17"/>
      <c r="H292" s="19"/>
      <c r="I292" s="47"/>
      <c r="J292" s="48"/>
      <c r="K292" s="49"/>
    </row>
    <row r="293" spans="1:11" ht="12.75" hidden="1" x14ac:dyDescent="0.2">
      <c r="A293" s="16"/>
      <c r="B293" s="16"/>
      <c r="C293" s="15"/>
      <c r="D293" s="16"/>
      <c r="E293" s="17"/>
      <c r="F293" s="17"/>
      <c r="H293" s="19"/>
      <c r="I293" s="47"/>
      <c r="J293" s="48"/>
      <c r="K293" s="49"/>
    </row>
    <row r="294" spans="1:11" ht="12.75" hidden="1" x14ac:dyDescent="0.2">
      <c r="A294" s="16"/>
      <c r="B294" s="16"/>
      <c r="C294" s="15"/>
      <c r="D294" s="16"/>
      <c r="E294" s="17"/>
      <c r="F294" s="17"/>
      <c r="H294" s="19"/>
      <c r="I294" s="47"/>
      <c r="J294" s="48"/>
      <c r="K294" s="49"/>
    </row>
    <row r="295" spans="1:11" ht="12.75" hidden="1" x14ac:dyDescent="0.2">
      <c r="A295" s="16"/>
      <c r="B295" s="16"/>
      <c r="C295" s="15"/>
      <c r="D295" s="16"/>
      <c r="E295" s="17"/>
      <c r="F295" s="17"/>
      <c r="H295" s="19"/>
      <c r="I295" s="47"/>
      <c r="J295" s="48"/>
      <c r="K295" s="49"/>
    </row>
    <row r="296" spans="1:11" ht="12.75" hidden="1" x14ac:dyDescent="0.2">
      <c r="A296" s="16"/>
      <c r="B296" s="16"/>
      <c r="C296" s="15"/>
      <c r="D296" s="16"/>
      <c r="E296" s="17"/>
      <c r="F296" s="17"/>
      <c r="H296" s="19"/>
      <c r="I296" s="47"/>
      <c r="J296" s="48"/>
      <c r="K296" s="49"/>
    </row>
    <row r="297" spans="1:11" ht="12.75" hidden="1" x14ac:dyDescent="0.2">
      <c r="A297" s="16"/>
      <c r="B297" s="16"/>
      <c r="C297" s="15"/>
      <c r="D297" s="16"/>
      <c r="E297" s="17"/>
      <c r="F297" s="17"/>
      <c r="H297" s="19"/>
      <c r="I297" s="47"/>
      <c r="J297" s="48"/>
      <c r="K297" s="49"/>
    </row>
    <row r="298" spans="1:11" ht="12.75" hidden="1" x14ac:dyDescent="0.2">
      <c r="A298" s="16"/>
      <c r="B298" s="16"/>
      <c r="C298" s="15"/>
      <c r="D298" s="16"/>
      <c r="E298" s="17"/>
      <c r="F298" s="17"/>
      <c r="H298" s="19"/>
      <c r="I298" s="47"/>
      <c r="J298" s="48"/>
      <c r="K298" s="49"/>
    </row>
    <row r="299" spans="1:11" ht="12.75" hidden="1" x14ac:dyDescent="0.2">
      <c r="A299" s="16"/>
      <c r="B299" s="16"/>
      <c r="C299" s="15"/>
      <c r="D299" s="16"/>
      <c r="E299" s="17"/>
      <c r="F299" s="17"/>
      <c r="H299" s="19"/>
      <c r="I299" s="47"/>
      <c r="J299" s="48"/>
      <c r="K299" s="49"/>
    </row>
    <row r="300" spans="1:11" ht="12.75" hidden="1" x14ac:dyDescent="0.2">
      <c r="A300" s="16"/>
      <c r="B300" s="16"/>
      <c r="C300" s="15"/>
      <c r="D300" s="16"/>
      <c r="E300" s="17"/>
      <c r="F300" s="17"/>
      <c r="H300" s="19"/>
      <c r="I300" s="47"/>
      <c r="J300" s="48"/>
      <c r="K300" s="49"/>
    </row>
    <row r="301" spans="1:11" ht="12.75" hidden="1" x14ac:dyDescent="0.2">
      <c r="A301" s="16"/>
      <c r="B301" s="16"/>
      <c r="C301" s="15"/>
      <c r="D301" s="16"/>
      <c r="E301" s="17"/>
      <c r="F301" s="17"/>
      <c r="H301" s="19"/>
      <c r="I301" s="47"/>
      <c r="J301" s="48"/>
      <c r="K301" s="49"/>
    </row>
    <row r="302" spans="1:11" ht="12.75" hidden="1" x14ac:dyDescent="0.2">
      <c r="A302" s="16"/>
      <c r="B302" s="16"/>
      <c r="C302" s="15"/>
      <c r="D302" s="16"/>
      <c r="E302" s="17"/>
      <c r="F302" s="17"/>
      <c r="H302" s="19"/>
      <c r="I302" s="47"/>
      <c r="J302" s="48"/>
      <c r="K302" s="49"/>
    </row>
    <row r="303" spans="1:11" ht="12.75" hidden="1" x14ac:dyDescent="0.2">
      <c r="A303" s="16"/>
      <c r="B303" s="16"/>
      <c r="C303" s="15"/>
      <c r="D303" s="16"/>
      <c r="E303" s="17"/>
      <c r="F303" s="17"/>
      <c r="H303" s="19"/>
      <c r="I303" s="47"/>
      <c r="J303" s="48"/>
      <c r="K303" s="49"/>
    </row>
    <row r="304" spans="1:11" ht="12.75" hidden="1" x14ac:dyDescent="0.2">
      <c r="A304" s="16"/>
      <c r="B304" s="16"/>
      <c r="C304" s="15"/>
      <c r="D304" s="16"/>
      <c r="E304" s="17"/>
      <c r="F304" s="17"/>
      <c r="H304" s="19"/>
      <c r="I304" s="47"/>
      <c r="J304" s="48"/>
      <c r="K304" s="49"/>
    </row>
    <row r="305" spans="1:11" ht="12.75" hidden="1" x14ac:dyDescent="0.2">
      <c r="A305" s="16"/>
      <c r="B305" s="16"/>
      <c r="C305" s="15"/>
      <c r="D305" s="16"/>
      <c r="E305" s="17"/>
      <c r="F305" s="17"/>
      <c r="H305" s="19"/>
      <c r="I305" s="47"/>
      <c r="J305" s="48"/>
      <c r="K305" s="49"/>
    </row>
    <row r="306" spans="1:11" ht="12.75" hidden="1" x14ac:dyDescent="0.2">
      <c r="A306" s="16"/>
      <c r="B306" s="16"/>
      <c r="C306" s="15"/>
      <c r="D306" s="16"/>
      <c r="E306" s="17"/>
      <c r="F306" s="17"/>
      <c r="H306" s="19"/>
      <c r="I306" s="47"/>
      <c r="J306" s="48"/>
      <c r="K306" s="49"/>
    </row>
    <row r="307" spans="1:11" ht="12.75" hidden="1" x14ac:dyDescent="0.2">
      <c r="A307" s="16"/>
      <c r="B307" s="16"/>
      <c r="C307" s="15"/>
      <c r="D307" s="16"/>
      <c r="E307" s="17"/>
      <c r="F307" s="17"/>
      <c r="H307" s="19"/>
      <c r="I307" s="47"/>
      <c r="J307" s="48"/>
      <c r="K307" s="49"/>
    </row>
    <row r="308" spans="1:11" ht="12.75" hidden="1" x14ac:dyDescent="0.2">
      <c r="A308" s="16"/>
      <c r="B308" s="16"/>
      <c r="C308" s="15"/>
      <c r="D308" s="16"/>
      <c r="E308" s="17"/>
      <c r="F308" s="17"/>
      <c r="H308" s="19"/>
      <c r="I308" s="47"/>
      <c r="J308" s="48"/>
      <c r="K308" s="49"/>
    </row>
    <row r="309" spans="1:11" ht="12.75" hidden="1" x14ac:dyDescent="0.2">
      <c r="A309" s="16"/>
      <c r="B309" s="16"/>
      <c r="C309" s="15"/>
      <c r="D309" s="16"/>
      <c r="E309" s="17"/>
      <c r="F309" s="17"/>
      <c r="H309" s="19"/>
      <c r="I309" s="47"/>
      <c r="J309" s="48"/>
      <c r="K309" s="49"/>
    </row>
    <row r="310" spans="1:11" ht="12.75" hidden="1" x14ac:dyDescent="0.2">
      <c r="A310" s="16"/>
      <c r="B310" s="16"/>
      <c r="C310" s="15"/>
      <c r="D310" s="16"/>
      <c r="E310" s="17"/>
      <c r="F310" s="17"/>
      <c r="H310" s="19"/>
      <c r="I310" s="47"/>
      <c r="J310" s="48"/>
      <c r="K310" s="49"/>
    </row>
    <row r="311" spans="1:11" ht="12.75" hidden="1" x14ac:dyDescent="0.2">
      <c r="A311" s="16"/>
      <c r="B311" s="16"/>
      <c r="C311" s="15"/>
      <c r="D311" s="16"/>
      <c r="E311" s="17"/>
      <c r="F311" s="17"/>
      <c r="H311" s="19"/>
      <c r="I311" s="47"/>
      <c r="J311" s="48"/>
      <c r="K311" s="49"/>
    </row>
    <row r="312" spans="1:11" ht="12.75" hidden="1" x14ac:dyDescent="0.2">
      <c r="A312" s="16"/>
      <c r="B312" s="16"/>
      <c r="C312" s="15"/>
      <c r="D312" s="16"/>
      <c r="E312" s="17"/>
      <c r="F312" s="17"/>
      <c r="H312" s="19"/>
      <c r="I312" s="47"/>
      <c r="J312" s="48"/>
      <c r="K312" s="49"/>
    </row>
    <row r="313" spans="1:11" ht="12.75" hidden="1" x14ac:dyDescent="0.2">
      <c r="A313" s="16"/>
      <c r="B313" s="16"/>
      <c r="C313" s="15"/>
      <c r="D313" s="16"/>
      <c r="E313" s="17"/>
      <c r="F313" s="17"/>
      <c r="H313" s="19"/>
      <c r="I313" s="47"/>
      <c r="J313" s="48"/>
      <c r="K313" s="49"/>
    </row>
    <row r="314" spans="1:11" ht="12.75" hidden="1" x14ac:dyDescent="0.2">
      <c r="A314" s="16"/>
      <c r="B314" s="16"/>
      <c r="C314" s="15"/>
      <c r="D314" s="16"/>
      <c r="E314" s="17"/>
      <c r="F314" s="17"/>
      <c r="H314" s="19"/>
      <c r="I314" s="47"/>
      <c r="J314" s="48"/>
      <c r="K314" s="49"/>
    </row>
    <row r="315" spans="1:11" ht="12.75" hidden="1" x14ac:dyDescent="0.2">
      <c r="A315" s="16"/>
      <c r="B315" s="16"/>
      <c r="C315" s="15"/>
      <c r="D315" s="16"/>
      <c r="E315" s="17"/>
      <c r="F315" s="17"/>
      <c r="H315" s="19"/>
      <c r="I315" s="47"/>
      <c r="J315" s="48"/>
      <c r="K315" s="49"/>
    </row>
    <row r="316" spans="1:11" ht="12.75" hidden="1" x14ac:dyDescent="0.2">
      <c r="A316" s="16"/>
      <c r="B316" s="16"/>
      <c r="C316" s="15"/>
      <c r="D316" s="16"/>
      <c r="E316" s="17"/>
      <c r="F316" s="17"/>
      <c r="H316" s="19"/>
      <c r="I316" s="47"/>
      <c r="J316" s="48"/>
      <c r="K316" s="49"/>
    </row>
    <row r="317" spans="1:11" ht="12.75" hidden="1" x14ac:dyDescent="0.2">
      <c r="A317" s="16"/>
      <c r="B317" s="16"/>
      <c r="C317" s="15"/>
      <c r="D317" s="16"/>
      <c r="E317" s="17"/>
      <c r="F317" s="17"/>
      <c r="H317" s="19"/>
      <c r="I317" s="47"/>
      <c r="J317" s="48"/>
      <c r="K317" s="49"/>
    </row>
    <row r="318" spans="1:11" ht="12.75" hidden="1" x14ac:dyDescent="0.2">
      <c r="A318" s="16"/>
      <c r="B318" s="16"/>
      <c r="C318" s="15"/>
      <c r="D318" s="16"/>
      <c r="E318" s="17"/>
      <c r="F318" s="17"/>
      <c r="H318" s="19"/>
      <c r="I318" s="47"/>
      <c r="J318" s="48"/>
      <c r="K318" s="49"/>
    </row>
    <row r="319" spans="1:11" ht="12.75" hidden="1" x14ac:dyDescent="0.2">
      <c r="A319" s="16"/>
      <c r="B319" s="16"/>
      <c r="C319" s="15"/>
      <c r="D319" s="16"/>
      <c r="E319" s="17"/>
      <c r="F319" s="17"/>
      <c r="H319" s="19"/>
      <c r="I319" s="47"/>
      <c r="J319" s="48"/>
      <c r="K319" s="49"/>
    </row>
    <row r="320" spans="1:11" ht="12.75" hidden="1" x14ac:dyDescent="0.2">
      <c r="A320" s="16"/>
      <c r="B320" s="16"/>
      <c r="C320" s="15"/>
      <c r="D320" s="16"/>
      <c r="E320" s="17"/>
      <c r="F320" s="17"/>
      <c r="H320" s="19"/>
      <c r="I320" s="47"/>
      <c r="J320" s="48"/>
      <c r="K320" s="49"/>
    </row>
    <row r="321" spans="1:11" ht="12.75" hidden="1" x14ac:dyDescent="0.2">
      <c r="A321" s="16"/>
      <c r="B321" s="16"/>
      <c r="C321" s="15"/>
      <c r="D321" s="16"/>
      <c r="E321" s="17"/>
      <c r="F321" s="17"/>
      <c r="H321" s="19"/>
      <c r="I321" s="47"/>
      <c r="J321" s="48"/>
      <c r="K321" s="49"/>
    </row>
    <row r="322" spans="1:11" ht="12.75" hidden="1" x14ac:dyDescent="0.2">
      <c r="A322" s="16"/>
      <c r="B322" s="16"/>
      <c r="C322" s="15"/>
      <c r="D322" s="16"/>
      <c r="E322" s="17"/>
      <c r="F322" s="17"/>
      <c r="H322" s="19"/>
      <c r="I322" s="47"/>
      <c r="J322" s="48"/>
      <c r="K322" s="49"/>
    </row>
    <row r="323" spans="1:11" ht="12.75" hidden="1" x14ac:dyDescent="0.2">
      <c r="A323" s="16"/>
      <c r="B323" s="16"/>
      <c r="C323" s="15"/>
      <c r="D323" s="16"/>
      <c r="E323" s="17"/>
      <c r="F323" s="17"/>
      <c r="H323" s="19"/>
      <c r="I323" s="47"/>
      <c r="J323" s="48"/>
      <c r="K323" s="49"/>
    </row>
    <row r="324" spans="1:11" ht="12.75" hidden="1" x14ac:dyDescent="0.2">
      <c r="A324" s="16"/>
      <c r="B324" s="16"/>
      <c r="C324" s="15"/>
      <c r="D324" s="16"/>
      <c r="E324" s="17"/>
      <c r="F324" s="17"/>
      <c r="H324" s="19"/>
      <c r="I324" s="47"/>
      <c r="J324" s="48"/>
      <c r="K324" s="49"/>
    </row>
    <row r="325" spans="1:11" ht="12.75" hidden="1" x14ac:dyDescent="0.2">
      <c r="A325" s="16"/>
      <c r="B325" s="16"/>
      <c r="C325" s="15"/>
      <c r="D325" s="16"/>
      <c r="E325" s="17"/>
      <c r="F325" s="17"/>
      <c r="H325" s="19"/>
      <c r="I325" s="47"/>
      <c r="J325" s="48"/>
      <c r="K325" s="49"/>
    </row>
    <row r="326" spans="1:11" ht="12.75" hidden="1" x14ac:dyDescent="0.2">
      <c r="A326" s="16"/>
      <c r="B326" s="16"/>
      <c r="C326" s="15"/>
      <c r="D326" s="16"/>
      <c r="E326" s="17"/>
      <c r="F326" s="17"/>
      <c r="H326" s="19"/>
      <c r="I326" s="47"/>
      <c r="J326" s="48"/>
      <c r="K326" s="49"/>
    </row>
    <row r="327" spans="1:11" ht="12.75" hidden="1" x14ac:dyDescent="0.2">
      <c r="A327" s="16"/>
      <c r="B327" s="16"/>
      <c r="C327" s="15"/>
      <c r="D327" s="16"/>
      <c r="E327" s="17"/>
      <c r="F327" s="17"/>
      <c r="H327" s="19"/>
      <c r="I327" s="47"/>
      <c r="J327" s="48"/>
      <c r="K327" s="49"/>
    </row>
    <row r="328" spans="1:11" ht="12.75" hidden="1" x14ac:dyDescent="0.2">
      <c r="A328" s="16"/>
      <c r="B328" s="16"/>
      <c r="C328" s="15"/>
      <c r="D328" s="16"/>
      <c r="E328" s="17"/>
      <c r="F328" s="17"/>
      <c r="H328" s="19"/>
      <c r="I328" s="47"/>
      <c r="J328" s="48"/>
      <c r="K328" s="49"/>
    </row>
    <row r="329" spans="1:11" ht="12.75" hidden="1" x14ac:dyDescent="0.2">
      <c r="A329" s="16"/>
      <c r="B329" s="16"/>
      <c r="C329" s="15"/>
      <c r="D329" s="16"/>
      <c r="E329" s="17"/>
      <c r="F329" s="17"/>
      <c r="H329" s="19"/>
      <c r="I329" s="47"/>
      <c r="J329" s="48"/>
      <c r="K329" s="49"/>
    </row>
    <row r="330" spans="1:11" ht="12.75" hidden="1" x14ac:dyDescent="0.2">
      <c r="A330" s="16"/>
      <c r="B330" s="16"/>
      <c r="C330" s="15"/>
      <c r="D330" s="16"/>
      <c r="E330" s="17"/>
      <c r="F330" s="17"/>
      <c r="H330" s="19"/>
      <c r="I330" s="47"/>
      <c r="J330" s="48"/>
      <c r="K330" s="49"/>
    </row>
    <row r="331" spans="1:11" ht="12.75" hidden="1" x14ac:dyDescent="0.2">
      <c r="A331" s="16"/>
      <c r="B331" s="16"/>
      <c r="C331" s="15"/>
      <c r="D331" s="16"/>
      <c r="E331" s="17"/>
      <c r="F331" s="17"/>
      <c r="H331" s="19"/>
      <c r="I331" s="47"/>
      <c r="J331" s="48"/>
      <c r="K331" s="49"/>
    </row>
    <row r="332" spans="1:11" ht="12.75" hidden="1" x14ac:dyDescent="0.2">
      <c r="A332" s="16"/>
      <c r="B332" s="16"/>
      <c r="C332" s="15"/>
      <c r="D332" s="16"/>
      <c r="E332" s="17"/>
      <c r="F332" s="17"/>
      <c r="H332" s="19"/>
      <c r="I332" s="47"/>
      <c r="J332" s="48"/>
      <c r="K332" s="49"/>
    </row>
    <row r="333" spans="1:11" ht="12.75" hidden="1" x14ac:dyDescent="0.2">
      <c r="A333" s="16"/>
      <c r="B333" s="16"/>
      <c r="C333" s="15"/>
      <c r="D333" s="16"/>
      <c r="E333" s="17"/>
      <c r="F333" s="17"/>
      <c r="H333" s="19"/>
      <c r="I333" s="47"/>
      <c r="J333" s="48"/>
      <c r="K333" s="49"/>
    </row>
    <row r="334" spans="1:11" ht="12.75" hidden="1" x14ac:dyDescent="0.2">
      <c r="A334" s="16"/>
      <c r="B334" s="16"/>
      <c r="C334" s="15"/>
      <c r="D334" s="16"/>
      <c r="E334" s="17"/>
      <c r="F334" s="17"/>
      <c r="H334" s="19"/>
      <c r="I334" s="47"/>
      <c r="J334" s="48"/>
      <c r="K334" s="49"/>
    </row>
    <row r="335" spans="1:11" ht="12.75" hidden="1" x14ac:dyDescent="0.2">
      <c r="A335" s="16"/>
      <c r="B335" s="16"/>
      <c r="C335" s="15"/>
      <c r="D335" s="16"/>
      <c r="E335" s="17"/>
      <c r="F335" s="17"/>
      <c r="H335" s="19"/>
      <c r="I335" s="47"/>
      <c r="J335" s="48"/>
      <c r="K335" s="49"/>
    </row>
    <row r="336" spans="1:11" ht="12.75" hidden="1" x14ac:dyDescent="0.2">
      <c r="A336" s="16"/>
      <c r="B336" s="16"/>
      <c r="C336" s="15"/>
      <c r="D336" s="16"/>
      <c r="E336" s="17"/>
      <c r="F336" s="17"/>
      <c r="H336" s="19"/>
      <c r="I336" s="47"/>
      <c r="J336" s="48"/>
      <c r="K336" s="49"/>
    </row>
    <row r="337" spans="1:11" ht="12.75" hidden="1" x14ac:dyDescent="0.2">
      <c r="A337" s="16"/>
      <c r="B337" s="16"/>
      <c r="C337" s="15"/>
      <c r="D337" s="16"/>
      <c r="E337" s="17"/>
      <c r="F337" s="17"/>
      <c r="H337" s="19"/>
      <c r="I337" s="47"/>
      <c r="J337" s="48"/>
      <c r="K337" s="49"/>
    </row>
    <row r="338" spans="1:11" ht="12.75" hidden="1" x14ac:dyDescent="0.2">
      <c r="A338" s="16"/>
      <c r="B338" s="16"/>
      <c r="C338" s="15"/>
      <c r="D338" s="16"/>
      <c r="E338" s="17"/>
      <c r="F338" s="17"/>
      <c r="H338" s="19"/>
      <c r="I338" s="47"/>
      <c r="J338" s="48"/>
      <c r="K338" s="49"/>
    </row>
    <row r="339" spans="1:11" ht="12.75" hidden="1" x14ac:dyDescent="0.2">
      <c r="A339" s="16"/>
      <c r="B339" s="16"/>
      <c r="C339" s="15"/>
      <c r="D339" s="16"/>
      <c r="E339" s="17"/>
      <c r="F339" s="17"/>
      <c r="H339" s="19"/>
      <c r="I339" s="47"/>
      <c r="J339" s="48"/>
      <c r="K339" s="49"/>
    </row>
    <row r="340" spans="1:11" ht="12.75" hidden="1" x14ac:dyDescent="0.2">
      <c r="A340" s="16"/>
      <c r="B340" s="16"/>
      <c r="C340" s="15"/>
      <c r="D340" s="16"/>
      <c r="E340" s="17"/>
      <c r="F340" s="17"/>
      <c r="H340" s="19"/>
      <c r="I340" s="47"/>
      <c r="J340" s="48"/>
      <c r="K340" s="49"/>
    </row>
    <row r="341" spans="1:11" ht="12.75" hidden="1" x14ac:dyDescent="0.2">
      <c r="A341" s="16"/>
      <c r="B341" s="16"/>
      <c r="C341" s="15"/>
      <c r="D341" s="16"/>
      <c r="E341" s="17"/>
      <c r="F341" s="17"/>
      <c r="H341" s="19"/>
      <c r="I341" s="47"/>
      <c r="J341" s="48"/>
      <c r="K341" s="49"/>
    </row>
    <row r="342" spans="1:11" ht="12.75" hidden="1" x14ac:dyDescent="0.2">
      <c r="A342" s="16"/>
      <c r="B342" s="16"/>
      <c r="C342" s="15"/>
      <c r="D342" s="16"/>
      <c r="E342" s="17"/>
      <c r="F342" s="17"/>
      <c r="H342" s="19"/>
      <c r="I342" s="47"/>
      <c r="J342" s="48"/>
      <c r="K342" s="49"/>
    </row>
    <row r="343" spans="1:11" ht="12.75" hidden="1" x14ac:dyDescent="0.2">
      <c r="A343" s="16"/>
      <c r="B343" s="16"/>
      <c r="C343" s="15"/>
      <c r="D343" s="16"/>
      <c r="E343" s="17"/>
      <c r="F343" s="17"/>
      <c r="H343" s="19"/>
      <c r="I343" s="47"/>
      <c r="J343" s="48"/>
      <c r="K343" s="49"/>
    </row>
    <row r="344" spans="1:11" ht="12.75" hidden="1" x14ac:dyDescent="0.2">
      <c r="A344" s="16"/>
      <c r="B344" s="16"/>
      <c r="C344" s="15"/>
      <c r="D344" s="16"/>
      <c r="E344" s="17"/>
      <c r="F344" s="17"/>
      <c r="H344" s="19"/>
      <c r="I344" s="47"/>
      <c r="J344" s="48"/>
      <c r="K344" s="49"/>
    </row>
    <row r="345" spans="1:11" ht="12.75" hidden="1" x14ac:dyDescent="0.2">
      <c r="A345" s="16"/>
      <c r="B345" s="16"/>
      <c r="C345" s="15"/>
      <c r="D345" s="16"/>
      <c r="E345" s="17"/>
      <c r="F345" s="17"/>
      <c r="H345" s="19"/>
      <c r="I345" s="47"/>
      <c r="J345" s="48"/>
      <c r="K345" s="49"/>
    </row>
    <row r="346" spans="1:11" ht="12.75" hidden="1" x14ac:dyDescent="0.2">
      <c r="A346" s="16"/>
      <c r="B346" s="16"/>
      <c r="C346" s="15"/>
      <c r="D346" s="16"/>
      <c r="E346" s="17"/>
      <c r="F346" s="17"/>
      <c r="H346" s="19"/>
      <c r="I346" s="47"/>
      <c r="J346" s="48"/>
      <c r="K346" s="49"/>
    </row>
    <row r="347" spans="1:11" ht="12.75" hidden="1" x14ac:dyDescent="0.2">
      <c r="A347" s="16"/>
      <c r="B347" s="16"/>
      <c r="C347" s="15"/>
      <c r="D347" s="16"/>
      <c r="E347" s="17"/>
      <c r="F347" s="17"/>
      <c r="H347" s="19"/>
      <c r="I347" s="47"/>
      <c r="J347" s="48"/>
      <c r="K347" s="49"/>
    </row>
    <row r="348" spans="1:11" ht="12.75" hidden="1" x14ac:dyDescent="0.2">
      <c r="A348" s="16"/>
      <c r="B348" s="16"/>
      <c r="C348" s="15"/>
      <c r="D348" s="16"/>
      <c r="E348" s="17"/>
      <c r="F348" s="17"/>
      <c r="H348" s="19"/>
      <c r="I348" s="47"/>
      <c r="J348" s="48"/>
      <c r="K348" s="49"/>
    </row>
    <row r="349" spans="1:11" ht="12.75" hidden="1" x14ac:dyDescent="0.2">
      <c r="A349" s="16"/>
      <c r="B349" s="16"/>
      <c r="C349" s="15"/>
      <c r="D349" s="16"/>
      <c r="E349" s="17"/>
      <c r="F349" s="17"/>
      <c r="H349" s="19"/>
      <c r="I349" s="47"/>
      <c r="J349" s="48"/>
      <c r="K349" s="49"/>
    </row>
    <row r="350" spans="1:11" ht="12.75" hidden="1" x14ac:dyDescent="0.2">
      <c r="A350" s="16"/>
      <c r="B350" s="16"/>
      <c r="C350" s="15"/>
      <c r="D350" s="16"/>
      <c r="E350" s="17"/>
      <c r="F350" s="17"/>
      <c r="H350" s="19"/>
      <c r="I350" s="47"/>
      <c r="J350" s="48"/>
      <c r="K350" s="49"/>
    </row>
    <row r="351" spans="1:11" ht="12.75" hidden="1" x14ac:dyDescent="0.2">
      <c r="A351" s="16"/>
      <c r="B351" s="16"/>
      <c r="C351" s="15"/>
      <c r="D351" s="16"/>
      <c r="E351" s="17"/>
      <c r="F351" s="17"/>
      <c r="H351" s="19"/>
      <c r="I351" s="47"/>
      <c r="J351" s="48"/>
      <c r="K351" s="49"/>
    </row>
    <row r="352" spans="1:11" ht="12.75" hidden="1" x14ac:dyDescent="0.2">
      <c r="A352" s="16"/>
      <c r="B352" s="16"/>
      <c r="C352" s="15"/>
      <c r="D352" s="16"/>
      <c r="E352" s="17"/>
      <c r="F352" s="17"/>
      <c r="H352" s="19"/>
      <c r="I352" s="47"/>
      <c r="J352" s="48"/>
      <c r="K352" s="49"/>
    </row>
    <row r="353" spans="1:11" ht="12.75" hidden="1" x14ac:dyDescent="0.2">
      <c r="A353" s="16"/>
      <c r="B353" s="16"/>
      <c r="C353" s="15"/>
      <c r="D353" s="16"/>
      <c r="E353" s="17"/>
      <c r="F353" s="17"/>
      <c r="H353" s="19"/>
      <c r="I353" s="47"/>
      <c r="J353" s="48"/>
      <c r="K353" s="49"/>
    </row>
    <row r="354" spans="1:11" ht="12.75" hidden="1" x14ac:dyDescent="0.2">
      <c r="A354" s="16"/>
      <c r="B354" s="16"/>
      <c r="C354" s="15"/>
      <c r="D354" s="16"/>
      <c r="E354" s="17"/>
      <c r="F354" s="17"/>
      <c r="H354" s="19"/>
      <c r="I354" s="47"/>
      <c r="J354" s="48"/>
      <c r="K354" s="49"/>
    </row>
    <row r="355" spans="1:11" ht="12.75" hidden="1" x14ac:dyDescent="0.2">
      <c r="A355" s="16"/>
      <c r="B355" s="16"/>
      <c r="C355" s="15"/>
      <c r="D355" s="16"/>
      <c r="E355" s="17"/>
      <c r="F355" s="17"/>
      <c r="H355" s="19"/>
      <c r="I355" s="47"/>
      <c r="J355" s="48"/>
      <c r="K355" s="49"/>
    </row>
    <row r="356" spans="1:11" ht="12.75" hidden="1" x14ac:dyDescent="0.2">
      <c r="A356" s="16"/>
      <c r="B356" s="16"/>
      <c r="C356" s="15"/>
      <c r="D356" s="16"/>
      <c r="E356" s="17"/>
      <c r="F356" s="17"/>
      <c r="H356" s="19"/>
      <c r="I356" s="47"/>
      <c r="J356" s="48"/>
      <c r="K356" s="49"/>
    </row>
    <row r="357" spans="1:11" ht="12.75" hidden="1" x14ac:dyDescent="0.2">
      <c r="A357" s="16"/>
      <c r="B357" s="16"/>
      <c r="C357" s="15"/>
      <c r="D357" s="16"/>
      <c r="E357" s="17"/>
      <c r="F357" s="17"/>
      <c r="H357" s="19"/>
      <c r="I357" s="47"/>
      <c r="J357" s="48"/>
      <c r="K357" s="49"/>
    </row>
    <row r="358" spans="1:11" ht="12.75" hidden="1" x14ac:dyDescent="0.2">
      <c r="A358" s="16"/>
      <c r="B358" s="16"/>
      <c r="C358" s="15"/>
      <c r="D358" s="16"/>
      <c r="E358" s="17"/>
      <c r="F358" s="17"/>
      <c r="H358" s="19"/>
      <c r="I358" s="47"/>
      <c r="J358" s="48"/>
      <c r="K358" s="49"/>
    </row>
    <row r="359" spans="1:11" ht="12.75" hidden="1" x14ac:dyDescent="0.2">
      <c r="A359" s="16"/>
      <c r="B359" s="16"/>
      <c r="C359" s="15"/>
      <c r="D359" s="16"/>
      <c r="E359" s="17"/>
      <c r="F359" s="17"/>
      <c r="H359" s="19"/>
      <c r="I359" s="47"/>
      <c r="J359" s="48"/>
      <c r="K359" s="49"/>
    </row>
    <row r="360" spans="1:11" ht="12.75" hidden="1" x14ac:dyDescent="0.2">
      <c r="A360" s="16"/>
      <c r="B360" s="16"/>
      <c r="C360" s="15"/>
      <c r="D360" s="16"/>
      <c r="E360" s="17"/>
      <c r="F360" s="17"/>
      <c r="H360" s="19"/>
      <c r="I360" s="47"/>
      <c r="J360" s="48"/>
      <c r="K360" s="49"/>
    </row>
    <row r="361" spans="1:11" ht="12.75" hidden="1" x14ac:dyDescent="0.2">
      <c r="A361" s="16"/>
      <c r="B361" s="16"/>
      <c r="C361" s="15"/>
      <c r="D361" s="16"/>
      <c r="E361" s="17"/>
      <c r="F361" s="17"/>
      <c r="H361" s="19"/>
      <c r="I361" s="47"/>
      <c r="J361" s="48"/>
      <c r="K361" s="49"/>
    </row>
    <row r="362" spans="1:11" ht="12.75" hidden="1" x14ac:dyDescent="0.2">
      <c r="A362" s="16"/>
      <c r="B362" s="16"/>
      <c r="C362" s="15"/>
      <c r="D362" s="16"/>
      <c r="E362" s="17"/>
      <c r="F362" s="17"/>
      <c r="H362" s="19"/>
      <c r="I362" s="47"/>
      <c r="J362" s="48"/>
      <c r="K362" s="49"/>
    </row>
    <row r="363" spans="1:11" ht="12.75" hidden="1" x14ac:dyDescent="0.2">
      <c r="A363" s="16"/>
      <c r="B363" s="16"/>
      <c r="C363" s="15"/>
      <c r="D363" s="16"/>
      <c r="E363" s="17"/>
      <c r="F363" s="17"/>
      <c r="H363" s="19"/>
      <c r="I363" s="47"/>
      <c r="J363" s="48"/>
      <c r="K363" s="49"/>
    </row>
    <row r="364" spans="1:11" ht="12.75" hidden="1" x14ac:dyDescent="0.2">
      <c r="A364" s="16"/>
      <c r="B364" s="16"/>
      <c r="C364" s="15"/>
      <c r="D364" s="16"/>
      <c r="E364" s="17"/>
      <c r="F364" s="17"/>
      <c r="H364" s="19"/>
      <c r="I364" s="47"/>
      <c r="J364" s="48"/>
      <c r="K364" s="49"/>
    </row>
    <row r="365" spans="1:11" ht="12.75" hidden="1" x14ac:dyDescent="0.2">
      <c r="A365" s="16"/>
      <c r="B365" s="16"/>
      <c r="C365" s="15"/>
      <c r="D365" s="16"/>
      <c r="E365" s="17"/>
      <c r="F365" s="17"/>
      <c r="H365" s="19"/>
      <c r="I365" s="47"/>
      <c r="J365" s="48"/>
      <c r="K365" s="49"/>
    </row>
    <row r="366" spans="1:11" ht="12.75" hidden="1" x14ac:dyDescent="0.2">
      <c r="A366" s="16"/>
      <c r="B366" s="16"/>
      <c r="C366" s="15"/>
      <c r="D366" s="16"/>
      <c r="E366" s="17"/>
      <c r="F366" s="17"/>
      <c r="H366" s="19"/>
      <c r="I366" s="47"/>
      <c r="J366" s="48"/>
      <c r="K366" s="49"/>
    </row>
    <row r="367" spans="1:11" ht="12.75" hidden="1" x14ac:dyDescent="0.2">
      <c r="A367" s="16"/>
      <c r="B367" s="16"/>
      <c r="C367" s="15"/>
      <c r="D367" s="16"/>
      <c r="E367" s="17"/>
      <c r="F367" s="17"/>
      <c r="H367" s="19"/>
      <c r="I367" s="47"/>
      <c r="J367" s="48"/>
      <c r="K367" s="49"/>
    </row>
    <row r="368" spans="1:11" ht="12.75" hidden="1" x14ac:dyDescent="0.2">
      <c r="A368" s="16"/>
      <c r="B368" s="16"/>
      <c r="C368" s="15"/>
      <c r="D368" s="16"/>
      <c r="E368" s="17"/>
      <c r="F368" s="17"/>
      <c r="H368" s="19"/>
      <c r="I368" s="47"/>
      <c r="J368" s="48"/>
      <c r="K368" s="49"/>
    </row>
    <row r="369" spans="1:11" ht="12.75" hidden="1" x14ac:dyDescent="0.2">
      <c r="A369" s="16"/>
      <c r="B369" s="16"/>
      <c r="C369" s="15"/>
      <c r="D369" s="16"/>
      <c r="E369" s="17"/>
      <c r="F369" s="17"/>
      <c r="H369" s="19"/>
      <c r="I369" s="47"/>
      <c r="J369" s="48"/>
      <c r="K369" s="49"/>
    </row>
    <row r="370" spans="1:11" ht="12.75" hidden="1" x14ac:dyDescent="0.2">
      <c r="A370" s="16"/>
      <c r="B370" s="16"/>
      <c r="C370" s="15"/>
      <c r="D370" s="16"/>
      <c r="E370" s="17"/>
      <c r="F370" s="17"/>
      <c r="H370" s="19"/>
      <c r="I370" s="47"/>
      <c r="J370" s="48"/>
      <c r="K370" s="49"/>
    </row>
    <row r="371" spans="1:11" ht="12.75" hidden="1" x14ac:dyDescent="0.2">
      <c r="A371" s="16"/>
      <c r="B371" s="16"/>
      <c r="C371" s="15"/>
      <c r="D371" s="16"/>
      <c r="E371" s="17"/>
      <c r="F371" s="17"/>
      <c r="H371" s="19"/>
      <c r="I371" s="47"/>
      <c r="J371" s="48"/>
      <c r="K371" s="49"/>
    </row>
    <row r="372" spans="1:11" ht="12.75" hidden="1" x14ac:dyDescent="0.2">
      <c r="A372" s="16"/>
      <c r="B372" s="16"/>
      <c r="C372" s="15"/>
      <c r="D372" s="16"/>
      <c r="E372" s="17"/>
      <c r="F372" s="17"/>
      <c r="H372" s="19"/>
      <c r="I372" s="47"/>
      <c r="J372" s="48"/>
      <c r="K372" s="49"/>
    </row>
    <row r="373" spans="1:11" ht="12.75" hidden="1" x14ac:dyDescent="0.2">
      <c r="A373" s="16"/>
      <c r="B373" s="16"/>
      <c r="C373" s="15"/>
      <c r="D373" s="16"/>
      <c r="E373" s="17"/>
      <c r="F373" s="17"/>
      <c r="H373" s="19"/>
      <c r="I373" s="47"/>
      <c r="J373" s="48"/>
      <c r="K373" s="49"/>
    </row>
    <row r="374" spans="1:11" ht="12.75" hidden="1" x14ac:dyDescent="0.2">
      <c r="A374" s="16"/>
      <c r="B374" s="16"/>
      <c r="C374" s="15"/>
      <c r="D374" s="16"/>
      <c r="E374" s="17"/>
      <c r="F374" s="17"/>
      <c r="H374" s="19"/>
      <c r="I374" s="47"/>
      <c r="J374" s="48"/>
      <c r="K374" s="49"/>
    </row>
    <row r="375" spans="1:11" ht="12.75" hidden="1" x14ac:dyDescent="0.2">
      <c r="A375" s="16"/>
      <c r="B375" s="16"/>
      <c r="C375" s="15"/>
      <c r="D375" s="16"/>
      <c r="E375" s="17"/>
      <c r="F375" s="17"/>
      <c r="H375" s="19"/>
      <c r="I375" s="47"/>
      <c r="J375" s="48"/>
      <c r="K375" s="49"/>
    </row>
    <row r="376" spans="1:11" ht="12.75" hidden="1" x14ac:dyDescent="0.2">
      <c r="A376" s="16"/>
      <c r="B376" s="16"/>
      <c r="C376" s="15"/>
      <c r="D376" s="16"/>
      <c r="E376" s="17"/>
      <c r="F376" s="17"/>
      <c r="H376" s="19"/>
      <c r="I376" s="47"/>
      <c r="J376" s="48"/>
      <c r="K376" s="49"/>
    </row>
    <row r="377" spans="1:11" ht="12.75" hidden="1" x14ac:dyDescent="0.2">
      <c r="A377" s="16"/>
      <c r="B377" s="16"/>
      <c r="C377" s="15"/>
      <c r="D377" s="16"/>
      <c r="E377" s="17"/>
      <c r="F377" s="17"/>
      <c r="H377" s="19"/>
      <c r="I377" s="47"/>
      <c r="J377" s="48"/>
      <c r="K377" s="49"/>
    </row>
    <row r="378" spans="1:11" ht="12.75" hidden="1" x14ac:dyDescent="0.2">
      <c r="A378" s="16"/>
      <c r="B378" s="16"/>
      <c r="C378" s="15"/>
      <c r="D378" s="16"/>
      <c r="E378" s="17"/>
      <c r="F378" s="17"/>
      <c r="H378" s="19"/>
      <c r="I378" s="47"/>
      <c r="J378" s="48"/>
      <c r="K378" s="49"/>
    </row>
    <row r="379" spans="1:11" ht="12.75" hidden="1" x14ac:dyDescent="0.2">
      <c r="A379" s="16"/>
      <c r="B379" s="16"/>
      <c r="C379" s="15"/>
      <c r="D379" s="16"/>
      <c r="E379" s="17"/>
      <c r="F379" s="17"/>
      <c r="H379" s="19"/>
      <c r="I379" s="47"/>
      <c r="J379" s="48"/>
      <c r="K379" s="49"/>
    </row>
    <row r="380" spans="1:11" ht="12.75" hidden="1" x14ac:dyDescent="0.2">
      <c r="A380" s="16"/>
      <c r="B380" s="16"/>
      <c r="C380" s="15"/>
      <c r="D380" s="16"/>
      <c r="E380" s="17"/>
      <c r="F380" s="17"/>
      <c r="H380" s="19"/>
      <c r="I380" s="47"/>
      <c r="J380" s="48"/>
      <c r="K380" s="49"/>
    </row>
    <row r="381" spans="1:11" ht="12.75" hidden="1" x14ac:dyDescent="0.2">
      <c r="A381" s="16"/>
      <c r="B381" s="16"/>
      <c r="C381" s="15"/>
      <c r="D381" s="16"/>
      <c r="E381" s="17"/>
      <c r="F381" s="17"/>
      <c r="H381" s="19"/>
      <c r="I381" s="47"/>
      <c r="J381" s="48"/>
      <c r="K381" s="49"/>
    </row>
    <row r="382" spans="1:11" ht="12.75" hidden="1" x14ac:dyDescent="0.2">
      <c r="A382" s="16"/>
      <c r="B382" s="16"/>
      <c r="C382" s="15"/>
      <c r="D382" s="16"/>
      <c r="E382" s="17"/>
      <c r="F382" s="17"/>
      <c r="H382" s="19"/>
      <c r="I382" s="47"/>
      <c r="J382" s="48"/>
      <c r="K382" s="49"/>
    </row>
    <row r="383" spans="1:11" ht="12.75" hidden="1" x14ac:dyDescent="0.2">
      <c r="A383" s="16"/>
      <c r="B383" s="16"/>
      <c r="C383" s="15"/>
      <c r="D383" s="16"/>
      <c r="E383" s="17"/>
      <c r="F383" s="17"/>
      <c r="H383" s="19"/>
      <c r="I383" s="47"/>
      <c r="J383" s="48"/>
      <c r="K383" s="49"/>
    </row>
    <row r="384" spans="1:11" ht="12.75" hidden="1" x14ac:dyDescent="0.2">
      <c r="A384" s="16"/>
      <c r="B384" s="16"/>
      <c r="C384" s="15"/>
      <c r="D384" s="16"/>
      <c r="E384" s="17"/>
      <c r="F384" s="17"/>
      <c r="H384" s="19"/>
      <c r="I384" s="47"/>
      <c r="J384" s="48"/>
      <c r="K384" s="49"/>
    </row>
    <row r="385" spans="1:11" ht="12.75" hidden="1" x14ac:dyDescent="0.2">
      <c r="A385" s="16"/>
      <c r="B385" s="16"/>
      <c r="C385" s="15"/>
      <c r="D385" s="16"/>
      <c r="E385" s="17"/>
      <c r="F385" s="17"/>
      <c r="H385" s="19"/>
      <c r="I385" s="47"/>
      <c r="J385" s="48"/>
      <c r="K385" s="49"/>
    </row>
    <row r="386" spans="1:11" ht="12.75" hidden="1" x14ac:dyDescent="0.2">
      <c r="A386" s="16"/>
      <c r="B386" s="16"/>
      <c r="C386" s="15"/>
      <c r="D386" s="16"/>
      <c r="E386" s="17"/>
      <c r="F386" s="17"/>
      <c r="H386" s="19"/>
      <c r="I386" s="47"/>
      <c r="J386" s="48"/>
      <c r="K386" s="49"/>
    </row>
    <row r="387" spans="1:11" ht="12.75" hidden="1" x14ac:dyDescent="0.2">
      <c r="A387" s="16"/>
      <c r="B387" s="16"/>
      <c r="C387" s="15"/>
      <c r="D387" s="16"/>
      <c r="E387" s="17"/>
      <c r="F387" s="17"/>
      <c r="H387" s="19"/>
      <c r="I387" s="47"/>
      <c r="J387" s="48"/>
      <c r="K387" s="49"/>
    </row>
    <row r="388" spans="1:11" ht="12.75" hidden="1" x14ac:dyDescent="0.2">
      <c r="A388" s="16"/>
      <c r="B388" s="16"/>
      <c r="C388" s="15"/>
      <c r="D388" s="16"/>
      <c r="E388" s="17"/>
      <c r="F388" s="17"/>
      <c r="H388" s="19"/>
      <c r="I388" s="47"/>
      <c r="J388" s="48"/>
      <c r="K388" s="49"/>
    </row>
    <row r="389" spans="1:11" ht="12.75" hidden="1" x14ac:dyDescent="0.2">
      <c r="A389" s="16"/>
      <c r="B389" s="16"/>
      <c r="C389" s="15"/>
      <c r="D389" s="16"/>
      <c r="E389" s="17"/>
      <c r="F389" s="17"/>
      <c r="H389" s="19"/>
      <c r="I389" s="47"/>
      <c r="J389" s="48"/>
      <c r="K389" s="49"/>
    </row>
    <row r="390" spans="1:11" ht="12.75" hidden="1" x14ac:dyDescent="0.2">
      <c r="A390" s="16"/>
      <c r="B390" s="16"/>
      <c r="C390" s="15"/>
      <c r="D390" s="16"/>
      <c r="E390" s="17"/>
      <c r="F390" s="17"/>
      <c r="H390" s="19"/>
      <c r="I390" s="47"/>
      <c r="J390" s="48"/>
      <c r="K390" s="49"/>
    </row>
    <row r="391" spans="1:11" ht="12.75" hidden="1" x14ac:dyDescent="0.2">
      <c r="A391" s="16"/>
      <c r="B391" s="16"/>
      <c r="C391" s="15"/>
      <c r="D391" s="16"/>
      <c r="E391" s="17"/>
      <c r="F391" s="17"/>
      <c r="H391" s="19"/>
      <c r="I391" s="47"/>
      <c r="J391" s="48"/>
      <c r="K391" s="49"/>
    </row>
    <row r="392" spans="1:11" ht="12.75" hidden="1" x14ac:dyDescent="0.2">
      <c r="A392" s="16"/>
      <c r="B392" s="16"/>
      <c r="C392" s="15"/>
      <c r="D392" s="16"/>
      <c r="E392" s="17"/>
      <c r="F392" s="17"/>
      <c r="H392" s="19"/>
      <c r="I392" s="47"/>
      <c r="J392" s="48"/>
      <c r="K392" s="49"/>
    </row>
    <row r="393" spans="1:11" ht="12.75" hidden="1" x14ac:dyDescent="0.2">
      <c r="A393" s="16"/>
      <c r="B393" s="16"/>
      <c r="C393" s="15"/>
      <c r="D393" s="16"/>
      <c r="E393" s="17"/>
      <c r="F393" s="17"/>
      <c r="H393" s="19"/>
      <c r="I393" s="47"/>
      <c r="J393" s="48"/>
      <c r="K393" s="49"/>
    </row>
    <row r="394" spans="1:11" ht="12.75" hidden="1" x14ac:dyDescent="0.2">
      <c r="A394" s="16"/>
      <c r="B394" s="16"/>
      <c r="C394" s="15"/>
      <c r="D394" s="16"/>
      <c r="E394" s="17"/>
      <c r="F394" s="17"/>
      <c r="H394" s="19"/>
      <c r="I394" s="47"/>
      <c r="J394" s="48"/>
      <c r="K394" s="49"/>
    </row>
    <row r="395" spans="1:11" ht="12.75" hidden="1" x14ac:dyDescent="0.2">
      <c r="A395" s="16"/>
      <c r="B395" s="16"/>
      <c r="C395" s="15"/>
      <c r="D395" s="16"/>
      <c r="E395" s="17"/>
      <c r="F395" s="17"/>
      <c r="H395" s="19"/>
      <c r="I395" s="47"/>
      <c r="J395" s="48"/>
      <c r="K395" s="49"/>
    </row>
    <row r="396" spans="1:11" ht="12.75" hidden="1" x14ac:dyDescent="0.2">
      <c r="A396" s="16"/>
      <c r="B396" s="16"/>
      <c r="C396" s="15"/>
      <c r="D396" s="16"/>
      <c r="E396" s="17"/>
      <c r="F396" s="17"/>
      <c r="H396" s="19"/>
      <c r="I396" s="47"/>
      <c r="J396" s="48"/>
      <c r="K396" s="49"/>
    </row>
    <row r="397" spans="1:11" ht="12.75" hidden="1" x14ac:dyDescent="0.2">
      <c r="A397" s="16"/>
      <c r="B397" s="16"/>
      <c r="C397" s="15"/>
      <c r="D397" s="16"/>
      <c r="E397" s="17"/>
      <c r="F397" s="17"/>
      <c r="H397" s="19"/>
      <c r="I397" s="47"/>
      <c r="J397" s="48"/>
      <c r="K397" s="49"/>
    </row>
    <row r="398" spans="1:11" ht="12.75" hidden="1" x14ac:dyDescent="0.2">
      <c r="A398" s="16"/>
      <c r="B398" s="16"/>
      <c r="C398" s="15"/>
      <c r="D398" s="16"/>
      <c r="E398" s="17"/>
      <c r="F398" s="17"/>
      <c r="H398" s="19"/>
      <c r="I398" s="47"/>
      <c r="J398" s="48"/>
      <c r="K398" s="49"/>
    </row>
    <row r="399" spans="1:11" ht="12.75" hidden="1" x14ac:dyDescent="0.2">
      <c r="A399" s="16"/>
      <c r="B399" s="16"/>
      <c r="C399" s="15"/>
      <c r="D399" s="16"/>
      <c r="E399" s="17"/>
      <c r="F399" s="17"/>
      <c r="H399" s="19"/>
      <c r="I399" s="47"/>
      <c r="J399" s="48"/>
      <c r="K399" s="49"/>
    </row>
    <row r="400" spans="1:11" ht="12.75" hidden="1" x14ac:dyDescent="0.2">
      <c r="A400" s="16"/>
      <c r="B400" s="16"/>
      <c r="C400" s="15"/>
      <c r="D400" s="16"/>
      <c r="E400" s="17"/>
      <c r="F400" s="17"/>
      <c r="H400" s="19"/>
      <c r="I400" s="47"/>
      <c r="J400" s="48"/>
      <c r="K400" s="49"/>
    </row>
    <row r="401" spans="1:11" ht="12.75" hidden="1" x14ac:dyDescent="0.2">
      <c r="A401" s="16"/>
      <c r="B401" s="16"/>
      <c r="C401" s="15"/>
      <c r="D401" s="16"/>
      <c r="E401" s="17"/>
      <c r="F401" s="17"/>
      <c r="H401" s="19"/>
      <c r="I401" s="47"/>
      <c r="J401" s="48"/>
      <c r="K401" s="49"/>
    </row>
    <row r="402" spans="1:11" ht="12.75" hidden="1" x14ac:dyDescent="0.2">
      <c r="A402" s="16"/>
      <c r="B402" s="16"/>
      <c r="C402" s="15"/>
      <c r="D402" s="16"/>
      <c r="E402" s="17"/>
      <c r="F402" s="17"/>
      <c r="H402" s="19"/>
      <c r="I402" s="47"/>
      <c r="J402" s="48"/>
      <c r="K402" s="49"/>
    </row>
    <row r="403" spans="1:11" ht="12.75" hidden="1" x14ac:dyDescent="0.2">
      <c r="A403" s="16"/>
      <c r="B403" s="16"/>
      <c r="C403" s="15"/>
      <c r="D403" s="16"/>
      <c r="E403" s="17"/>
      <c r="F403" s="17"/>
      <c r="H403" s="19"/>
      <c r="I403" s="47"/>
      <c r="J403" s="48"/>
      <c r="K403" s="49"/>
    </row>
    <row r="404" spans="1:11" ht="12.75" hidden="1" x14ac:dyDescent="0.2">
      <c r="A404" s="16"/>
      <c r="B404" s="16"/>
      <c r="C404" s="15"/>
      <c r="D404" s="16"/>
      <c r="E404" s="17"/>
      <c r="F404" s="17"/>
      <c r="H404" s="19"/>
      <c r="I404" s="47"/>
      <c r="J404" s="48"/>
      <c r="K404" s="49"/>
    </row>
    <row r="405" spans="1:11" ht="12.75" hidden="1" x14ac:dyDescent="0.2">
      <c r="A405" s="16"/>
      <c r="B405" s="16"/>
      <c r="C405" s="15"/>
      <c r="D405" s="16"/>
      <c r="E405" s="17"/>
      <c r="F405" s="17"/>
      <c r="H405" s="19"/>
      <c r="I405" s="47"/>
      <c r="J405" s="48"/>
      <c r="K405" s="49"/>
    </row>
    <row r="406" spans="1:11" ht="12.75" hidden="1" x14ac:dyDescent="0.2">
      <c r="A406" s="16"/>
      <c r="B406" s="16"/>
      <c r="C406" s="15"/>
      <c r="D406" s="16"/>
      <c r="E406" s="17"/>
      <c r="F406" s="17"/>
      <c r="H406" s="19"/>
      <c r="I406" s="47"/>
      <c r="J406" s="48"/>
      <c r="K406" s="49"/>
    </row>
    <row r="407" spans="1:11" ht="12.75" hidden="1" x14ac:dyDescent="0.2">
      <c r="A407" s="16"/>
      <c r="B407" s="16"/>
      <c r="C407" s="15"/>
      <c r="D407" s="16"/>
      <c r="E407" s="17"/>
      <c r="F407" s="17"/>
      <c r="H407" s="19"/>
      <c r="I407" s="47"/>
      <c r="J407" s="48"/>
      <c r="K407" s="49"/>
    </row>
    <row r="408" spans="1:11" ht="12.75" hidden="1" x14ac:dyDescent="0.2">
      <c r="A408" s="16"/>
      <c r="B408" s="16"/>
      <c r="C408" s="15"/>
      <c r="D408" s="16"/>
      <c r="E408" s="17"/>
      <c r="F408" s="17"/>
      <c r="H408" s="19"/>
      <c r="I408" s="47"/>
      <c r="J408" s="48"/>
      <c r="K408" s="49"/>
    </row>
    <row r="409" spans="1:11" ht="12.75" hidden="1" x14ac:dyDescent="0.2">
      <c r="A409" s="16"/>
      <c r="B409" s="16"/>
      <c r="C409" s="15"/>
      <c r="D409" s="16"/>
      <c r="E409" s="17"/>
      <c r="F409" s="17"/>
      <c r="H409" s="19"/>
      <c r="I409" s="47"/>
      <c r="J409" s="48"/>
      <c r="K409" s="49"/>
    </row>
    <row r="410" spans="1:11" ht="12.75" hidden="1" x14ac:dyDescent="0.2">
      <c r="A410" s="16"/>
      <c r="B410" s="16"/>
      <c r="C410" s="15"/>
      <c r="D410" s="16"/>
      <c r="E410" s="17"/>
      <c r="F410" s="17"/>
      <c r="H410" s="19"/>
      <c r="I410" s="47"/>
      <c r="J410" s="48"/>
      <c r="K410" s="49"/>
    </row>
    <row r="411" spans="1:11" ht="12.75" hidden="1" x14ac:dyDescent="0.2">
      <c r="A411" s="16"/>
      <c r="B411" s="16"/>
      <c r="C411" s="15"/>
      <c r="D411" s="16"/>
      <c r="E411" s="17"/>
      <c r="F411" s="17"/>
      <c r="H411" s="19"/>
      <c r="I411" s="47"/>
      <c r="J411" s="48"/>
      <c r="K411" s="49"/>
    </row>
    <row r="412" spans="1:11" ht="12.75" hidden="1" x14ac:dyDescent="0.2">
      <c r="A412" s="16"/>
      <c r="B412" s="16"/>
      <c r="C412" s="15"/>
      <c r="D412" s="16"/>
      <c r="E412" s="17"/>
      <c r="F412" s="17"/>
      <c r="H412" s="19"/>
      <c r="I412" s="47"/>
      <c r="J412" s="48"/>
      <c r="K412" s="49"/>
    </row>
    <row r="413" spans="1:11" ht="12.75" hidden="1" x14ac:dyDescent="0.2">
      <c r="A413" s="16"/>
      <c r="B413" s="16"/>
      <c r="C413" s="15"/>
      <c r="D413" s="16"/>
      <c r="E413" s="17"/>
      <c r="F413" s="17"/>
      <c r="H413" s="19"/>
      <c r="I413" s="47"/>
      <c r="J413" s="48"/>
      <c r="K413" s="49"/>
    </row>
    <row r="414" spans="1:11" ht="12.75" hidden="1" x14ac:dyDescent="0.2">
      <c r="A414" s="16"/>
      <c r="B414" s="16"/>
      <c r="C414" s="15"/>
      <c r="D414" s="16"/>
      <c r="E414" s="17"/>
      <c r="F414" s="17"/>
      <c r="H414" s="19"/>
      <c r="I414" s="47"/>
      <c r="J414" s="48"/>
      <c r="K414" s="49"/>
    </row>
    <row r="415" spans="1:11" ht="12.75" hidden="1" x14ac:dyDescent="0.2">
      <c r="A415" s="16"/>
      <c r="B415" s="16"/>
      <c r="C415" s="15"/>
      <c r="D415" s="16"/>
      <c r="E415" s="17"/>
      <c r="F415" s="17"/>
      <c r="H415" s="19"/>
      <c r="I415" s="47"/>
      <c r="J415" s="48"/>
      <c r="K415" s="49"/>
    </row>
    <row r="416" spans="1:11" ht="12.75" hidden="1" x14ac:dyDescent="0.2">
      <c r="A416" s="16"/>
      <c r="B416" s="16"/>
      <c r="C416" s="15"/>
      <c r="D416" s="16"/>
      <c r="E416" s="17"/>
      <c r="F416" s="17"/>
      <c r="H416" s="19"/>
      <c r="I416" s="47"/>
      <c r="J416" s="48"/>
      <c r="K416" s="49"/>
    </row>
    <row r="417" spans="1:11" ht="12.75" hidden="1" x14ac:dyDescent="0.2">
      <c r="A417" s="16"/>
      <c r="B417" s="16"/>
      <c r="C417" s="15"/>
      <c r="D417" s="16"/>
      <c r="E417" s="17"/>
      <c r="F417" s="17"/>
      <c r="H417" s="19"/>
      <c r="I417" s="47"/>
      <c r="J417" s="48"/>
      <c r="K417" s="49"/>
    </row>
    <row r="418" spans="1:11" ht="12.75" hidden="1" x14ac:dyDescent="0.2">
      <c r="A418" s="16"/>
      <c r="B418" s="16"/>
      <c r="C418" s="15"/>
      <c r="D418" s="16"/>
      <c r="E418" s="17"/>
      <c r="F418" s="17"/>
      <c r="H418" s="19"/>
      <c r="I418" s="47"/>
      <c r="J418" s="48"/>
      <c r="K418" s="49"/>
    </row>
    <row r="419" spans="1:11" ht="12.75" hidden="1" x14ac:dyDescent="0.2">
      <c r="A419" s="16"/>
      <c r="B419" s="16"/>
      <c r="C419" s="15"/>
      <c r="D419" s="16"/>
      <c r="E419" s="17"/>
      <c r="F419" s="17"/>
      <c r="H419" s="19"/>
      <c r="I419" s="47"/>
      <c r="J419" s="48"/>
      <c r="K419" s="49"/>
    </row>
    <row r="420" spans="1:11" ht="12.75" hidden="1" x14ac:dyDescent="0.2">
      <c r="A420" s="16"/>
      <c r="B420" s="16"/>
      <c r="C420" s="15"/>
      <c r="D420" s="16"/>
      <c r="E420" s="17"/>
      <c r="F420" s="17"/>
      <c r="H420" s="19"/>
      <c r="I420" s="47"/>
      <c r="J420" s="48"/>
      <c r="K420" s="49"/>
    </row>
    <row r="421" spans="1:11" ht="12.75" hidden="1" x14ac:dyDescent="0.2">
      <c r="A421" s="16"/>
      <c r="B421" s="16"/>
      <c r="C421" s="15"/>
      <c r="D421" s="16"/>
      <c r="E421" s="17"/>
      <c r="F421" s="17"/>
      <c r="H421" s="19"/>
      <c r="I421" s="47"/>
      <c r="J421" s="48"/>
      <c r="K421" s="49"/>
    </row>
    <row r="422" spans="1:11" ht="12.75" hidden="1" x14ac:dyDescent="0.2">
      <c r="A422" s="16"/>
      <c r="B422" s="16"/>
      <c r="C422" s="15"/>
      <c r="D422" s="16"/>
      <c r="E422" s="17"/>
      <c r="F422" s="17"/>
      <c r="H422" s="19"/>
      <c r="I422" s="47"/>
      <c r="J422" s="48"/>
      <c r="K422" s="49"/>
    </row>
    <row r="423" spans="1:11" ht="12.75" hidden="1" x14ac:dyDescent="0.2">
      <c r="A423" s="16"/>
      <c r="B423" s="16"/>
      <c r="C423" s="15"/>
      <c r="D423" s="16"/>
      <c r="E423" s="17"/>
      <c r="F423" s="17"/>
      <c r="H423" s="19"/>
      <c r="I423" s="47"/>
      <c r="J423" s="48"/>
      <c r="K423" s="49"/>
    </row>
    <row r="424" spans="1:11" ht="12.75" hidden="1" x14ac:dyDescent="0.2">
      <c r="A424" s="16"/>
      <c r="B424" s="16"/>
      <c r="C424" s="15"/>
      <c r="D424" s="16"/>
      <c r="E424" s="17"/>
      <c r="F424" s="17"/>
      <c r="H424" s="19"/>
      <c r="I424" s="47"/>
      <c r="J424" s="48"/>
      <c r="K424" s="49"/>
    </row>
    <row r="425" spans="1:11" ht="12.75" hidden="1" x14ac:dyDescent="0.2">
      <c r="A425" s="16"/>
      <c r="B425" s="16"/>
      <c r="C425" s="15"/>
      <c r="D425" s="16"/>
      <c r="E425" s="17"/>
      <c r="F425" s="17"/>
      <c r="H425" s="19"/>
      <c r="I425" s="47"/>
      <c r="J425" s="48"/>
      <c r="K425" s="49"/>
    </row>
    <row r="426" spans="1:11" ht="12.75" hidden="1" x14ac:dyDescent="0.2">
      <c r="A426" s="16"/>
      <c r="B426" s="16"/>
      <c r="C426" s="15"/>
      <c r="D426" s="16"/>
      <c r="E426" s="17"/>
      <c r="F426" s="17"/>
      <c r="H426" s="19"/>
      <c r="I426" s="47"/>
      <c r="J426" s="48"/>
      <c r="K426" s="49"/>
    </row>
    <row r="427" spans="1:11" ht="12.75" hidden="1" x14ac:dyDescent="0.2">
      <c r="A427" s="16"/>
      <c r="B427" s="16"/>
      <c r="C427" s="15"/>
      <c r="D427" s="16"/>
      <c r="E427" s="17"/>
      <c r="F427" s="17"/>
      <c r="H427" s="19"/>
      <c r="I427" s="47"/>
      <c r="J427" s="48"/>
      <c r="K427" s="49"/>
    </row>
    <row r="428" spans="1:11" ht="12.75" hidden="1" x14ac:dyDescent="0.2">
      <c r="A428" s="16"/>
      <c r="B428" s="16"/>
      <c r="C428" s="15"/>
      <c r="D428" s="16"/>
      <c r="E428" s="17"/>
      <c r="F428" s="17"/>
      <c r="H428" s="19"/>
      <c r="I428" s="47"/>
      <c r="J428" s="48"/>
      <c r="K428" s="49"/>
    </row>
    <row r="429" spans="1:11" ht="12.75" hidden="1" x14ac:dyDescent="0.2">
      <c r="A429" s="16"/>
      <c r="B429" s="16"/>
      <c r="C429" s="15"/>
      <c r="D429" s="16"/>
      <c r="E429" s="17"/>
      <c r="F429" s="17"/>
      <c r="H429" s="19"/>
      <c r="I429" s="47"/>
      <c r="J429" s="48"/>
      <c r="K429" s="49"/>
    </row>
    <row r="430" spans="1:11" ht="12.75" hidden="1" x14ac:dyDescent="0.2">
      <c r="A430" s="16"/>
      <c r="B430" s="16"/>
      <c r="C430" s="15"/>
      <c r="D430" s="16"/>
      <c r="E430" s="17"/>
      <c r="F430" s="17"/>
      <c r="H430" s="19"/>
      <c r="I430" s="47"/>
      <c r="J430" s="48"/>
      <c r="K430" s="49"/>
    </row>
    <row r="431" spans="1:11" ht="12.75" hidden="1" x14ac:dyDescent="0.2">
      <c r="A431" s="16"/>
      <c r="B431" s="16"/>
      <c r="C431" s="15"/>
      <c r="D431" s="16"/>
      <c r="E431" s="17"/>
      <c r="F431" s="17"/>
      <c r="H431" s="19"/>
      <c r="I431" s="47"/>
      <c r="J431" s="48"/>
      <c r="K431" s="49"/>
    </row>
    <row r="432" spans="1:11" ht="12.75" hidden="1" x14ac:dyDescent="0.2">
      <c r="A432" s="16"/>
      <c r="B432" s="16"/>
      <c r="C432" s="15"/>
      <c r="D432" s="16"/>
      <c r="E432" s="17"/>
      <c r="F432" s="17"/>
      <c r="H432" s="19"/>
      <c r="I432" s="47"/>
      <c r="J432" s="48"/>
      <c r="K432" s="49"/>
    </row>
    <row r="433" spans="1:11" ht="12.75" hidden="1" x14ac:dyDescent="0.2">
      <c r="A433" s="16"/>
      <c r="B433" s="16"/>
      <c r="C433" s="15"/>
      <c r="D433" s="16"/>
      <c r="E433" s="17"/>
      <c r="F433" s="17"/>
      <c r="H433" s="19"/>
      <c r="I433" s="47"/>
      <c r="J433" s="48"/>
      <c r="K433" s="49"/>
    </row>
    <row r="434" spans="1:11" ht="12.75" hidden="1" x14ac:dyDescent="0.2">
      <c r="A434" s="16"/>
      <c r="B434" s="16"/>
      <c r="C434" s="15"/>
      <c r="D434" s="16"/>
      <c r="E434" s="17"/>
      <c r="F434" s="17"/>
      <c r="H434" s="19"/>
      <c r="I434" s="47"/>
      <c r="J434" s="48"/>
      <c r="K434" s="49"/>
    </row>
    <row r="435" spans="1:11" ht="12.75" hidden="1" x14ac:dyDescent="0.2">
      <c r="A435" s="16"/>
      <c r="B435" s="16"/>
      <c r="C435" s="15"/>
      <c r="D435" s="16"/>
      <c r="E435" s="17"/>
      <c r="F435" s="17"/>
      <c r="H435" s="19"/>
      <c r="I435" s="47"/>
      <c r="J435" s="48"/>
      <c r="K435" s="49"/>
    </row>
    <row r="436" spans="1:11" ht="12.75" hidden="1" x14ac:dyDescent="0.2">
      <c r="A436" s="16"/>
      <c r="B436" s="16"/>
      <c r="C436" s="15"/>
      <c r="D436" s="16"/>
      <c r="E436" s="17"/>
      <c r="F436" s="17"/>
      <c r="H436" s="19"/>
      <c r="I436" s="47"/>
      <c r="J436" s="48"/>
      <c r="K436" s="49"/>
    </row>
    <row r="437" spans="1:11" ht="12.75" hidden="1" x14ac:dyDescent="0.2">
      <c r="A437" s="16"/>
      <c r="B437" s="16"/>
      <c r="C437" s="15"/>
      <c r="D437" s="16"/>
      <c r="E437" s="17"/>
      <c r="F437" s="17"/>
      <c r="H437" s="19"/>
      <c r="I437" s="47"/>
      <c r="J437" s="48"/>
      <c r="K437" s="49"/>
    </row>
    <row r="438" spans="1:11" ht="12.75" hidden="1" x14ac:dyDescent="0.2">
      <c r="A438" s="16"/>
      <c r="B438" s="16"/>
      <c r="C438" s="15"/>
      <c r="D438" s="16"/>
      <c r="E438" s="17"/>
      <c r="F438" s="17"/>
      <c r="H438" s="19"/>
      <c r="I438" s="47"/>
      <c r="J438" s="48"/>
      <c r="K438" s="49"/>
    </row>
    <row r="439" spans="1:11" ht="12.75" hidden="1" x14ac:dyDescent="0.2">
      <c r="A439" s="16"/>
      <c r="B439" s="16"/>
      <c r="C439" s="15"/>
      <c r="D439" s="16"/>
      <c r="E439" s="17"/>
      <c r="F439" s="17"/>
      <c r="H439" s="19"/>
      <c r="I439" s="47"/>
      <c r="J439" s="48"/>
      <c r="K439" s="49"/>
    </row>
    <row r="440" spans="1:11" ht="12.75" hidden="1" x14ac:dyDescent="0.2">
      <c r="A440" s="16"/>
      <c r="B440" s="16"/>
      <c r="C440" s="15"/>
      <c r="D440" s="16"/>
      <c r="E440" s="17"/>
      <c r="F440" s="17"/>
      <c r="H440" s="19"/>
      <c r="I440" s="47"/>
      <c r="J440" s="48"/>
      <c r="K440" s="49"/>
    </row>
    <row r="441" spans="1:11" ht="12.75" hidden="1" x14ac:dyDescent="0.2">
      <c r="A441" s="16"/>
      <c r="B441" s="16"/>
      <c r="C441" s="15"/>
      <c r="D441" s="16"/>
      <c r="E441" s="17"/>
      <c r="F441" s="17"/>
      <c r="H441" s="19"/>
      <c r="I441" s="47"/>
      <c r="J441" s="48"/>
      <c r="K441" s="49"/>
    </row>
    <row r="442" spans="1:11" ht="12.75" hidden="1" x14ac:dyDescent="0.2">
      <c r="A442" s="16"/>
      <c r="B442" s="16"/>
      <c r="C442" s="15"/>
      <c r="D442" s="16"/>
      <c r="E442" s="17"/>
      <c r="F442" s="17"/>
      <c r="H442" s="19"/>
      <c r="I442" s="47"/>
      <c r="J442" s="48"/>
      <c r="K442" s="49"/>
    </row>
    <row r="443" spans="1:11" ht="12.75" hidden="1" x14ac:dyDescent="0.2">
      <c r="A443" s="16"/>
      <c r="B443" s="16"/>
      <c r="C443" s="15"/>
      <c r="D443" s="16"/>
      <c r="E443" s="17"/>
      <c r="F443" s="17"/>
      <c r="H443" s="19"/>
      <c r="I443" s="47"/>
      <c r="J443" s="48"/>
      <c r="K443" s="49"/>
    </row>
    <row r="444" spans="1:11" ht="12.75" hidden="1" x14ac:dyDescent="0.2">
      <c r="A444" s="16"/>
      <c r="B444" s="16"/>
      <c r="C444" s="15"/>
      <c r="D444" s="16"/>
      <c r="E444" s="17"/>
      <c r="F444" s="17"/>
      <c r="H444" s="19"/>
      <c r="I444" s="47"/>
      <c r="J444" s="48"/>
      <c r="K444" s="49"/>
    </row>
    <row r="445" spans="1:11" ht="12.75" hidden="1" x14ac:dyDescent="0.2">
      <c r="A445" s="16"/>
      <c r="B445" s="16"/>
      <c r="C445" s="15"/>
      <c r="D445" s="16"/>
      <c r="E445" s="17"/>
      <c r="F445" s="17"/>
      <c r="H445" s="19"/>
      <c r="I445" s="47"/>
      <c r="J445" s="48"/>
      <c r="K445" s="49"/>
    </row>
    <row r="446" spans="1:11" ht="12.75" hidden="1" x14ac:dyDescent="0.2">
      <c r="A446" s="16"/>
      <c r="B446" s="16"/>
      <c r="C446" s="15"/>
      <c r="D446" s="16"/>
      <c r="E446" s="17"/>
      <c r="F446" s="17"/>
      <c r="H446" s="19"/>
      <c r="I446" s="47"/>
      <c r="J446" s="48"/>
      <c r="K446" s="49"/>
    </row>
    <row r="447" spans="1:11" ht="12.75" hidden="1" x14ac:dyDescent="0.2">
      <c r="A447" s="16"/>
      <c r="B447" s="16"/>
      <c r="C447" s="15"/>
      <c r="D447" s="16"/>
      <c r="E447" s="17"/>
      <c r="F447" s="17"/>
      <c r="H447" s="19"/>
      <c r="I447" s="47"/>
      <c r="J447" s="48"/>
      <c r="K447" s="49"/>
    </row>
    <row r="448" spans="1:11" ht="12.75" hidden="1" x14ac:dyDescent="0.2">
      <c r="A448" s="16"/>
      <c r="B448" s="16"/>
      <c r="C448" s="15"/>
      <c r="D448" s="16"/>
      <c r="E448" s="17"/>
      <c r="F448" s="17"/>
      <c r="H448" s="19"/>
      <c r="I448" s="47"/>
      <c r="J448" s="48"/>
      <c r="K448" s="49"/>
    </row>
    <row r="449" spans="1:11" ht="12.75" hidden="1" x14ac:dyDescent="0.2">
      <c r="A449" s="16"/>
      <c r="B449" s="16"/>
      <c r="C449" s="15"/>
      <c r="D449" s="16"/>
      <c r="E449" s="17"/>
      <c r="F449" s="17"/>
      <c r="H449" s="19"/>
      <c r="I449" s="47"/>
      <c r="J449" s="48"/>
      <c r="K449" s="49"/>
    </row>
    <row r="450" spans="1:11" ht="12.75" hidden="1" x14ac:dyDescent="0.2">
      <c r="A450" s="16"/>
      <c r="B450" s="16"/>
      <c r="C450" s="15"/>
      <c r="D450" s="16"/>
      <c r="E450" s="17"/>
      <c r="F450" s="17"/>
      <c r="H450" s="19"/>
      <c r="I450" s="47"/>
      <c r="J450" s="48"/>
      <c r="K450" s="49"/>
    </row>
    <row r="451" spans="1:11" ht="12.75" hidden="1" x14ac:dyDescent="0.2">
      <c r="A451" s="16"/>
      <c r="B451" s="16"/>
      <c r="C451" s="15"/>
      <c r="D451" s="16"/>
      <c r="E451" s="17"/>
      <c r="F451" s="17"/>
      <c r="H451" s="19"/>
      <c r="I451" s="47"/>
      <c r="J451" s="48"/>
      <c r="K451" s="49"/>
    </row>
    <row r="452" spans="1:11" ht="12.75" hidden="1" x14ac:dyDescent="0.2">
      <c r="A452" s="16"/>
      <c r="B452" s="16"/>
      <c r="C452" s="15"/>
      <c r="D452" s="16"/>
      <c r="E452" s="17"/>
      <c r="F452" s="17"/>
      <c r="H452" s="19"/>
      <c r="I452" s="47"/>
      <c r="J452" s="48"/>
      <c r="K452" s="49"/>
    </row>
    <row r="453" spans="1:11" ht="12.75" hidden="1" x14ac:dyDescent="0.2">
      <c r="A453" s="16"/>
      <c r="B453" s="16"/>
      <c r="C453" s="15"/>
      <c r="D453" s="16"/>
      <c r="E453" s="17"/>
      <c r="F453" s="17"/>
      <c r="H453" s="19"/>
      <c r="I453" s="47"/>
      <c r="J453" s="48"/>
      <c r="K453" s="49"/>
    </row>
    <row r="454" spans="1:11" ht="12.75" hidden="1" x14ac:dyDescent="0.2">
      <c r="A454" s="16"/>
      <c r="B454" s="16"/>
      <c r="C454" s="15"/>
      <c r="D454" s="16"/>
      <c r="E454" s="17"/>
      <c r="F454" s="17"/>
      <c r="H454" s="19"/>
      <c r="I454" s="47"/>
      <c r="J454" s="48"/>
      <c r="K454" s="49"/>
    </row>
    <row r="455" spans="1:11" ht="12.75" hidden="1" x14ac:dyDescent="0.2">
      <c r="A455" s="16"/>
      <c r="B455" s="16"/>
      <c r="C455" s="15"/>
      <c r="D455" s="16"/>
      <c r="E455" s="17"/>
      <c r="F455" s="17"/>
      <c r="H455" s="19"/>
      <c r="I455" s="47"/>
      <c r="J455" s="48"/>
      <c r="K455" s="49"/>
    </row>
    <row r="456" spans="1:11" ht="12.75" hidden="1" x14ac:dyDescent="0.2">
      <c r="A456" s="16"/>
      <c r="B456" s="16"/>
      <c r="C456" s="15"/>
      <c r="D456" s="16"/>
      <c r="E456" s="17"/>
      <c r="F456" s="17"/>
      <c r="H456" s="19"/>
      <c r="I456" s="47"/>
      <c r="J456" s="48"/>
      <c r="K456" s="49"/>
    </row>
    <row r="457" spans="1:11" ht="12.75" hidden="1" x14ac:dyDescent="0.2">
      <c r="A457" s="16"/>
      <c r="B457" s="16"/>
      <c r="C457" s="15"/>
      <c r="D457" s="16"/>
      <c r="E457" s="17"/>
      <c r="F457" s="17"/>
      <c r="H457" s="19"/>
      <c r="I457" s="47"/>
      <c r="J457" s="48"/>
      <c r="K457" s="49"/>
    </row>
    <row r="458" spans="1:11" ht="12.75" hidden="1" x14ac:dyDescent="0.2">
      <c r="A458" s="16"/>
      <c r="B458" s="16"/>
      <c r="C458" s="15"/>
      <c r="D458" s="16"/>
      <c r="E458" s="17"/>
      <c r="F458" s="17"/>
      <c r="H458" s="19"/>
      <c r="I458" s="47"/>
      <c r="J458" s="48"/>
      <c r="K458" s="49"/>
    </row>
    <row r="459" spans="1:11" ht="12.75" hidden="1" x14ac:dyDescent="0.2">
      <c r="A459" s="16"/>
      <c r="B459" s="16"/>
      <c r="C459" s="15"/>
      <c r="D459" s="16"/>
      <c r="E459" s="17"/>
      <c r="F459" s="17"/>
      <c r="H459" s="19"/>
      <c r="I459" s="47"/>
      <c r="J459" s="48"/>
      <c r="K459" s="49"/>
    </row>
    <row r="460" spans="1:11" ht="12.75" hidden="1" x14ac:dyDescent="0.2">
      <c r="A460" s="16"/>
      <c r="B460" s="16"/>
      <c r="C460" s="15"/>
      <c r="D460" s="16"/>
      <c r="E460" s="17"/>
      <c r="F460" s="17"/>
      <c r="H460" s="19"/>
      <c r="I460" s="47"/>
      <c r="J460" s="48"/>
      <c r="K460" s="49"/>
    </row>
    <row r="461" spans="1:11" ht="12.75" hidden="1" x14ac:dyDescent="0.2">
      <c r="A461" s="16"/>
      <c r="B461" s="16"/>
      <c r="C461" s="15"/>
      <c r="D461" s="16"/>
      <c r="E461" s="17"/>
      <c r="F461" s="17"/>
      <c r="H461" s="19"/>
      <c r="I461" s="47"/>
      <c r="J461" s="48"/>
      <c r="K461" s="49"/>
    </row>
    <row r="462" spans="1:11" ht="12.75" hidden="1" x14ac:dyDescent="0.2">
      <c r="A462" s="16"/>
      <c r="B462" s="16"/>
      <c r="C462" s="15"/>
      <c r="D462" s="16"/>
      <c r="E462" s="17"/>
      <c r="F462" s="17"/>
      <c r="H462" s="19"/>
      <c r="I462" s="47"/>
      <c r="J462" s="48"/>
      <c r="K462" s="49"/>
    </row>
    <row r="463" spans="1:11" ht="12.75" hidden="1" x14ac:dyDescent="0.2">
      <c r="A463" s="16"/>
      <c r="B463" s="16"/>
      <c r="C463" s="15"/>
      <c r="D463" s="16"/>
      <c r="E463" s="17"/>
      <c r="F463" s="17"/>
      <c r="H463" s="19"/>
      <c r="I463" s="47"/>
      <c r="J463" s="48"/>
      <c r="K463" s="49"/>
    </row>
    <row r="464" spans="1:11" ht="12.75" hidden="1" x14ac:dyDescent="0.2">
      <c r="A464" s="16"/>
      <c r="B464" s="16"/>
      <c r="C464" s="15"/>
      <c r="D464" s="16"/>
      <c r="E464" s="17"/>
      <c r="F464" s="17"/>
      <c r="H464" s="19"/>
      <c r="I464" s="47"/>
      <c r="J464" s="48"/>
      <c r="K464" s="49"/>
    </row>
    <row r="465" spans="1:11" ht="12.75" hidden="1" x14ac:dyDescent="0.2">
      <c r="A465" s="16"/>
      <c r="B465" s="16"/>
      <c r="C465" s="15"/>
      <c r="D465" s="16"/>
      <c r="E465" s="17"/>
      <c r="F465" s="17"/>
      <c r="H465" s="19"/>
      <c r="I465" s="47"/>
      <c r="J465" s="48"/>
      <c r="K465" s="49"/>
    </row>
    <row r="466" spans="1:11" ht="12.75" hidden="1" x14ac:dyDescent="0.2">
      <c r="A466" s="16"/>
      <c r="B466" s="16"/>
      <c r="C466" s="15"/>
      <c r="D466" s="16"/>
      <c r="E466" s="17"/>
      <c r="F466" s="17"/>
      <c r="H466" s="19"/>
      <c r="I466" s="47"/>
      <c r="J466" s="48"/>
      <c r="K466" s="49"/>
    </row>
    <row r="467" spans="1:11" ht="12.75" hidden="1" x14ac:dyDescent="0.2">
      <c r="A467" s="16"/>
      <c r="B467" s="16"/>
      <c r="C467" s="15"/>
      <c r="D467" s="16"/>
      <c r="E467" s="17"/>
      <c r="F467" s="17"/>
      <c r="H467" s="19"/>
      <c r="I467" s="47"/>
      <c r="J467" s="48"/>
      <c r="K467" s="49"/>
    </row>
    <row r="468" spans="1:11" ht="12.75" hidden="1" x14ac:dyDescent="0.2">
      <c r="A468" s="16"/>
      <c r="B468" s="16"/>
      <c r="C468" s="15"/>
      <c r="D468" s="16"/>
      <c r="E468" s="17"/>
      <c r="F468" s="17"/>
      <c r="H468" s="19"/>
      <c r="I468" s="47"/>
      <c r="J468" s="48"/>
      <c r="K468" s="49"/>
    </row>
    <row r="469" spans="1:11" ht="12.75" hidden="1" x14ac:dyDescent="0.2">
      <c r="A469" s="16"/>
      <c r="B469" s="16"/>
      <c r="C469" s="15"/>
      <c r="D469" s="16"/>
      <c r="E469" s="17"/>
      <c r="F469" s="17"/>
      <c r="H469" s="19"/>
      <c r="I469" s="47"/>
      <c r="J469" s="48"/>
      <c r="K469" s="49"/>
    </row>
    <row r="470" spans="1:11" ht="12.75" hidden="1" x14ac:dyDescent="0.2">
      <c r="A470" s="16"/>
      <c r="B470" s="16"/>
      <c r="C470" s="15"/>
      <c r="D470" s="16"/>
      <c r="E470" s="17"/>
      <c r="F470" s="17"/>
      <c r="H470" s="19"/>
      <c r="I470" s="47"/>
      <c r="J470" s="48"/>
      <c r="K470" s="49"/>
    </row>
    <row r="471" spans="1:11" ht="12.75" hidden="1" x14ac:dyDescent="0.2">
      <c r="A471" s="16"/>
      <c r="B471" s="16"/>
      <c r="C471" s="15"/>
      <c r="D471" s="16"/>
      <c r="E471" s="17"/>
      <c r="F471" s="17"/>
      <c r="H471" s="19"/>
      <c r="I471" s="47"/>
      <c r="J471" s="48"/>
      <c r="K471" s="49"/>
    </row>
    <row r="472" spans="1:11" ht="12.75" hidden="1" x14ac:dyDescent="0.2">
      <c r="A472" s="16"/>
      <c r="B472" s="16"/>
      <c r="C472" s="15"/>
      <c r="D472" s="16"/>
      <c r="E472" s="17"/>
      <c r="F472" s="17"/>
      <c r="H472" s="19"/>
      <c r="I472" s="47"/>
      <c r="J472" s="48"/>
      <c r="K472" s="49"/>
    </row>
    <row r="473" spans="1:11" ht="12.75" hidden="1" x14ac:dyDescent="0.2">
      <c r="A473" s="16"/>
      <c r="B473" s="16"/>
      <c r="C473" s="15"/>
      <c r="D473" s="16"/>
      <c r="E473" s="17"/>
      <c r="F473" s="17"/>
      <c r="H473" s="19"/>
      <c r="I473" s="47"/>
      <c r="J473" s="48"/>
      <c r="K473" s="49"/>
    </row>
    <row r="474" spans="1:11" ht="12.75" hidden="1" x14ac:dyDescent="0.2">
      <c r="A474" s="16"/>
      <c r="B474" s="16"/>
      <c r="C474" s="15"/>
      <c r="D474" s="16"/>
      <c r="E474" s="17"/>
      <c r="F474" s="17"/>
      <c r="H474" s="19"/>
      <c r="I474" s="47"/>
      <c r="J474" s="48"/>
      <c r="K474" s="49"/>
    </row>
    <row r="475" spans="1:11" ht="12.75" hidden="1" x14ac:dyDescent="0.2">
      <c r="A475" s="16"/>
      <c r="B475" s="16"/>
      <c r="C475" s="15"/>
      <c r="D475" s="16"/>
      <c r="E475" s="17"/>
      <c r="F475" s="17"/>
      <c r="H475" s="19"/>
      <c r="I475" s="47"/>
      <c r="J475" s="48"/>
      <c r="K475" s="49"/>
    </row>
    <row r="476" spans="1:11" ht="12.75" hidden="1" x14ac:dyDescent="0.2">
      <c r="A476" s="16"/>
      <c r="B476" s="16"/>
      <c r="C476" s="15"/>
      <c r="D476" s="16"/>
      <c r="E476" s="17"/>
      <c r="F476" s="17"/>
      <c r="H476" s="19"/>
      <c r="I476" s="47"/>
      <c r="J476" s="48"/>
      <c r="K476" s="49"/>
    </row>
    <row r="477" spans="1:11" ht="12.75" hidden="1" x14ac:dyDescent="0.2">
      <c r="A477" s="16"/>
      <c r="B477" s="16"/>
      <c r="C477" s="15"/>
      <c r="D477" s="16"/>
      <c r="E477" s="17"/>
      <c r="F477" s="17"/>
      <c r="H477" s="19"/>
      <c r="I477" s="47"/>
      <c r="J477" s="48"/>
      <c r="K477" s="49"/>
    </row>
    <row r="478" spans="1:11" ht="12.75" hidden="1" x14ac:dyDescent="0.2">
      <c r="A478" s="16"/>
      <c r="B478" s="16"/>
      <c r="C478" s="15"/>
      <c r="D478" s="16"/>
      <c r="E478" s="17"/>
      <c r="F478" s="17"/>
      <c r="H478" s="19"/>
      <c r="I478" s="47"/>
      <c r="J478" s="48"/>
      <c r="K478" s="49"/>
    </row>
    <row r="479" spans="1:11" ht="12.75" hidden="1" x14ac:dyDescent="0.2">
      <c r="A479" s="16"/>
      <c r="B479" s="16"/>
      <c r="C479" s="15"/>
      <c r="D479" s="16"/>
      <c r="E479" s="17"/>
      <c r="F479" s="17"/>
      <c r="H479" s="19"/>
      <c r="I479" s="47"/>
      <c r="J479" s="48"/>
      <c r="K479" s="49"/>
    </row>
    <row r="480" spans="1:11" ht="12.75" hidden="1" x14ac:dyDescent="0.2">
      <c r="A480" s="16"/>
      <c r="B480" s="16"/>
      <c r="C480" s="15"/>
      <c r="D480" s="16"/>
      <c r="E480" s="17"/>
      <c r="F480" s="17"/>
      <c r="H480" s="19"/>
      <c r="I480" s="47"/>
      <c r="J480" s="48"/>
      <c r="K480" s="49"/>
    </row>
    <row r="481" spans="1:11" ht="12.75" hidden="1" x14ac:dyDescent="0.2">
      <c r="A481" s="16"/>
      <c r="B481" s="16"/>
      <c r="C481" s="15"/>
      <c r="D481" s="16"/>
      <c r="E481" s="17"/>
      <c r="F481" s="17"/>
      <c r="H481" s="19"/>
      <c r="I481" s="47"/>
      <c r="J481" s="48"/>
      <c r="K481" s="49"/>
    </row>
    <row r="482" spans="1:11" ht="12.75" hidden="1" x14ac:dyDescent="0.2">
      <c r="A482" s="16"/>
      <c r="B482" s="16"/>
      <c r="C482" s="15"/>
      <c r="D482" s="16"/>
      <c r="E482" s="17"/>
      <c r="F482" s="17"/>
      <c r="H482" s="19"/>
      <c r="I482" s="47"/>
      <c r="J482" s="48"/>
      <c r="K482" s="49"/>
    </row>
    <row r="483" spans="1:11" ht="12.75" hidden="1" x14ac:dyDescent="0.2">
      <c r="A483" s="16"/>
      <c r="B483" s="16"/>
      <c r="C483" s="15"/>
      <c r="D483" s="16"/>
      <c r="E483" s="17"/>
      <c r="F483" s="17"/>
      <c r="H483" s="19"/>
      <c r="I483" s="47"/>
      <c r="J483" s="48"/>
      <c r="K483" s="49"/>
    </row>
    <row r="484" spans="1:11" ht="12.75" hidden="1" x14ac:dyDescent="0.2">
      <c r="A484" s="16"/>
      <c r="B484" s="16"/>
      <c r="C484" s="15"/>
      <c r="D484" s="16"/>
      <c r="E484" s="17"/>
      <c r="F484" s="17"/>
      <c r="H484" s="19"/>
      <c r="I484" s="47"/>
      <c r="J484" s="48"/>
      <c r="K484" s="49"/>
    </row>
    <row r="485" spans="1:11" ht="12.75" hidden="1" x14ac:dyDescent="0.2">
      <c r="A485" s="16"/>
      <c r="B485" s="16"/>
      <c r="C485" s="15"/>
      <c r="D485" s="16"/>
      <c r="E485" s="17"/>
      <c r="F485" s="17"/>
      <c r="H485" s="19"/>
      <c r="I485" s="47"/>
      <c r="J485" s="48"/>
      <c r="K485" s="49"/>
    </row>
    <row r="486" spans="1:11" ht="12.75" hidden="1" x14ac:dyDescent="0.2">
      <c r="A486" s="16"/>
      <c r="B486" s="16"/>
      <c r="C486" s="15"/>
      <c r="D486" s="16"/>
      <c r="E486" s="17"/>
      <c r="F486" s="17"/>
      <c r="H486" s="19"/>
      <c r="I486" s="47"/>
      <c r="J486" s="48"/>
      <c r="K486" s="49"/>
    </row>
    <row r="487" spans="1:11" ht="12.75" hidden="1" x14ac:dyDescent="0.2">
      <c r="A487" s="16"/>
      <c r="B487" s="16"/>
      <c r="C487" s="15"/>
      <c r="D487" s="16"/>
      <c r="E487" s="17"/>
      <c r="F487" s="17"/>
      <c r="H487" s="19"/>
      <c r="I487" s="47"/>
      <c r="J487" s="48"/>
      <c r="K487" s="49"/>
    </row>
    <row r="488" spans="1:11" ht="12.75" hidden="1" x14ac:dyDescent="0.2">
      <c r="A488" s="16"/>
      <c r="B488" s="16"/>
      <c r="C488" s="15"/>
      <c r="D488" s="16"/>
      <c r="E488" s="17"/>
      <c r="F488" s="17"/>
      <c r="H488" s="19"/>
      <c r="I488" s="47"/>
      <c r="J488" s="48"/>
      <c r="K488" s="49"/>
    </row>
    <row r="489" spans="1:11" ht="12.75" hidden="1" x14ac:dyDescent="0.2">
      <c r="A489" s="16"/>
      <c r="B489" s="16"/>
      <c r="C489" s="15"/>
      <c r="D489" s="16"/>
      <c r="E489" s="17"/>
      <c r="F489" s="17"/>
      <c r="H489" s="19"/>
      <c r="I489" s="47"/>
      <c r="J489" s="48"/>
      <c r="K489" s="49"/>
    </row>
    <row r="490" spans="1:11" ht="12.75" hidden="1" x14ac:dyDescent="0.2">
      <c r="A490" s="16"/>
      <c r="B490" s="16"/>
      <c r="C490" s="15"/>
      <c r="D490" s="16"/>
      <c r="E490" s="17"/>
      <c r="F490" s="17"/>
      <c r="H490" s="19"/>
      <c r="I490" s="47"/>
      <c r="J490" s="48"/>
      <c r="K490" s="49"/>
    </row>
    <row r="491" spans="1:11" ht="12.75" hidden="1" x14ac:dyDescent="0.2">
      <c r="A491" s="16"/>
      <c r="B491" s="16"/>
      <c r="C491" s="15"/>
      <c r="D491" s="16"/>
      <c r="E491" s="17"/>
      <c r="F491" s="17"/>
      <c r="H491" s="19"/>
      <c r="I491" s="47"/>
      <c r="J491" s="48"/>
      <c r="K491" s="49"/>
    </row>
    <row r="492" spans="1:11" ht="12.75" hidden="1" x14ac:dyDescent="0.2">
      <c r="A492" s="16"/>
      <c r="B492" s="16"/>
      <c r="C492" s="15"/>
      <c r="D492" s="16"/>
      <c r="E492" s="17"/>
      <c r="F492" s="17"/>
      <c r="H492" s="19"/>
      <c r="I492" s="47"/>
      <c r="J492" s="48"/>
      <c r="K492" s="49"/>
    </row>
    <row r="493" spans="1:11" ht="12.75" hidden="1" x14ac:dyDescent="0.2">
      <c r="A493" s="16"/>
      <c r="B493" s="16"/>
      <c r="C493" s="15"/>
      <c r="D493" s="16"/>
      <c r="E493" s="17"/>
      <c r="F493" s="17"/>
      <c r="H493" s="19"/>
      <c r="I493" s="47"/>
      <c r="J493" s="48"/>
      <c r="K493" s="49"/>
    </row>
    <row r="494" spans="1:11" ht="12.75" hidden="1" x14ac:dyDescent="0.2">
      <c r="A494" s="16"/>
      <c r="B494" s="16"/>
      <c r="C494" s="15"/>
      <c r="D494" s="16"/>
      <c r="E494" s="17"/>
      <c r="F494" s="17"/>
      <c r="H494" s="19"/>
      <c r="I494" s="47"/>
      <c r="J494" s="48"/>
      <c r="K494" s="49"/>
    </row>
    <row r="495" spans="1:11" ht="12.75" hidden="1" x14ac:dyDescent="0.2">
      <c r="A495" s="16"/>
      <c r="B495" s="16"/>
      <c r="C495" s="15"/>
      <c r="D495" s="16"/>
      <c r="E495" s="17"/>
      <c r="F495" s="17"/>
      <c r="H495" s="19"/>
      <c r="I495" s="47"/>
      <c r="J495" s="48"/>
      <c r="K495" s="49"/>
    </row>
    <row r="496" spans="1:11" ht="12.75" hidden="1" x14ac:dyDescent="0.2">
      <c r="A496" s="16"/>
      <c r="B496" s="16"/>
      <c r="C496" s="15"/>
      <c r="D496" s="16"/>
      <c r="E496" s="17"/>
      <c r="F496" s="17"/>
      <c r="H496" s="19"/>
      <c r="I496" s="47"/>
      <c r="J496" s="48"/>
      <c r="K496" s="49"/>
    </row>
    <row r="497" spans="1:11" ht="12.75" hidden="1" x14ac:dyDescent="0.2">
      <c r="A497" s="16"/>
      <c r="B497" s="16"/>
      <c r="C497" s="15"/>
      <c r="D497" s="16"/>
      <c r="E497" s="17"/>
      <c r="F497" s="17"/>
      <c r="H497" s="19"/>
      <c r="I497" s="47"/>
      <c r="J497" s="48"/>
      <c r="K497" s="49"/>
    </row>
    <row r="498" spans="1:11" ht="12.75" hidden="1" x14ac:dyDescent="0.2">
      <c r="A498" s="16"/>
      <c r="B498" s="16"/>
      <c r="C498" s="15"/>
      <c r="D498" s="16"/>
      <c r="E498" s="17"/>
      <c r="F498" s="17"/>
      <c r="H498" s="19"/>
      <c r="I498" s="47"/>
      <c r="J498" s="48"/>
      <c r="K498" s="49"/>
    </row>
    <row r="499" spans="1:11" ht="12.75" hidden="1" x14ac:dyDescent="0.2">
      <c r="A499" s="16"/>
      <c r="B499" s="16"/>
      <c r="C499" s="15"/>
      <c r="D499" s="16"/>
      <c r="E499" s="17"/>
      <c r="F499" s="17"/>
      <c r="H499" s="19"/>
      <c r="I499" s="47"/>
      <c r="J499" s="48"/>
      <c r="K499" s="49"/>
    </row>
    <row r="500" spans="1:11" ht="12.75" hidden="1" x14ac:dyDescent="0.2">
      <c r="A500" s="16"/>
      <c r="B500" s="16"/>
      <c r="C500" s="15"/>
      <c r="D500" s="16"/>
      <c r="E500" s="17"/>
      <c r="F500" s="17"/>
      <c r="H500" s="19"/>
      <c r="I500" s="47"/>
      <c r="J500" s="48"/>
      <c r="K500" s="49"/>
    </row>
    <row r="501" spans="1:11" ht="12.75" hidden="1" x14ac:dyDescent="0.2">
      <c r="A501" s="16"/>
      <c r="B501" s="16"/>
      <c r="C501" s="15"/>
      <c r="D501" s="16"/>
      <c r="E501" s="17"/>
      <c r="F501" s="17"/>
      <c r="H501" s="19"/>
      <c r="I501" s="47"/>
      <c r="J501" s="48"/>
      <c r="K501" s="49"/>
    </row>
    <row r="502" spans="1:11" ht="12.75" hidden="1" x14ac:dyDescent="0.2">
      <c r="A502" s="16"/>
      <c r="B502" s="16"/>
      <c r="C502" s="15"/>
      <c r="D502" s="16"/>
      <c r="E502" s="17"/>
      <c r="F502" s="17"/>
      <c r="H502" s="19"/>
      <c r="I502" s="47"/>
      <c r="J502" s="48"/>
      <c r="K502" s="49"/>
    </row>
    <row r="503" spans="1:11" ht="12.75" hidden="1" x14ac:dyDescent="0.2">
      <c r="A503" s="16"/>
      <c r="B503" s="16"/>
      <c r="C503" s="15"/>
      <c r="D503" s="16"/>
      <c r="E503" s="17"/>
      <c r="F503" s="17"/>
      <c r="H503" s="19"/>
      <c r="I503" s="47"/>
      <c r="J503" s="48"/>
      <c r="K503" s="49"/>
    </row>
    <row r="504" spans="1:11" ht="12.75" hidden="1" x14ac:dyDescent="0.2">
      <c r="A504" s="16"/>
      <c r="B504" s="16"/>
      <c r="C504" s="15"/>
      <c r="D504" s="16"/>
      <c r="E504" s="17"/>
      <c r="F504" s="17"/>
      <c r="H504" s="19"/>
      <c r="I504" s="47"/>
      <c r="J504" s="48"/>
      <c r="K504" s="49"/>
    </row>
    <row r="505" spans="1:11" ht="12.75" hidden="1" x14ac:dyDescent="0.2">
      <c r="A505" s="16"/>
      <c r="B505" s="16"/>
      <c r="C505" s="15"/>
      <c r="D505" s="16"/>
      <c r="E505" s="17"/>
      <c r="F505" s="17"/>
      <c r="H505" s="19"/>
      <c r="I505" s="47"/>
      <c r="J505" s="48"/>
      <c r="K505" s="49"/>
    </row>
    <row r="506" spans="1:11" ht="12.75" hidden="1" x14ac:dyDescent="0.2">
      <c r="A506" s="16"/>
      <c r="B506" s="16"/>
      <c r="C506" s="15"/>
      <c r="D506" s="16"/>
      <c r="E506" s="17"/>
      <c r="F506" s="17"/>
      <c r="H506" s="19"/>
      <c r="I506" s="47"/>
      <c r="J506" s="48"/>
      <c r="K506" s="49"/>
    </row>
    <row r="507" spans="1:11" ht="12.75" hidden="1" x14ac:dyDescent="0.2">
      <c r="A507" s="16"/>
      <c r="B507" s="16"/>
      <c r="C507" s="15"/>
      <c r="D507" s="16"/>
      <c r="E507" s="17"/>
      <c r="F507" s="17"/>
      <c r="H507" s="19"/>
      <c r="I507" s="47"/>
      <c r="J507" s="48"/>
      <c r="K507" s="49"/>
    </row>
    <row r="508" spans="1:11" ht="12.75" hidden="1" x14ac:dyDescent="0.2">
      <c r="A508" s="16"/>
      <c r="B508" s="16"/>
      <c r="C508" s="15"/>
      <c r="D508" s="16"/>
      <c r="E508" s="17"/>
      <c r="F508" s="17"/>
      <c r="H508" s="19"/>
      <c r="I508" s="47"/>
      <c r="J508" s="48"/>
      <c r="K508" s="49"/>
    </row>
    <row r="509" spans="1:11" ht="12.75" hidden="1" x14ac:dyDescent="0.2">
      <c r="A509" s="16"/>
      <c r="B509" s="16"/>
      <c r="C509" s="15"/>
      <c r="D509" s="16"/>
      <c r="E509" s="17"/>
      <c r="F509" s="17"/>
      <c r="H509" s="19"/>
      <c r="I509" s="47"/>
      <c r="J509" s="48"/>
      <c r="K509" s="49"/>
    </row>
    <row r="510" spans="1:11" ht="12.75" hidden="1" x14ac:dyDescent="0.2">
      <c r="A510" s="16"/>
      <c r="B510" s="16"/>
      <c r="C510" s="15"/>
      <c r="D510" s="16"/>
      <c r="E510" s="17"/>
      <c r="F510" s="17"/>
      <c r="H510" s="19"/>
      <c r="I510" s="47"/>
      <c r="J510" s="48"/>
      <c r="K510" s="49"/>
    </row>
    <row r="511" spans="1:11" ht="12.75" hidden="1" x14ac:dyDescent="0.2">
      <c r="A511" s="16"/>
      <c r="B511" s="16"/>
      <c r="C511" s="15"/>
      <c r="D511" s="16"/>
      <c r="E511" s="17"/>
      <c r="F511" s="17"/>
      <c r="H511" s="19"/>
      <c r="I511" s="47"/>
      <c r="J511" s="48"/>
      <c r="K511" s="49"/>
    </row>
    <row r="512" spans="1:11" ht="12.75" hidden="1" x14ac:dyDescent="0.2">
      <c r="A512" s="16"/>
      <c r="B512" s="16"/>
      <c r="C512" s="15"/>
      <c r="D512" s="16"/>
      <c r="E512" s="17"/>
      <c r="F512" s="17"/>
      <c r="H512" s="19"/>
      <c r="I512" s="47"/>
      <c r="J512" s="48"/>
      <c r="K512" s="49"/>
    </row>
    <row r="513" spans="1:11" ht="12.75" hidden="1" x14ac:dyDescent="0.2">
      <c r="A513" s="16"/>
      <c r="B513" s="16"/>
      <c r="C513" s="15"/>
      <c r="D513" s="16"/>
      <c r="E513" s="17"/>
      <c r="F513" s="17"/>
      <c r="H513" s="19"/>
      <c r="I513" s="47"/>
      <c r="J513" s="48"/>
      <c r="K513" s="49"/>
    </row>
    <row r="514" spans="1:11" ht="12.75" hidden="1" x14ac:dyDescent="0.2">
      <c r="A514" s="16"/>
      <c r="B514" s="16"/>
      <c r="C514" s="15"/>
      <c r="D514" s="16"/>
      <c r="E514" s="17"/>
      <c r="F514" s="17"/>
      <c r="H514" s="19"/>
      <c r="I514" s="47"/>
      <c r="J514" s="48"/>
      <c r="K514" s="49"/>
    </row>
    <row r="515" spans="1:11" ht="12.75" hidden="1" x14ac:dyDescent="0.2">
      <c r="A515" s="16"/>
      <c r="B515" s="16"/>
      <c r="C515" s="15"/>
      <c r="D515" s="16"/>
      <c r="E515" s="17"/>
      <c r="F515" s="17"/>
      <c r="H515" s="19"/>
      <c r="I515" s="47"/>
      <c r="J515" s="48"/>
      <c r="K515" s="49"/>
    </row>
    <row r="516" spans="1:11" ht="12.75" hidden="1" x14ac:dyDescent="0.2">
      <c r="A516" s="16"/>
      <c r="B516" s="16"/>
      <c r="C516" s="15"/>
      <c r="D516" s="16"/>
      <c r="E516" s="17"/>
      <c r="F516" s="17"/>
      <c r="H516" s="19"/>
      <c r="I516" s="47"/>
      <c r="J516" s="48"/>
      <c r="K516" s="49"/>
    </row>
    <row r="517" spans="1:11" ht="12.75" hidden="1" x14ac:dyDescent="0.2">
      <c r="A517" s="16"/>
      <c r="B517" s="16"/>
      <c r="C517" s="15"/>
      <c r="D517" s="16"/>
      <c r="E517" s="17"/>
      <c r="F517" s="17"/>
      <c r="H517" s="19"/>
      <c r="I517" s="47"/>
      <c r="J517" s="48"/>
      <c r="K517" s="49"/>
    </row>
    <row r="518" spans="1:11" ht="12.75" hidden="1" x14ac:dyDescent="0.2">
      <c r="A518" s="16"/>
      <c r="B518" s="16"/>
      <c r="C518" s="15"/>
      <c r="D518" s="16"/>
      <c r="E518" s="17"/>
      <c r="F518" s="17"/>
      <c r="H518" s="19"/>
      <c r="I518" s="47"/>
      <c r="J518" s="48"/>
      <c r="K518" s="49"/>
    </row>
    <row r="519" spans="1:11" ht="12.75" hidden="1" x14ac:dyDescent="0.2">
      <c r="A519" s="16"/>
      <c r="B519" s="16"/>
      <c r="C519" s="15"/>
      <c r="D519" s="16"/>
      <c r="E519" s="17"/>
      <c r="F519" s="17"/>
      <c r="H519" s="19"/>
      <c r="I519" s="47"/>
      <c r="J519" s="48"/>
      <c r="K519" s="49"/>
    </row>
    <row r="520" spans="1:11" ht="12.75" hidden="1" x14ac:dyDescent="0.2">
      <c r="A520" s="16"/>
      <c r="B520" s="16"/>
      <c r="C520" s="15"/>
      <c r="D520" s="16"/>
      <c r="E520" s="17"/>
      <c r="F520" s="17"/>
      <c r="H520" s="19"/>
      <c r="I520" s="47"/>
      <c r="J520" s="48"/>
      <c r="K520" s="49"/>
    </row>
    <row r="521" spans="1:11" ht="12.75" hidden="1" x14ac:dyDescent="0.2">
      <c r="A521" s="16"/>
      <c r="B521" s="16"/>
      <c r="C521" s="15"/>
      <c r="D521" s="16"/>
      <c r="E521" s="17"/>
      <c r="F521" s="17"/>
      <c r="H521" s="19"/>
      <c r="I521" s="47"/>
      <c r="J521" s="48"/>
      <c r="K521" s="49"/>
    </row>
    <row r="522" spans="1:11" ht="12.75" hidden="1" x14ac:dyDescent="0.2">
      <c r="A522" s="16"/>
      <c r="B522" s="16"/>
      <c r="C522" s="15"/>
      <c r="D522" s="16"/>
      <c r="E522" s="17"/>
      <c r="F522" s="17"/>
      <c r="H522" s="19"/>
      <c r="I522" s="47"/>
      <c r="J522" s="48"/>
      <c r="K522" s="49"/>
    </row>
    <row r="523" spans="1:11" ht="12.75" hidden="1" x14ac:dyDescent="0.2">
      <c r="A523" s="16"/>
      <c r="B523" s="16"/>
      <c r="C523" s="15"/>
      <c r="D523" s="16"/>
      <c r="E523" s="17"/>
      <c r="F523" s="17"/>
      <c r="H523" s="19"/>
      <c r="I523" s="47"/>
      <c r="J523" s="48"/>
      <c r="K523" s="49"/>
    </row>
    <row r="524" spans="1:11" ht="12.75" hidden="1" x14ac:dyDescent="0.2">
      <c r="A524" s="16"/>
      <c r="B524" s="16"/>
      <c r="C524" s="15"/>
      <c r="D524" s="16"/>
      <c r="E524" s="17"/>
      <c r="F524" s="17"/>
      <c r="H524" s="19"/>
      <c r="I524" s="47"/>
      <c r="J524" s="48"/>
      <c r="K524" s="49"/>
    </row>
    <row r="525" spans="1:11" ht="12.75" hidden="1" x14ac:dyDescent="0.2">
      <c r="A525" s="16"/>
      <c r="B525" s="16"/>
      <c r="C525" s="15"/>
      <c r="D525" s="16"/>
      <c r="E525" s="17"/>
      <c r="F525" s="17"/>
      <c r="H525" s="19"/>
      <c r="I525" s="47"/>
      <c r="J525" s="48"/>
      <c r="K525" s="49"/>
    </row>
    <row r="526" spans="1:11" ht="12.75" hidden="1" x14ac:dyDescent="0.2">
      <c r="A526" s="16"/>
      <c r="B526" s="16"/>
      <c r="C526" s="15"/>
      <c r="D526" s="16"/>
      <c r="E526" s="17"/>
      <c r="F526" s="17"/>
      <c r="H526" s="19"/>
      <c r="I526" s="47"/>
      <c r="J526" s="48"/>
      <c r="K526" s="49"/>
    </row>
    <row r="527" spans="1:11" ht="12.75" hidden="1" x14ac:dyDescent="0.2">
      <c r="A527" s="16"/>
      <c r="B527" s="16"/>
      <c r="C527" s="15"/>
      <c r="D527" s="16"/>
      <c r="E527" s="17"/>
      <c r="F527" s="17"/>
      <c r="H527" s="19"/>
      <c r="I527" s="47"/>
      <c r="J527" s="48"/>
      <c r="K527" s="49"/>
    </row>
    <row r="528" spans="1:11" ht="12.75" hidden="1" x14ac:dyDescent="0.2">
      <c r="A528" s="16"/>
      <c r="B528" s="16"/>
      <c r="C528" s="15"/>
      <c r="D528" s="16"/>
      <c r="E528" s="17"/>
      <c r="F528" s="17"/>
      <c r="H528" s="19"/>
      <c r="I528" s="47"/>
      <c r="J528" s="48"/>
      <c r="K528" s="49"/>
    </row>
    <row r="529" spans="1:11" ht="12.75" hidden="1" x14ac:dyDescent="0.2">
      <c r="A529" s="16"/>
      <c r="B529" s="16"/>
      <c r="C529" s="15"/>
      <c r="D529" s="16"/>
      <c r="E529" s="17"/>
      <c r="F529" s="17"/>
      <c r="H529" s="19"/>
      <c r="I529" s="47"/>
      <c r="J529" s="48"/>
      <c r="K529" s="49"/>
    </row>
    <row r="530" spans="1:11" ht="12.75" hidden="1" x14ac:dyDescent="0.2">
      <c r="A530" s="16"/>
      <c r="B530" s="16"/>
      <c r="C530" s="15"/>
      <c r="D530" s="16"/>
      <c r="E530" s="17"/>
      <c r="F530" s="17"/>
      <c r="H530" s="19"/>
      <c r="I530" s="47"/>
      <c r="J530" s="48"/>
      <c r="K530" s="49"/>
    </row>
    <row r="531" spans="1:11" ht="12.75" hidden="1" x14ac:dyDescent="0.2">
      <c r="A531" s="16"/>
      <c r="B531" s="16"/>
      <c r="C531" s="15"/>
      <c r="D531" s="16"/>
      <c r="E531" s="17"/>
      <c r="F531" s="17"/>
      <c r="H531" s="19"/>
      <c r="I531" s="47"/>
      <c r="J531" s="48"/>
      <c r="K531" s="49"/>
    </row>
    <row r="532" spans="1:11" ht="12.75" hidden="1" x14ac:dyDescent="0.2">
      <c r="A532" s="16"/>
      <c r="B532" s="16"/>
      <c r="C532" s="15"/>
      <c r="D532" s="16"/>
      <c r="E532" s="17"/>
      <c r="F532" s="17"/>
      <c r="H532" s="19"/>
      <c r="I532" s="47"/>
      <c r="J532" s="48"/>
      <c r="K532" s="49"/>
    </row>
    <row r="533" spans="1:11" ht="12.75" hidden="1" x14ac:dyDescent="0.2">
      <c r="A533" s="16"/>
      <c r="B533" s="16"/>
      <c r="C533" s="15"/>
      <c r="D533" s="16"/>
      <c r="E533" s="17"/>
      <c r="F533" s="17"/>
      <c r="H533" s="19"/>
      <c r="I533" s="47"/>
      <c r="J533" s="48"/>
      <c r="K533" s="49"/>
    </row>
    <row r="534" spans="1:11" ht="12.75" hidden="1" x14ac:dyDescent="0.2">
      <c r="A534" s="16"/>
      <c r="B534" s="16"/>
      <c r="C534" s="15"/>
      <c r="D534" s="16"/>
      <c r="E534" s="17"/>
      <c r="F534" s="17"/>
      <c r="H534" s="19"/>
      <c r="I534" s="47"/>
      <c r="J534" s="48"/>
      <c r="K534" s="49"/>
    </row>
    <row r="535" spans="1:11" ht="12.75" hidden="1" x14ac:dyDescent="0.2">
      <c r="A535" s="16"/>
      <c r="B535" s="16"/>
      <c r="C535" s="15"/>
      <c r="D535" s="16"/>
      <c r="E535" s="17"/>
      <c r="F535" s="17"/>
      <c r="H535" s="19"/>
      <c r="I535" s="47"/>
      <c r="J535" s="48"/>
      <c r="K535" s="49"/>
    </row>
    <row r="536" spans="1:11" ht="12.75" hidden="1" x14ac:dyDescent="0.2">
      <c r="A536" s="16"/>
      <c r="B536" s="16"/>
      <c r="C536" s="15"/>
      <c r="D536" s="16"/>
      <c r="E536" s="17"/>
      <c r="F536" s="17"/>
      <c r="H536" s="19"/>
      <c r="I536" s="47"/>
      <c r="J536" s="48"/>
      <c r="K536" s="49"/>
    </row>
    <row r="537" spans="1:11" ht="12.75" hidden="1" x14ac:dyDescent="0.2">
      <c r="A537" s="16"/>
      <c r="B537" s="16"/>
      <c r="C537" s="15"/>
      <c r="D537" s="16"/>
      <c r="E537" s="17"/>
      <c r="F537" s="17"/>
      <c r="H537" s="19"/>
      <c r="I537" s="47"/>
      <c r="J537" s="48"/>
      <c r="K537" s="49"/>
    </row>
    <row r="538" spans="1:11" ht="12.75" hidden="1" x14ac:dyDescent="0.2">
      <c r="A538" s="16"/>
      <c r="B538" s="16"/>
      <c r="C538" s="15"/>
      <c r="D538" s="16"/>
      <c r="E538" s="17"/>
      <c r="F538" s="17"/>
      <c r="H538" s="19"/>
      <c r="I538" s="47"/>
      <c r="J538" s="48"/>
      <c r="K538" s="49"/>
    </row>
    <row r="539" spans="1:11" ht="12.75" hidden="1" x14ac:dyDescent="0.2">
      <c r="A539" s="16"/>
      <c r="B539" s="16"/>
      <c r="C539" s="15"/>
      <c r="D539" s="16"/>
      <c r="E539" s="17"/>
      <c r="F539" s="17"/>
      <c r="H539" s="19"/>
      <c r="I539" s="47"/>
      <c r="J539" s="48"/>
      <c r="K539" s="49"/>
    </row>
    <row r="540" spans="1:11" ht="12.75" hidden="1" x14ac:dyDescent="0.2">
      <c r="A540" s="16"/>
      <c r="B540" s="16"/>
      <c r="C540" s="15"/>
      <c r="D540" s="16"/>
      <c r="E540" s="17"/>
      <c r="F540" s="17"/>
      <c r="H540" s="19"/>
      <c r="I540" s="47"/>
      <c r="J540" s="48"/>
      <c r="K540" s="49"/>
    </row>
    <row r="541" spans="1:11" ht="12.75" hidden="1" x14ac:dyDescent="0.2">
      <c r="A541" s="16"/>
      <c r="B541" s="16"/>
      <c r="C541" s="15"/>
      <c r="D541" s="16"/>
      <c r="E541" s="17"/>
      <c r="F541" s="17"/>
      <c r="H541" s="19"/>
      <c r="I541" s="47"/>
      <c r="J541" s="48"/>
      <c r="K541" s="49"/>
    </row>
    <row r="542" spans="1:11" ht="12.75" hidden="1" x14ac:dyDescent="0.2">
      <c r="A542" s="16"/>
      <c r="B542" s="16"/>
      <c r="C542" s="15"/>
      <c r="D542" s="16"/>
      <c r="E542" s="17"/>
      <c r="F542" s="17"/>
      <c r="H542" s="19"/>
      <c r="I542" s="47"/>
      <c r="J542" s="48"/>
      <c r="K542" s="49"/>
    </row>
    <row r="543" spans="1:11" ht="12.75" hidden="1" x14ac:dyDescent="0.2">
      <c r="A543" s="16"/>
      <c r="B543" s="16"/>
      <c r="C543" s="15"/>
      <c r="D543" s="16"/>
      <c r="E543" s="17"/>
      <c r="F543" s="17"/>
      <c r="H543" s="19"/>
      <c r="I543" s="47"/>
      <c r="J543" s="48"/>
      <c r="K543" s="49"/>
    </row>
    <row r="544" spans="1:11" ht="12.75" hidden="1" x14ac:dyDescent="0.2">
      <c r="A544" s="16"/>
      <c r="B544" s="16"/>
      <c r="C544" s="15"/>
      <c r="D544" s="16"/>
      <c r="E544" s="17"/>
      <c r="F544" s="17"/>
      <c r="H544" s="19"/>
      <c r="I544" s="47"/>
      <c r="J544" s="48"/>
      <c r="K544" s="49"/>
    </row>
    <row r="545" spans="1:11" ht="12.75" hidden="1" x14ac:dyDescent="0.2">
      <c r="A545" s="16"/>
      <c r="B545" s="16"/>
      <c r="C545" s="15"/>
      <c r="D545" s="16"/>
      <c r="E545" s="17"/>
      <c r="F545" s="17"/>
      <c r="H545" s="19"/>
      <c r="I545" s="47"/>
      <c r="J545" s="48"/>
      <c r="K545" s="49"/>
    </row>
    <row r="546" spans="1:11" ht="12.75" hidden="1" x14ac:dyDescent="0.2">
      <c r="A546" s="16"/>
      <c r="B546" s="16"/>
      <c r="C546" s="15"/>
      <c r="D546" s="16"/>
      <c r="E546" s="17"/>
      <c r="F546" s="17"/>
      <c r="H546" s="19"/>
      <c r="I546" s="47"/>
      <c r="J546" s="48"/>
      <c r="K546" s="49"/>
    </row>
    <row r="547" spans="1:11" ht="12.75" hidden="1" x14ac:dyDescent="0.2">
      <c r="A547" s="16"/>
      <c r="B547" s="16"/>
      <c r="C547" s="15"/>
      <c r="D547" s="16"/>
      <c r="E547" s="17"/>
      <c r="F547" s="17"/>
      <c r="H547" s="19"/>
      <c r="I547" s="47"/>
      <c r="J547" s="48"/>
      <c r="K547" s="49"/>
    </row>
    <row r="548" spans="1:11" ht="12.75" hidden="1" x14ac:dyDescent="0.2">
      <c r="A548" s="16"/>
      <c r="B548" s="16"/>
      <c r="C548" s="15"/>
      <c r="D548" s="16"/>
      <c r="E548" s="17"/>
      <c r="F548" s="17"/>
      <c r="H548" s="19"/>
      <c r="I548" s="47"/>
      <c r="J548" s="48"/>
      <c r="K548" s="49"/>
    </row>
    <row r="549" spans="1:11" ht="12.75" hidden="1" x14ac:dyDescent="0.2">
      <c r="A549" s="16"/>
      <c r="B549" s="16"/>
      <c r="C549" s="15"/>
      <c r="D549" s="16"/>
      <c r="E549" s="17"/>
      <c r="F549" s="17"/>
      <c r="H549" s="19"/>
      <c r="I549" s="47"/>
      <c r="J549" s="48"/>
      <c r="K549" s="49"/>
    </row>
    <row r="550" spans="1:11" ht="12.75" hidden="1" x14ac:dyDescent="0.2">
      <c r="A550" s="16"/>
      <c r="B550" s="16"/>
      <c r="C550" s="15"/>
      <c r="D550" s="16"/>
      <c r="E550" s="17"/>
      <c r="F550" s="17"/>
      <c r="H550" s="19"/>
      <c r="I550" s="47"/>
      <c r="J550" s="48"/>
      <c r="K550" s="49"/>
    </row>
    <row r="551" spans="1:11" ht="12.75" hidden="1" x14ac:dyDescent="0.2">
      <c r="A551" s="16"/>
      <c r="B551" s="16"/>
      <c r="C551" s="15"/>
      <c r="D551" s="16"/>
      <c r="E551" s="17"/>
      <c r="F551" s="17"/>
      <c r="H551" s="19"/>
      <c r="I551" s="47"/>
      <c r="J551" s="48"/>
      <c r="K551" s="49"/>
    </row>
    <row r="552" spans="1:11" ht="12.75" hidden="1" x14ac:dyDescent="0.2">
      <c r="A552" s="16"/>
      <c r="B552" s="16"/>
      <c r="C552" s="15"/>
      <c r="D552" s="16"/>
      <c r="E552" s="17"/>
      <c r="F552" s="17"/>
      <c r="H552" s="19"/>
      <c r="I552" s="47"/>
      <c r="J552" s="48"/>
      <c r="K552" s="49"/>
    </row>
    <row r="553" spans="1:11" ht="12.75" hidden="1" x14ac:dyDescent="0.2">
      <c r="A553" s="16"/>
      <c r="B553" s="16"/>
      <c r="C553" s="15"/>
      <c r="D553" s="16"/>
      <c r="E553" s="17"/>
      <c r="F553" s="17"/>
      <c r="H553" s="19"/>
      <c r="I553" s="47"/>
      <c r="J553" s="48"/>
      <c r="K553" s="49"/>
    </row>
    <row r="554" spans="1:11" ht="12.75" hidden="1" x14ac:dyDescent="0.2">
      <c r="A554" s="16"/>
      <c r="B554" s="16"/>
      <c r="C554" s="15"/>
      <c r="D554" s="16"/>
      <c r="E554" s="17"/>
      <c r="F554" s="17"/>
      <c r="H554" s="19"/>
      <c r="I554" s="47"/>
      <c r="J554" s="48"/>
      <c r="K554" s="49"/>
    </row>
    <row r="555" spans="1:11" ht="12.75" hidden="1" x14ac:dyDescent="0.2">
      <c r="A555" s="16"/>
      <c r="B555" s="16"/>
      <c r="C555" s="15"/>
      <c r="D555" s="16"/>
      <c r="E555" s="17"/>
      <c r="F555" s="17"/>
      <c r="H555" s="19"/>
      <c r="I555" s="47"/>
      <c r="J555" s="48"/>
      <c r="K555" s="49"/>
    </row>
    <row r="556" spans="1:11" ht="12.75" hidden="1" x14ac:dyDescent="0.2">
      <c r="A556" s="16"/>
      <c r="B556" s="16"/>
      <c r="C556" s="15"/>
      <c r="D556" s="16"/>
      <c r="E556" s="17"/>
      <c r="F556" s="17"/>
      <c r="H556" s="19"/>
      <c r="I556" s="47"/>
      <c r="J556" s="48"/>
      <c r="K556" s="49"/>
    </row>
    <row r="557" spans="1:11" ht="12.75" hidden="1" x14ac:dyDescent="0.2">
      <c r="A557" s="16"/>
      <c r="B557" s="16"/>
      <c r="C557" s="15"/>
      <c r="D557" s="16"/>
      <c r="E557" s="17"/>
      <c r="F557" s="17"/>
      <c r="H557" s="19"/>
      <c r="I557" s="47"/>
      <c r="J557" s="48"/>
      <c r="K557" s="49"/>
    </row>
    <row r="558" spans="1:11" ht="12.75" hidden="1" x14ac:dyDescent="0.2">
      <c r="A558" s="16"/>
      <c r="B558" s="16"/>
      <c r="C558" s="15"/>
      <c r="D558" s="16"/>
      <c r="E558" s="17"/>
      <c r="F558" s="17"/>
      <c r="H558" s="19"/>
      <c r="I558" s="47"/>
      <c r="J558" s="48"/>
      <c r="K558" s="49"/>
    </row>
    <row r="559" spans="1:11" ht="12.75" hidden="1" x14ac:dyDescent="0.2">
      <c r="A559" s="16"/>
      <c r="B559" s="16"/>
      <c r="C559" s="15"/>
      <c r="D559" s="16"/>
      <c r="E559" s="17"/>
      <c r="F559" s="17"/>
      <c r="H559" s="19"/>
      <c r="I559" s="47"/>
      <c r="J559" s="48"/>
      <c r="K559" s="49"/>
    </row>
    <row r="560" spans="1:11" ht="12.75" hidden="1" x14ac:dyDescent="0.2">
      <c r="A560" s="16"/>
      <c r="B560" s="16"/>
      <c r="C560" s="15"/>
      <c r="D560" s="16"/>
      <c r="E560" s="17"/>
      <c r="F560" s="17"/>
      <c r="H560" s="19"/>
      <c r="I560" s="47"/>
      <c r="J560" s="48"/>
      <c r="K560" s="49"/>
    </row>
    <row r="561" spans="1:11" ht="12.75" hidden="1" x14ac:dyDescent="0.2">
      <c r="A561" s="16"/>
      <c r="B561" s="16"/>
      <c r="C561" s="15"/>
      <c r="D561" s="16"/>
      <c r="E561" s="17"/>
      <c r="F561" s="17"/>
      <c r="H561" s="19"/>
      <c r="I561" s="47"/>
      <c r="J561" s="48"/>
      <c r="K561" s="49"/>
    </row>
    <row r="562" spans="1:11" ht="12.75" hidden="1" x14ac:dyDescent="0.2">
      <c r="A562" s="16"/>
      <c r="B562" s="16"/>
      <c r="C562" s="15"/>
      <c r="D562" s="16"/>
      <c r="E562" s="17"/>
      <c r="F562" s="17"/>
      <c r="H562" s="19"/>
      <c r="I562" s="47"/>
      <c r="J562" s="48"/>
      <c r="K562" s="49"/>
    </row>
    <row r="563" spans="1:11" ht="12.75" hidden="1" x14ac:dyDescent="0.2">
      <c r="A563" s="16"/>
      <c r="B563" s="16"/>
      <c r="C563" s="15"/>
      <c r="D563" s="16"/>
      <c r="E563" s="17"/>
      <c r="F563" s="17"/>
      <c r="H563" s="19"/>
      <c r="I563" s="47"/>
      <c r="J563" s="48"/>
      <c r="K563" s="49"/>
    </row>
    <row r="564" spans="1:11" ht="12.75" hidden="1" x14ac:dyDescent="0.2">
      <c r="A564" s="16"/>
      <c r="B564" s="16"/>
      <c r="C564" s="15"/>
      <c r="D564" s="16"/>
      <c r="E564" s="17"/>
      <c r="F564" s="17"/>
      <c r="H564" s="19"/>
      <c r="I564" s="47"/>
      <c r="J564" s="48"/>
      <c r="K564" s="49"/>
    </row>
    <row r="565" spans="1:11" ht="12.75" hidden="1" x14ac:dyDescent="0.2">
      <c r="A565" s="16"/>
      <c r="B565" s="16"/>
      <c r="C565" s="15"/>
      <c r="D565" s="16"/>
      <c r="E565" s="17"/>
      <c r="F565" s="17"/>
      <c r="H565" s="19"/>
      <c r="I565" s="47"/>
      <c r="J565" s="48"/>
      <c r="K565" s="49"/>
    </row>
    <row r="566" spans="1:11" ht="12.75" hidden="1" x14ac:dyDescent="0.2">
      <c r="A566" s="16"/>
      <c r="B566" s="16"/>
      <c r="C566" s="15"/>
      <c r="D566" s="16"/>
      <c r="E566" s="17"/>
      <c r="F566" s="17"/>
      <c r="H566" s="19"/>
      <c r="I566" s="47"/>
      <c r="J566" s="48"/>
      <c r="K566" s="49"/>
    </row>
    <row r="567" spans="1:11" ht="12.75" hidden="1" x14ac:dyDescent="0.2">
      <c r="A567" s="16"/>
      <c r="B567" s="16"/>
      <c r="C567" s="15"/>
      <c r="D567" s="16"/>
      <c r="E567" s="17"/>
      <c r="F567" s="17"/>
      <c r="H567" s="19"/>
      <c r="I567" s="47"/>
      <c r="J567" s="48"/>
      <c r="K567" s="49"/>
    </row>
    <row r="568" spans="1:11" ht="12.75" hidden="1" x14ac:dyDescent="0.2">
      <c r="A568" s="16"/>
      <c r="B568" s="16"/>
      <c r="C568" s="15"/>
      <c r="D568" s="16"/>
      <c r="E568" s="17"/>
      <c r="F568" s="17"/>
      <c r="H568" s="19"/>
      <c r="I568" s="47"/>
      <c r="J568" s="48"/>
      <c r="K568" s="49"/>
    </row>
    <row r="569" spans="1:11" ht="12.75" hidden="1" x14ac:dyDescent="0.2">
      <c r="A569" s="16"/>
      <c r="B569" s="16"/>
      <c r="C569" s="15"/>
      <c r="D569" s="16"/>
      <c r="E569" s="17"/>
      <c r="F569" s="17"/>
      <c r="H569" s="19"/>
      <c r="I569" s="47"/>
      <c r="J569" s="48"/>
      <c r="K569" s="49"/>
    </row>
    <row r="570" spans="1:11" ht="12.75" hidden="1" x14ac:dyDescent="0.2">
      <c r="A570" s="16"/>
      <c r="B570" s="16"/>
      <c r="C570" s="15"/>
      <c r="D570" s="16"/>
      <c r="E570" s="17"/>
      <c r="F570" s="17"/>
      <c r="H570" s="19"/>
      <c r="I570" s="47"/>
      <c r="J570" s="48"/>
      <c r="K570" s="49"/>
    </row>
    <row r="571" spans="1:11" ht="12.75" hidden="1" x14ac:dyDescent="0.2">
      <c r="A571" s="16"/>
      <c r="B571" s="16"/>
      <c r="C571" s="15"/>
      <c r="D571" s="16"/>
      <c r="E571" s="17"/>
      <c r="F571" s="17"/>
      <c r="H571" s="19"/>
      <c r="I571" s="47"/>
      <c r="J571" s="48"/>
      <c r="K571" s="49"/>
    </row>
    <row r="572" spans="1:11" ht="12.75" hidden="1" x14ac:dyDescent="0.2">
      <c r="A572" s="16"/>
      <c r="B572" s="16"/>
      <c r="C572" s="15"/>
      <c r="D572" s="16"/>
      <c r="E572" s="17"/>
      <c r="F572" s="17"/>
      <c r="H572" s="19"/>
      <c r="I572" s="47"/>
      <c r="J572" s="48"/>
      <c r="K572" s="49"/>
    </row>
    <row r="573" spans="1:11" ht="12.75" hidden="1" x14ac:dyDescent="0.2">
      <c r="A573" s="16"/>
      <c r="B573" s="16"/>
      <c r="C573" s="15"/>
      <c r="D573" s="16"/>
      <c r="E573" s="17"/>
      <c r="F573" s="17"/>
      <c r="H573" s="19"/>
      <c r="I573" s="47"/>
      <c r="J573" s="48"/>
      <c r="K573" s="49"/>
    </row>
    <row r="574" spans="1:11" ht="12.75" hidden="1" x14ac:dyDescent="0.2">
      <c r="A574" s="16"/>
      <c r="B574" s="16"/>
      <c r="C574" s="15"/>
      <c r="D574" s="16"/>
      <c r="E574" s="17"/>
      <c r="F574" s="17"/>
      <c r="H574" s="19"/>
      <c r="I574" s="47"/>
      <c r="J574" s="48"/>
      <c r="K574" s="49"/>
    </row>
    <row r="575" spans="1:11" ht="12.75" hidden="1" x14ac:dyDescent="0.2">
      <c r="A575" s="16"/>
      <c r="B575" s="16"/>
      <c r="C575" s="15"/>
      <c r="D575" s="16"/>
      <c r="E575" s="17"/>
      <c r="F575" s="17"/>
      <c r="H575" s="19"/>
      <c r="I575" s="47"/>
      <c r="J575" s="48"/>
      <c r="K575" s="49"/>
    </row>
    <row r="576" spans="1:11" ht="12.75" hidden="1" x14ac:dyDescent="0.2">
      <c r="A576" s="16"/>
      <c r="B576" s="16"/>
      <c r="C576" s="15"/>
      <c r="D576" s="16"/>
      <c r="E576" s="17"/>
      <c r="F576" s="17"/>
      <c r="H576" s="19"/>
      <c r="I576" s="47"/>
      <c r="J576" s="48"/>
      <c r="K576" s="49"/>
    </row>
    <row r="577" spans="1:11" ht="12.75" hidden="1" x14ac:dyDescent="0.2">
      <c r="A577" s="16"/>
      <c r="B577" s="16"/>
      <c r="C577" s="15"/>
      <c r="D577" s="16"/>
      <c r="E577" s="17"/>
      <c r="F577" s="17"/>
      <c r="H577" s="19"/>
      <c r="I577" s="47"/>
      <c r="J577" s="48"/>
      <c r="K577" s="49"/>
    </row>
    <row r="578" spans="1:11" ht="12.75" hidden="1" x14ac:dyDescent="0.2">
      <c r="A578" s="16"/>
      <c r="B578" s="16"/>
      <c r="C578" s="15"/>
      <c r="D578" s="16"/>
      <c r="E578" s="17"/>
      <c r="F578" s="17"/>
      <c r="H578" s="19"/>
      <c r="I578" s="47"/>
      <c r="J578" s="48"/>
      <c r="K578" s="49"/>
    </row>
    <row r="579" spans="1:11" ht="12.75" hidden="1" x14ac:dyDescent="0.2">
      <c r="A579" s="16"/>
      <c r="B579" s="16"/>
      <c r="C579" s="15"/>
      <c r="D579" s="16"/>
      <c r="E579" s="17"/>
      <c r="F579" s="17"/>
      <c r="H579" s="19"/>
      <c r="I579" s="47"/>
      <c r="J579" s="48"/>
      <c r="K579" s="49"/>
    </row>
    <row r="580" spans="1:11" ht="12.75" hidden="1" x14ac:dyDescent="0.2">
      <c r="A580" s="16"/>
      <c r="B580" s="16"/>
      <c r="C580" s="15"/>
      <c r="D580" s="16"/>
      <c r="E580" s="17"/>
      <c r="F580" s="17"/>
      <c r="H580" s="19"/>
      <c r="I580" s="47"/>
      <c r="J580" s="48"/>
      <c r="K580" s="49"/>
    </row>
    <row r="581" spans="1:11" ht="12.75" hidden="1" x14ac:dyDescent="0.2">
      <c r="A581" s="16"/>
      <c r="B581" s="16"/>
      <c r="C581" s="15"/>
      <c r="D581" s="16"/>
      <c r="E581" s="17"/>
      <c r="F581" s="17"/>
      <c r="H581" s="19"/>
      <c r="I581" s="47"/>
      <c r="J581" s="48"/>
      <c r="K581" s="49"/>
    </row>
    <row r="582" spans="1:11" ht="12.75" hidden="1" x14ac:dyDescent="0.2">
      <c r="A582" s="16"/>
      <c r="B582" s="16"/>
      <c r="C582" s="15"/>
      <c r="D582" s="16"/>
      <c r="E582" s="17"/>
      <c r="F582" s="17"/>
      <c r="H582" s="19"/>
      <c r="I582" s="47"/>
      <c r="J582" s="48"/>
      <c r="K582" s="49"/>
    </row>
    <row r="583" spans="1:11" ht="12.75" hidden="1" x14ac:dyDescent="0.2">
      <c r="A583" s="16"/>
      <c r="B583" s="16"/>
      <c r="C583" s="15"/>
      <c r="D583" s="16"/>
      <c r="E583" s="17"/>
      <c r="F583" s="17"/>
      <c r="H583" s="19"/>
      <c r="I583" s="47"/>
      <c r="J583" s="48"/>
      <c r="K583" s="49"/>
    </row>
    <row r="584" spans="1:11" ht="12.75" hidden="1" x14ac:dyDescent="0.2">
      <c r="A584" s="16"/>
      <c r="B584" s="16"/>
      <c r="C584" s="15"/>
      <c r="D584" s="16"/>
      <c r="E584" s="17"/>
      <c r="F584" s="17"/>
      <c r="H584" s="19"/>
      <c r="I584" s="47"/>
      <c r="J584" s="48"/>
      <c r="K584" s="49"/>
    </row>
    <row r="585" spans="1:11" ht="12.75" hidden="1" x14ac:dyDescent="0.2">
      <c r="A585" s="16"/>
      <c r="B585" s="16"/>
      <c r="C585" s="15"/>
      <c r="D585" s="16"/>
      <c r="E585" s="17"/>
      <c r="F585" s="17"/>
      <c r="H585" s="19"/>
      <c r="I585" s="47"/>
      <c r="J585" s="48"/>
      <c r="K585" s="49"/>
    </row>
    <row r="586" spans="1:11" ht="12.75" hidden="1" x14ac:dyDescent="0.2">
      <c r="A586" s="16"/>
      <c r="B586" s="16"/>
      <c r="C586" s="15"/>
      <c r="D586" s="16"/>
      <c r="E586" s="17"/>
      <c r="F586" s="17"/>
      <c r="H586" s="19"/>
      <c r="I586" s="47"/>
      <c r="J586" s="48"/>
      <c r="K586" s="49"/>
    </row>
    <row r="587" spans="1:11" ht="12.75" hidden="1" x14ac:dyDescent="0.2">
      <c r="A587" s="16"/>
      <c r="B587" s="16"/>
      <c r="C587" s="15"/>
      <c r="D587" s="16"/>
      <c r="E587" s="17"/>
      <c r="F587" s="17"/>
      <c r="H587" s="19"/>
      <c r="I587" s="47"/>
      <c r="J587" s="48"/>
      <c r="K587" s="49"/>
    </row>
    <row r="588" spans="1:11" ht="12.75" hidden="1" x14ac:dyDescent="0.2">
      <c r="A588" s="16"/>
      <c r="B588" s="16"/>
      <c r="C588" s="15"/>
      <c r="D588" s="16"/>
      <c r="E588" s="17"/>
      <c r="F588" s="17"/>
      <c r="H588" s="19"/>
      <c r="I588" s="47"/>
      <c r="J588" s="48"/>
      <c r="K588" s="49"/>
    </row>
    <row r="589" spans="1:11" ht="12.75" hidden="1" x14ac:dyDescent="0.2">
      <c r="A589" s="16"/>
      <c r="B589" s="16"/>
      <c r="C589" s="15"/>
      <c r="D589" s="16"/>
      <c r="E589" s="17"/>
      <c r="F589" s="17"/>
      <c r="H589" s="19"/>
      <c r="I589" s="47"/>
      <c r="J589" s="48"/>
      <c r="K589" s="49"/>
    </row>
    <row r="590" spans="1:11" ht="12.75" hidden="1" x14ac:dyDescent="0.2">
      <c r="A590" s="16"/>
      <c r="B590" s="16"/>
      <c r="C590" s="15"/>
      <c r="D590" s="16"/>
      <c r="E590" s="17"/>
      <c r="F590" s="17"/>
      <c r="H590" s="19"/>
      <c r="I590" s="47"/>
      <c r="J590" s="48"/>
      <c r="K590" s="49"/>
    </row>
    <row r="591" spans="1:11" ht="12.75" hidden="1" x14ac:dyDescent="0.2">
      <c r="A591" s="16"/>
      <c r="B591" s="16"/>
      <c r="C591" s="15"/>
      <c r="D591" s="16"/>
      <c r="E591" s="17"/>
      <c r="F591" s="17"/>
      <c r="H591" s="19"/>
      <c r="I591" s="47"/>
      <c r="J591" s="48"/>
      <c r="K591" s="49"/>
    </row>
    <row r="592" spans="1:11" ht="12.75" hidden="1" x14ac:dyDescent="0.2">
      <c r="A592" s="16"/>
      <c r="B592" s="16"/>
      <c r="C592" s="15"/>
      <c r="D592" s="16"/>
      <c r="E592" s="17"/>
      <c r="F592" s="17"/>
      <c r="H592" s="19"/>
      <c r="I592" s="47"/>
      <c r="J592" s="48"/>
      <c r="K592" s="49"/>
    </row>
    <row r="593" spans="1:11" ht="12.75" hidden="1" x14ac:dyDescent="0.2">
      <c r="A593" s="16"/>
      <c r="B593" s="16"/>
      <c r="C593" s="15"/>
      <c r="D593" s="16"/>
      <c r="E593" s="17"/>
      <c r="F593" s="17"/>
      <c r="H593" s="19"/>
      <c r="I593" s="47"/>
      <c r="J593" s="48"/>
      <c r="K593" s="49"/>
    </row>
    <row r="594" spans="1:11" ht="12.75" hidden="1" x14ac:dyDescent="0.2">
      <c r="A594" s="16"/>
      <c r="B594" s="16"/>
      <c r="C594" s="15"/>
      <c r="D594" s="16"/>
      <c r="E594" s="17"/>
      <c r="F594" s="17"/>
      <c r="H594" s="19"/>
      <c r="I594" s="47"/>
      <c r="J594" s="48"/>
      <c r="K594" s="49"/>
    </row>
    <row r="595" spans="1:11" ht="12.75" hidden="1" x14ac:dyDescent="0.2">
      <c r="A595" s="16"/>
      <c r="B595" s="16"/>
      <c r="C595" s="15"/>
      <c r="D595" s="16"/>
      <c r="E595" s="17"/>
      <c r="F595" s="17"/>
      <c r="H595" s="19"/>
      <c r="I595" s="47"/>
      <c r="J595" s="48"/>
      <c r="K595" s="49"/>
    </row>
    <row r="596" spans="1:11" ht="12.75" hidden="1" x14ac:dyDescent="0.2">
      <c r="A596" s="16"/>
      <c r="B596" s="16"/>
      <c r="C596" s="15"/>
      <c r="D596" s="16"/>
      <c r="E596" s="17"/>
      <c r="F596" s="17"/>
      <c r="H596" s="19"/>
      <c r="I596" s="47"/>
      <c r="J596" s="48"/>
      <c r="K596" s="49"/>
    </row>
    <row r="597" spans="1:11" ht="12.75" hidden="1" x14ac:dyDescent="0.2">
      <c r="A597" s="16"/>
      <c r="B597" s="16"/>
      <c r="C597" s="15"/>
      <c r="D597" s="16"/>
      <c r="E597" s="17"/>
      <c r="F597" s="17"/>
      <c r="H597" s="19"/>
      <c r="I597" s="47"/>
      <c r="J597" s="48"/>
      <c r="K597" s="49"/>
    </row>
    <row r="598" spans="1:11" ht="12.75" hidden="1" x14ac:dyDescent="0.2">
      <c r="A598" s="16"/>
      <c r="B598" s="16"/>
      <c r="C598" s="15"/>
      <c r="D598" s="16"/>
      <c r="E598" s="17"/>
      <c r="F598" s="17"/>
      <c r="H598" s="19"/>
      <c r="I598" s="47"/>
      <c r="J598" s="48"/>
      <c r="K598" s="49"/>
    </row>
    <row r="599" spans="1:11" ht="12.75" hidden="1" x14ac:dyDescent="0.2">
      <c r="A599" s="16"/>
      <c r="B599" s="16"/>
      <c r="C599" s="15"/>
      <c r="D599" s="16"/>
      <c r="E599" s="17"/>
      <c r="F599" s="17"/>
      <c r="H599" s="19"/>
      <c r="I599" s="47"/>
      <c r="J599" s="48"/>
      <c r="K599" s="49"/>
    </row>
    <row r="600" spans="1:11" ht="12.75" hidden="1" x14ac:dyDescent="0.2">
      <c r="A600" s="16"/>
      <c r="B600" s="16"/>
      <c r="C600" s="15"/>
      <c r="D600" s="16"/>
      <c r="E600" s="17"/>
      <c r="F600" s="17"/>
      <c r="H600" s="19"/>
      <c r="I600" s="47"/>
      <c r="J600" s="48"/>
      <c r="K600" s="49"/>
    </row>
    <row r="601" spans="1:11" ht="12.75" hidden="1" x14ac:dyDescent="0.2">
      <c r="A601" s="16"/>
      <c r="B601" s="16"/>
      <c r="C601" s="15"/>
      <c r="D601" s="16"/>
      <c r="E601" s="17"/>
      <c r="F601" s="17"/>
      <c r="H601" s="19"/>
      <c r="I601" s="47"/>
      <c r="J601" s="48"/>
      <c r="K601" s="49"/>
    </row>
    <row r="602" spans="1:11" ht="12.75" hidden="1" x14ac:dyDescent="0.2">
      <c r="A602" s="16"/>
      <c r="B602" s="16"/>
      <c r="C602" s="15"/>
      <c r="D602" s="16"/>
      <c r="E602" s="17"/>
      <c r="F602" s="17"/>
      <c r="H602" s="19"/>
      <c r="I602" s="47"/>
      <c r="J602" s="48"/>
      <c r="K602" s="49"/>
    </row>
    <row r="603" spans="1:11" ht="12.75" hidden="1" x14ac:dyDescent="0.2">
      <c r="A603" s="16"/>
      <c r="B603" s="16"/>
      <c r="C603" s="15"/>
      <c r="D603" s="16"/>
      <c r="E603" s="17"/>
      <c r="F603" s="17"/>
      <c r="H603" s="19"/>
      <c r="I603" s="47"/>
      <c r="J603" s="48"/>
      <c r="K603" s="49"/>
    </row>
    <row r="604" spans="1:11" ht="12.75" hidden="1" x14ac:dyDescent="0.2">
      <c r="A604" s="16"/>
      <c r="B604" s="16"/>
      <c r="C604" s="15"/>
      <c r="D604" s="16"/>
      <c r="E604" s="17"/>
      <c r="F604" s="17"/>
      <c r="H604" s="19"/>
      <c r="I604" s="47"/>
      <c r="J604" s="48"/>
      <c r="K604" s="49"/>
    </row>
    <row r="605" spans="1:11" ht="12.75" hidden="1" x14ac:dyDescent="0.2">
      <c r="A605" s="16"/>
      <c r="B605" s="16"/>
      <c r="C605" s="15"/>
      <c r="D605" s="16"/>
      <c r="E605" s="17"/>
      <c r="F605" s="17"/>
      <c r="H605" s="19"/>
      <c r="I605" s="47"/>
      <c r="J605" s="48"/>
      <c r="K605" s="49"/>
    </row>
    <row r="606" spans="1:11" ht="12.75" hidden="1" x14ac:dyDescent="0.2">
      <c r="A606" s="16"/>
      <c r="B606" s="16"/>
      <c r="C606" s="15"/>
      <c r="D606" s="16"/>
      <c r="E606" s="17"/>
      <c r="F606" s="17"/>
      <c r="H606" s="19"/>
      <c r="I606" s="47"/>
      <c r="J606" s="48"/>
      <c r="K606" s="49"/>
    </row>
    <row r="607" spans="1:11" ht="12.75" hidden="1" x14ac:dyDescent="0.2">
      <c r="A607" s="16"/>
      <c r="B607" s="16"/>
      <c r="C607" s="15"/>
      <c r="D607" s="16"/>
      <c r="E607" s="17"/>
      <c r="F607" s="17"/>
      <c r="H607" s="19"/>
      <c r="I607" s="47"/>
      <c r="J607" s="48"/>
      <c r="K607" s="49"/>
    </row>
    <row r="608" spans="1:11" ht="12.75" hidden="1" x14ac:dyDescent="0.2">
      <c r="A608" s="16"/>
      <c r="B608" s="16"/>
      <c r="C608" s="15"/>
      <c r="D608" s="16"/>
      <c r="E608" s="17"/>
      <c r="F608" s="17"/>
      <c r="H608" s="19"/>
      <c r="I608" s="47"/>
      <c r="J608" s="48"/>
      <c r="K608" s="49"/>
    </row>
    <row r="609" spans="1:11" ht="12.75" hidden="1" x14ac:dyDescent="0.2">
      <c r="A609" s="16"/>
      <c r="B609" s="16"/>
      <c r="C609" s="15"/>
      <c r="D609" s="16"/>
      <c r="E609" s="17"/>
      <c r="F609" s="17"/>
      <c r="H609" s="19"/>
      <c r="I609" s="47"/>
      <c r="J609" s="48"/>
      <c r="K609" s="49"/>
    </row>
    <row r="610" spans="1:11" ht="12.75" hidden="1" x14ac:dyDescent="0.2">
      <c r="A610" s="16"/>
      <c r="B610" s="16"/>
      <c r="C610" s="15"/>
      <c r="D610" s="16"/>
      <c r="E610" s="17"/>
      <c r="F610" s="17"/>
      <c r="H610" s="19"/>
      <c r="I610" s="47"/>
      <c r="J610" s="48"/>
      <c r="K610" s="49"/>
    </row>
    <row r="611" spans="1:11" ht="12.75" hidden="1" x14ac:dyDescent="0.2">
      <c r="A611" s="16"/>
      <c r="B611" s="16"/>
      <c r="C611" s="15"/>
      <c r="D611" s="16"/>
      <c r="E611" s="17"/>
      <c r="F611" s="17"/>
      <c r="H611" s="19"/>
      <c r="I611" s="47"/>
      <c r="J611" s="48"/>
      <c r="K611" s="49"/>
    </row>
    <row r="612" spans="1:11" ht="12.75" hidden="1" x14ac:dyDescent="0.2">
      <c r="A612" s="16"/>
      <c r="B612" s="16"/>
      <c r="C612" s="15"/>
      <c r="D612" s="16"/>
      <c r="E612" s="17"/>
      <c r="F612" s="17"/>
      <c r="H612" s="19"/>
      <c r="I612" s="47"/>
      <c r="J612" s="48"/>
      <c r="K612" s="49"/>
    </row>
    <row r="613" spans="1:11" ht="12.75" hidden="1" x14ac:dyDescent="0.2">
      <c r="A613" s="16"/>
      <c r="B613" s="16"/>
      <c r="C613" s="15"/>
      <c r="D613" s="16"/>
      <c r="E613" s="17"/>
      <c r="F613" s="17"/>
      <c r="H613" s="19"/>
      <c r="I613" s="47"/>
      <c r="J613" s="48"/>
      <c r="K613" s="49"/>
    </row>
    <row r="614" spans="1:11" ht="12.75" hidden="1" x14ac:dyDescent="0.2">
      <c r="A614" s="16"/>
      <c r="B614" s="16"/>
      <c r="C614" s="15"/>
      <c r="D614" s="16"/>
      <c r="E614" s="17"/>
      <c r="F614" s="17"/>
      <c r="H614" s="19"/>
      <c r="I614" s="47"/>
      <c r="J614" s="48"/>
      <c r="K614" s="49"/>
    </row>
    <row r="615" spans="1:11" ht="12.75" hidden="1" x14ac:dyDescent="0.2">
      <c r="A615" s="16"/>
      <c r="B615" s="16"/>
      <c r="C615" s="15"/>
      <c r="D615" s="16"/>
      <c r="E615" s="17"/>
      <c r="F615" s="17"/>
      <c r="H615" s="19"/>
      <c r="I615" s="47"/>
      <c r="J615" s="48"/>
      <c r="K615" s="49"/>
    </row>
    <row r="616" spans="1:11" ht="12.75" hidden="1" x14ac:dyDescent="0.2">
      <c r="A616" s="16"/>
      <c r="B616" s="16"/>
      <c r="C616" s="15"/>
      <c r="D616" s="16"/>
      <c r="E616" s="17"/>
      <c r="F616" s="17"/>
      <c r="H616" s="19"/>
      <c r="I616" s="47"/>
      <c r="J616" s="48"/>
      <c r="K616" s="49"/>
    </row>
    <row r="617" spans="1:11" ht="12.75" hidden="1" x14ac:dyDescent="0.2">
      <c r="A617" s="16"/>
      <c r="B617" s="16"/>
      <c r="C617" s="15"/>
      <c r="D617" s="16"/>
      <c r="E617" s="17"/>
      <c r="F617" s="17"/>
      <c r="H617" s="19"/>
      <c r="I617" s="47"/>
      <c r="J617" s="48"/>
      <c r="K617" s="49"/>
    </row>
    <row r="618" spans="1:11" ht="12.75" hidden="1" x14ac:dyDescent="0.2">
      <c r="A618" s="16"/>
      <c r="B618" s="16"/>
      <c r="C618" s="15"/>
      <c r="D618" s="16"/>
      <c r="E618" s="17"/>
      <c r="F618" s="17"/>
      <c r="H618" s="19"/>
      <c r="I618" s="47"/>
      <c r="J618" s="48"/>
      <c r="K618" s="49"/>
    </row>
    <row r="619" spans="1:11" ht="12.75" hidden="1" x14ac:dyDescent="0.2">
      <c r="A619" s="16"/>
      <c r="B619" s="16"/>
      <c r="C619" s="15"/>
      <c r="D619" s="16"/>
      <c r="E619" s="17"/>
      <c r="F619" s="17"/>
      <c r="H619" s="19"/>
      <c r="I619" s="47"/>
      <c r="J619" s="48"/>
      <c r="K619" s="49"/>
    </row>
    <row r="620" spans="1:11" ht="12.75" hidden="1" x14ac:dyDescent="0.2">
      <c r="A620" s="16"/>
      <c r="B620" s="16"/>
      <c r="C620" s="15"/>
      <c r="D620" s="16"/>
      <c r="E620" s="17"/>
      <c r="F620" s="17"/>
      <c r="H620" s="19"/>
      <c r="I620" s="47"/>
      <c r="J620" s="48"/>
      <c r="K620" s="49"/>
    </row>
    <row r="621" spans="1:11" ht="12.75" hidden="1" x14ac:dyDescent="0.2">
      <c r="A621" s="16"/>
      <c r="B621" s="16"/>
      <c r="C621" s="15"/>
      <c r="D621" s="16"/>
      <c r="E621" s="17"/>
      <c r="F621" s="17"/>
      <c r="H621" s="19"/>
      <c r="I621" s="47"/>
      <c r="J621" s="48"/>
      <c r="K621" s="49"/>
    </row>
    <row r="622" spans="1:11" ht="12.75" hidden="1" x14ac:dyDescent="0.2">
      <c r="A622" s="16"/>
      <c r="B622" s="16"/>
      <c r="C622" s="15"/>
      <c r="D622" s="16"/>
      <c r="E622" s="17"/>
      <c r="F622" s="17"/>
      <c r="H622" s="19"/>
      <c r="I622" s="47"/>
      <c r="J622" s="48"/>
      <c r="K622" s="49"/>
    </row>
    <row r="623" spans="1:11" ht="12.75" hidden="1" x14ac:dyDescent="0.2">
      <c r="A623" s="16"/>
      <c r="B623" s="16"/>
      <c r="C623" s="15"/>
      <c r="D623" s="16"/>
      <c r="E623" s="17"/>
      <c r="F623" s="17"/>
      <c r="H623" s="19"/>
      <c r="I623" s="47"/>
      <c r="J623" s="48"/>
      <c r="K623" s="49"/>
    </row>
    <row r="624" spans="1:11" ht="12.75" hidden="1" x14ac:dyDescent="0.2">
      <c r="A624" s="16"/>
      <c r="B624" s="16"/>
      <c r="C624" s="15"/>
      <c r="D624" s="16"/>
      <c r="E624" s="17"/>
      <c r="F624" s="17"/>
      <c r="H624" s="19"/>
      <c r="I624" s="47"/>
      <c r="J624" s="48"/>
      <c r="K624" s="49"/>
    </row>
    <row r="625" spans="1:11" ht="12.75" hidden="1" x14ac:dyDescent="0.2">
      <c r="A625" s="16"/>
      <c r="B625" s="16"/>
      <c r="C625" s="15"/>
      <c r="D625" s="16"/>
      <c r="E625" s="17"/>
      <c r="F625" s="17"/>
      <c r="H625" s="19"/>
      <c r="I625" s="47"/>
      <c r="J625" s="48"/>
      <c r="K625" s="49"/>
    </row>
    <row r="626" spans="1:11" ht="12.75" hidden="1" x14ac:dyDescent="0.2">
      <c r="A626" s="16"/>
      <c r="B626" s="16"/>
      <c r="C626" s="15"/>
      <c r="D626" s="16"/>
      <c r="E626" s="17"/>
      <c r="F626" s="17"/>
      <c r="H626" s="19"/>
      <c r="I626" s="47"/>
      <c r="J626" s="48"/>
      <c r="K626" s="49"/>
    </row>
    <row r="627" spans="1:11" ht="12.75" hidden="1" x14ac:dyDescent="0.2">
      <c r="A627" s="16"/>
      <c r="B627" s="16"/>
      <c r="C627" s="15"/>
      <c r="D627" s="16"/>
      <c r="E627" s="17"/>
      <c r="F627" s="17"/>
      <c r="H627" s="19"/>
      <c r="I627" s="47"/>
      <c r="J627" s="48"/>
      <c r="K627" s="49"/>
    </row>
    <row r="628" spans="1:11" ht="12.75" hidden="1" x14ac:dyDescent="0.2">
      <c r="A628" s="16"/>
      <c r="B628" s="16"/>
      <c r="C628" s="15"/>
      <c r="D628" s="16"/>
      <c r="E628" s="17"/>
      <c r="F628" s="17"/>
      <c r="H628" s="19"/>
      <c r="I628" s="47"/>
      <c r="J628" s="48"/>
      <c r="K628" s="49"/>
    </row>
    <row r="629" spans="1:11" ht="12.75" hidden="1" x14ac:dyDescent="0.2">
      <c r="A629" s="16"/>
      <c r="B629" s="16"/>
      <c r="C629" s="15"/>
      <c r="D629" s="16"/>
      <c r="E629" s="17"/>
      <c r="F629" s="17"/>
      <c r="H629" s="19"/>
      <c r="I629" s="47"/>
      <c r="J629" s="48"/>
      <c r="K629" s="49"/>
    </row>
    <row r="630" spans="1:11" ht="12.75" hidden="1" x14ac:dyDescent="0.2">
      <c r="A630" s="16"/>
      <c r="B630" s="16"/>
      <c r="C630" s="15"/>
      <c r="D630" s="16"/>
      <c r="E630" s="17"/>
      <c r="F630" s="17"/>
      <c r="H630" s="19"/>
      <c r="I630" s="47"/>
      <c r="J630" s="48"/>
      <c r="K630" s="49"/>
    </row>
    <row r="631" spans="1:11" ht="12.75" hidden="1" x14ac:dyDescent="0.2">
      <c r="A631" s="16"/>
      <c r="B631" s="16"/>
      <c r="C631" s="15"/>
      <c r="D631" s="16"/>
      <c r="E631" s="17"/>
      <c r="F631" s="17"/>
      <c r="H631" s="19"/>
      <c r="I631" s="47"/>
      <c r="J631" s="48"/>
      <c r="K631" s="49"/>
    </row>
    <row r="632" spans="1:11" ht="12.75" hidden="1" x14ac:dyDescent="0.2">
      <c r="A632" s="16"/>
      <c r="B632" s="16"/>
      <c r="C632" s="15"/>
      <c r="D632" s="16"/>
      <c r="E632" s="17"/>
      <c r="F632" s="17"/>
      <c r="H632" s="19"/>
      <c r="I632" s="47"/>
      <c r="J632" s="48"/>
      <c r="K632" s="49"/>
    </row>
    <row r="633" spans="1:11" ht="12.75" hidden="1" x14ac:dyDescent="0.2">
      <c r="A633" s="16"/>
      <c r="B633" s="16"/>
      <c r="C633" s="15"/>
      <c r="D633" s="16"/>
      <c r="E633" s="17"/>
      <c r="F633" s="17"/>
      <c r="H633" s="19"/>
      <c r="I633" s="47"/>
      <c r="J633" s="48"/>
      <c r="K633" s="49"/>
    </row>
    <row r="634" spans="1:11" ht="12.75" hidden="1" x14ac:dyDescent="0.2">
      <c r="A634" s="16"/>
      <c r="B634" s="16"/>
      <c r="C634" s="15"/>
      <c r="D634" s="16"/>
      <c r="E634" s="17"/>
      <c r="F634" s="17"/>
      <c r="H634" s="19"/>
      <c r="I634" s="47"/>
      <c r="J634" s="48"/>
      <c r="K634" s="49"/>
    </row>
    <row r="635" spans="1:11" ht="12.75" hidden="1" x14ac:dyDescent="0.2">
      <c r="A635" s="16"/>
      <c r="B635" s="16"/>
      <c r="C635" s="15"/>
      <c r="D635" s="16"/>
      <c r="E635" s="17"/>
      <c r="F635" s="17"/>
      <c r="H635" s="19"/>
      <c r="I635" s="47"/>
      <c r="J635" s="48"/>
      <c r="K635" s="49"/>
    </row>
    <row r="636" spans="1:11" ht="12.75" hidden="1" x14ac:dyDescent="0.2">
      <c r="A636" s="16"/>
      <c r="B636" s="16"/>
      <c r="C636" s="15"/>
      <c r="D636" s="16"/>
      <c r="E636" s="17"/>
      <c r="F636" s="17"/>
      <c r="H636" s="19"/>
      <c r="I636" s="47"/>
      <c r="J636" s="48"/>
      <c r="K636" s="49"/>
    </row>
    <row r="637" spans="1:11" ht="12.75" hidden="1" x14ac:dyDescent="0.2">
      <c r="A637" s="16"/>
      <c r="B637" s="16"/>
      <c r="C637" s="15"/>
      <c r="D637" s="16"/>
      <c r="E637" s="17"/>
      <c r="F637" s="17"/>
      <c r="H637" s="19"/>
      <c r="I637" s="47"/>
      <c r="J637" s="48"/>
      <c r="K637" s="49"/>
    </row>
    <row r="638" spans="1:11" ht="12.75" hidden="1" x14ac:dyDescent="0.2">
      <c r="A638" s="16"/>
      <c r="B638" s="16"/>
      <c r="C638" s="15"/>
      <c r="D638" s="16"/>
      <c r="E638" s="17"/>
      <c r="F638" s="17"/>
      <c r="H638" s="19"/>
      <c r="I638" s="47"/>
      <c r="J638" s="48"/>
      <c r="K638" s="49"/>
    </row>
    <row r="639" spans="1:11" ht="12.75" hidden="1" x14ac:dyDescent="0.2">
      <c r="A639" s="16"/>
      <c r="B639" s="16"/>
      <c r="C639" s="15"/>
      <c r="D639" s="16"/>
      <c r="E639" s="17"/>
      <c r="F639" s="17"/>
      <c r="H639" s="19"/>
      <c r="I639" s="47"/>
      <c r="J639" s="48"/>
      <c r="K639" s="49"/>
    </row>
    <row r="640" spans="1:11" ht="12.75" hidden="1" x14ac:dyDescent="0.2">
      <c r="A640" s="16"/>
      <c r="B640" s="16"/>
      <c r="C640" s="15"/>
      <c r="D640" s="16"/>
      <c r="E640" s="17"/>
      <c r="F640" s="17"/>
      <c r="H640" s="19"/>
      <c r="I640" s="47"/>
      <c r="J640" s="48"/>
      <c r="K640" s="49"/>
    </row>
    <row r="641" spans="1:11" ht="12.75" hidden="1" x14ac:dyDescent="0.2">
      <c r="A641" s="16"/>
      <c r="B641" s="16"/>
      <c r="C641" s="15"/>
      <c r="D641" s="16"/>
      <c r="E641" s="17"/>
      <c r="F641" s="17"/>
      <c r="H641" s="19"/>
      <c r="I641" s="47"/>
      <c r="J641" s="48"/>
      <c r="K641" s="49"/>
    </row>
    <row r="642" spans="1:11" ht="12.75" hidden="1" x14ac:dyDescent="0.2">
      <c r="A642" s="16"/>
      <c r="B642" s="16"/>
      <c r="C642" s="15"/>
      <c r="D642" s="16"/>
      <c r="E642" s="17"/>
      <c r="F642" s="17"/>
      <c r="H642" s="19"/>
      <c r="I642" s="47"/>
      <c r="J642" s="48"/>
      <c r="K642" s="49"/>
    </row>
    <row r="643" spans="1:11" ht="12.75" hidden="1" x14ac:dyDescent="0.2">
      <c r="A643" s="16"/>
      <c r="B643" s="16"/>
      <c r="C643" s="15"/>
      <c r="D643" s="16"/>
      <c r="E643" s="17"/>
      <c r="F643" s="17"/>
      <c r="H643" s="19"/>
      <c r="I643" s="47"/>
      <c r="J643" s="48"/>
      <c r="K643" s="49"/>
    </row>
    <row r="644" spans="1:11" ht="12.75" hidden="1" x14ac:dyDescent="0.2">
      <c r="A644" s="16"/>
      <c r="B644" s="16"/>
      <c r="C644" s="15"/>
      <c r="D644" s="16"/>
      <c r="E644" s="17"/>
      <c r="F644" s="17"/>
      <c r="H644" s="19"/>
      <c r="I644" s="47"/>
      <c r="J644" s="48"/>
      <c r="K644" s="49"/>
    </row>
    <row r="645" spans="1:11" ht="12.75" hidden="1" x14ac:dyDescent="0.2">
      <c r="A645" s="16"/>
      <c r="B645" s="16"/>
      <c r="C645" s="15"/>
      <c r="D645" s="16"/>
      <c r="E645" s="17"/>
      <c r="F645" s="17"/>
      <c r="H645" s="19"/>
      <c r="I645" s="47"/>
      <c r="J645" s="48"/>
      <c r="K645" s="49"/>
    </row>
    <row r="646" spans="1:11" ht="12.75" hidden="1" x14ac:dyDescent="0.2">
      <c r="A646" s="16"/>
      <c r="B646" s="16"/>
      <c r="C646" s="15"/>
      <c r="D646" s="16"/>
      <c r="E646" s="17"/>
      <c r="F646" s="17"/>
      <c r="H646" s="19"/>
      <c r="I646" s="47"/>
      <c r="J646" s="48"/>
      <c r="K646" s="49"/>
    </row>
    <row r="647" spans="1:11" ht="12.75" hidden="1" x14ac:dyDescent="0.2">
      <c r="A647" s="16"/>
      <c r="B647" s="16"/>
      <c r="C647" s="15"/>
      <c r="D647" s="16"/>
      <c r="E647" s="17"/>
      <c r="F647" s="17"/>
      <c r="H647" s="19"/>
      <c r="I647" s="47"/>
      <c r="J647" s="48"/>
      <c r="K647" s="49"/>
    </row>
    <row r="648" spans="1:11" ht="12.75" hidden="1" x14ac:dyDescent="0.2">
      <c r="A648" s="16"/>
      <c r="B648" s="16"/>
      <c r="C648" s="15"/>
      <c r="D648" s="16"/>
      <c r="E648" s="17"/>
      <c r="F648" s="17"/>
      <c r="H648" s="19"/>
      <c r="I648" s="47"/>
      <c r="J648" s="48"/>
      <c r="K648" s="49"/>
    </row>
    <row r="649" spans="1:11" ht="12.75" hidden="1" x14ac:dyDescent="0.2">
      <c r="A649" s="16"/>
      <c r="B649" s="16"/>
      <c r="C649" s="15"/>
      <c r="D649" s="16"/>
      <c r="E649" s="17"/>
      <c r="F649" s="17"/>
      <c r="H649" s="19"/>
      <c r="I649" s="47"/>
      <c r="J649" s="48"/>
      <c r="K649" s="49"/>
    </row>
    <row r="650" spans="1:11" ht="12.75" hidden="1" x14ac:dyDescent="0.2">
      <c r="A650" s="16"/>
      <c r="B650" s="16"/>
      <c r="C650" s="15"/>
      <c r="D650" s="16"/>
      <c r="E650" s="17"/>
      <c r="F650" s="17"/>
      <c r="H650" s="19"/>
      <c r="I650" s="47"/>
      <c r="J650" s="48"/>
      <c r="K650" s="49"/>
    </row>
    <row r="651" spans="1:11" ht="12.75" hidden="1" x14ac:dyDescent="0.2">
      <c r="A651" s="16"/>
      <c r="B651" s="16"/>
      <c r="C651" s="15"/>
      <c r="D651" s="16"/>
      <c r="E651" s="17"/>
      <c r="F651" s="17"/>
      <c r="H651" s="19"/>
      <c r="I651" s="47"/>
      <c r="J651" s="48"/>
      <c r="K651" s="49"/>
    </row>
    <row r="652" spans="1:11" ht="12.75" hidden="1" x14ac:dyDescent="0.2">
      <c r="A652" s="16"/>
      <c r="B652" s="16"/>
      <c r="C652" s="15"/>
      <c r="D652" s="16"/>
      <c r="E652" s="17"/>
      <c r="F652" s="17"/>
      <c r="H652" s="19"/>
      <c r="I652" s="47"/>
      <c r="J652" s="48"/>
      <c r="K652" s="49"/>
    </row>
    <row r="653" spans="1:11" ht="12.75" hidden="1" x14ac:dyDescent="0.2">
      <c r="A653" s="16"/>
      <c r="B653" s="16"/>
      <c r="C653" s="15"/>
      <c r="D653" s="16"/>
      <c r="E653" s="17"/>
      <c r="F653" s="17"/>
      <c r="H653" s="19"/>
      <c r="I653" s="47"/>
      <c r="J653" s="48"/>
      <c r="K653" s="49"/>
    </row>
    <row r="654" spans="1:11" ht="12.75" hidden="1" x14ac:dyDescent="0.2">
      <c r="A654" s="16"/>
      <c r="B654" s="16"/>
      <c r="C654" s="15"/>
      <c r="D654" s="16"/>
      <c r="E654" s="17"/>
      <c r="F654" s="17"/>
      <c r="H654" s="19"/>
      <c r="I654" s="47"/>
      <c r="J654" s="48"/>
      <c r="K654" s="49"/>
    </row>
    <row r="655" spans="1:11" ht="12.75" hidden="1" x14ac:dyDescent="0.2">
      <c r="A655" s="16"/>
      <c r="B655" s="16"/>
      <c r="C655" s="15"/>
      <c r="D655" s="16"/>
      <c r="E655" s="17"/>
      <c r="F655" s="17"/>
      <c r="H655" s="19"/>
      <c r="I655" s="47"/>
      <c r="J655" s="48"/>
      <c r="K655" s="49"/>
    </row>
    <row r="656" spans="1:11" ht="12.75" hidden="1" x14ac:dyDescent="0.2">
      <c r="A656" s="16"/>
      <c r="B656" s="16"/>
      <c r="C656" s="15"/>
      <c r="D656" s="16"/>
      <c r="E656" s="17"/>
      <c r="F656" s="17"/>
      <c r="H656" s="19"/>
      <c r="I656" s="47"/>
      <c r="J656" s="48"/>
      <c r="K656" s="49"/>
    </row>
    <row r="657" spans="1:11" ht="12.75" hidden="1" x14ac:dyDescent="0.2">
      <c r="A657" s="16"/>
      <c r="B657" s="16"/>
      <c r="C657" s="15"/>
      <c r="D657" s="16"/>
      <c r="E657" s="17"/>
      <c r="F657" s="17"/>
      <c r="H657" s="19"/>
      <c r="I657" s="47"/>
      <c r="J657" s="48"/>
      <c r="K657" s="49"/>
    </row>
    <row r="658" spans="1:11" ht="12.75" hidden="1" x14ac:dyDescent="0.2">
      <c r="A658" s="16"/>
      <c r="B658" s="16"/>
      <c r="C658" s="15"/>
      <c r="D658" s="16"/>
      <c r="E658" s="17"/>
      <c r="F658" s="17"/>
      <c r="H658" s="19"/>
      <c r="I658" s="47"/>
      <c r="J658" s="48"/>
      <c r="K658" s="49"/>
    </row>
    <row r="659" spans="1:11" ht="12.75" hidden="1" x14ac:dyDescent="0.2">
      <c r="A659" s="16"/>
      <c r="B659" s="16"/>
      <c r="C659" s="15"/>
      <c r="D659" s="16"/>
      <c r="E659" s="17"/>
      <c r="F659" s="17"/>
      <c r="H659" s="19"/>
      <c r="I659" s="47"/>
      <c r="J659" s="48"/>
      <c r="K659" s="49"/>
    </row>
    <row r="660" spans="1:11" ht="12.75" hidden="1" x14ac:dyDescent="0.2">
      <c r="A660" s="16"/>
      <c r="B660" s="16"/>
      <c r="C660" s="15"/>
      <c r="D660" s="16"/>
      <c r="E660" s="17"/>
      <c r="F660" s="17"/>
      <c r="H660" s="19"/>
      <c r="I660" s="47"/>
      <c r="J660" s="48"/>
      <c r="K660" s="49"/>
    </row>
    <row r="661" spans="1:11" ht="12.75" hidden="1" x14ac:dyDescent="0.2">
      <c r="A661" s="16"/>
      <c r="B661" s="16"/>
      <c r="C661" s="15"/>
      <c r="D661" s="16"/>
      <c r="E661" s="17"/>
      <c r="F661" s="17"/>
      <c r="H661" s="19"/>
      <c r="I661" s="47"/>
      <c r="J661" s="48"/>
      <c r="K661" s="49"/>
    </row>
    <row r="662" spans="1:11" ht="12.75" hidden="1" x14ac:dyDescent="0.2">
      <c r="A662" s="16"/>
      <c r="B662" s="16"/>
      <c r="C662" s="15"/>
      <c r="D662" s="16"/>
      <c r="E662" s="17"/>
      <c r="F662" s="17"/>
      <c r="H662" s="19"/>
      <c r="I662" s="47"/>
      <c r="J662" s="48"/>
      <c r="K662" s="49"/>
    </row>
    <row r="663" spans="1:11" ht="12.75" hidden="1" x14ac:dyDescent="0.2">
      <c r="A663" s="16"/>
      <c r="B663" s="16"/>
      <c r="C663" s="15"/>
      <c r="D663" s="16"/>
      <c r="E663" s="17"/>
      <c r="F663" s="17"/>
      <c r="H663" s="19"/>
      <c r="I663" s="47"/>
      <c r="J663" s="48"/>
      <c r="K663" s="49"/>
    </row>
    <row r="664" spans="1:11" ht="12.75" hidden="1" x14ac:dyDescent="0.2">
      <c r="A664" s="16"/>
      <c r="B664" s="16"/>
      <c r="C664" s="15"/>
      <c r="D664" s="16"/>
      <c r="E664" s="17"/>
      <c r="F664" s="17"/>
      <c r="H664" s="19"/>
      <c r="I664" s="47"/>
      <c r="J664" s="48"/>
      <c r="K664" s="49"/>
    </row>
    <row r="665" spans="1:11" ht="12.75" hidden="1" x14ac:dyDescent="0.2">
      <c r="A665" s="16"/>
      <c r="B665" s="16"/>
      <c r="C665" s="15"/>
      <c r="D665" s="16"/>
      <c r="E665" s="17"/>
      <c r="F665" s="17"/>
      <c r="H665" s="19"/>
      <c r="I665" s="47"/>
      <c r="J665" s="48"/>
      <c r="K665" s="49"/>
    </row>
    <row r="666" spans="1:11" ht="12.75" hidden="1" x14ac:dyDescent="0.2">
      <c r="A666" s="16"/>
      <c r="B666" s="16"/>
      <c r="C666" s="15"/>
      <c r="D666" s="16"/>
      <c r="E666" s="17"/>
      <c r="F666" s="17"/>
      <c r="H666" s="19"/>
      <c r="I666" s="47"/>
      <c r="J666" s="48"/>
      <c r="K666" s="49"/>
    </row>
    <row r="667" spans="1:11" ht="12.75" hidden="1" x14ac:dyDescent="0.2">
      <c r="A667" s="16"/>
      <c r="B667" s="16"/>
      <c r="C667" s="15"/>
      <c r="D667" s="16"/>
      <c r="E667" s="17"/>
      <c r="F667" s="17"/>
      <c r="H667" s="19"/>
      <c r="I667" s="47"/>
      <c r="J667" s="48"/>
      <c r="K667" s="49"/>
    </row>
    <row r="668" spans="1:11" ht="12.75" hidden="1" x14ac:dyDescent="0.2">
      <c r="A668" s="16"/>
      <c r="B668" s="16"/>
      <c r="C668" s="15"/>
      <c r="D668" s="16"/>
      <c r="E668" s="17"/>
      <c r="F668" s="17"/>
      <c r="H668" s="19"/>
      <c r="I668" s="47"/>
      <c r="J668" s="48"/>
      <c r="K668" s="49"/>
    </row>
    <row r="669" spans="1:11" ht="12.75" hidden="1" x14ac:dyDescent="0.2">
      <c r="A669" s="16"/>
      <c r="B669" s="16"/>
      <c r="C669" s="15"/>
      <c r="D669" s="16"/>
      <c r="E669" s="17"/>
      <c r="F669" s="17"/>
      <c r="H669" s="19"/>
      <c r="I669" s="47"/>
      <c r="J669" s="48"/>
      <c r="K669" s="49"/>
    </row>
    <row r="670" spans="1:11" ht="12.75" hidden="1" x14ac:dyDescent="0.2">
      <c r="A670" s="16"/>
      <c r="B670" s="16"/>
      <c r="C670" s="15"/>
      <c r="D670" s="16"/>
      <c r="E670" s="17"/>
      <c r="F670" s="17"/>
      <c r="H670" s="19"/>
      <c r="I670" s="47"/>
      <c r="J670" s="48"/>
      <c r="K670" s="49"/>
    </row>
    <row r="671" spans="1:11" ht="12.75" hidden="1" x14ac:dyDescent="0.2">
      <c r="A671" s="16"/>
      <c r="B671" s="16"/>
      <c r="C671" s="15"/>
      <c r="D671" s="16"/>
      <c r="E671" s="17"/>
      <c r="F671" s="17"/>
      <c r="H671" s="19"/>
      <c r="I671" s="47"/>
      <c r="J671" s="48"/>
      <c r="K671" s="49"/>
    </row>
    <row r="672" spans="1:11" ht="12.75" hidden="1" x14ac:dyDescent="0.2">
      <c r="A672" s="16"/>
      <c r="B672" s="16"/>
      <c r="C672" s="15"/>
      <c r="D672" s="16"/>
      <c r="E672" s="17"/>
      <c r="F672" s="17"/>
      <c r="H672" s="19"/>
      <c r="I672" s="47"/>
      <c r="J672" s="48"/>
      <c r="K672" s="49"/>
    </row>
    <row r="673" spans="1:11" ht="12.75" hidden="1" x14ac:dyDescent="0.2">
      <c r="A673" s="16"/>
      <c r="B673" s="16"/>
      <c r="C673" s="15"/>
      <c r="D673" s="16"/>
      <c r="E673" s="17"/>
      <c r="F673" s="17"/>
      <c r="H673" s="19"/>
      <c r="I673" s="47"/>
      <c r="J673" s="48"/>
      <c r="K673" s="49"/>
    </row>
    <row r="674" spans="1:11" ht="12.75" hidden="1" x14ac:dyDescent="0.2">
      <c r="A674" s="16"/>
      <c r="B674" s="16"/>
      <c r="C674" s="15"/>
      <c r="D674" s="16"/>
      <c r="E674" s="17"/>
      <c r="F674" s="17"/>
      <c r="H674" s="19"/>
      <c r="I674" s="47"/>
      <c r="J674" s="48"/>
      <c r="K674" s="49"/>
    </row>
    <row r="675" spans="1:11" ht="12.75" hidden="1" x14ac:dyDescent="0.2">
      <c r="A675" s="16"/>
      <c r="B675" s="16"/>
      <c r="C675" s="15"/>
      <c r="D675" s="16"/>
      <c r="E675" s="17"/>
      <c r="F675" s="17"/>
      <c r="H675" s="19"/>
      <c r="I675" s="47"/>
      <c r="J675" s="48"/>
      <c r="K675" s="49"/>
    </row>
    <row r="676" spans="1:11" ht="12.75" hidden="1" x14ac:dyDescent="0.2">
      <c r="A676" s="16"/>
      <c r="B676" s="16"/>
      <c r="C676" s="15"/>
      <c r="D676" s="16"/>
      <c r="E676" s="17"/>
      <c r="F676" s="17"/>
      <c r="H676" s="19"/>
      <c r="I676" s="47"/>
      <c r="J676" s="48"/>
      <c r="K676" s="49"/>
    </row>
    <row r="677" spans="1:11" ht="12.75" hidden="1" x14ac:dyDescent="0.2">
      <c r="A677" s="16"/>
      <c r="B677" s="16"/>
      <c r="C677" s="15"/>
      <c r="D677" s="16"/>
      <c r="E677" s="17"/>
      <c r="F677" s="17"/>
      <c r="H677" s="19"/>
      <c r="I677" s="47"/>
      <c r="J677" s="48"/>
      <c r="K677" s="49"/>
    </row>
    <row r="678" spans="1:11" ht="12.75" hidden="1" x14ac:dyDescent="0.2">
      <c r="A678" s="16"/>
      <c r="B678" s="16"/>
      <c r="C678" s="15"/>
      <c r="D678" s="16"/>
      <c r="E678" s="17"/>
      <c r="F678" s="17"/>
      <c r="H678" s="19"/>
      <c r="I678" s="47"/>
      <c r="J678" s="48"/>
      <c r="K678" s="49"/>
    </row>
    <row r="679" spans="1:11" ht="12.75" hidden="1" x14ac:dyDescent="0.2">
      <c r="A679" s="16"/>
      <c r="B679" s="16"/>
      <c r="C679" s="15"/>
      <c r="D679" s="16"/>
      <c r="E679" s="17"/>
      <c r="F679" s="17"/>
      <c r="H679" s="19"/>
      <c r="I679" s="47"/>
      <c r="J679" s="48"/>
      <c r="K679" s="49"/>
    </row>
    <row r="680" spans="1:11" ht="12.75" hidden="1" x14ac:dyDescent="0.2">
      <c r="A680" s="16"/>
      <c r="B680" s="16"/>
      <c r="C680" s="15"/>
      <c r="D680" s="16"/>
      <c r="E680" s="17"/>
      <c r="F680" s="17"/>
      <c r="H680" s="19"/>
      <c r="I680" s="47"/>
      <c r="J680" s="48"/>
      <c r="K680" s="49"/>
    </row>
    <row r="681" spans="1:11" ht="12.75" hidden="1" x14ac:dyDescent="0.2">
      <c r="A681" s="16"/>
      <c r="B681" s="16"/>
      <c r="C681" s="15"/>
      <c r="D681" s="16"/>
      <c r="E681" s="17"/>
      <c r="F681" s="17"/>
      <c r="H681" s="19"/>
      <c r="I681" s="47"/>
      <c r="J681" s="48"/>
      <c r="K681" s="49"/>
    </row>
    <row r="682" spans="1:11" ht="12.75" hidden="1" x14ac:dyDescent="0.2">
      <c r="A682" s="16"/>
      <c r="B682" s="16"/>
      <c r="C682" s="15"/>
      <c r="D682" s="16"/>
      <c r="E682" s="17"/>
      <c r="F682" s="17"/>
      <c r="H682" s="19"/>
      <c r="I682" s="47"/>
      <c r="J682" s="48"/>
      <c r="K682" s="49"/>
    </row>
    <row r="683" spans="1:11" ht="12.75" hidden="1" x14ac:dyDescent="0.2">
      <c r="A683" s="16"/>
      <c r="B683" s="16"/>
      <c r="C683" s="15"/>
      <c r="D683" s="16"/>
      <c r="E683" s="17"/>
      <c r="F683" s="17"/>
      <c r="H683" s="19"/>
      <c r="I683" s="47"/>
      <c r="J683" s="48"/>
      <c r="K683" s="49"/>
    </row>
    <row r="684" spans="1:11" ht="12.75" hidden="1" x14ac:dyDescent="0.2">
      <c r="A684" s="16"/>
      <c r="B684" s="16"/>
      <c r="C684" s="15"/>
      <c r="D684" s="16"/>
      <c r="E684" s="17"/>
      <c r="F684" s="17"/>
      <c r="H684" s="19"/>
      <c r="I684" s="47"/>
      <c r="J684" s="48"/>
      <c r="K684" s="49"/>
    </row>
    <row r="685" spans="1:11" ht="12.75" hidden="1" x14ac:dyDescent="0.2">
      <c r="A685" s="16"/>
      <c r="B685" s="16"/>
      <c r="C685" s="15"/>
      <c r="D685" s="16"/>
      <c r="E685" s="17"/>
      <c r="F685" s="17"/>
      <c r="H685" s="19"/>
      <c r="I685" s="47"/>
      <c r="J685" s="48"/>
      <c r="K685" s="49"/>
    </row>
    <row r="686" spans="1:11" ht="12.75" hidden="1" x14ac:dyDescent="0.2">
      <c r="A686" s="16"/>
      <c r="B686" s="16"/>
      <c r="C686" s="15"/>
      <c r="D686" s="16"/>
      <c r="E686" s="17"/>
      <c r="F686" s="17"/>
      <c r="H686" s="19"/>
      <c r="I686" s="47"/>
      <c r="J686" s="48"/>
      <c r="K686" s="49"/>
    </row>
    <row r="687" spans="1:11" ht="12.75" hidden="1" x14ac:dyDescent="0.2">
      <c r="A687" s="16"/>
      <c r="B687" s="16"/>
      <c r="C687" s="15"/>
      <c r="D687" s="16"/>
      <c r="E687" s="17"/>
      <c r="F687" s="17"/>
      <c r="H687" s="19"/>
      <c r="I687" s="47"/>
      <c r="J687" s="48"/>
      <c r="K687" s="49"/>
    </row>
    <row r="688" spans="1:11" ht="12.75" hidden="1" x14ac:dyDescent="0.2">
      <c r="A688" s="16"/>
      <c r="B688" s="16"/>
      <c r="C688" s="15"/>
      <c r="D688" s="16"/>
      <c r="E688" s="17"/>
      <c r="F688" s="17"/>
      <c r="H688" s="19"/>
      <c r="I688" s="47"/>
      <c r="J688" s="48"/>
      <c r="K688" s="49"/>
    </row>
    <row r="689" spans="1:11" ht="12.75" hidden="1" x14ac:dyDescent="0.2">
      <c r="A689" s="16"/>
      <c r="B689" s="16"/>
      <c r="C689" s="15"/>
      <c r="D689" s="16"/>
      <c r="E689" s="17"/>
      <c r="F689" s="17"/>
      <c r="H689" s="19"/>
      <c r="I689" s="47"/>
      <c r="J689" s="48"/>
      <c r="K689" s="49"/>
    </row>
    <row r="690" spans="1:11" ht="12.75" hidden="1" x14ac:dyDescent="0.2">
      <c r="A690" s="16"/>
      <c r="B690" s="16"/>
      <c r="C690" s="15"/>
      <c r="D690" s="16"/>
      <c r="E690" s="17"/>
      <c r="F690" s="17"/>
      <c r="H690" s="19"/>
      <c r="I690" s="47"/>
      <c r="J690" s="48"/>
      <c r="K690" s="49"/>
    </row>
    <row r="691" spans="1:11" ht="12.75" hidden="1" x14ac:dyDescent="0.2">
      <c r="A691" s="16"/>
      <c r="B691" s="16"/>
      <c r="C691" s="15"/>
      <c r="D691" s="16"/>
      <c r="E691" s="17"/>
      <c r="F691" s="17"/>
      <c r="H691" s="19"/>
      <c r="I691" s="47"/>
      <c r="J691" s="48"/>
      <c r="K691" s="49"/>
    </row>
    <row r="692" spans="1:11" ht="12.75" hidden="1" x14ac:dyDescent="0.2">
      <c r="A692" s="16"/>
      <c r="B692" s="16"/>
      <c r="C692" s="15"/>
      <c r="D692" s="16"/>
      <c r="E692" s="17"/>
      <c r="F692" s="17"/>
      <c r="H692" s="19"/>
      <c r="I692" s="47"/>
      <c r="J692" s="48"/>
      <c r="K692" s="49"/>
    </row>
    <row r="693" spans="1:11" ht="12.75" hidden="1" x14ac:dyDescent="0.2">
      <c r="A693" s="16"/>
      <c r="B693" s="16"/>
      <c r="C693" s="15"/>
      <c r="D693" s="16"/>
      <c r="E693" s="17"/>
      <c r="F693" s="17"/>
      <c r="H693" s="19"/>
      <c r="I693" s="47"/>
      <c r="J693" s="48"/>
      <c r="K693" s="49"/>
    </row>
    <row r="694" spans="1:11" ht="12.75" hidden="1" x14ac:dyDescent="0.2">
      <c r="A694" s="16"/>
      <c r="B694" s="16"/>
      <c r="C694" s="15"/>
      <c r="D694" s="16"/>
      <c r="E694" s="17"/>
      <c r="F694" s="17"/>
      <c r="H694" s="19"/>
      <c r="I694" s="47"/>
      <c r="J694" s="48"/>
      <c r="K694" s="49"/>
    </row>
    <row r="695" spans="1:11" ht="12.75" hidden="1" x14ac:dyDescent="0.2">
      <c r="A695" s="16"/>
      <c r="B695" s="16"/>
      <c r="C695" s="15"/>
      <c r="D695" s="16"/>
      <c r="E695" s="17"/>
      <c r="F695" s="17"/>
      <c r="H695" s="19"/>
      <c r="I695" s="47"/>
      <c r="J695" s="48"/>
      <c r="K695" s="49"/>
    </row>
    <row r="696" spans="1:11" ht="12.75" hidden="1" x14ac:dyDescent="0.2">
      <c r="A696" s="16"/>
      <c r="B696" s="16"/>
      <c r="C696" s="15"/>
      <c r="D696" s="16"/>
      <c r="E696" s="17"/>
      <c r="F696" s="17"/>
      <c r="H696" s="19"/>
      <c r="I696" s="47"/>
      <c r="J696" s="48"/>
      <c r="K696" s="49"/>
    </row>
    <row r="697" spans="1:11" ht="12.75" hidden="1" x14ac:dyDescent="0.2">
      <c r="A697" s="16"/>
      <c r="B697" s="16"/>
      <c r="C697" s="15"/>
      <c r="D697" s="16"/>
      <c r="E697" s="17"/>
      <c r="F697" s="17"/>
      <c r="H697" s="19"/>
      <c r="I697" s="47"/>
      <c r="J697" s="48"/>
      <c r="K697" s="49"/>
    </row>
    <row r="698" spans="1:11" ht="12.75" hidden="1" x14ac:dyDescent="0.2">
      <c r="A698" s="16"/>
      <c r="B698" s="16"/>
      <c r="C698" s="15"/>
      <c r="D698" s="16"/>
      <c r="E698" s="17"/>
      <c r="F698" s="17"/>
      <c r="H698" s="19"/>
      <c r="I698" s="47"/>
      <c r="J698" s="48"/>
      <c r="K698" s="49"/>
    </row>
    <row r="699" spans="1:11" ht="12.75" hidden="1" x14ac:dyDescent="0.2">
      <c r="A699" s="16"/>
      <c r="B699" s="16"/>
      <c r="C699" s="15"/>
      <c r="D699" s="16"/>
      <c r="E699" s="17"/>
      <c r="F699" s="17"/>
      <c r="H699" s="19"/>
      <c r="I699" s="47"/>
      <c r="J699" s="48"/>
      <c r="K699" s="49"/>
    </row>
    <row r="700" spans="1:11" ht="12.75" hidden="1" x14ac:dyDescent="0.2">
      <c r="A700" s="16"/>
      <c r="B700" s="16"/>
      <c r="C700" s="15"/>
      <c r="D700" s="16"/>
      <c r="E700" s="17"/>
      <c r="F700" s="17"/>
      <c r="H700" s="19"/>
      <c r="I700" s="47"/>
      <c r="J700" s="48"/>
      <c r="K700" s="49"/>
    </row>
    <row r="701" spans="1:11" ht="12.75" hidden="1" x14ac:dyDescent="0.2">
      <c r="A701" s="16"/>
      <c r="B701" s="16"/>
      <c r="C701" s="15"/>
      <c r="D701" s="16"/>
      <c r="E701" s="17"/>
      <c r="F701" s="17"/>
      <c r="H701" s="19"/>
      <c r="I701" s="47"/>
      <c r="J701" s="48"/>
      <c r="K701" s="49"/>
    </row>
    <row r="702" spans="1:11" ht="12.75" hidden="1" x14ac:dyDescent="0.2">
      <c r="A702" s="16"/>
      <c r="B702" s="16"/>
      <c r="C702" s="15"/>
      <c r="D702" s="16"/>
      <c r="E702" s="17"/>
      <c r="F702" s="17"/>
      <c r="H702" s="19"/>
      <c r="I702" s="47"/>
      <c r="J702" s="48"/>
      <c r="K702" s="49"/>
    </row>
    <row r="703" spans="1:11" ht="12.75" hidden="1" x14ac:dyDescent="0.2">
      <c r="A703" s="16"/>
      <c r="B703" s="16"/>
      <c r="C703" s="15"/>
      <c r="D703" s="16"/>
      <c r="E703" s="17"/>
      <c r="F703" s="17"/>
      <c r="H703" s="19"/>
      <c r="I703" s="47"/>
      <c r="J703" s="48"/>
      <c r="K703" s="49"/>
    </row>
    <row r="704" spans="1:11" ht="12.75" hidden="1" x14ac:dyDescent="0.2">
      <c r="A704" s="16"/>
      <c r="B704" s="16"/>
      <c r="C704" s="15"/>
      <c r="D704" s="16"/>
      <c r="E704" s="17"/>
      <c r="F704" s="17"/>
      <c r="H704" s="19"/>
      <c r="I704" s="47"/>
      <c r="J704" s="48"/>
      <c r="K704" s="49"/>
    </row>
    <row r="705" spans="1:11" ht="12.75" hidden="1" x14ac:dyDescent="0.2">
      <c r="A705" s="16"/>
      <c r="B705" s="16"/>
      <c r="C705" s="15"/>
      <c r="D705" s="16"/>
      <c r="E705" s="17"/>
      <c r="F705" s="17"/>
      <c r="H705" s="19"/>
      <c r="I705" s="47"/>
      <c r="J705" s="48"/>
      <c r="K705" s="49"/>
    </row>
    <row r="706" spans="1:11" ht="12.75" hidden="1" x14ac:dyDescent="0.2">
      <c r="A706" s="16"/>
      <c r="B706" s="16"/>
      <c r="C706" s="15"/>
      <c r="D706" s="16"/>
      <c r="E706" s="17"/>
      <c r="F706" s="17"/>
      <c r="H706" s="19"/>
      <c r="I706" s="47"/>
      <c r="J706" s="48"/>
      <c r="K706" s="49"/>
    </row>
    <row r="707" spans="1:11" ht="12.75" hidden="1" x14ac:dyDescent="0.2">
      <c r="A707" s="16"/>
      <c r="B707" s="16"/>
      <c r="C707" s="15"/>
      <c r="D707" s="16"/>
      <c r="E707" s="17"/>
      <c r="F707" s="17"/>
      <c r="H707" s="19"/>
      <c r="I707" s="47"/>
      <c r="J707" s="48"/>
      <c r="K707" s="49"/>
    </row>
    <row r="708" spans="1:11" ht="12.75" hidden="1" x14ac:dyDescent="0.2">
      <c r="A708" s="16"/>
      <c r="B708" s="16"/>
      <c r="C708" s="15"/>
      <c r="D708" s="16"/>
      <c r="E708" s="17"/>
      <c r="F708" s="17"/>
      <c r="H708" s="19"/>
      <c r="I708" s="47"/>
      <c r="J708" s="48"/>
      <c r="K708" s="49"/>
    </row>
    <row r="709" spans="1:11" ht="12.75" hidden="1" x14ac:dyDescent="0.2">
      <c r="A709" s="16"/>
      <c r="B709" s="16"/>
      <c r="C709" s="15"/>
      <c r="D709" s="16"/>
      <c r="E709" s="17"/>
      <c r="F709" s="17"/>
      <c r="H709" s="19"/>
      <c r="I709" s="47"/>
      <c r="J709" s="48"/>
      <c r="K709" s="49"/>
    </row>
    <row r="710" spans="1:11" ht="12.75" hidden="1" x14ac:dyDescent="0.2">
      <c r="A710" s="16"/>
      <c r="B710" s="16"/>
      <c r="C710" s="15"/>
      <c r="D710" s="16"/>
      <c r="E710" s="17"/>
      <c r="F710" s="17"/>
      <c r="H710" s="19"/>
      <c r="I710" s="47"/>
      <c r="J710" s="48"/>
      <c r="K710" s="49"/>
    </row>
    <row r="711" spans="1:11" ht="12.75" hidden="1" x14ac:dyDescent="0.2">
      <c r="A711" s="16"/>
      <c r="B711" s="16"/>
      <c r="C711" s="15"/>
      <c r="D711" s="16"/>
      <c r="E711" s="17"/>
      <c r="F711" s="17"/>
      <c r="H711" s="19"/>
      <c r="I711" s="47"/>
      <c r="J711" s="48"/>
      <c r="K711" s="49"/>
    </row>
    <row r="712" spans="1:11" ht="12.75" hidden="1" x14ac:dyDescent="0.2">
      <c r="A712" s="16"/>
      <c r="B712" s="16"/>
      <c r="C712" s="15"/>
      <c r="D712" s="16"/>
      <c r="E712" s="17"/>
      <c r="F712" s="17"/>
      <c r="H712" s="19"/>
      <c r="I712" s="47"/>
      <c r="J712" s="48"/>
      <c r="K712" s="49"/>
    </row>
    <row r="713" spans="1:11" ht="12.75" hidden="1" x14ac:dyDescent="0.2">
      <c r="A713" s="16"/>
      <c r="B713" s="16"/>
      <c r="C713" s="15"/>
      <c r="D713" s="16"/>
      <c r="E713" s="17"/>
      <c r="F713" s="17"/>
      <c r="H713" s="19"/>
      <c r="I713" s="47"/>
      <c r="J713" s="48"/>
      <c r="K713" s="49"/>
    </row>
    <row r="714" spans="1:11" ht="12.75" hidden="1" x14ac:dyDescent="0.2">
      <c r="A714" s="16"/>
      <c r="B714" s="16"/>
      <c r="C714" s="15"/>
      <c r="D714" s="16"/>
      <c r="E714" s="17"/>
      <c r="F714" s="17"/>
      <c r="H714" s="19"/>
      <c r="I714" s="47"/>
      <c r="J714" s="48"/>
      <c r="K714" s="49"/>
    </row>
    <row r="715" spans="1:11" ht="12.75" hidden="1" x14ac:dyDescent="0.2">
      <c r="A715" s="16"/>
      <c r="B715" s="16"/>
      <c r="C715" s="15"/>
      <c r="D715" s="16"/>
      <c r="E715" s="17"/>
      <c r="F715" s="17"/>
      <c r="H715" s="19"/>
      <c r="I715" s="47"/>
      <c r="J715" s="48"/>
      <c r="K715" s="49"/>
    </row>
    <row r="716" spans="1:11" ht="12.75" hidden="1" x14ac:dyDescent="0.2">
      <c r="A716" s="16"/>
      <c r="B716" s="16"/>
      <c r="C716" s="15"/>
      <c r="D716" s="16"/>
      <c r="E716" s="17"/>
      <c r="F716" s="17"/>
      <c r="H716" s="19"/>
      <c r="I716" s="47"/>
      <c r="J716" s="48"/>
      <c r="K716" s="49"/>
    </row>
    <row r="717" spans="1:11" ht="12.75" hidden="1" x14ac:dyDescent="0.2">
      <c r="A717" s="16"/>
      <c r="B717" s="16"/>
      <c r="C717" s="15"/>
      <c r="D717" s="16"/>
      <c r="E717" s="17"/>
      <c r="F717" s="17"/>
      <c r="H717" s="19"/>
      <c r="I717" s="47"/>
      <c r="J717" s="48"/>
      <c r="K717" s="49"/>
    </row>
    <row r="718" spans="1:11" ht="12.75" hidden="1" x14ac:dyDescent="0.2">
      <c r="A718" s="16"/>
      <c r="B718" s="16"/>
      <c r="C718" s="15"/>
      <c r="D718" s="16"/>
      <c r="E718" s="17"/>
      <c r="F718" s="17"/>
      <c r="H718" s="19"/>
      <c r="I718" s="47"/>
      <c r="J718" s="48"/>
      <c r="K718" s="49"/>
    </row>
    <row r="719" spans="1:11" ht="12.75" hidden="1" x14ac:dyDescent="0.2">
      <c r="A719" s="16"/>
      <c r="B719" s="16"/>
      <c r="C719" s="15"/>
      <c r="D719" s="16"/>
      <c r="E719" s="17"/>
      <c r="F719" s="17"/>
      <c r="H719" s="19"/>
      <c r="I719" s="47"/>
      <c r="J719" s="48"/>
      <c r="K719" s="49"/>
    </row>
    <row r="720" spans="1:11" ht="12.75" hidden="1" x14ac:dyDescent="0.2">
      <c r="A720" s="16"/>
      <c r="B720" s="16"/>
      <c r="C720" s="15"/>
      <c r="D720" s="16"/>
      <c r="E720" s="17"/>
      <c r="F720" s="17"/>
      <c r="H720" s="19"/>
      <c r="I720" s="47"/>
      <c r="J720" s="48"/>
      <c r="K720" s="49"/>
    </row>
    <row r="721" spans="1:11" ht="12.75" hidden="1" x14ac:dyDescent="0.2">
      <c r="A721" s="16"/>
      <c r="B721" s="16"/>
      <c r="C721" s="15"/>
      <c r="D721" s="16"/>
      <c r="E721" s="17"/>
      <c r="F721" s="17"/>
      <c r="H721" s="19"/>
      <c r="I721" s="47"/>
      <c r="J721" s="48"/>
      <c r="K721" s="49"/>
    </row>
    <row r="722" spans="1:11" ht="12.75" hidden="1" x14ac:dyDescent="0.2">
      <c r="A722" s="16"/>
      <c r="B722" s="16"/>
      <c r="C722" s="15"/>
      <c r="D722" s="16"/>
      <c r="E722" s="17"/>
      <c r="F722" s="17"/>
      <c r="H722" s="19"/>
      <c r="I722" s="47"/>
      <c r="J722" s="48"/>
      <c r="K722" s="49"/>
    </row>
    <row r="723" spans="1:11" ht="12.75" hidden="1" x14ac:dyDescent="0.2">
      <c r="A723" s="16"/>
      <c r="B723" s="16"/>
      <c r="C723" s="15"/>
      <c r="D723" s="16"/>
      <c r="E723" s="17"/>
      <c r="F723" s="17"/>
      <c r="H723" s="19"/>
      <c r="I723" s="47"/>
      <c r="J723" s="48"/>
      <c r="K723" s="49"/>
    </row>
    <row r="724" spans="1:11" ht="12.75" hidden="1" x14ac:dyDescent="0.2">
      <c r="A724" s="16"/>
      <c r="B724" s="16"/>
      <c r="C724" s="15"/>
      <c r="D724" s="16"/>
      <c r="E724" s="17"/>
      <c r="F724" s="17"/>
      <c r="H724" s="19"/>
      <c r="I724" s="47"/>
      <c r="J724" s="48"/>
      <c r="K724" s="49"/>
    </row>
    <row r="725" spans="1:11" ht="12.75" hidden="1" x14ac:dyDescent="0.2">
      <c r="A725" s="16"/>
      <c r="B725" s="16"/>
      <c r="C725" s="15"/>
      <c r="D725" s="16"/>
      <c r="E725" s="17"/>
      <c r="F725" s="17"/>
      <c r="H725" s="19"/>
      <c r="I725" s="47"/>
      <c r="J725" s="48"/>
      <c r="K725" s="49"/>
    </row>
    <row r="726" spans="1:11" ht="12.75" hidden="1" x14ac:dyDescent="0.2">
      <c r="A726" s="16"/>
      <c r="B726" s="16"/>
      <c r="C726" s="15"/>
      <c r="D726" s="16"/>
      <c r="E726" s="17"/>
      <c r="F726" s="17"/>
      <c r="H726" s="19"/>
      <c r="I726" s="47"/>
      <c r="J726" s="48"/>
      <c r="K726" s="49"/>
    </row>
    <row r="727" spans="1:11" ht="12.75" hidden="1" x14ac:dyDescent="0.2">
      <c r="A727" s="16"/>
      <c r="B727" s="16"/>
      <c r="C727" s="15"/>
      <c r="D727" s="16"/>
      <c r="E727" s="17"/>
      <c r="F727" s="17"/>
      <c r="H727" s="19"/>
      <c r="I727" s="47"/>
      <c r="J727" s="48"/>
      <c r="K727" s="49"/>
    </row>
    <row r="728" spans="1:11" ht="12.75" hidden="1" x14ac:dyDescent="0.2">
      <c r="A728" s="16"/>
      <c r="B728" s="16"/>
      <c r="C728" s="15"/>
      <c r="D728" s="16"/>
      <c r="E728" s="17"/>
      <c r="F728" s="17"/>
      <c r="H728" s="19"/>
      <c r="I728" s="47"/>
      <c r="J728" s="48"/>
      <c r="K728" s="49"/>
    </row>
    <row r="729" spans="1:11" ht="12.75" hidden="1" x14ac:dyDescent="0.2">
      <c r="A729" s="16"/>
      <c r="B729" s="16"/>
      <c r="C729" s="15"/>
      <c r="D729" s="16"/>
      <c r="E729" s="17"/>
      <c r="F729" s="17"/>
      <c r="H729" s="19"/>
      <c r="I729" s="47"/>
      <c r="J729" s="48"/>
      <c r="K729" s="49"/>
    </row>
    <row r="730" spans="1:11" ht="12.75" hidden="1" x14ac:dyDescent="0.2">
      <c r="A730" s="16"/>
      <c r="B730" s="16"/>
      <c r="C730" s="15"/>
      <c r="D730" s="16"/>
      <c r="E730" s="17"/>
      <c r="F730" s="17"/>
      <c r="H730" s="19"/>
      <c r="I730" s="47"/>
      <c r="J730" s="48"/>
      <c r="K730" s="49"/>
    </row>
    <row r="731" spans="1:11" ht="12.75" hidden="1" x14ac:dyDescent="0.2">
      <c r="A731" s="16"/>
      <c r="B731" s="16"/>
      <c r="C731" s="15"/>
      <c r="D731" s="16"/>
      <c r="E731" s="17"/>
      <c r="F731" s="17"/>
      <c r="H731" s="19"/>
      <c r="I731" s="47"/>
      <c r="J731" s="48"/>
      <c r="K731" s="49"/>
    </row>
    <row r="732" spans="1:11" ht="12.75" hidden="1" x14ac:dyDescent="0.2">
      <c r="A732" s="16"/>
      <c r="B732" s="16"/>
      <c r="C732" s="15"/>
      <c r="D732" s="16"/>
      <c r="E732" s="17"/>
      <c r="F732" s="17"/>
      <c r="H732" s="19"/>
      <c r="I732" s="47"/>
      <c r="J732" s="48"/>
      <c r="K732" s="49"/>
    </row>
    <row r="733" spans="1:11" ht="12.75" hidden="1" x14ac:dyDescent="0.2">
      <c r="A733" s="16"/>
      <c r="B733" s="16"/>
      <c r="C733" s="15"/>
      <c r="D733" s="16"/>
      <c r="E733" s="17"/>
      <c r="F733" s="17"/>
      <c r="H733" s="19"/>
      <c r="I733" s="47"/>
      <c r="J733" s="48"/>
      <c r="K733" s="49"/>
    </row>
    <row r="734" spans="1:11" ht="12.75" hidden="1" x14ac:dyDescent="0.2">
      <c r="A734" s="16"/>
      <c r="B734" s="16"/>
      <c r="C734" s="15"/>
      <c r="D734" s="16"/>
      <c r="E734" s="17"/>
      <c r="F734" s="17"/>
      <c r="H734" s="19"/>
      <c r="I734" s="47"/>
      <c r="J734" s="48"/>
      <c r="K734" s="49"/>
    </row>
    <row r="735" spans="1:11" ht="12.75" hidden="1" x14ac:dyDescent="0.2">
      <c r="A735" s="16"/>
      <c r="B735" s="16"/>
      <c r="C735" s="15"/>
      <c r="D735" s="16"/>
      <c r="E735" s="17"/>
      <c r="F735" s="17"/>
      <c r="H735" s="19"/>
      <c r="I735" s="47"/>
      <c r="J735" s="48"/>
      <c r="K735" s="49"/>
    </row>
    <row r="736" spans="1:11" ht="12.75" hidden="1" x14ac:dyDescent="0.2">
      <c r="A736" s="16"/>
      <c r="B736" s="16"/>
      <c r="C736" s="15"/>
      <c r="D736" s="16"/>
      <c r="E736" s="17"/>
      <c r="F736" s="17"/>
      <c r="H736" s="19"/>
      <c r="I736" s="47"/>
      <c r="J736" s="48"/>
      <c r="K736" s="49"/>
    </row>
    <row r="737" spans="1:11" ht="12.75" hidden="1" x14ac:dyDescent="0.2">
      <c r="A737" s="16"/>
      <c r="B737" s="16"/>
      <c r="C737" s="15"/>
      <c r="D737" s="16"/>
      <c r="E737" s="17"/>
      <c r="F737" s="17"/>
      <c r="H737" s="19"/>
      <c r="I737" s="47"/>
      <c r="J737" s="48"/>
      <c r="K737" s="49"/>
    </row>
    <row r="738" spans="1:11" ht="12.75" hidden="1" x14ac:dyDescent="0.2">
      <c r="A738" s="16"/>
      <c r="B738" s="16"/>
      <c r="C738" s="15"/>
      <c r="D738" s="16"/>
      <c r="E738" s="17"/>
      <c r="F738" s="17"/>
      <c r="H738" s="19"/>
      <c r="I738" s="47"/>
      <c r="J738" s="48"/>
      <c r="K738" s="49"/>
    </row>
    <row r="739" spans="1:11" ht="12.75" hidden="1" x14ac:dyDescent="0.2">
      <c r="A739" s="16"/>
      <c r="B739" s="16"/>
      <c r="C739" s="15"/>
      <c r="D739" s="16"/>
      <c r="E739" s="17"/>
      <c r="F739" s="17"/>
      <c r="H739" s="19"/>
      <c r="I739" s="47"/>
      <c r="J739" s="48"/>
      <c r="K739" s="49"/>
    </row>
    <row r="740" spans="1:11" ht="12.75" hidden="1" x14ac:dyDescent="0.2">
      <c r="A740" s="16"/>
      <c r="B740" s="16"/>
      <c r="C740" s="15"/>
      <c r="D740" s="16"/>
      <c r="E740" s="17"/>
      <c r="F740" s="17"/>
      <c r="H740" s="19"/>
      <c r="I740" s="47"/>
      <c r="J740" s="48"/>
      <c r="K740" s="49"/>
    </row>
    <row r="741" spans="1:11" ht="12.75" hidden="1" x14ac:dyDescent="0.2">
      <c r="A741" s="16"/>
      <c r="B741" s="16"/>
      <c r="C741" s="15"/>
      <c r="D741" s="16"/>
      <c r="E741" s="17"/>
      <c r="F741" s="17"/>
      <c r="H741" s="19"/>
      <c r="I741" s="47"/>
      <c r="J741" s="48"/>
      <c r="K741" s="49"/>
    </row>
    <row r="742" spans="1:11" ht="12.75" hidden="1" x14ac:dyDescent="0.2">
      <c r="A742" s="16"/>
      <c r="B742" s="16"/>
      <c r="C742" s="15"/>
      <c r="D742" s="16"/>
      <c r="E742" s="17"/>
      <c r="F742" s="17"/>
      <c r="H742" s="19"/>
      <c r="I742" s="47"/>
      <c r="J742" s="48"/>
      <c r="K742" s="49"/>
    </row>
    <row r="743" spans="1:11" ht="12.75" hidden="1" x14ac:dyDescent="0.2">
      <c r="A743" s="16"/>
      <c r="B743" s="16"/>
      <c r="C743" s="15"/>
      <c r="D743" s="16"/>
      <c r="E743" s="17"/>
      <c r="F743" s="17"/>
      <c r="H743" s="19"/>
      <c r="I743" s="47"/>
      <c r="J743" s="48"/>
      <c r="K743" s="49"/>
    </row>
    <row r="744" spans="1:11" ht="12.75" hidden="1" x14ac:dyDescent="0.2">
      <c r="A744" s="16"/>
      <c r="B744" s="16"/>
      <c r="C744" s="15"/>
      <c r="D744" s="16"/>
      <c r="E744" s="17"/>
      <c r="F744" s="17"/>
      <c r="H744" s="19"/>
      <c r="I744" s="47"/>
      <c r="J744" s="48"/>
      <c r="K744" s="49"/>
    </row>
    <row r="745" spans="1:11" ht="12.75" hidden="1" x14ac:dyDescent="0.2">
      <c r="A745" s="16"/>
      <c r="B745" s="16"/>
      <c r="C745" s="15"/>
      <c r="D745" s="16"/>
      <c r="E745" s="17"/>
      <c r="F745" s="17"/>
      <c r="H745" s="19"/>
      <c r="I745" s="47"/>
      <c r="J745" s="48"/>
      <c r="K745" s="49"/>
    </row>
    <row r="746" spans="1:11" ht="12.75" hidden="1" x14ac:dyDescent="0.2">
      <c r="A746" s="16"/>
      <c r="B746" s="16"/>
      <c r="C746" s="15"/>
      <c r="D746" s="16"/>
      <c r="E746" s="17"/>
      <c r="F746" s="17"/>
      <c r="H746" s="19"/>
      <c r="I746" s="47"/>
      <c r="J746" s="48"/>
      <c r="K746" s="49"/>
    </row>
    <row r="747" spans="1:11" ht="12.75" hidden="1" x14ac:dyDescent="0.2">
      <c r="A747" s="16"/>
      <c r="B747" s="16"/>
      <c r="C747" s="15"/>
      <c r="D747" s="16"/>
      <c r="E747" s="17"/>
      <c r="F747" s="17"/>
      <c r="H747" s="19"/>
      <c r="I747" s="47"/>
      <c r="J747" s="48"/>
      <c r="K747" s="49"/>
    </row>
    <row r="748" spans="1:11" ht="12.75" hidden="1" x14ac:dyDescent="0.2">
      <c r="A748" s="16"/>
      <c r="B748" s="16"/>
      <c r="C748" s="15"/>
      <c r="D748" s="16"/>
      <c r="E748" s="17"/>
      <c r="F748" s="17"/>
      <c r="H748" s="19"/>
      <c r="I748" s="47"/>
      <c r="J748" s="48"/>
      <c r="K748" s="49"/>
    </row>
    <row r="749" spans="1:11" ht="12.75" hidden="1" x14ac:dyDescent="0.2">
      <c r="A749" s="16"/>
      <c r="B749" s="16"/>
      <c r="C749" s="15"/>
      <c r="D749" s="16"/>
      <c r="E749" s="17"/>
      <c r="F749" s="17"/>
      <c r="H749" s="19"/>
      <c r="I749" s="47"/>
      <c r="J749" s="48"/>
      <c r="K749" s="49"/>
    </row>
    <row r="750" spans="1:11" ht="12.75" hidden="1" x14ac:dyDescent="0.2">
      <c r="A750" s="16"/>
      <c r="B750" s="16"/>
      <c r="C750" s="15"/>
      <c r="D750" s="16"/>
      <c r="E750" s="17"/>
      <c r="F750" s="17"/>
      <c r="H750" s="19"/>
      <c r="I750" s="47"/>
      <c r="J750" s="48"/>
      <c r="K750" s="49"/>
    </row>
    <row r="751" spans="1:11" ht="12.75" hidden="1" x14ac:dyDescent="0.2">
      <c r="A751" s="16"/>
      <c r="B751" s="16"/>
      <c r="C751" s="15"/>
      <c r="D751" s="16"/>
      <c r="E751" s="17"/>
      <c r="F751" s="17"/>
      <c r="H751" s="19"/>
      <c r="I751" s="47"/>
      <c r="J751" s="48"/>
      <c r="K751" s="49"/>
    </row>
    <row r="752" spans="1:11" ht="12.75" hidden="1" x14ac:dyDescent="0.2">
      <c r="A752" s="16"/>
      <c r="B752" s="16"/>
      <c r="C752" s="15"/>
      <c r="D752" s="16"/>
      <c r="E752" s="17"/>
      <c r="F752" s="17"/>
      <c r="H752" s="19"/>
      <c r="I752" s="47"/>
      <c r="J752" s="48"/>
      <c r="K752" s="49"/>
    </row>
    <row r="753" spans="1:11" ht="12.75" hidden="1" x14ac:dyDescent="0.2">
      <c r="A753" s="16"/>
      <c r="B753" s="16"/>
      <c r="C753" s="15"/>
      <c r="D753" s="16"/>
      <c r="E753" s="17"/>
      <c r="F753" s="17"/>
      <c r="H753" s="19"/>
      <c r="I753" s="47"/>
      <c r="J753" s="48"/>
      <c r="K753" s="49"/>
    </row>
    <row r="754" spans="1:11" ht="12.75" hidden="1" x14ac:dyDescent="0.2">
      <c r="A754" s="16"/>
      <c r="B754" s="16"/>
      <c r="C754" s="15"/>
      <c r="D754" s="16"/>
      <c r="E754" s="17"/>
      <c r="F754" s="17"/>
      <c r="H754" s="19"/>
      <c r="I754" s="47"/>
      <c r="J754" s="48"/>
      <c r="K754" s="49"/>
    </row>
    <row r="755" spans="1:11" ht="12.75" hidden="1" x14ac:dyDescent="0.2">
      <c r="A755" s="16"/>
      <c r="B755" s="16"/>
      <c r="C755" s="15"/>
      <c r="D755" s="16"/>
      <c r="E755" s="17"/>
      <c r="F755" s="17"/>
      <c r="H755" s="19"/>
      <c r="I755" s="47"/>
      <c r="J755" s="48"/>
      <c r="K755" s="49"/>
    </row>
    <row r="756" spans="1:11" ht="12.75" hidden="1" x14ac:dyDescent="0.2">
      <c r="A756" s="16"/>
      <c r="B756" s="16"/>
      <c r="C756" s="15"/>
      <c r="D756" s="16"/>
      <c r="E756" s="17"/>
      <c r="F756" s="17"/>
      <c r="H756" s="19"/>
      <c r="I756" s="47"/>
      <c r="J756" s="48"/>
      <c r="K756" s="49"/>
    </row>
    <row r="757" spans="1:11" ht="12.75" hidden="1" x14ac:dyDescent="0.2">
      <c r="A757" s="16"/>
      <c r="B757" s="16"/>
      <c r="C757" s="15"/>
      <c r="D757" s="16"/>
      <c r="E757" s="17"/>
      <c r="F757" s="17"/>
      <c r="H757" s="19"/>
      <c r="I757" s="47"/>
      <c r="J757" s="48"/>
      <c r="K757" s="49"/>
    </row>
    <row r="758" spans="1:11" ht="12.75" hidden="1" x14ac:dyDescent="0.2">
      <c r="A758" s="16"/>
      <c r="B758" s="16"/>
      <c r="C758" s="15"/>
      <c r="D758" s="16"/>
      <c r="E758" s="17"/>
      <c r="F758" s="17"/>
      <c r="H758" s="19"/>
      <c r="I758" s="47"/>
      <c r="J758" s="48"/>
      <c r="K758" s="49"/>
    </row>
    <row r="759" spans="1:11" ht="12.75" hidden="1" x14ac:dyDescent="0.2">
      <c r="A759" s="16"/>
      <c r="B759" s="16"/>
      <c r="C759" s="15"/>
      <c r="D759" s="16"/>
      <c r="E759" s="17"/>
      <c r="F759" s="17"/>
      <c r="H759" s="19"/>
      <c r="I759" s="47"/>
      <c r="J759" s="48"/>
      <c r="K759" s="49"/>
    </row>
    <row r="760" spans="1:11" ht="12.75" hidden="1" x14ac:dyDescent="0.2">
      <c r="A760" s="16"/>
      <c r="B760" s="16"/>
      <c r="C760" s="15"/>
      <c r="D760" s="16"/>
      <c r="E760" s="17"/>
      <c r="F760" s="17"/>
      <c r="H760" s="19"/>
      <c r="I760" s="47"/>
      <c r="J760" s="48"/>
      <c r="K760" s="49"/>
    </row>
    <row r="761" spans="1:11" ht="12.75" hidden="1" x14ac:dyDescent="0.2">
      <c r="A761" s="16"/>
      <c r="B761" s="16"/>
      <c r="C761" s="15"/>
      <c r="D761" s="16"/>
      <c r="E761" s="17"/>
      <c r="F761" s="17"/>
      <c r="H761" s="19"/>
      <c r="I761" s="47"/>
      <c r="J761" s="48"/>
      <c r="K761" s="49"/>
    </row>
    <row r="762" spans="1:11" ht="12.75" hidden="1" x14ac:dyDescent="0.2">
      <c r="A762" s="16"/>
      <c r="B762" s="16"/>
      <c r="C762" s="15"/>
      <c r="D762" s="16"/>
      <c r="E762" s="17"/>
      <c r="F762" s="17"/>
      <c r="H762" s="19"/>
      <c r="I762" s="47"/>
      <c r="J762" s="48"/>
      <c r="K762" s="49"/>
    </row>
    <row r="763" spans="1:11" ht="12.75" hidden="1" x14ac:dyDescent="0.2">
      <c r="A763" s="16"/>
      <c r="B763" s="16"/>
      <c r="C763" s="15"/>
      <c r="D763" s="16"/>
      <c r="E763" s="17"/>
      <c r="F763" s="17"/>
      <c r="H763" s="19"/>
      <c r="I763" s="47"/>
      <c r="J763" s="48"/>
      <c r="K763" s="49"/>
    </row>
    <row r="764" spans="1:11" ht="12.75" hidden="1" x14ac:dyDescent="0.2">
      <c r="A764" s="16"/>
      <c r="B764" s="16"/>
      <c r="C764" s="15"/>
      <c r="D764" s="16"/>
      <c r="E764" s="17"/>
      <c r="F764" s="17"/>
      <c r="H764" s="19"/>
      <c r="I764" s="47"/>
      <c r="J764" s="48"/>
      <c r="K764" s="49"/>
    </row>
    <row r="765" spans="1:11" ht="12.75" hidden="1" x14ac:dyDescent="0.2">
      <c r="A765" s="16"/>
      <c r="B765" s="16"/>
      <c r="C765" s="15"/>
      <c r="D765" s="16"/>
      <c r="E765" s="17"/>
      <c r="F765" s="17"/>
      <c r="H765" s="19"/>
      <c r="I765" s="47"/>
      <c r="J765" s="48"/>
      <c r="K765" s="49"/>
    </row>
    <row r="766" spans="1:11" ht="12.75" hidden="1" x14ac:dyDescent="0.2">
      <c r="A766" s="16"/>
      <c r="B766" s="16"/>
      <c r="C766" s="15"/>
      <c r="D766" s="16"/>
      <c r="E766" s="17"/>
      <c r="F766" s="17"/>
      <c r="H766" s="19"/>
      <c r="I766" s="47"/>
      <c r="J766" s="48"/>
      <c r="K766" s="49"/>
    </row>
    <row r="767" spans="1:11" ht="12.75" hidden="1" x14ac:dyDescent="0.2">
      <c r="A767" s="16"/>
      <c r="B767" s="16"/>
      <c r="C767" s="15"/>
      <c r="D767" s="16"/>
      <c r="E767" s="17"/>
      <c r="F767" s="17"/>
      <c r="H767" s="19"/>
      <c r="I767" s="47"/>
      <c r="J767" s="48"/>
      <c r="K767" s="49"/>
    </row>
    <row r="768" spans="1:11" ht="12.75" hidden="1" x14ac:dyDescent="0.2">
      <c r="A768" s="16"/>
      <c r="B768" s="16"/>
      <c r="C768" s="15"/>
      <c r="D768" s="16"/>
      <c r="E768" s="17"/>
      <c r="F768" s="17"/>
      <c r="H768" s="19"/>
      <c r="I768" s="47"/>
      <c r="J768" s="48"/>
      <c r="K768" s="49"/>
    </row>
    <row r="769" spans="1:11" ht="12.75" hidden="1" x14ac:dyDescent="0.2">
      <c r="A769" s="16"/>
      <c r="B769" s="16"/>
      <c r="C769" s="15"/>
      <c r="D769" s="16"/>
      <c r="E769" s="17"/>
      <c r="F769" s="17"/>
      <c r="H769" s="19"/>
      <c r="I769" s="47"/>
      <c r="J769" s="48"/>
      <c r="K769" s="49"/>
    </row>
    <row r="770" spans="1:11" ht="12.75" hidden="1" x14ac:dyDescent="0.2">
      <c r="A770" s="16"/>
      <c r="B770" s="16"/>
      <c r="C770" s="15"/>
      <c r="D770" s="16"/>
      <c r="E770" s="17"/>
      <c r="F770" s="17"/>
      <c r="H770" s="19"/>
      <c r="I770" s="47"/>
      <c r="J770" s="48"/>
      <c r="K770" s="49"/>
    </row>
    <row r="771" spans="1:11" ht="12.75" hidden="1" x14ac:dyDescent="0.2">
      <c r="A771" s="16"/>
      <c r="B771" s="16"/>
      <c r="C771" s="15"/>
      <c r="D771" s="16"/>
      <c r="E771" s="17"/>
      <c r="F771" s="17"/>
      <c r="H771" s="19"/>
      <c r="I771" s="47"/>
      <c r="J771" s="48"/>
      <c r="K771" s="49"/>
    </row>
    <row r="772" spans="1:11" ht="12.75" hidden="1" x14ac:dyDescent="0.2">
      <c r="A772" s="16"/>
      <c r="B772" s="16"/>
      <c r="C772" s="15"/>
      <c r="D772" s="16"/>
      <c r="E772" s="17"/>
      <c r="F772" s="17"/>
      <c r="H772" s="19"/>
      <c r="I772" s="47"/>
      <c r="J772" s="48"/>
      <c r="K772" s="49"/>
    </row>
    <row r="773" spans="1:11" ht="12.75" hidden="1" x14ac:dyDescent="0.2">
      <c r="A773" s="16"/>
      <c r="B773" s="16"/>
      <c r="C773" s="15"/>
      <c r="D773" s="16"/>
      <c r="E773" s="17"/>
      <c r="F773" s="17"/>
      <c r="H773" s="19"/>
      <c r="I773" s="47"/>
      <c r="J773" s="48"/>
      <c r="K773" s="49"/>
    </row>
    <row r="774" spans="1:11" ht="12.75" hidden="1" x14ac:dyDescent="0.2">
      <c r="A774" s="16"/>
      <c r="B774" s="16"/>
      <c r="C774" s="15"/>
      <c r="D774" s="16"/>
      <c r="E774" s="17"/>
      <c r="F774" s="17"/>
      <c r="H774" s="19"/>
      <c r="I774" s="47"/>
      <c r="J774" s="48"/>
      <c r="K774" s="49"/>
    </row>
    <row r="775" spans="1:11" ht="12.75" hidden="1" x14ac:dyDescent="0.2">
      <c r="A775" s="16"/>
      <c r="B775" s="16"/>
      <c r="C775" s="15"/>
      <c r="D775" s="16"/>
      <c r="E775" s="17"/>
      <c r="F775" s="17"/>
      <c r="H775" s="19"/>
      <c r="I775" s="47"/>
      <c r="J775" s="48"/>
      <c r="K775" s="49"/>
    </row>
    <row r="776" spans="1:11" ht="12.75" hidden="1" x14ac:dyDescent="0.2">
      <c r="A776" s="16"/>
      <c r="B776" s="16"/>
      <c r="C776" s="15"/>
      <c r="D776" s="16"/>
      <c r="E776" s="17"/>
      <c r="F776" s="17"/>
      <c r="H776" s="19"/>
      <c r="I776" s="47"/>
      <c r="J776" s="48"/>
      <c r="K776" s="49"/>
    </row>
    <row r="777" spans="1:11" ht="12.75" hidden="1" x14ac:dyDescent="0.2">
      <c r="A777" s="16"/>
      <c r="B777" s="16"/>
      <c r="C777" s="15"/>
      <c r="D777" s="16"/>
      <c r="E777" s="17"/>
      <c r="F777" s="17"/>
      <c r="H777" s="19"/>
      <c r="I777" s="47"/>
      <c r="J777" s="48"/>
      <c r="K777" s="49"/>
    </row>
    <row r="778" spans="1:11" ht="12.75" hidden="1" x14ac:dyDescent="0.2">
      <c r="A778" s="16"/>
      <c r="B778" s="16"/>
      <c r="C778" s="15"/>
      <c r="D778" s="16"/>
      <c r="E778" s="17"/>
      <c r="F778" s="17"/>
      <c r="H778" s="19"/>
      <c r="I778" s="47"/>
      <c r="J778" s="48"/>
      <c r="K778" s="49"/>
    </row>
    <row r="779" spans="1:11" ht="12.75" hidden="1" x14ac:dyDescent="0.2">
      <c r="A779" s="16"/>
      <c r="B779" s="16"/>
      <c r="C779" s="15"/>
      <c r="D779" s="16"/>
      <c r="E779" s="17"/>
      <c r="F779" s="17"/>
      <c r="H779" s="19"/>
      <c r="I779" s="47"/>
      <c r="J779" s="48"/>
      <c r="K779" s="49"/>
    </row>
    <row r="780" spans="1:11" ht="12.75" hidden="1" x14ac:dyDescent="0.2">
      <c r="A780" s="16"/>
      <c r="B780" s="16"/>
      <c r="C780" s="15"/>
      <c r="D780" s="16"/>
      <c r="E780" s="17"/>
      <c r="F780" s="17"/>
      <c r="H780" s="19"/>
      <c r="I780" s="47"/>
      <c r="J780" s="48"/>
      <c r="K780" s="49"/>
    </row>
    <row r="781" spans="1:11" ht="12.75" hidden="1" x14ac:dyDescent="0.2">
      <c r="A781" s="16"/>
      <c r="B781" s="16"/>
      <c r="C781" s="15"/>
      <c r="D781" s="16"/>
      <c r="E781" s="17"/>
      <c r="F781" s="17"/>
      <c r="H781" s="19"/>
      <c r="I781" s="47"/>
      <c r="J781" s="48"/>
      <c r="K781" s="49"/>
    </row>
    <row r="782" spans="1:11" ht="12.75" hidden="1" x14ac:dyDescent="0.2">
      <c r="A782" s="16"/>
      <c r="B782" s="16"/>
      <c r="C782" s="15"/>
      <c r="D782" s="16"/>
      <c r="E782" s="17"/>
      <c r="F782" s="17"/>
      <c r="H782" s="19"/>
      <c r="I782" s="47"/>
      <c r="J782" s="48"/>
      <c r="K782" s="49"/>
    </row>
    <row r="783" spans="1:11" ht="12.75" hidden="1" x14ac:dyDescent="0.2">
      <c r="A783" s="16"/>
      <c r="B783" s="16"/>
      <c r="C783" s="15"/>
      <c r="D783" s="16"/>
      <c r="E783" s="17"/>
      <c r="F783" s="17"/>
      <c r="H783" s="19"/>
      <c r="I783" s="47"/>
      <c r="J783" s="48"/>
      <c r="K783" s="49"/>
    </row>
    <row r="784" spans="1:11" ht="12.75" hidden="1" x14ac:dyDescent="0.2">
      <c r="A784" s="16"/>
      <c r="B784" s="16"/>
      <c r="C784" s="15"/>
      <c r="D784" s="16"/>
      <c r="E784" s="17"/>
      <c r="F784" s="17"/>
      <c r="H784" s="19"/>
      <c r="I784" s="47"/>
      <c r="J784" s="48"/>
      <c r="K784" s="49"/>
    </row>
    <row r="785" spans="1:11" ht="12.75" hidden="1" x14ac:dyDescent="0.2">
      <c r="A785" s="16"/>
      <c r="B785" s="16"/>
      <c r="C785" s="15"/>
      <c r="D785" s="16"/>
      <c r="E785" s="17"/>
      <c r="F785" s="17"/>
      <c r="H785" s="19"/>
      <c r="I785" s="47"/>
      <c r="J785" s="48"/>
      <c r="K785" s="49"/>
    </row>
    <row r="786" spans="1:11" ht="12.75" hidden="1" x14ac:dyDescent="0.2">
      <c r="A786" s="16"/>
      <c r="B786" s="16"/>
      <c r="C786" s="15"/>
      <c r="D786" s="16"/>
      <c r="E786" s="17"/>
      <c r="F786" s="17"/>
      <c r="H786" s="19"/>
      <c r="I786" s="47"/>
      <c r="J786" s="48"/>
      <c r="K786" s="49"/>
    </row>
    <row r="787" spans="1:11" ht="12.75" hidden="1" x14ac:dyDescent="0.2">
      <c r="A787" s="16"/>
      <c r="B787" s="16"/>
      <c r="C787" s="15"/>
      <c r="D787" s="16"/>
      <c r="E787" s="17"/>
      <c r="F787" s="17"/>
      <c r="H787" s="19"/>
      <c r="I787" s="47"/>
      <c r="J787" s="48"/>
      <c r="K787" s="49"/>
    </row>
    <row r="788" spans="1:11" ht="12.75" hidden="1" x14ac:dyDescent="0.2">
      <c r="A788" s="16"/>
      <c r="B788" s="16"/>
      <c r="C788" s="15"/>
      <c r="D788" s="16"/>
      <c r="E788" s="17"/>
      <c r="F788" s="17"/>
      <c r="H788" s="19"/>
      <c r="I788" s="47"/>
      <c r="J788" s="48"/>
      <c r="K788" s="49"/>
    </row>
    <row r="789" spans="1:11" ht="12.75" hidden="1" x14ac:dyDescent="0.2">
      <c r="A789" s="16"/>
      <c r="B789" s="16"/>
      <c r="C789" s="15"/>
      <c r="D789" s="16"/>
      <c r="E789" s="17"/>
      <c r="F789" s="17"/>
      <c r="H789" s="19"/>
      <c r="I789" s="47"/>
      <c r="J789" s="48"/>
      <c r="K789" s="49"/>
    </row>
    <row r="790" spans="1:11" ht="12.75" hidden="1" x14ac:dyDescent="0.2">
      <c r="A790" s="16"/>
      <c r="B790" s="16"/>
      <c r="C790" s="15"/>
      <c r="D790" s="16"/>
      <c r="E790" s="17"/>
      <c r="F790" s="17"/>
      <c r="H790" s="19"/>
      <c r="I790" s="47"/>
      <c r="J790" s="48"/>
      <c r="K790" s="49"/>
    </row>
    <row r="791" spans="1:11" ht="12.75" hidden="1" x14ac:dyDescent="0.2">
      <c r="A791" s="16"/>
      <c r="B791" s="16"/>
      <c r="C791" s="15"/>
      <c r="D791" s="16"/>
      <c r="E791" s="17"/>
      <c r="F791" s="17"/>
      <c r="H791" s="19"/>
      <c r="I791" s="47"/>
      <c r="J791" s="48"/>
      <c r="K791" s="49"/>
    </row>
    <row r="792" spans="1:11" ht="12.75" hidden="1" x14ac:dyDescent="0.2">
      <c r="A792" s="16"/>
      <c r="B792" s="16"/>
      <c r="C792" s="15"/>
      <c r="D792" s="16"/>
      <c r="E792" s="17"/>
      <c r="F792" s="17"/>
      <c r="H792" s="19"/>
      <c r="I792" s="47"/>
      <c r="J792" s="48"/>
      <c r="K792" s="49"/>
    </row>
    <row r="793" spans="1:11" ht="12.75" hidden="1" x14ac:dyDescent="0.2">
      <c r="A793" s="16"/>
      <c r="B793" s="16"/>
      <c r="C793" s="15"/>
      <c r="D793" s="16"/>
      <c r="E793" s="17"/>
      <c r="F793" s="17"/>
      <c r="H793" s="19"/>
      <c r="I793" s="47"/>
      <c r="J793" s="48"/>
      <c r="K793" s="49"/>
    </row>
    <row r="794" spans="1:11" ht="12.75" hidden="1" x14ac:dyDescent="0.2">
      <c r="A794" s="16"/>
      <c r="B794" s="16"/>
      <c r="C794" s="15"/>
      <c r="D794" s="16"/>
      <c r="E794" s="17"/>
      <c r="F794" s="17"/>
      <c r="H794" s="19"/>
      <c r="I794" s="47"/>
      <c r="J794" s="48"/>
      <c r="K794" s="49"/>
    </row>
    <row r="795" spans="1:11" ht="12.75" hidden="1" x14ac:dyDescent="0.2">
      <c r="A795" s="16"/>
      <c r="B795" s="16"/>
      <c r="C795" s="15"/>
      <c r="D795" s="16"/>
      <c r="E795" s="17"/>
      <c r="F795" s="17"/>
      <c r="H795" s="19"/>
      <c r="I795" s="47"/>
      <c r="J795" s="48"/>
      <c r="K795" s="49"/>
    </row>
    <row r="796" spans="1:11" ht="12.75" hidden="1" x14ac:dyDescent="0.2">
      <c r="A796" s="16"/>
      <c r="B796" s="16"/>
      <c r="C796" s="15"/>
      <c r="D796" s="16"/>
      <c r="E796" s="17"/>
      <c r="F796" s="17"/>
      <c r="H796" s="19"/>
      <c r="I796" s="47"/>
      <c r="J796" s="48"/>
      <c r="K796" s="49"/>
    </row>
    <row r="797" spans="1:11" ht="12.75" hidden="1" x14ac:dyDescent="0.2">
      <c r="A797" s="16"/>
      <c r="B797" s="16"/>
      <c r="C797" s="15"/>
      <c r="D797" s="16"/>
      <c r="E797" s="17"/>
      <c r="F797" s="17"/>
      <c r="H797" s="19"/>
      <c r="I797" s="47"/>
      <c r="J797" s="48"/>
      <c r="K797" s="49"/>
    </row>
    <row r="798" spans="1:11" ht="12.75" hidden="1" x14ac:dyDescent="0.2">
      <c r="A798" s="16"/>
      <c r="B798" s="16"/>
      <c r="C798" s="15"/>
      <c r="D798" s="16"/>
      <c r="E798" s="17"/>
      <c r="F798" s="17"/>
      <c r="H798" s="19"/>
      <c r="I798" s="47"/>
      <c r="J798" s="48"/>
      <c r="K798" s="49"/>
    </row>
    <row r="799" spans="1:11" ht="12.75" hidden="1" x14ac:dyDescent="0.2">
      <c r="A799" s="16"/>
      <c r="B799" s="16"/>
      <c r="C799" s="15"/>
      <c r="D799" s="16"/>
      <c r="E799" s="17"/>
      <c r="F799" s="17"/>
      <c r="H799" s="19"/>
      <c r="I799" s="47"/>
      <c r="J799" s="48"/>
      <c r="K799" s="49"/>
    </row>
    <row r="800" spans="1:11" ht="12.75" hidden="1" x14ac:dyDescent="0.2">
      <c r="A800" s="16"/>
      <c r="B800" s="16"/>
      <c r="C800" s="15"/>
      <c r="D800" s="16"/>
      <c r="E800" s="17"/>
      <c r="F800" s="17"/>
      <c r="H800" s="19"/>
      <c r="I800" s="47"/>
      <c r="J800" s="48"/>
      <c r="K800" s="49"/>
    </row>
    <row r="801" spans="1:11" ht="12.75" hidden="1" x14ac:dyDescent="0.2">
      <c r="A801" s="16"/>
      <c r="B801" s="16"/>
      <c r="C801" s="15"/>
      <c r="D801" s="16"/>
      <c r="E801" s="17"/>
      <c r="F801" s="17"/>
      <c r="H801" s="19"/>
      <c r="I801" s="47"/>
      <c r="J801" s="48"/>
      <c r="K801" s="49"/>
    </row>
    <row r="802" spans="1:11" ht="12.75" hidden="1" x14ac:dyDescent="0.2">
      <c r="A802" s="16"/>
      <c r="B802" s="16"/>
      <c r="C802" s="15"/>
      <c r="D802" s="16"/>
      <c r="E802" s="17"/>
      <c r="F802" s="17"/>
      <c r="H802" s="19"/>
      <c r="I802" s="47"/>
      <c r="J802" s="48"/>
      <c r="K802" s="49"/>
    </row>
    <row r="803" spans="1:11" ht="12.75" hidden="1" x14ac:dyDescent="0.2">
      <c r="A803" s="16"/>
      <c r="B803" s="16"/>
      <c r="C803" s="15"/>
      <c r="D803" s="16"/>
      <c r="E803" s="17"/>
      <c r="F803" s="17"/>
      <c r="H803" s="19"/>
      <c r="I803" s="47"/>
      <c r="J803" s="48"/>
      <c r="K803" s="49"/>
    </row>
    <row r="804" spans="1:11" ht="12.75" hidden="1" x14ac:dyDescent="0.2">
      <c r="A804" s="16"/>
      <c r="B804" s="16"/>
      <c r="C804" s="15"/>
      <c r="D804" s="16"/>
      <c r="E804" s="17"/>
      <c r="F804" s="17"/>
      <c r="H804" s="19"/>
      <c r="I804" s="47"/>
      <c r="J804" s="48"/>
      <c r="K804" s="49"/>
    </row>
    <row r="805" spans="1:11" ht="12.75" hidden="1" x14ac:dyDescent="0.2">
      <c r="A805" s="16"/>
      <c r="B805" s="16"/>
      <c r="C805" s="15"/>
      <c r="D805" s="16"/>
      <c r="E805" s="17"/>
      <c r="F805" s="17"/>
      <c r="H805" s="19"/>
      <c r="I805" s="47"/>
      <c r="J805" s="48"/>
      <c r="K805" s="49"/>
    </row>
    <row r="806" spans="1:11" ht="12.75" hidden="1" x14ac:dyDescent="0.2">
      <c r="A806" s="16"/>
      <c r="B806" s="16"/>
      <c r="C806" s="15"/>
      <c r="D806" s="16"/>
      <c r="E806" s="17"/>
      <c r="F806" s="17"/>
      <c r="H806" s="19"/>
      <c r="I806" s="47"/>
      <c r="J806" s="48"/>
      <c r="K806" s="49"/>
    </row>
    <row r="807" spans="1:11" ht="12.75" hidden="1" x14ac:dyDescent="0.2">
      <c r="A807" s="16"/>
      <c r="B807" s="16"/>
      <c r="C807" s="15"/>
      <c r="D807" s="16"/>
      <c r="E807" s="17"/>
      <c r="F807" s="17"/>
      <c r="H807" s="19"/>
      <c r="I807" s="47"/>
      <c r="J807" s="48"/>
      <c r="K807" s="49"/>
    </row>
    <row r="808" spans="1:11" ht="12.75" hidden="1" x14ac:dyDescent="0.2">
      <c r="A808" s="16"/>
      <c r="B808" s="16"/>
      <c r="C808" s="15"/>
      <c r="D808" s="16"/>
      <c r="E808" s="17"/>
      <c r="F808" s="17"/>
      <c r="H808" s="19"/>
      <c r="I808" s="47"/>
      <c r="J808" s="48"/>
      <c r="K808" s="49"/>
    </row>
    <row r="809" spans="1:11" ht="12.75" hidden="1" x14ac:dyDescent="0.2">
      <c r="A809" s="16"/>
      <c r="B809" s="16"/>
      <c r="C809" s="15"/>
      <c r="D809" s="16"/>
      <c r="E809" s="17"/>
      <c r="F809" s="17"/>
      <c r="H809" s="19"/>
      <c r="I809" s="47"/>
      <c r="J809" s="48"/>
      <c r="K809" s="49"/>
    </row>
    <row r="810" spans="1:11" ht="12.75" hidden="1" x14ac:dyDescent="0.2">
      <c r="A810" s="16"/>
      <c r="B810" s="16"/>
      <c r="C810" s="15"/>
      <c r="D810" s="16"/>
      <c r="E810" s="17"/>
      <c r="F810" s="17"/>
      <c r="H810" s="19"/>
      <c r="I810" s="47"/>
      <c r="J810" s="48"/>
      <c r="K810" s="49"/>
    </row>
    <row r="811" spans="1:11" ht="12.75" hidden="1" x14ac:dyDescent="0.2">
      <c r="A811" s="16"/>
      <c r="B811" s="16"/>
      <c r="C811" s="15"/>
      <c r="D811" s="16"/>
      <c r="E811" s="17"/>
      <c r="F811" s="17"/>
      <c r="H811" s="19"/>
      <c r="I811" s="47"/>
      <c r="J811" s="48"/>
      <c r="K811" s="49"/>
    </row>
    <row r="812" spans="1:11" ht="12.75" hidden="1" x14ac:dyDescent="0.2">
      <c r="A812" s="16"/>
      <c r="B812" s="16"/>
      <c r="C812" s="15"/>
      <c r="D812" s="16"/>
      <c r="E812" s="17"/>
      <c r="F812" s="17"/>
      <c r="H812" s="19"/>
      <c r="I812" s="47"/>
      <c r="J812" s="48"/>
      <c r="K812" s="49"/>
    </row>
    <row r="813" spans="1:11" ht="12.75" hidden="1" x14ac:dyDescent="0.2">
      <c r="A813" s="16"/>
      <c r="B813" s="16"/>
      <c r="C813" s="15"/>
      <c r="D813" s="16"/>
      <c r="E813" s="17"/>
      <c r="F813" s="17"/>
      <c r="H813" s="19"/>
      <c r="I813" s="47"/>
      <c r="J813" s="48"/>
      <c r="K813" s="49"/>
    </row>
    <row r="814" spans="1:11" ht="12.75" hidden="1" x14ac:dyDescent="0.2">
      <c r="A814" s="16"/>
      <c r="B814" s="16"/>
      <c r="C814" s="15"/>
      <c r="D814" s="16"/>
      <c r="E814" s="17"/>
      <c r="F814" s="17"/>
      <c r="H814" s="19"/>
      <c r="I814" s="47"/>
      <c r="J814" s="48"/>
      <c r="K814" s="49"/>
    </row>
    <row r="815" spans="1:11" ht="12.75" hidden="1" x14ac:dyDescent="0.2">
      <c r="A815" s="16"/>
      <c r="B815" s="16"/>
      <c r="C815" s="15"/>
      <c r="D815" s="16"/>
      <c r="E815" s="17"/>
      <c r="F815" s="17"/>
      <c r="H815" s="19"/>
      <c r="I815" s="47"/>
      <c r="J815" s="48"/>
      <c r="K815" s="49"/>
    </row>
    <row r="816" spans="1:11" ht="12.75" hidden="1" x14ac:dyDescent="0.2">
      <c r="A816" s="16"/>
      <c r="B816" s="16"/>
      <c r="C816" s="15"/>
      <c r="D816" s="16"/>
      <c r="E816" s="17"/>
      <c r="F816" s="17"/>
      <c r="H816" s="19"/>
      <c r="I816" s="47"/>
      <c r="J816" s="48"/>
      <c r="K816" s="49"/>
    </row>
    <row r="817" spans="1:11" ht="12.75" hidden="1" x14ac:dyDescent="0.2">
      <c r="A817" s="16"/>
      <c r="B817" s="16"/>
      <c r="C817" s="15"/>
      <c r="D817" s="16"/>
      <c r="E817" s="17"/>
      <c r="F817" s="17"/>
      <c r="H817" s="19"/>
      <c r="I817" s="47"/>
      <c r="J817" s="48"/>
      <c r="K817" s="49"/>
    </row>
    <row r="818" spans="1:11" ht="12.75" hidden="1" x14ac:dyDescent="0.2">
      <c r="A818" s="16"/>
      <c r="B818" s="16"/>
      <c r="C818" s="15"/>
      <c r="D818" s="16"/>
      <c r="E818" s="17"/>
      <c r="F818" s="17"/>
      <c r="H818" s="19"/>
      <c r="I818" s="47"/>
      <c r="J818" s="48"/>
      <c r="K818" s="49"/>
    </row>
    <row r="819" spans="1:11" ht="12.75" hidden="1" x14ac:dyDescent="0.2">
      <c r="A819" s="16"/>
      <c r="B819" s="16"/>
      <c r="C819" s="15"/>
      <c r="D819" s="16"/>
      <c r="E819" s="17"/>
      <c r="F819" s="17"/>
      <c r="H819" s="19"/>
      <c r="I819" s="47"/>
      <c r="J819" s="48"/>
      <c r="K819" s="49"/>
    </row>
    <row r="820" spans="1:11" ht="12.75" hidden="1" x14ac:dyDescent="0.2">
      <c r="A820" s="16"/>
      <c r="B820" s="16"/>
      <c r="C820" s="15"/>
      <c r="D820" s="16"/>
      <c r="E820" s="17"/>
      <c r="F820" s="17"/>
      <c r="H820" s="19"/>
      <c r="I820" s="47"/>
      <c r="J820" s="48"/>
      <c r="K820" s="49"/>
    </row>
    <row r="821" spans="1:11" ht="12.75" hidden="1" x14ac:dyDescent="0.2">
      <c r="A821" s="16"/>
      <c r="B821" s="16"/>
      <c r="C821" s="15"/>
      <c r="D821" s="16"/>
      <c r="E821" s="17"/>
      <c r="F821" s="17"/>
      <c r="H821" s="19"/>
      <c r="I821" s="47"/>
      <c r="J821" s="48"/>
      <c r="K821" s="49"/>
    </row>
    <row r="822" spans="1:11" ht="12.75" hidden="1" x14ac:dyDescent="0.2">
      <c r="A822" s="16"/>
      <c r="B822" s="16"/>
      <c r="C822" s="15"/>
      <c r="D822" s="16"/>
      <c r="E822" s="17"/>
      <c r="F822" s="17"/>
      <c r="H822" s="19"/>
      <c r="I822" s="47"/>
      <c r="J822" s="48"/>
      <c r="K822" s="49"/>
    </row>
    <row r="823" spans="1:11" ht="12.75" hidden="1" x14ac:dyDescent="0.2">
      <c r="A823" s="16"/>
      <c r="B823" s="16"/>
      <c r="C823" s="15"/>
      <c r="D823" s="16"/>
      <c r="E823" s="17"/>
      <c r="F823" s="17"/>
      <c r="H823" s="19"/>
      <c r="I823" s="47"/>
      <c r="J823" s="48"/>
      <c r="K823" s="49"/>
    </row>
    <row r="824" spans="1:11" ht="12.75" hidden="1" x14ac:dyDescent="0.2">
      <c r="A824" s="16"/>
      <c r="B824" s="16"/>
      <c r="C824" s="15"/>
      <c r="D824" s="16"/>
      <c r="E824" s="17"/>
      <c r="F824" s="17"/>
      <c r="H824" s="19"/>
      <c r="I824" s="47"/>
      <c r="J824" s="48"/>
      <c r="K824" s="49"/>
    </row>
    <row r="825" spans="1:11" ht="12.75" hidden="1" x14ac:dyDescent="0.2">
      <c r="A825" s="16"/>
      <c r="B825" s="16"/>
      <c r="C825" s="15"/>
      <c r="D825" s="16"/>
      <c r="E825" s="17"/>
      <c r="F825" s="17"/>
      <c r="H825" s="19"/>
      <c r="I825" s="47"/>
      <c r="J825" s="48"/>
      <c r="K825" s="49"/>
    </row>
    <row r="826" spans="1:11" ht="12.75" hidden="1" x14ac:dyDescent="0.2">
      <c r="A826" s="16"/>
      <c r="B826" s="16"/>
      <c r="C826" s="15"/>
      <c r="D826" s="16"/>
      <c r="E826" s="17"/>
      <c r="F826" s="17"/>
      <c r="H826" s="19"/>
      <c r="I826" s="47"/>
      <c r="J826" s="48"/>
      <c r="K826" s="49"/>
    </row>
    <row r="827" spans="1:11" ht="12.75" hidden="1" x14ac:dyDescent="0.2">
      <c r="A827" s="16"/>
      <c r="B827" s="16"/>
      <c r="C827" s="15"/>
      <c r="D827" s="16"/>
      <c r="E827" s="17"/>
      <c r="F827" s="17"/>
      <c r="H827" s="19"/>
      <c r="I827" s="47"/>
      <c r="J827" s="48"/>
      <c r="K827" s="49"/>
    </row>
    <row r="828" spans="1:11" ht="12.75" hidden="1" x14ac:dyDescent="0.2">
      <c r="A828" s="16"/>
      <c r="B828" s="16"/>
      <c r="C828" s="15"/>
      <c r="D828" s="16"/>
      <c r="E828" s="17"/>
      <c r="F828" s="17"/>
      <c r="H828" s="19"/>
      <c r="I828" s="47"/>
      <c r="J828" s="48"/>
      <c r="K828" s="49"/>
    </row>
    <row r="829" spans="1:11" ht="12.75" hidden="1" x14ac:dyDescent="0.2">
      <c r="A829" s="16"/>
      <c r="B829" s="16"/>
      <c r="C829" s="15"/>
      <c r="D829" s="16"/>
      <c r="E829" s="17"/>
      <c r="F829" s="17"/>
      <c r="H829" s="19"/>
      <c r="I829" s="47"/>
      <c r="J829" s="48"/>
      <c r="K829" s="49"/>
    </row>
    <row r="830" spans="1:11" ht="12.75" hidden="1" x14ac:dyDescent="0.2">
      <c r="A830" s="16"/>
      <c r="B830" s="16"/>
      <c r="C830" s="15"/>
      <c r="D830" s="16"/>
      <c r="E830" s="17"/>
      <c r="F830" s="17"/>
      <c r="H830" s="19"/>
      <c r="I830" s="47"/>
      <c r="J830" s="48"/>
      <c r="K830" s="49"/>
    </row>
    <row r="831" spans="1:11" ht="12.75" hidden="1" x14ac:dyDescent="0.2">
      <c r="A831" s="16"/>
      <c r="B831" s="16"/>
      <c r="C831" s="15"/>
      <c r="D831" s="16"/>
      <c r="E831" s="17"/>
      <c r="F831" s="17"/>
      <c r="H831" s="19"/>
      <c r="I831" s="47"/>
      <c r="J831" s="48"/>
      <c r="K831" s="49"/>
    </row>
    <row r="832" spans="1:11" ht="12.75" hidden="1" x14ac:dyDescent="0.2">
      <c r="A832" s="16"/>
      <c r="B832" s="16"/>
      <c r="C832" s="15"/>
      <c r="D832" s="16"/>
      <c r="E832" s="17"/>
      <c r="F832" s="17"/>
      <c r="H832" s="19"/>
      <c r="I832" s="47"/>
      <c r="J832" s="48"/>
      <c r="K832" s="49"/>
    </row>
    <row r="833" spans="1:11" ht="12.75" hidden="1" x14ac:dyDescent="0.2">
      <c r="A833" s="16"/>
      <c r="B833" s="16"/>
      <c r="C833" s="15"/>
      <c r="D833" s="16"/>
      <c r="E833" s="17"/>
      <c r="F833" s="17"/>
      <c r="H833" s="19"/>
      <c r="I833" s="47"/>
      <c r="J833" s="48"/>
      <c r="K833" s="49"/>
    </row>
    <row r="834" spans="1:11" ht="12.75" hidden="1" x14ac:dyDescent="0.2">
      <c r="A834" s="16"/>
      <c r="B834" s="16"/>
      <c r="C834" s="15"/>
      <c r="D834" s="16"/>
      <c r="E834" s="17"/>
      <c r="F834" s="17"/>
      <c r="H834" s="19"/>
      <c r="I834" s="47"/>
      <c r="J834" s="48"/>
      <c r="K834" s="49"/>
    </row>
    <row r="835" spans="1:11" ht="12.75" hidden="1" x14ac:dyDescent="0.2">
      <c r="A835" s="16"/>
      <c r="B835" s="16"/>
      <c r="C835" s="15"/>
      <c r="D835" s="16"/>
      <c r="E835" s="17"/>
      <c r="F835" s="17"/>
      <c r="H835" s="19"/>
      <c r="I835" s="47"/>
      <c r="J835" s="48"/>
      <c r="K835" s="49"/>
    </row>
    <row r="836" spans="1:11" ht="12.75" hidden="1" x14ac:dyDescent="0.2">
      <c r="A836" s="16"/>
      <c r="B836" s="16"/>
      <c r="C836" s="15"/>
      <c r="D836" s="16"/>
      <c r="E836" s="17"/>
      <c r="F836" s="17"/>
      <c r="H836" s="19"/>
      <c r="I836" s="47"/>
      <c r="J836" s="48"/>
      <c r="K836" s="49"/>
    </row>
    <row r="837" spans="1:11" ht="12.75" hidden="1" x14ac:dyDescent="0.2">
      <c r="A837" s="16"/>
      <c r="B837" s="16"/>
      <c r="C837" s="15"/>
      <c r="D837" s="16"/>
      <c r="E837" s="17"/>
      <c r="F837" s="17"/>
      <c r="H837" s="19"/>
      <c r="I837" s="47"/>
      <c r="J837" s="48"/>
      <c r="K837" s="49"/>
    </row>
    <row r="838" spans="1:11" ht="12.75" hidden="1" x14ac:dyDescent="0.2">
      <c r="A838" s="16"/>
      <c r="B838" s="16"/>
      <c r="C838" s="15"/>
      <c r="D838" s="16"/>
      <c r="E838" s="17"/>
      <c r="F838" s="17"/>
      <c r="H838" s="19"/>
      <c r="I838" s="47"/>
      <c r="J838" s="48"/>
      <c r="K838" s="49"/>
    </row>
    <row r="839" spans="1:11" ht="12.75" hidden="1" x14ac:dyDescent="0.2">
      <c r="A839" s="16"/>
      <c r="B839" s="16"/>
      <c r="C839" s="15"/>
      <c r="D839" s="16"/>
      <c r="E839" s="17"/>
      <c r="F839" s="17"/>
      <c r="H839" s="19"/>
      <c r="I839" s="47"/>
      <c r="J839" s="48"/>
      <c r="K839" s="49"/>
    </row>
    <row r="840" spans="1:11" ht="12.75" hidden="1" x14ac:dyDescent="0.2">
      <c r="A840" s="16"/>
      <c r="B840" s="16"/>
      <c r="C840" s="15"/>
      <c r="D840" s="16"/>
      <c r="E840" s="17"/>
      <c r="F840" s="17"/>
      <c r="H840" s="19"/>
      <c r="I840" s="47"/>
      <c r="J840" s="48"/>
      <c r="K840" s="49"/>
    </row>
    <row r="841" spans="1:11" ht="12.75" hidden="1" x14ac:dyDescent="0.2">
      <c r="A841" s="16"/>
      <c r="B841" s="16"/>
      <c r="C841" s="15"/>
      <c r="D841" s="16"/>
      <c r="E841" s="17"/>
      <c r="F841" s="17"/>
      <c r="H841" s="19"/>
      <c r="I841" s="47"/>
      <c r="J841" s="48"/>
      <c r="K841" s="49"/>
    </row>
    <row r="842" spans="1:11" ht="12.75" hidden="1" x14ac:dyDescent="0.2">
      <c r="A842" s="16"/>
      <c r="B842" s="16"/>
      <c r="C842" s="15"/>
      <c r="D842" s="16"/>
      <c r="E842" s="17"/>
      <c r="F842" s="17"/>
      <c r="H842" s="19"/>
      <c r="I842" s="47"/>
      <c r="J842" s="48"/>
      <c r="K842" s="49"/>
    </row>
    <row r="843" spans="1:11" ht="12.75" hidden="1" x14ac:dyDescent="0.2">
      <c r="A843" s="16"/>
      <c r="B843" s="16"/>
      <c r="C843" s="15"/>
      <c r="D843" s="16"/>
      <c r="E843" s="17"/>
      <c r="F843" s="17"/>
      <c r="H843" s="19"/>
      <c r="I843" s="47"/>
      <c r="J843" s="48"/>
      <c r="K843" s="49"/>
    </row>
    <row r="844" spans="1:11" ht="12.75" hidden="1" x14ac:dyDescent="0.2">
      <c r="A844" s="16"/>
      <c r="B844" s="16"/>
      <c r="C844" s="15"/>
      <c r="D844" s="16"/>
      <c r="E844" s="17"/>
      <c r="F844" s="17"/>
      <c r="H844" s="19"/>
      <c r="I844" s="47"/>
      <c r="J844" s="48"/>
      <c r="K844" s="49"/>
    </row>
    <row r="845" spans="1:11" ht="12.75" hidden="1" x14ac:dyDescent="0.2">
      <c r="A845" s="16"/>
      <c r="B845" s="16"/>
      <c r="C845" s="15"/>
      <c r="D845" s="16"/>
      <c r="E845" s="17"/>
      <c r="F845" s="17"/>
      <c r="H845" s="19"/>
      <c r="I845" s="47"/>
      <c r="J845" s="48"/>
      <c r="K845" s="49"/>
    </row>
    <row r="846" spans="1:11" ht="12.75" hidden="1" x14ac:dyDescent="0.2">
      <c r="A846" s="16"/>
      <c r="B846" s="16"/>
      <c r="C846" s="15"/>
      <c r="D846" s="16"/>
      <c r="E846" s="17"/>
      <c r="F846" s="17"/>
      <c r="H846" s="19"/>
      <c r="I846" s="47"/>
      <c r="J846" s="48"/>
      <c r="K846" s="49"/>
    </row>
    <row r="847" spans="1:11" ht="12.75" hidden="1" x14ac:dyDescent="0.2">
      <c r="A847" s="16"/>
      <c r="B847" s="16"/>
      <c r="C847" s="15"/>
      <c r="D847" s="16"/>
      <c r="E847" s="17"/>
      <c r="F847" s="17"/>
      <c r="H847" s="19"/>
      <c r="I847" s="47"/>
      <c r="J847" s="48"/>
      <c r="K847" s="49"/>
    </row>
    <row r="848" spans="1:11" ht="12.75" hidden="1" x14ac:dyDescent="0.2">
      <c r="A848" s="16"/>
      <c r="B848" s="16"/>
      <c r="C848" s="15"/>
      <c r="D848" s="16"/>
      <c r="E848" s="17"/>
      <c r="F848" s="17"/>
      <c r="H848" s="19"/>
      <c r="I848" s="47"/>
      <c r="J848" s="48"/>
      <c r="K848" s="49"/>
    </row>
    <row r="849" spans="1:11" ht="12.75" hidden="1" x14ac:dyDescent="0.2">
      <c r="A849" s="16"/>
      <c r="B849" s="16"/>
      <c r="C849" s="15"/>
      <c r="D849" s="16"/>
      <c r="E849" s="17"/>
      <c r="F849" s="17"/>
      <c r="H849" s="19"/>
      <c r="I849" s="47"/>
      <c r="J849" s="48"/>
      <c r="K849" s="49"/>
    </row>
    <row r="850" spans="1:11" ht="12.75" hidden="1" x14ac:dyDescent="0.2">
      <c r="A850" s="16"/>
      <c r="B850" s="16"/>
      <c r="C850" s="15"/>
      <c r="D850" s="16"/>
      <c r="E850" s="17"/>
      <c r="F850" s="17"/>
      <c r="H850" s="19"/>
      <c r="I850" s="47"/>
      <c r="J850" s="48"/>
      <c r="K850" s="49"/>
    </row>
    <row r="851" spans="1:11" ht="12.75" hidden="1" x14ac:dyDescent="0.2">
      <c r="A851" s="16"/>
      <c r="B851" s="16"/>
      <c r="C851" s="15"/>
      <c r="D851" s="16"/>
      <c r="E851" s="17"/>
      <c r="F851" s="17"/>
      <c r="H851" s="19"/>
      <c r="I851" s="47"/>
      <c r="J851" s="48"/>
      <c r="K851" s="49"/>
    </row>
    <row r="852" spans="1:11" ht="12.75" hidden="1" x14ac:dyDescent="0.2">
      <c r="A852" s="16"/>
      <c r="B852" s="16"/>
      <c r="C852" s="15"/>
      <c r="D852" s="16"/>
      <c r="E852" s="17"/>
      <c r="F852" s="17"/>
      <c r="H852" s="19"/>
      <c r="I852" s="47"/>
      <c r="J852" s="48"/>
      <c r="K852" s="49"/>
    </row>
    <row r="853" spans="1:11" ht="12.75" hidden="1" x14ac:dyDescent="0.2">
      <c r="A853" s="16"/>
      <c r="B853" s="16"/>
      <c r="C853" s="15"/>
      <c r="D853" s="16"/>
      <c r="E853" s="17"/>
      <c r="F853" s="17"/>
      <c r="H853" s="50"/>
      <c r="I853" s="51"/>
      <c r="J853" s="52"/>
      <c r="K853" s="53"/>
    </row>
  </sheetData>
  <autoFilter ref="A6:I215" xr:uid="{00000000-0009-0000-0000-00000A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1 C7:C215">
    <cfRule type="cellIs" dxfId="17" priority="1" operator="lessThan">
      <formula>"90%"</formula>
    </cfRule>
    <cfRule type="cellIs" dxfId="16" priority="2" operator="lessThan">
      <formula>"94%"</formula>
    </cfRule>
  </conditionalFormatting>
  <conditionalFormatting sqref="C6:C853">
    <cfRule type="cellIs" dxfId="15" priority="4" operator="lessThan">
      <formula>"92%"</formula>
    </cfRule>
  </conditionalFormatting>
  <conditionalFormatting sqref="K1:K853">
    <cfRule type="cellIs" dxfId="14" priority="3" operator="lessThan">
      <formula>0</formula>
    </cfRule>
  </conditionalFormatting>
  <dataValidations count="1">
    <dataValidation type="list" allowBlank="1" sqref="E7:E215" xr:uid="{00000000-0002-0000-0A00-000000000000}">
      <formula1>"Weather,Health,Safety,Other"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73763"/>
    <outlinePr summaryBelow="0" summaryRight="0"/>
  </sheetPr>
  <dimension ref="A1:K853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15.85546875" customWidth="1"/>
    <col min="6" max="6" width="16.7109375" customWidth="1"/>
    <col min="7" max="7" width="12.42578125" customWidth="1"/>
    <col min="8" max="10" width="16.28515625" customWidth="1"/>
    <col min="11" max="11" width="17.42578125" customWidth="1"/>
  </cols>
  <sheetData>
    <row r="1" spans="1:11" ht="26.25" x14ac:dyDescent="0.35">
      <c r="A1" s="1"/>
      <c r="B1" s="1"/>
      <c r="C1" s="1"/>
      <c r="D1" s="1"/>
      <c r="E1" s="1"/>
      <c r="F1" s="1"/>
      <c r="G1" s="1"/>
      <c r="H1" s="2"/>
      <c r="I1" s="2"/>
      <c r="J1" s="3"/>
      <c r="K1" s="55" t="e">
        <f>SUM(K7:K215)</f>
        <v>#REF!</v>
      </c>
    </row>
    <row r="2" spans="1:11" x14ac:dyDescent="0.25">
      <c r="A2" s="122" t="s">
        <v>246</v>
      </c>
      <c r="B2" s="119"/>
      <c r="C2" s="119"/>
      <c r="D2" s="119"/>
      <c r="E2" s="119"/>
      <c r="F2" s="119"/>
      <c r="G2" s="119"/>
      <c r="H2" s="123" t="s">
        <v>0</v>
      </c>
      <c r="I2" s="124"/>
      <c r="J2" s="5" t="s">
        <v>9</v>
      </c>
      <c r="K2" s="125" t="s">
        <v>247</v>
      </c>
    </row>
    <row r="3" spans="1:11" ht="23.25" x14ac:dyDescent="0.3">
      <c r="A3" s="119"/>
      <c r="B3" s="119"/>
      <c r="C3" s="119"/>
      <c r="D3" s="119"/>
      <c r="E3" s="119"/>
      <c r="F3" s="119"/>
      <c r="G3" s="119"/>
      <c r="H3" s="126">
        <f>SUM(I7:I128)</f>
        <v>190510.47950000004</v>
      </c>
      <c r="I3" s="124"/>
      <c r="J3" s="127">
        <v>0.95</v>
      </c>
      <c r="K3" s="124"/>
    </row>
    <row r="4" spans="1:11" ht="12.75" x14ac:dyDescent="0.2">
      <c r="A4" s="119"/>
      <c r="B4" s="119"/>
      <c r="C4" s="119"/>
      <c r="D4" s="119"/>
      <c r="E4" s="119"/>
      <c r="F4" s="119"/>
      <c r="G4" s="119"/>
      <c r="H4" s="129" t="s">
        <v>11</v>
      </c>
      <c r="I4" s="119"/>
      <c r="J4" s="128"/>
      <c r="K4" s="124"/>
    </row>
    <row r="5" spans="1:11" ht="15" x14ac:dyDescent="0.35">
      <c r="A5" s="119"/>
      <c r="B5" s="119"/>
      <c r="C5" s="119"/>
      <c r="D5" s="119"/>
      <c r="E5" s="119"/>
      <c r="F5" s="119"/>
      <c r="G5" s="119"/>
      <c r="H5" s="130">
        <v>55</v>
      </c>
      <c r="I5" s="119"/>
      <c r="J5" s="128"/>
      <c r="K5" s="124"/>
    </row>
    <row r="6" spans="1:11" ht="24" x14ac:dyDescent="0.2">
      <c r="A6" s="6" t="s">
        <v>12</v>
      </c>
      <c r="B6" s="7" t="s">
        <v>13</v>
      </c>
      <c r="C6" s="8" t="s">
        <v>14</v>
      </c>
      <c r="D6" s="7" t="s">
        <v>15</v>
      </c>
      <c r="E6" s="9" t="s">
        <v>16</v>
      </c>
      <c r="F6" s="7" t="s">
        <v>17</v>
      </c>
      <c r="G6" s="7" t="s">
        <v>18</v>
      </c>
      <c r="H6" s="10" t="s">
        <v>19</v>
      </c>
      <c r="I6" s="11" t="s">
        <v>20</v>
      </c>
      <c r="J6" s="12" t="s">
        <v>21</v>
      </c>
      <c r="K6" s="124"/>
    </row>
    <row r="7" spans="1:11" ht="12.75" x14ac:dyDescent="0.2">
      <c r="A7" s="13">
        <v>45516</v>
      </c>
      <c r="B7" s="14" t="s">
        <v>3</v>
      </c>
      <c r="C7" s="15">
        <v>1</v>
      </c>
      <c r="D7" s="16" t="s">
        <v>22</v>
      </c>
      <c r="E7" s="17"/>
      <c r="F7" s="17"/>
      <c r="G7" s="18">
        <v>524</v>
      </c>
      <c r="H7" s="19">
        <f t="shared" ref="H7:H143" si="0">G7-(C7*G7)</f>
        <v>0</v>
      </c>
      <c r="I7" s="20">
        <f t="shared" ref="I7:I215" si="1">H7*$H$5</f>
        <v>0</v>
      </c>
      <c r="J7" s="21">
        <v>0</v>
      </c>
      <c r="K7" s="22">
        <f t="shared" ref="K7:K215" si="2">J7-H7</f>
        <v>0</v>
      </c>
    </row>
    <row r="8" spans="1:11" ht="12.75" x14ac:dyDescent="0.2">
      <c r="A8" s="13">
        <v>45517</v>
      </c>
      <c r="B8" s="14" t="s">
        <v>4</v>
      </c>
      <c r="C8" s="15">
        <v>0.97599999999999998</v>
      </c>
      <c r="D8" s="16" t="s">
        <v>22</v>
      </c>
      <c r="E8" s="17"/>
      <c r="F8" s="17"/>
      <c r="G8" s="18">
        <v>541</v>
      </c>
      <c r="H8" s="19">
        <f t="shared" si="0"/>
        <v>12.984000000000037</v>
      </c>
      <c r="I8" s="20">
        <f t="shared" si="1"/>
        <v>714.12000000000205</v>
      </c>
      <c r="J8" s="21">
        <f t="shared" ref="J8:J215" si="3">G8-(G8*J$3)</f>
        <v>27.050000000000068</v>
      </c>
      <c r="K8" s="22">
        <f t="shared" si="2"/>
        <v>14.066000000000031</v>
      </c>
    </row>
    <row r="9" spans="1:11" ht="12.75" x14ac:dyDescent="0.2">
      <c r="A9" s="13">
        <v>45518</v>
      </c>
      <c r="B9" s="14" t="s">
        <v>5</v>
      </c>
      <c r="C9" s="15">
        <v>0.98770000000000002</v>
      </c>
      <c r="D9" s="16" t="s">
        <v>22</v>
      </c>
      <c r="E9" s="17"/>
      <c r="F9" s="17"/>
      <c r="G9" s="18">
        <v>571</v>
      </c>
      <c r="H9" s="19">
        <f t="shared" si="0"/>
        <v>7.0232999999999493</v>
      </c>
      <c r="I9" s="20">
        <f t="shared" si="1"/>
        <v>386.28149999999721</v>
      </c>
      <c r="J9" s="21">
        <f t="shared" si="3"/>
        <v>28.550000000000068</v>
      </c>
      <c r="K9" s="22">
        <f t="shared" si="2"/>
        <v>21.526700000000119</v>
      </c>
    </row>
    <row r="10" spans="1:11" ht="12.75" x14ac:dyDescent="0.2">
      <c r="A10" s="13">
        <v>45519</v>
      </c>
      <c r="B10" s="14" t="s">
        <v>6</v>
      </c>
      <c r="C10" s="15">
        <v>0.97260000000000002</v>
      </c>
      <c r="D10" s="16" t="s">
        <v>22</v>
      </c>
      <c r="E10" s="17"/>
      <c r="F10" s="17"/>
      <c r="G10" s="18">
        <v>583</v>
      </c>
      <c r="H10" s="19">
        <f t="shared" si="0"/>
        <v>15.974199999999996</v>
      </c>
      <c r="I10" s="20">
        <f t="shared" si="1"/>
        <v>878.58099999999979</v>
      </c>
      <c r="J10" s="21">
        <f t="shared" si="3"/>
        <v>29.149999999999977</v>
      </c>
      <c r="K10" s="22">
        <f t="shared" si="2"/>
        <v>13.175799999999981</v>
      </c>
    </row>
    <row r="11" spans="1:11" ht="12.75" x14ac:dyDescent="0.2">
      <c r="A11" s="13">
        <v>45520</v>
      </c>
      <c r="B11" s="14" t="s">
        <v>7</v>
      </c>
      <c r="C11" s="15">
        <v>0.95030000000000003</v>
      </c>
      <c r="D11" s="16" t="s">
        <v>22</v>
      </c>
      <c r="E11" s="17"/>
      <c r="F11" s="17"/>
      <c r="G11" s="18">
        <v>583</v>
      </c>
      <c r="H11" s="19">
        <f t="shared" si="0"/>
        <v>28.975099999999998</v>
      </c>
      <c r="I11" s="20">
        <f t="shared" si="1"/>
        <v>1593.6304999999998</v>
      </c>
      <c r="J11" s="21">
        <f t="shared" si="3"/>
        <v>29.149999999999977</v>
      </c>
      <c r="K11" s="22">
        <f t="shared" si="2"/>
        <v>0.17489999999997963</v>
      </c>
    </row>
    <row r="12" spans="1:11" ht="12.75" x14ac:dyDescent="0.2">
      <c r="A12" s="13">
        <v>45523</v>
      </c>
      <c r="B12" s="14" t="s">
        <v>3</v>
      </c>
      <c r="C12" s="15">
        <v>0.95569999999999999</v>
      </c>
      <c r="D12" s="16" t="s">
        <v>22</v>
      </c>
      <c r="E12" s="17"/>
      <c r="F12" s="17"/>
      <c r="G12" s="18">
        <v>587</v>
      </c>
      <c r="H12" s="19">
        <f t="shared" si="0"/>
        <v>26.004099999999994</v>
      </c>
      <c r="I12" s="20">
        <f t="shared" si="1"/>
        <v>1430.2254999999996</v>
      </c>
      <c r="J12" s="21">
        <f t="shared" si="3"/>
        <v>29.350000000000023</v>
      </c>
      <c r="K12" s="22">
        <f t="shared" si="2"/>
        <v>3.3459000000000287</v>
      </c>
    </row>
    <row r="13" spans="1:11" ht="12.75" x14ac:dyDescent="0.2">
      <c r="A13" s="13">
        <v>45524</v>
      </c>
      <c r="B13" s="14" t="s">
        <v>4</v>
      </c>
      <c r="C13" s="15">
        <v>0.95250000000000001</v>
      </c>
      <c r="D13" s="16" t="s">
        <v>22</v>
      </c>
      <c r="E13" s="17"/>
      <c r="F13" s="17"/>
      <c r="G13" s="18">
        <v>589</v>
      </c>
      <c r="H13" s="19">
        <f t="shared" si="0"/>
        <v>27.977499999999964</v>
      </c>
      <c r="I13" s="20">
        <f t="shared" si="1"/>
        <v>1538.762499999998</v>
      </c>
      <c r="J13" s="21">
        <f t="shared" si="3"/>
        <v>29.450000000000045</v>
      </c>
      <c r="K13" s="22">
        <f t="shared" si="2"/>
        <v>1.4725000000000819</v>
      </c>
    </row>
    <row r="14" spans="1:11" ht="12.75" x14ac:dyDescent="0.2">
      <c r="A14" s="13">
        <v>45525</v>
      </c>
      <c r="B14" s="14" t="s">
        <v>5</v>
      </c>
      <c r="C14" s="15">
        <v>0.96950000000000003</v>
      </c>
      <c r="D14" s="16" t="s">
        <v>22</v>
      </c>
      <c r="E14" s="17"/>
      <c r="F14" s="17"/>
      <c r="G14" s="18">
        <v>590</v>
      </c>
      <c r="H14" s="19">
        <f t="shared" si="0"/>
        <v>17.995000000000005</v>
      </c>
      <c r="I14" s="20">
        <f t="shared" si="1"/>
        <v>989.72500000000025</v>
      </c>
      <c r="J14" s="21">
        <f t="shared" si="3"/>
        <v>29.5</v>
      </c>
      <c r="K14" s="22">
        <f t="shared" si="2"/>
        <v>11.504999999999995</v>
      </c>
    </row>
    <row r="15" spans="1:11" ht="12.75" x14ac:dyDescent="0.2">
      <c r="A15" s="13">
        <v>45526</v>
      </c>
      <c r="B15" s="14" t="s">
        <v>6</v>
      </c>
      <c r="C15" s="15">
        <v>0.95109999999999995</v>
      </c>
      <c r="D15" s="16" t="s">
        <v>22</v>
      </c>
      <c r="E15" s="17"/>
      <c r="F15" s="17"/>
      <c r="G15" s="18">
        <v>593</v>
      </c>
      <c r="H15" s="19">
        <f t="shared" si="0"/>
        <v>28.997700000000009</v>
      </c>
      <c r="I15" s="20">
        <f t="shared" si="1"/>
        <v>1594.8735000000006</v>
      </c>
      <c r="J15" s="21">
        <f t="shared" si="3"/>
        <v>29.649999999999977</v>
      </c>
      <c r="K15" s="22">
        <f t="shared" si="2"/>
        <v>0.65229999999996835</v>
      </c>
    </row>
    <row r="16" spans="1:11" ht="12.75" x14ac:dyDescent="0.2">
      <c r="A16" s="13">
        <v>45527</v>
      </c>
      <c r="B16" s="14" t="s">
        <v>7</v>
      </c>
      <c r="C16" s="15">
        <v>0.92220000000000002</v>
      </c>
      <c r="D16" s="16" t="s">
        <v>22</v>
      </c>
      <c r="E16" s="17"/>
      <c r="F16" s="17"/>
      <c r="G16" s="18">
        <v>591</v>
      </c>
      <c r="H16" s="19">
        <f t="shared" si="0"/>
        <v>45.979799999999955</v>
      </c>
      <c r="I16" s="20">
        <f t="shared" si="1"/>
        <v>2528.8889999999974</v>
      </c>
      <c r="J16" s="21">
        <f t="shared" si="3"/>
        <v>29.550000000000068</v>
      </c>
      <c r="K16" s="22">
        <f t="shared" si="2"/>
        <v>-16.429799999999886</v>
      </c>
    </row>
    <row r="17" spans="1:11" ht="12.75" x14ac:dyDescent="0.2">
      <c r="A17" s="13">
        <v>45530</v>
      </c>
      <c r="B17" s="14" t="s">
        <v>3</v>
      </c>
      <c r="C17" s="15">
        <v>0.9546</v>
      </c>
      <c r="D17" s="16" t="s">
        <v>22</v>
      </c>
      <c r="E17" s="17"/>
      <c r="F17" s="17"/>
      <c r="G17" s="18">
        <v>595</v>
      </c>
      <c r="H17" s="19">
        <f t="shared" si="0"/>
        <v>27.013000000000034</v>
      </c>
      <c r="I17" s="20">
        <f t="shared" si="1"/>
        <v>1485.715000000002</v>
      </c>
      <c r="J17" s="21">
        <f t="shared" si="3"/>
        <v>29.75</v>
      </c>
      <c r="K17" s="22">
        <f t="shared" si="2"/>
        <v>2.7369999999999663</v>
      </c>
    </row>
    <row r="18" spans="1:11" ht="12.75" x14ac:dyDescent="0.2">
      <c r="A18" s="13">
        <v>45531</v>
      </c>
      <c r="B18" s="14" t="s">
        <v>4</v>
      </c>
      <c r="C18" s="15">
        <v>0.94289999999999996</v>
      </c>
      <c r="D18" s="16" t="s">
        <v>22</v>
      </c>
      <c r="E18" s="17"/>
      <c r="F18" s="17"/>
      <c r="G18" s="18">
        <v>595</v>
      </c>
      <c r="H18" s="19">
        <f t="shared" si="0"/>
        <v>33.974500000000035</v>
      </c>
      <c r="I18" s="20">
        <f t="shared" si="1"/>
        <v>1868.5975000000019</v>
      </c>
      <c r="J18" s="21">
        <f t="shared" si="3"/>
        <v>29.75</v>
      </c>
      <c r="K18" s="22">
        <f t="shared" si="2"/>
        <v>-4.2245000000000346</v>
      </c>
    </row>
    <row r="19" spans="1:11" ht="12.75" x14ac:dyDescent="0.2">
      <c r="A19" s="13">
        <v>45532</v>
      </c>
      <c r="B19" s="14" t="s">
        <v>5</v>
      </c>
      <c r="C19" s="15">
        <v>0.95299999999999996</v>
      </c>
      <c r="D19" s="16" t="s">
        <v>22</v>
      </c>
      <c r="E19" s="17"/>
      <c r="F19" s="23"/>
      <c r="G19" s="18">
        <v>596</v>
      </c>
      <c r="H19" s="19">
        <f t="shared" si="0"/>
        <v>28.012000000000057</v>
      </c>
      <c r="I19" s="20">
        <f t="shared" si="1"/>
        <v>1540.660000000003</v>
      </c>
      <c r="J19" s="21">
        <f t="shared" si="3"/>
        <v>29.800000000000068</v>
      </c>
      <c r="K19" s="22">
        <f t="shared" si="2"/>
        <v>1.7880000000000109</v>
      </c>
    </row>
    <row r="20" spans="1:11" ht="12.75" x14ac:dyDescent="0.2">
      <c r="A20" s="13">
        <v>45533</v>
      </c>
      <c r="B20" s="14" t="s">
        <v>6</v>
      </c>
      <c r="C20" s="15">
        <v>0.94320000000000004</v>
      </c>
      <c r="D20" s="16" t="s">
        <v>22</v>
      </c>
      <c r="E20" s="17"/>
      <c r="F20" s="17"/>
      <c r="G20" s="18">
        <v>599</v>
      </c>
      <c r="H20" s="19">
        <f t="shared" si="0"/>
        <v>34.023199999999974</v>
      </c>
      <c r="I20" s="20">
        <f t="shared" si="1"/>
        <v>1871.2759999999985</v>
      </c>
      <c r="J20" s="21">
        <f t="shared" si="3"/>
        <v>29.950000000000045</v>
      </c>
      <c r="K20" s="22">
        <f t="shared" si="2"/>
        <v>-4.0731999999999289</v>
      </c>
    </row>
    <row r="21" spans="1:11" ht="12.75" x14ac:dyDescent="0.2">
      <c r="A21" s="13">
        <v>45534</v>
      </c>
      <c r="B21" s="14" t="s">
        <v>7</v>
      </c>
      <c r="C21" s="15">
        <v>0.90480000000000005</v>
      </c>
      <c r="D21" s="16" t="s">
        <v>22</v>
      </c>
      <c r="E21" s="17"/>
      <c r="F21" s="17"/>
      <c r="G21" s="18">
        <v>599</v>
      </c>
      <c r="H21" s="19">
        <f t="shared" si="0"/>
        <v>57.024800000000027</v>
      </c>
      <c r="I21" s="20">
        <f t="shared" si="1"/>
        <v>3136.3640000000014</v>
      </c>
      <c r="J21" s="21">
        <f t="shared" si="3"/>
        <v>29.950000000000045</v>
      </c>
      <c r="K21" s="22">
        <f t="shared" si="2"/>
        <v>-27.074799999999982</v>
      </c>
    </row>
    <row r="22" spans="1:11" ht="12.75" x14ac:dyDescent="0.2">
      <c r="A22" s="24">
        <v>45537</v>
      </c>
      <c r="B22" s="25" t="s">
        <v>3</v>
      </c>
      <c r="C22" s="26"/>
      <c r="D22" s="27"/>
      <c r="E22" s="28"/>
      <c r="F22" s="28"/>
      <c r="G22" s="29"/>
      <c r="H22" s="19">
        <f t="shared" si="0"/>
        <v>0</v>
      </c>
      <c r="I22" s="20">
        <f t="shared" si="1"/>
        <v>0</v>
      </c>
      <c r="J22" s="21">
        <f t="shared" si="3"/>
        <v>0</v>
      </c>
      <c r="K22" s="22">
        <f t="shared" si="2"/>
        <v>0</v>
      </c>
    </row>
    <row r="23" spans="1:11" ht="12.75" x14ac:dyDescent="0.2">
      <c r="A23" s="13">
        <v>45538</v>
      </c>
      <c r="B23" s="14" t="s">
        <v>4</v>
      </c>
      <c r="C23" s="15">
        <v>0.95330000000000004</v>
      </c>
      <c r="D23" s="16" t="s">
        <v>22</v>
      </c>
      <c r="E23" s="17"/>
      <c r="F23" s="17"/>
      <c r="G23" s="18">
        <v>599</v>
      </c>
      <c r="H23" s="19">
        <f t="shared" si="0"/>
        <v>27.973299999999995</v>
      </c>
      <c r="I23" s="20">
        <f t="shared" si="1"/>
        <v>1538.5314999999996</v>
      </c>
      <c r="J23" s="21">
        <f t="shared" si="3"/>
        <v>29.950000000000045</v>
      </c>
      <c r="K23" s="22">
        <f t="shared" si="2"/>
        <v>1.9767000000000507</v>
      </c>
    </row>
    <row r="24" spans="1:11" ht="12.75" x14ac:dyDescent="0.2">
      <c r="A24" s="13">
        <v>45539</v>
      </c>
      <c r="B24" s="14" t="s">
        <v>5</v>
      </c>
      <c r="C24" s="15">
        <v>0.94499999999999995</v>
      </c>
      <c r="D24" s="16" t="s">
        <v>22</v>
      </c>
      <c r="E24" s="17"/>
      <c r="F24" s="17"/>
      <c r="G24" s="18">
        <v>600</v>
      </c>
      <c r="H24" s="19">
        <f t="shared" si="0"/>
        <v>33</v>
      </c>
      <c r="I24" s="20">
        <f t="shared" si="1"/>
        <v>1815</v>
      </c>
      <c r="J24" s="21">
        <f t="shared" si="3"/>
        <v>30</v>
      </c>
      <c r="K24" s="22">
        <f t="shared" si="2"/>
        <v>-3</v>
      </c>
    </row>
    <row r="25" spans="1:11" ht="12.75" x14ac:dyDescent="0.2">
      <c r="A25" s="13">
        <v>45540</v>
      </c>
      <c r="B25" s="14" t="s">
        <v>6</v>
      </c>
      <c r="C25" s="15">
        <v>0.94</v>
      </c>
      <c r="D25" s="16" t="s">
        <v>22</v>
      </c>
      <c r="E25" s="17"/>
      <c r="F25" s="17"/>
      <c r="G25" s="18">
        <v>600</v>
      </c>
      <c r="H25" s="19">
        <f t="shared" si="0"/>
        <v>36</v>
      </c>
      <c r="I25" s="20">
        <f t="shared" si="1"/>
        <v>1980</v>
      </c>
      <c r="J25" s="21">
        <f t="shared" si="3"/>
        <v>30</v>
      </c>
      <c r="K25" s="22">
        <f t="shared" si="2"/>
        <v>-6</v>
      </c>
    </row>
    <row r="26" spans="1:11" ht="12.75" x14ac:dyDescent="0.2">
      <c r="A26" s="13">
        <v>45541</v>
      </c>
      <c r="B26" s="14" t="s">
        <v>7</v>
      </c>
      <c r="C26" s="15">
        <v>0.93179999999999996</v>
      </c>
      <c r="D26" s="16" t="s">
        <v>22</v>
      </c>
      <c r="E26" s="17"/>
      <c r="F26" s="17"/>
      <c r="G26" s="18">
        <v>601</v>
      </c>
      <c r="H26" s="19">
        <f t="shared" si="0"/>
        <v>40.988200000000006</v>
      </c>
      <c r="I26" s="20">
        <f t="shared" si="1"/>
        <v>2254.3510000000006</v>
      </c>
      <c r="J26" s="21">
        <f t="shared" si="3"/>
        <v>30.050000000000068</v>
      </c>
      <c r="K26" s="22">
        <f t="shared" si="2"/>
        <v>-10.938199999999938</v>
      </c>
    </row>
    <row r="27" spans="1:11" ht="12.75" x14ac:dyDescent="0.2">
      <c r="A27" s="13">
        <v>45544</v>
      </c>
      <c r="B27" s="14" t="s">
        <v>3</v>
      </c>
      <c r="C27" s="15">
        <v>0.95540000000000003</v>
      </c>
      <c r="D27" s="16" t="s">
        <v>22</v>
      </c>
      <c r="E27" s="17"/>
      <c r="F27" s="17"/>
      <c r="G27" s="18">
        <v>605</v>
      </c>
      <c r="H27" s="19">
        <f t="shared" si="0"/>
        <v>26.982999999999947</v>
      </c>
      <c r="I27" s="20">
        <f t="shared" si="1"/>
        <v>1484.0649999999971</v>
      </c>
      <c r="J27" s="21">
        <f t="shared" si="3"/>
        <v>30.25</v>
      </c>
      <c r="K27" s="22">
        <f t="shared" si="2"/>
        <v>3.2670000000000528</v>
      </c>
    </row>
    <row r="28" spans="1:11" ht="12.75" x14ac:dyDescent="0.2">
      <c r="A28" s="13">
        <v>45545</v>
      </c>
      <c r="B28" s="14" t="s">
        <v>4</v>
      </c>
      <c r="C28" s="15">
        <v>0.94089999999999996</v>
      </c>
      <c r="D28" s="16" t="s">
        <v>22</v>
      </c>
      <c r="E28" s="17"/>
      <c r="F28" s="17"/>
      <c r="G28" s="18">
        <v>609</v>
      </c>
      <c r="H28" s="19">
        <f t="shared" si="0"/>
        <v>35.991899999999987</v>
      </c>
      <c r="I28" s="20">
        <f t="shared" si="1"/>
        <v>1979.5544999999993</v>
      </c>
      <c r="J28" s="21">
        <f t="shared" si="3"/>
        <v>30.450000000000045</v>
      </c>
      <c r="K28" s="22">
        <f t="shared" si="2"/>
        <v>-5.5418999999999414</v>
      </c>
    </row>
    <row r="29" spans="1:11" ht="12.75" x14ac:dyDescent="0.2">
      <c r="A29" s="13">
        <v>45546</v>
      </c>
      <c r="B29" s="14" t="s">
        <v>5</v>
      </c>
      <c r="C29" s="15">
        <v>0.92449999999999999</v>
      </c>
      <c r="D29" s="16" t="s">
        <v>22</v>
      </c>
      <c r="E29" s="17"/>
      <c r="F29" s="17"/>
      <c r="G29" s="18">
        <v>609</v>
      </c>
      <c r="H29" s="19">
        <f t="shared" si="0"/>
        <v>45.97950000000003</v>
      </c>
      <c r="I29" s="20">
        <f t="shared" si="1"/>
        <v>2528.8725000000018</v>
      </c>
      <c r="J29" s="21">
        <f t="shared" si="3"/>
        <v>30.450000000000045</v>
      </c>
      <c r="K29" s="22">
        <f t="shared" si="2"/>
        <v>-15.529499999999985</v>
      </c>
    </row>
    <row r="30" spans="1:11" ht="12.75" x14ac:dyDescent="0.2">
      <c r="A30" s="13">
        <v>45547</v>
      </c>
      <c r="B30" s="14" t="s">
        <v>6</v>
      </c>
      <c r="C30" s="15">
        <v>0.94750000000000001</v>
      </c>
      <c r="D30" s="16" t="s">
        <v>22</v>
      </c>
      <c r="E30" s="17"/>
      <c r="F30" s="17"/>
      <c r="G30" s="18">
        <v>609</v>
      </c>
      <c r="H30" s="19">
        <f t="shared" si="0"/>
        <v>31.972499999999968</v>
      </c>
      <c r="I30" s="20">
        <f t="shared" si="1"/>
        <v>1758.4874999999984</v>
      </c>
      <c r="J30" s="21">
        <f t="shared" si="3"/>
        <v>30.450000000000045</v>
      </c>
      <c r="K30" s="22">
        <f t="shared" si="2"/>
        <v>-1.5224999999999227</v>
      </c>
    </row>
    <row r="31" spans="1:11" ht="25.5" x14ac:dyDescent="0.2">
      <c r="A31" s="13">
        <v>45548</v>
      </c>
      <c r="B31" s="14" t="s">
        <v>7</v>
      </c>
      <c r="C31" s="15">
        <v>0.88690000000000002</v>
      </c>
      <c r="D31" s="16" t="s">
        <v>29</v>
      </c>
      <c r="E31" s="17" t="s">
        <v>248</v>
      </c>
      <c r="F31" s="17"/>
      <c r="G31" s="18">
        <v>610</v>
      </c>
      <c r="H31" s="19">
        <f t="shared" si="0"/>
        <v>68.990999999999985</v>
      </c>
      <c r="I31" s="20">
        <f t="shared" si="1"/>
        <v>3794.5049999999992</v>
      </c>
      <c r="J31" s="21">
        <f t="shared" si="3"/>
        <v>30.5</v>
      </c>
      <c r="K31" s="22">
        <f t="shared" si="2"/>
        <v>-38.490999999999985</v>
      </c>
    </row>
    <row r="32" spans="1:11" ht="12.75" x14ac:dyDescent="0.2">
      <c r="A32" s="30">
        <v>45551</v>
      </c>
      <c r="B32" s="31" t="s">
        <v>3</v>
      </c>
      <c r="C32" s="32"/>
      <c r="D32" s="33"/>
      <c r="E32" s="34"/>
      <c r="F32" s="34"/>
      <c r="G32" s="35"/>
      <c r="H32" s="19">
        <f t="shared" si="0"/>
        <v>0</v>
      </c>
      <c r="I32" s="20">
        <f t="shared" si="1"/>
        <v>0</v>
      </c>
      <c r="J32" s="21">
        <f t="shared" si="3"/>
        <v>0</v>
      </c>
      <c r="K32" s="22">
        <f t="shared" si="2"/>
        <v>0</v>
      </c>
    </row>
    <row r="33" spans="1:11" ht="12.75" x14ac:dyDescent="0.2">
      <c r="A33" s="13">
        <v>45552</v>
      </c>
      <c r="B33" s="14" t="s">
        <v>4</v>
      </c>
      <c r="C33" s="15">
        <v>0.94440000000000002</v>
      </c>
      <c r="D33" s="16" t="s">
        <v>22</v>
      </c>
      <c r="E33" s="17"/>
      <c r="F33" s="17"/>
      <c r="G33" s="18">
        <v>611</v>
      </c>
      <c r="H33" s="19">
        <f t="shared" si="0"/>
        <v>33.971599999999967</v>
      </c>
      <c r="I33" s="20">
        <f t="shared" si="1"/>
        <v>1868.4379999999983</v>
      </c>
      <c r="J33" s="21">
        <f t="shared" si="3"/>
        <v>30.550000000000068</v>
      </c>
      <c r="K33" s="22">
        <f t="shared" si="2"/>
        <v>-3.4215999999998985</v>
      </c>
    </row>
    <row r="34" spans="1:11" ht="12.75" x14ac:dyDescent="0.2">
      <c r="A34" s="13">
        <v>45553</v>
      </c>
      <c r="B34" s="14" t="s">
        <v>5</v>
      </c>
      <c r="C34" s="15">
        <v>0.9345</v>
      </c>
      <c r="D34" s="16" t="s">
        <v>22</v>
      </c>
      <c r="E34" s="17"/>
      <c r="F34" s="17"/>
      <c r="G34" s="18">
        <v>611</v>
      </c>
      <c r="H34" s="19">
        <f t="shared" si="0"/>
        <v>40.02049999999997</v>
      </c>
      <c r="I34" s="20">
        <f t="shared" si="1"/>
        <v>2201.1274999999982</v>
      </c>
      <c r="J34" s="21">
        <f t="shared" si="3"/>
        <v>30.550000000000068</v>
      </c>
      <c r="K34" s="22">
        <f t="shared" si="2"/>
        <v>-9.4704999999999018</v>
      </c>
    </row>
    <row r="35" spans="1:11" ht="12.75" x14ac:dyDescent="0.2">
      <c r="A35" s="13">
        <v>45554</v>
      </c>
      <c r="B35" s="14" t="s">
        <v>6</v>
      </c>
      <c r="C35" s="15">
        <v>0.92959999999999998</v>
      </c>
      <c r="D35" s="16" t="s">
        <v>22</v>
      </c>
      <c r="E35" s="17"/>
      <c r="F35" s="17"/>
      <c r="G35" s="18">
        <v>611</v>
      </c>
      <c r="H35" s="19">
        <f t="shared" si="0"/>
        <v>43.014400000000023</v>
      </c>
      <c r="I35" s="20">
        <f t="shared" si="1"/>
        <v>2365.7920000000013</v>
      </c>
      <c r="J35" s="21">
        <f t="shared" si="3"/>
        <v>30.550000000000068</v>
      </c>
      <c r="K35" s="22">
        <f t="shared" si="2"/>
        <v>-12.464399999999955</v>
      </c>
    </row>
    <row r="36" spans="1:11" ht="12.75" x14ac:dyDescent="0.2">
      <c r="A36" s="13">
        <v>45555</v>
      </c>
      <c r="B36" s="14" t="s">
        <v>7</v>
      </c>
      <c r="C36" s="15">
        <v>0.92310000000000003</v>
      </c>
      <c r="D36" s="16" t="s">
        <v>22</v>
      </c>
      <c r="E36" s="17"/>
      <c r="F36" s="17"/>
      <c r="G36" s="18">
        <v>611</v>
      </c>
      <c r="H36" s="19">
        <f t="shared" si="0"/>
        <v>46.985900000000015</v>
      </c>
      <c r="I36" s="20">
        <f t="shared" si="1"/>
        <v>2584.2245000000007</v>
      </c>
      <c r="J36" s="21">
        <f t="shared" si="3"/>
        <v>30.550000000000068</v>
      </c>
      <c r="K36" s="22">
        <f t="shared" si="2"/>
        <v>-16.435899999999947</v>
      </c>
    </row>
    <row r="37" spans="1:11" ht="12.75" x14ac:dyDescent="0.2">
      <c r="A37" s="13">
        <v>45558</v>
      </c>
      <c r="B37" s="14" t="s">
        <v>3</v>
      </c>
      <c r="C37" s="15">
        <v>0.9395</v>
      </c>
      <c r="D37" s="16" t="s">
        <v>79</v>
      </c>
      <c r="E37" s="17"/>
      <c r="F37" s="17"/>
      <c r="G37" s="18">
        <v>612</v>
      </c>
      <c r="H37" s="19">
        <f t="shared" si="0"/>
        <v>37.025999999999954</v>
      </c>
      <c r="I37" s="20">
        <f t="shared" si="1"/>
        <v>2036.4299999999976</v>
      </c>
      <c r="J37" s="21">
        <f t="shared" si="3"/>
        <v>30.600000000000023</v>
      </c>
      <c r="K37" s="22">
        <f t="shared" si="2"/>
        <v>-6.4259999999999309</v>
      </c>
    </row>
    <row r="38" spans="1:11" ht="12.75" x14ac:dyDescent="0.2">
      <c r="A38" s="13">
        <v>45559</v>
      </c>
      <c r="B38" s="14" t="s">
        <v>4</v>
      </c>
      <c r="C38" s="15">
        <v>0.95279999999999998</v>
      </c>
      <c r="D38" s="16" t="s">
        <v>22</v>
      </c>
      <c r="E38" s="17"/>
      <c r="F38" s="17"/>
      <c r="G38" s="18">
        <v>614</v>
      </c>
      <c r="H38" s="19">
        <f t="shared" si="0"/>
        <v>28.980800000000045</v>
      </c>
      <c r="I38" s="20">
        <f t="shared" si="1"/>
        <v>1593.9440000000025</v>
      </c>
      <c r="J38" s="21">
        <f t="shared" si="3"/>
        <v>30.700000000000045</v>
      </c>
      <c r="K38" s="22">
        <f t="shared" si="2"/>
        <v>1.7192000000000007</v>
      </c>
    </row>
    <row r="39" spans="1:11" ht="12.75" x14ac:dyDescent="0.2">
      <c r="A39" s="13">
        <v>45560</v>
      </c>
      <c r="B39" s="14" t="s">
        <v>5</v>
      </c>
      <c r="C39" s="15">
        <v>0.9577</v>
      </c>
      <c r="D39" s="16" t="s">
        <v>22</v>
      </c>
      <c r="E39" s="17"/>
      <c r="F39" s="17"/>
      <c r="G39" s="18">
        <v>614</v>
      </c>
      <c r="H39" s="19">
        <f t="shared" si="0"/>
        <v>25.972200000000043</v>
      </c>
      <c r="I39" s="20">
        <f t="shared" si="1"/>
        <v>1428.4710000000023</v>
      </c>
      <c r="J39" s="21">
        <f t="shared" si="3"/>
        <v>30.700000000000045</v>
      </c>
      <c r="K39" s="22">
        <f t="shared" si="2"/>
        <v>4.727800000000002</v>
      </c>
    </row>
    <row r="40" spans="1:11" ht="12.75" x14ac:dyDescent="0.2">
      <c r="A40" s="13">
        <v>45561</v>
      </c>
      <c r="B40" s="14" t="s">
        <v>6</v>
      </c>
      <c r="C40" s="15">
        <v>0.94140000000000001</v>
      </c>
      <c r="D40" s="16" t="s">
        <v>22</v>
      </c>
      <c r="E40" s="17"/>
      <c r="F40" s="17"/>
      <c r="G40" s="18">
        <v>614</v>
      </c>
      <c r="H40" s="19">
        <f t="shared" si="0"/>
        <v>35.980400000000031</v>
      </c>
      <c r="I40" s="20">
        <f t="shared" si="1"/>
        <v>1978.9220000000018</v>
      </c>
      <c r="J40" s="21">
        <f t="shared" si="3"/>
        <v>30.700000000000045</v>
      </c>
      <c r="K40" s="22">
        <f t="shared" si="2"/>
        <v>-5.280399999999986</v>
      </c>
    </row>
    <row r="41" spans="1:11" ht="12.75" x14ac:dyDescent="0.2">
      <c r="A41" s="13">
        <v>45562</v>
      </c>
      <c r="B41" s="14" t="s">
        <v>7</v>
      </c>
      <c r="C41" s="15">
        <v>0.92510000000000003</v>
      </c>
      <c r="D41" s="16" t="s">
        <v>22</v>
      </c>
      <c r="E41" s="17"/>
      <c r="F41" s="17"/>
      <c r="G41" s="18">
        <v>614</v>
      </c>
      <c r="H41" s="19">
        <f t="shared" si="0"/>
        <v>45.988600000000019</v>
      </c>
      <c r="I41" s="20">
        <f t="shared" si="1"/>
        <v>2529.373000000001</v>
      </c>
      <c r="J41" s="21">
        <f t="shared" si="3"/>
        <v>30.700000000000045</v>
      </c>
      <c r="K41" s="22">
        <f t="shared" si="2"/>
        <v>-15.288599999999974</v>
      </c>
    </row>
    <row r="42" spans="1:11" ht="12.75" x14ac:dyDescent="0.2">
      <c r="A42" s="13">
        <v>45565</v>
      </c>
      <c r="B42" s="14" t="s">
        <v>3</v>
      </c>
      <c r="C42" s="15">
        <v>0.95920000000000005</v>
      </c>
      <c r="D42" s="16" t="s">
        <v>22</v>
      </c>
      <c r="E42" s="17"/>
      <c r="F42" s="17"/>
      <c r="G42" s="18">
        <v>613</v>
      </c>
      <c r="H42" s="19">
        <f t="shared" si="0"/>
        <v>25.010400000000004</v>
      </c>
      <c r="I42" s="20">
        <f t="shared" si="1"/>
        <v>1375.5720000000001</v>
      </c>
      <c r="J42" s="21">
        <f t="shared" si="3"/>
        <v>30.649999999999977</v>
      </c>
      <c r="K42" s="22">
        <f t="shared" si="2"/>
        <v>5.6395999999999731</v>
      </c>
    </row>
    <row r="43" spans="1:11" ht="12.75" x14ac:dyDescent="0.2">
      <c r="A43" s="13">
        <v>45566</v>
      </c>
      <c r="B43" s="14" t="s">
        <v>4</v>
      </c>
      <c r="C43" s="15">
        <v>0.95599999999999996</v>
      </c>
      <c r="D43" s="16" t="s">
        <v>22</v>
      </c>
      <c r="E43" s="17"/>
      <c r="F43" s="17"/>
      <c r="G43" s="18">
        <v>614</v>
      </c>
      <c r="H43" s="19">
        <f t="shared" si="0"/>
        <v>27.016000000000076</v>
      </c>
      <c r="I43" s="20">
        <f t="shared" si="1"/>
        <v>1485.8800000000042</v>
      </c>
      <c r="J43" s="21">
        <f t="shared" si="3"/>
        <v>30.700000000000045</v>
      </c>
      <c r="K43" s="22">
        <f t="shared" si="2"/>
        <v>3.6839999999999691</v>
      </c>
    </row>
    <row r="44" spans="1:11" ht="12.75" x14ac:dyDescent="0.2">
      <c r="A44" s="13">
        <v>45567</v>
      </c>
      <c r="B44" s="14" t="s">
        <v>5</v>
      </c>
      <c r="C44" s="15">
        <v>0.96279999999999999</v>
      </c>
      <c r="D44" s="16" t="s">
        <v>22</v>
      </c>
      <c r="E44" s="17"/>
      <c r="F44" s="17"/>
      <c r="G44" s="18">
        <v>618</v>
      </c>
      <c r="H44" s="19">
        <f t="shared" si="0"/>
        <v>22.989599999999996</v>
      </c>
      <c r="I44" s="20">
        <f t="shared" si="1"/>
        <v>1264.4279999999999</v>
      </c>
      <c r="J44" s="21">
        <f t="shared" si="3"/>
        <v>30.899999999999977</v>
      </c>
      <c r="K44" s="22">
        <f t="shared" si="2"/>
        <v>7.9103999999999814</v>
      </c>
    </row>
    <row r="45" spans="1:11" ht="12.75" x14ac:dyDescent="0.2">
      <c r="A45" s="13">
        <v>45568</v>
      </c>
      <c r="B45" s="14" t="s">
        <v>6</v>
      </c>
      <c r="C45" s="15">
        <v>0.93689999999999996</v>
      </c>
      <c r="D45" s="16" t="s">
        <v>79</v>
      </c>
      <c r="E45" s="17"/>
      <c r="F45" s="17"/>
      <c r="G45" s="18">
        <v>618</v>
      </c>
      <c r="H45" s="19">
        <f t="shared" si="0"/>
        <v>38.995800000000031</v>
      </c>
      <c r="I45" s="20">
        <f t="shared" si="1"/>
        <v>2144.7690000000016</v>
      </c>
      <c r="J45" s="21">
        <f t="shared" si="3"/>
        <v>30.899999999999977</v>
      </c>
      <c r="K45" s="22">
        <f t="shared" si="2"/>
        <v>-8.0958000000000538</v>
      </c>
    </row>
    <row r="46" spans="1:11" ht="12.75" x14ac:dyDescent="0.2">
      <c r="A46" s="13">
        <v>45569</v>
      </c>
      <c r="B46" s="14" t="s">
        <v>7</v>
      </c>
      <c r="C46" s="15">
        <v>0.94650000000000001</v>
      </c>
      <c r="D46" s="16" t="s">
        <v>22</v>
      </c>
      <c r="E46" s="17"/>
      <c r="F46" s="17"/>
      <c r="G46" s="18">
        <v>617</v>
      </c>
      <c r="H46" s="19">
        <f t="shared" si="0"/>
        <v>33.009500000000003</v>
      </c>
      <c r="I46" s="20">
        <f t="shared" si="1"/>
        <v>1815.5225</v>
      </c>
      <c r="J46" s="21">
        <f t="shared" si="3"/>
        <v>30.850000000000023</v>
      </c>
      <c r="K46" s="22">
        <f t="shared" si="2"/>
        <v>-2.15949999999998</v>
      </c>
    </row>
    <row r="47" spans="1:11" ht="12.75" x14ac:dyDescent="0.2">
      <c r="A47" s="24">
        <v>45572</v>
      </c>
      <c r="B47" s="25" t="s">
        <v>3</v>
      </c>
      <c r="C47" s="26"/>
      <c r="D47" s="27"/>
      <c r="E47" s="28"/>
      <c r="F47" s="28"/>
      <c r="G47" s="29"/>
      <c r="H47" s="19">
        <f t="shared" si="0"/>
        <v>0</v>
      </c>
      <c r="I47" s="20">
        <f t="shared" si="1"/>
        <v>0</v>
      </c>
      <c r="J47" s="21">
        <f t="shared" si="3"/>
        <v>0</v>
      </c>
      <c r="K47" s="22">
        <f t="shared" si="2"/>
        <v>0</v>
      </c>
    </row>
    <row r="48" spans="1:11" ht="12.75" x14ac:dyDescent="0.2">
      <c r="A48" s="24">
        <v>45573</v>
      </c>
      <c r="B48" s="25" t="s">
        <v>4</v>
      </c>
      <c r="C48" s="26"/>
      <c r="D48" s="27"/>
      <c r="E48" s="28"/>
      <c r="F48" s="28"/>
      <c r="G48" s="29"/>
      <c r="H48" s="19">
        <f t="shared" si="0"/>
        <v>0</v>
      </c>
      <c r="I48" s="20">
        <f t="shared" si="1"/>
        <v>0</v>
      </c>
      <c r="J48" s="21">
        <f t="shared" si="3"/>
        <v>0</v>
      </c>
      <c r="K48" s="22">
        <f t="shared" si="2"/>
        <v>0</v>
      </c>
    </row>
    <row r="49" spans="1:11" ht="12.75" x14ac:dyDescent="0.2">
      <c r="A49" s="24">
        <v>45574</v>
      </c>
      <c r="B49" s="25" t="s">
        <v>5</v>
      </c>
      <c r="C49" s="26"/>
      <c r="D49" s="27"/>
      <c r="E49" s="28"/>
      <c r="F49" s="28"/>
      <c r="G49" s="29"/>
      <c r="H49" s="19">
        <f t="shared" si="0"/>
        <v>0</v>
      </c>
      <c r="I49" s="20">
        <f t="shared" si="1"/>
        <v>0</v>
      </c>
      <c r="J49" s="21">
        <f t="shared" si="3"/>
        <v>0</v>
      </c>
      <c r="K49" s="22">
        <f t="shared" si="2"/>
        <v>0</v>
      </c>
    </row>
    <row r="50" spans="1:11" ht="12.75" x14ac:dyDescent="0.2">
      <c r="A50" s="24">
        <v>45575</v>
      </c>
      <c r="B50" s="25" t="s">
        <v>6</v>
      </c>
      <c r="C50" s="26"/>
      <c r="D50" s="27"/>
      <c r="E50" s="28"/>
      <c r="F50" s="28"/>
      <c r="G50" s="29"/>
      <c r="H50" s="19">
        <f t="shared" si="0"/>
        <v>0</v>
      </c>
      <c r="I50" s="20">
        <f t="shared" si="1"/>
        <v>0</v>
      </c>
      <c r="J50" s="21">
        <f t="shared" si="3"/>
        <v>0</v>
      </c>
      <c r="K50" s="22">
        <f t="shared" si="2"/>
        <v>0</v>
      </c>
    </row>
    <row r="51" spans="1:11" ht="12.75" x14ac:dyDescent="0.2">
      <c r="A51" s="24">
        <v>45576</v>
      </c>
      <c r="B51" s="25" t="s">
        <v>7</v>
      </c>
      <c r="C51" s="26"/>
      <c r="D51" s="27"/>
      <c r="E51" s="28"/>
      <c r="F51" s="28"/>
      <c r="G51" s="29"/>
      <c r="H51" s="19">
        <f t="shared" si="0"/>
        <v>0</v>
      </c>
      <c r="I51" s="20">
        <f t="shared" si="1"/>
        <v>0</v>
      </c>
      <c r="J51" s="21">
        <f t="shared" si="3"/>
        <v>0</v>
      </c>
      <c r="K51" s="22">
        <f t="shared" si="2"/>
        <v>0</v>
      </c>
    </row>
    <row r="52" spans="1:11" ht="25.5" x14ac:dyDescent="0.2">
      <c r="A52" s="13">
        <v>45579</v>
      </c>
      <c r="B52" s="14" t="s">
        <v>3</v>
      </c>
      <c r="C52" s="15">
        <v>0.91439999999999999</v>
      </c>
      <c r="D52" s="16" t="s">
        <v>22</v>
      </c>
      <c r="E52" s="17"/>
      <c r="F52" s="17" t="s">
        <v>249</v>
      </c>
      <c r="G52" s="18">
        <v>619</v>
      </c>
      <c r="H52" s="19">
        <f t="shared" si="0"/>
        <v>52.986400000000003</v>
      </c>
      <c r="I52" s="20">
        <f t="shared" si="1"/>
        <v>2914.2520000000004</v>
      </c>
      <c r="J52" s="21">
        <f t="shared" si="3"/>
        <v>30.950000000000045</v>
      </c>
      <c r="K52" s="22">
        <f t="shared" si="2"/>
        <v>-22.036399999999958</v>
      </c>
    </row>
    <row r="53" spans="1:11" ht="12.75" x14ac:dyDescent="0.2">
      <c r="A53" s="13">
        <v>45580</v>
      </c>
      <c r="B53" s="14" t="s">
        <v>4</v>
      </c>
      <c r="C53" s="15">
        <v>0.96279999999999999</v>
      </c>
      <c r="D53" s="16" t="s">
        <v>22</v>
      </c>
      <c r="E53" s="17"/>
      <c r="F53" s="17"/>
      <c r="G53" s="18">
        <v>618</v>
      </c>
      <c r="H53" s="19">
        <f t="shared" si="0"/>
        <v>22.989599999999996</v>
      </c>
      <c r="I53" s="20">
        <f t="shared" si="1"/>
        <v>1264.4279999999999</v>
      </c>
      <c r="J53" s="21">
        <f t="shared" si="3"/>
        <v>30.899999999999977</v>
      </c>
      <c r="K53" s="22">
        <f t="shared" si="2"/>
        <v>7.9103999999999814</v>
      </c>
    </row>
    <row r="54" spans="1:11" ht="12.75" x14ac:dyDescent="0.2">
      <c r="A54" s="13">
        <v>45581</v>
      </c>
      <c r="B54" s="14" t="s">
        <v>5</v>
      </c>
      <c r="C54" s="36">
        <v>0.90790000000000004</v>
      </c>
      <c r="D54" s="16" t="s">
        <v>22</v>
      </c>
      <c r="E54" s="17"/>
      <c r="F54" s="37"/>
      <c r="G54" s="18">
        <v>619</v>
      </c>
      <c r="H54" s="19">
        <f t="shared" si="0"/>
        <v>57.009900000000016</v>
      </c>
      <c r="I54" s="20">
        <f t="shared" si="1"/>
        <v>3135.5445000000009</v>
      </c>
      <c r="J54" s="21">
        <f t="shared" si="3"/>
        <v>30.950000000000045</v>
      </c>
      <c r="K54" s="22">
        <f t="shared" si="2"/>
        <v>-26.059899999999971</v>
      </c>
    </row>
    <row r="55" spans="1:11" ht="12.75" x14ac:dyDescent="0.2">
      <c r="A55" s="13">
        <v>45582</v>
      </c>
      <c r="B55" s="14" t="s">
        <v>6</v>
      </c>
      <c r="C55" s="15">
        <v>0.93369999999999997</v>
      </c>
      <c r="D55" s="16" t="s">
        <v>22</v>
      </c>
      <c r="E55" s="17"/>
      <c r="F55" s="17"/>
      <c r="G55" s="18">
        <v>618</v>
      </c>
      <c r="H55" s="19">
        <f t="shared" si="0"/>
        <v>40.97339999999997</v>
      </c>
      <c r="I55" s="20">
        <f t="shared" si="1"/>
        <v>2253.5369999999984</v>
      </c>
      <c r="J55" s="21">
        <f t="shared" si="3"/>
        <v>30.899999999999977</v>
      </c>
      <c r="K55" s="22">
        <f t="shared" si="2"/>
        <v>-10.073399999999992</v>
      </c>
    </row>
    <row r="56" spans="1:11" ht="12.75" x14ac:dyDescent="0.2">
      <c r="A56" s="13">
        <v>45583</v>
      </c>
      <c r="B56" s="14" t="s">
        <v>7</v>
      </c>
      <c r="C56" s="15">
        <v>0.91900000000000004</v>
      </c>
      <c r="D56" s="16" t="s">
        <v>22</v>
      </c>
      <c r="E56" s="17"/>
      <c r="F56" s="17"/>
      <c r="G56" s="18">
        <v>617</v>
      </c>
      <c r="H56" s="19">
        <f t="shared" si="0"/>
        <v>49.976999999999975</v>
      </c>
      <c r="I56" s="20">
        <f t="shared" si="1"/>
        <v>2748.7349999999988</v>
      </c>
      <c r="J56" s="21">
        <f t="shared" si="3"/>
        <v>30.850000000000023</v>
      </c>
      <c r="K56" s="22">
        <f t="shared" si="2"/>
        <v>-19.126999999999953</v>
      </c>
    </row>
    <row r="57" spans="1:11" ht="12.75" x14ac:dyDescent="0.2">
      <c r="A57" s="13">
        <v>45586</v>
      </c>
      <c r="B57" s="14" t="s">
        <v>3</v>
      </c>
      <c r="C57" s="15">
        <v>0.93840000000000001</v>
      </c>
      <c r="D57" s="16" t="s">
        <v>22</v>
      </c>
      <c r="E57" s="17"/>
      <c r="F57" s="17"/>
      <c r="G57" s="18">
        <v>617</v>
      </c>
      <c r="H57" s="19">
        <f t="shared" si="0"/>
        <v>38.007200000000012</v>
      </c>
      <c r="I57" s="20">
        <f t="shared" si="1"/>
        <v>2090.3960000000006</v>
      </c>
      <c r="J57" s="21">
        <f t="shared" si="3"/>
        <v>30.850000000000023</v>
      </c>
      <c r="K57" s="22">
        <f t="shared" si="2"/>
        <v>-7.1571999999999889</v>
      </c>
    </row>
    <row r="58" spans="1:11" ht="12.75" x14ac:dyDescent="0.2">
      <c r="A58" s="13">
        <v>45587</v>
      </c>
      <c r="B58" s="14" t="s">
        <v>4</v>
      </c>
      <c r="C58" s="15">
        <v>0.94189999999999996</v>
      </c>
      <c r="D58" s="16" t="s">
        <v>22</v>
      </c>
      <c r="E58" s="17"/>
      <c r="F58" s="17"/>
      <c r="G58" s="18">
        <v>620</v>
      </c>
      <c r="H58" s="19">
        <f t="shared" si="0"/>
        <v>36.022000000000048</v>
      </c>
      <c r="I58" s="20">
        <f t="shared" si="1"/>
        <v>1981.2100000000028</v>
      </c>
      <c r="J58" s="21">
        <f t="shared" si="3"/>
        <v>31</v>
      </c>
      <c r="K58" s="22">
        <f t="shared" si="2"/>
        <v>-5.0220000000000482</v>
      </c>
    </row>
    <row r="59" spans="1:11" ht="12.75" x14ac:dyDescent="0.2">
      <c r="A59" s="13">
        <v>45588</v>
      </c>
      <c r="B59" s="14" t="s">
        <v>5</v>
      </c>
      <c r="C59" s="15">
        <v>0.94030000000000002</v>
      </c>
      <c r="D59" s="16" t="s">
        <v>22</v>
      </c>
      <c r="E59" s="17"/>
      <c r="F59" s="17"/>
      <c r="G59" s="18">
        <v>620</v>
      </c>
      <c r="H59" s="19">
        <f t="shared" si="0"/>
        <v>37.01400000000001</v>
      </c>
      <c r="I59" s="20">
        <f t="shared" si="1"/>
        <v>2035.7700000000004</v>
      </c>
      <c r="J59" s="21">
        <f t="shared" si="3"/>
        <v>31</v>
      </c>
      <c r="K59" s="22">
        <f t="shared" si="2"/>
        <v>-6.01400000000001</v>
      </c>
    </row>
    <row r="60" spans="1:11" ht="12.75" x14ac:dyDescent="0.2">
      <c r="A60" s="13">
        <v>45589</v>
      </c>
      <c r="B60" s="14" t="s">
        <v>6</v>
      </c>
      <c r="C60" s="15">
        <v>0.93059999999999998</v>
      </c>
      <c r="D60" s="16" t="s">
        <v>22</v>
      </c>
      <c r="E60" s="17"/>
      <c r="F60" s="17"/>
      <c r="G60" s="18">
        <v>620</v>
      </c>
      <c r="H60" s="19">
        <f t="shared" si="0"/>
        <v>43.02800000000002</v>
      </c>
      <c r="I60" s="20">
        <f t="shared" si="1"/>
        <v>2366.5400000000009</v>
      </c>
      <c r="J60" s="21">
        <f t="shared" si="3"/>
        <v>31</v>
      </c>
      <c r="K60" s="22">
        <f t="shared" si="2"/>
        <v>-12.02800000000002</v>
      </c>
    </row>
    <row r="61" spans="1:11" ht="12.75" x14ac:dyDescent="0.2">
      <c r="A61" s="13">
        <v>45590</v>
      </c>
      <c r="B61" s="14" t="s">
        <v>7</v>
      </c>
      <c r="C61" s="15">
        <v>0.92579999999999996</v>
      </c>
      <c r="D61" s="16" t="s">
        <v>79</v>
      </c>
      <c r="E61" s="17"/>
      <c r="F61" s="17"/>
      <c r="G61" s="18">
        <v>620</v>
      </c>
      <c r="H61" s="19">
        <f t="shared" si="0"/>
        <v>46.004000000000019</v>
      </c>
      <c r="I61" s="20">
        <f t="shared" si="1"/>
        <v>2530.2200000000012</v>
      </c>
      <c r="J61" s="21">
        <f t="shared" si="3"/>
        <v>31</v>
      </c>
      <c r="K61" s="22">
        <f t="shared" si="2"/>
        <v>-15.004000000000019</v>
      </c>
    </row>
    <row r="62" spans="1:11" ht="12.75" x14ac:dyDescent="0.2">
      <c r="A62" s="13">
        <v>45593</v>
      </c>
      <c r="B62" s="14" t="s">
        <v>3</v>
      </c>
      <c r="C62" s="15">
        <v>0.95009999999999994</v>
      </c>
      <c r="D62" s="16" t="s">
        <v>22</v>
      </c>
      <c r="E62" s="17"/>
      <c r="F62" s="17"/>
      <c r="G62" s="18">
        <v>621</v>
      </c>
      <c r="H62" s="19">
        <f t="shared" si="0"/>
        <v>30.987900000000081</v>
      </c>
      <c r="I62" s="20">
        <f t="shared" si="1"/>
        <v>1704.3345000000045</v>
      </c>
      <c r="J62" s="21">
        <f t="shared" si="3"/>
        <v>31.050000000000068</v>
      </c>
      <c r="K62" s="22">
        <f t="shared" si="2"/>
        <v>6.2099999999986721E-2</v>
      </c>
    </row>
    <row r="63" spans="1:11" ht="12.75" x14ac:dyDescent="0.2">
      <c r="A63" s="13">
        <v>45594</v>
      </c>
      <c r="B63" s="14" t="s">
        <v>4</v>
      </c>
      <c r="C63" s="15">
        <v>0.94020000000000004</v>
      </c>
      <c r="D63" s="16" t="s">
        <v>22</v>
      </c>
      <c r="E63" s="17"/>
      <c r="F63" s="17"/>
      <c r="G63" s="18">
        <v>619</v>
      </c>
      <c r="H63" s="19">
        <f t="shared" si="0"/>
        <v>37.016200000000026</v>
      </c>
      <c r="I63" s="20">
        <f t="shared" si="1"/>
        <v>2035.8910000000014</v>
      </c>
      <c r="J63" s="21">
        <f t="shared" si="3"/>
        <v>30.950000000000045</v>
      </c>
      <c r="K63" s="22">
        <f t="shared" si="2"/>
        <v>-6.0661999999999807</v>
      </c>
    </row>
    <row r="64" spans="1:11" ht="12.75" x14ac:dyDescent="0.2">
      <c r="A64" s="13">
        <v>45595</v>
      </c>
      <c r="B64" s="14" t="s">
        <v>5</v>
      </c>
      <c r="C64" s="15">
        <v>0.95</v>
      </c>
      <c r="D64" s="16" t="s">
        <v>79</v>
      </c>
      <c r="E64" s="17"/>
      <c r="F64" s="17"/>
      <c r="G64" s="18">
        <v>620</v>
      </c>
      <c r="H64" s="19">
        <f t="shared" si="0"/>
        <v>31</v>
      </c>
      <c r="I64" s="20">
        <f t="shared" si="1"/>
        <v>1705</v>
      </c>
      <c r="J64" s="21">
        <f t="shared" si="3"/>
        <v>31</v>
      </c>
      <c r="K64" s="22">
        <f t="shared" si="2"/>
        <v>0</v>
      </c>
    </row>
    <row r="65" spans="1:11" ht="12.75" x14ac:dyDescent="0.2">
      <c r="A65" s="13">
        <v>45596</v>
      </c>
      <c r="B65" s="14" t="s">
        <v>6</v>
      </c>
      <c r="C65" s="15">
        <v>0.93700000000000006</v>
      </c>
      <c r="D65" s="16" t="s">
        <v>79</v>
      </c>
      <c r="E65" s="17"/>
      <c r="F65" s="17"/>
      <c r="G65" s="18">
        <v>619</v>
      </c>
      <c r="H65" s="19">
        <f t="shared" si="0"/>
        <v>38.996999999999957</v>
      </c>
      <c r="I65" s="20">
        <f t="shared" si="1"/>
        <v>2144.8349999999978</v>
      </c>
      <c r="J65" s="21">
        <f t="shared" si="3"/>
        <v>30.950000000000045</v>
      </c>
      <c r="K65" s="22">
        <f t="shared" si="2"/>
        <v>-8.0469999999999118</v>
      </c>
    </row>
    <row r="66" spans="1:11" ht="12.75" x14ac:dyDescent="0.2">
      <c r="A66" s="13">
        <v>45597</v>
      </c>
      <c r="B66" s="14" t="s">
        <v>7</v>
      </c>
      <c r="C66" s="15">
        <v>0.89159999999999995</v>
      </c>
      <c r="D66" s="16" t="s">
        <v>75</v>
      </c>
      <c r="E66" s="17" t="s">
        <v>43</v>
      </c>
      <c r="F66" s="17"/>
      <c r="G66" s="18">
        <v>618</v>
      </c>
      <c r="H66" s="19">
        <f t="shared" si="0"/>
        <v>66.991200000000049</v>
      </c>
      <c r="I66" s="20">
        <f t="shared" si="1"/>
        <v>3684.5160000000028</v>
      </c>
      <c r="J66" s="21">
        <f t="shared" si="3"/>
        <v>30.899999999999977</v>
      </c>
      <c r="K66" s="22">
        <f t="shared" si="2"/>
        <v>-36.091200000000072</v>
      </c>
    </row>
    <row r="67" spans="1:11" ht="12.75" x14ac:dyDescent="0.2">
      <c r="A67" s="38">
        <v>45600</v>
      </c>
      <c r="B67" s="39" t="s">
        <v>3</v>
      </c>
      <c r="C67" s="40"/>
      <c r="D67" s="41"/>
      <c r="E67" s="42"/>
      <c r="F67" s="42"/>
      <c r="G67" s="43"/>
      <c r="H67" s="19">
        <f t="shared" si="0"/>
        <v>0</v>
      </c>
      <c r="I67" s="20">
        <f t="shared" si="1"/>
        <v>0</v>
      </c>
      <c r="J67" s="21">
        <f t="shared" si="3"/>
        <v>0</v>
      </c>
      <c r="K67" s="22">
        <f t="shared" si="2"/>
        <v>0</v>
      </c>
    </row>
    <row r="68" spans="1:11" ht="12.75" x14ac:dyDescent="0.2">
      <c r="A68" s="30">
        <v>45601</v>
      </c>
      <c r="B68" s="31" t="s">
        <v>4</v>
      </c>
      <c r="C68" s="32"/>
      <c r="D68" s="33"/>
      <c r="E68" s="34"/>
      <c r="F68" s="34"/>
      <c r="G68" s="35"/>
      <c r="H68" s="19">
        <f t="shared" si="0"/>
        <v>0</v>
      </c>
      <c r="I68" s="20">
        <f t="shared" si="1"/>
        <v>0</v>
      </c>
      <c r="J68" s="21">
        <f t="shared" si="3"/>
        <v>0</v>
      </c>
      <c r="K68" s="22">
        <f t="shared" si="2"/>
        <v>0</v>
      </c>
    </row>
    <row r="69" spans="1:11" ht="12.75" x14ac:dyDescent="0.2">
      <c r="A69" s="13">
        <v>45602</v>
      </c>
      <c r="B69" s="14" t="s">
        <v>5</v>
      </c>
      <c r="C69" s="15">
        <v>0.95109999999999995</v>
      </c>
      <c r="D69" s="16" t="s">
        <v>22</v>
      </c>
      <c r="E69" s="17"/>
      <c r="F69" s="17"/>
      <c r="G69" s="18">
        <v>613</v>
      </c>
      <c r="H69" s="19">
        <f t="shared" si="0"/>
        <v>29.975700000000074</v>
      </c>
      <c r="I69" s="20">
        <f t="shared" si="1"/>
        <v>1648.6635000000042</v>
      </c>
      <c r="J69" s="21">
        <f t="shared" si="3"/>
        <v>30.649999999999977</v>
      </c>
      <c r="K69" s="22">
        <f t="shared" si="2"/>
        <v>0.67429999999990287</v>
      </c>
    </row>
    <row r="70" spans="1:11" ht="12.75" x14ac:dyDescent="0.2">
      <c r="A70" s="13">
        <v>45603</v>
      </c>
      <c r="B70" s="14" t="s">
        <v>6</v>
      </c>
      <c r="C70" s="15">
        <v>0.94940000000000002</v>
      </c>
      <c r="D70" s="23" t="s">
        <v>79</v>
      </c>
      <c r="E70" s="17"/>
      <c r="F70" s="17"/>
      <c r="G70" s="18">
        <v>613</v>
      </c>
      <c r="H70" s="19">
        <f t="shared" si="0"/>
        <v>31.017799999999966</v>
      </c>
      <c r="I70" s="20">
        <f t="shared" si="1"/>
        <v>1705.978999999998</v>
      </c>
      <c r="J70" s="21">
        <f t="shared" si="3"/>
        <v>30.649999999999977</v>
      </c>
      <c r="K70" s="22">
        <f t="shared" si="2"/>
        <v>-0.36779999999998836</v>
      </c>
    </row>
    <row r="71" spans="1:11" ht="12.75" x14ac:dyDescent="0.2">
      <c r="A71" s="13">
        <v>45604</v>
      </c>
      <c r="B71" s="14" t="s">
        <v>7</v>
      </c>
      <c r="C71" s="15">
        <v>0.93010000000000004</v>
      </c>
      <c r="D71" s="23" t="s">
        <v>22</v>
      </c>
      <c r="E71" s="17"/>
      <c r="F71" s="17"/>
      <c r="G71" s="18">
        <v>615</v>
      </c>
      <c r="H71" s="19">
        <f t="shared" si="0"/>
        <v>42.988499999999931</v>
      </c>
      <c r="I71" s="20">
        <f t="shared" si="1"/>
        <v>2364.3674999999962</v>
      </c>
      <c r="J71" s="21">
        <f t="shared" si="3"/>
        <v>30.75</v>
      </c>
      <c r="K71" s="22">
        <f t="shared" si="2"/>
        <v>-12.238499999999931</v>
      </c>
    </row>
    <row r="72" spans="1:11" ht="12.75" x14ac:dyDescent="0.2">
      <c r="A72" s="13">
        <v>45607</v>
      </c>
      <c r="B72" s="14" t="s">
        <v>3</v>
      </c>
      <c r="C72" s="15">
        <v>0.92349999999999999</v>
      </c>
      <c r="D72" s="23" t="s">
        <v>22</v>
      </c>
      <c r="E72" s="17"/>
      <c r="F72" s="17"/>
      <c r="G72" s="18">
        <v>614</v>
      </c>
      <c r="H72" s="19">
        <f t="shared" si="0"/>
        <v>46.971000000000004</v>
      </c>
      <c r="I72" s="20">
        <f t="shared" si="1"/>
        <v>2583.4050000000002</v>
      </c>
      <c r="J72" s="21">
        <f t="shared" si="3"/>
        <v>30.700000000000045</v>
      </c>
      <c r="K72" s="22">
        <f t="shared" si="2"/>
        <v>-16.270999999999958</v>
      </c>
    </row>
    <row r="73" spans="1:11" ht="12.75" x14ac:dyDescent="0.2">
      <c r="A73" s="13">
        <v>45608</v>
      </c>
      <c r="B73" s="14" t="s">
        <v>4</v>
      </c>
      <c r="C73" s="15">
        <v>0.93830000000000002</v>
      </c>
      <c r="D73" s="16" t="s">
        <v>22</v>
      </c>
      <c r="E73" s="17"/>
      <c r="F73" s="17"/>
      <c r="G73" s="18">
        <v>616</v>
      </c>
      <c r="H73" s="19">
        <f t="shared" si="0"/>
        <v>38.007200000000012</v>
      </c>
      <c r="I73" s="20">
        <f t="shared" si="1"/>
        <v>2090.3960000000006</v>
      </c>
      <c r="J73" s="21">
        <f t="shared" si="3"/>
        <v>30.800000000000068</v>
      </c>
      <c r="K73" s="22">
        <f t="shared" si="2"/>
        <v>-7.2071999999999434</v>
      </c>
    </row>
    <row r="74" spans="1:11" ht="12.75" x14ac:dyDescent="0.2">
      <c r="A74" s="13">
        <v>45609</v>
      </c>
      <c r="B74" s="14" t="s">
        <v>5</v>
      </c>
      <c r="C74" s="15">
        <v>0.93969999999999998</v>
      </c>
      <c r="D74" s="16" t="s">
        <v>79</v>
      </c>
      <c r="E74" s="17"/>
      <c r="F74" s="17"/>
      <c r="G74" s="18">
        <v>614</v>
      </c>
      <c r="H74" s="19">
        <f t="shared" si="0"/>
        <v>37.024200000000064</v>
      </c>
      <c r="I74" s="20">
        <f t="shared" si="1"/>
        <v>2036.3310000000035</v>
      </c>
      <c r="J74" s="21">
        <f t="shared" si="3"/>
        <v>30.700000000000045</v>
      </c>
      <c r="K74" s="22">
        <f t="shared" si="2"/>
        <v>-6.3242000000000189</v>
      </c>
    </row>
    <row r="75" spans="1:11" ht="12.75" x14ac:dyDescent="0.2">
      <c r="A75" s="13">
        <v>45610</v>
      </c>
      <c r="B75" s="14" t="s">
        <v>6</v>
      </c>
      <c r="C75" s="15">
        <v>0.93</v>
      </c>
      <c r="D75" s="16" t="s">
        <v>79</v>
      </c>
      <c r="E75" s="17"/>
      <c r="F75" s="17"/>
      <c r="G75" s="18">
        <v>614</v>
      </c>
      <c r="H75" s="19">
        <f t="shared" si="0"/>
        <v>42.980000000000018</v>
      </c>
      <c r="I75" s="20">
        <f t="shared" si="1"/>
        <v>2363.900000000001</v>
      </c>
      <c r="J75" s="21">
        <f t="shared" si="3"/>
        <v>30.700000000000045</v>
      </c>
      <c r="K75" s="22">
        <f t="shared" si="2"/>
        <v>-12.279999999999973</v>
      </c>
    </row>
    <row r="76" spans="1:11" ht="12.75" x14ac:dyDescent="0.2">
      <c r="A76" s="13">
        <v>45611</v>
      </c>
      <c r="B76" s="14" t="s">
        <v>7</v>
      </c>
      <c r="C76" s="15">
        <v>0.93159999999999998</v>
      </c>
      <c r="D76" s="16" t="s">
        <v>22</v>
      </c>
      <c r="E76" s="17"/>
      <c r="F76" s="17"/>
      <c r="G76" s="18">
        <v>614</v>
      </c>
      <c r="H76" s="19">
        <f t="shared" si="0"/>
        <v>41.997600000000034</v>
      </c>
      <c r="I76" s="20">
        <f t="shared" si="1"/>
        <v>2309.8680000000018</v>
      </c>
      <c r="J76" s="21">
        <f t="shared" si="3"/>
        <v>30.700000000000045</v>
      </c>
      <c r="K76" s="22">
        <f t="shared" si="2"/>
        <v>-11.297599999999989</v>
      </c>
    </row>
    <row r="77" spans="1:11" ht="12.75" x14ac:dyDescent="0.2">
      <c r="A77" s="13">
        <v>45614</v>
      </c>
      <c r="B77" s="14" t="s">
        <v>3</v>
      </c>
      <c r="C77" s="15">
        <v>0.95130000000000003</v>
      </c>
      <c r="D77" s="16" t="s">
        <v>22</v>
      </c>
      <c r="E77" s="17"/>
      <c r="F77" s="17"/>
      <c r="G77" s="18">
        <v>616</v>
      </c>
      <c r="H77" s="19">
        <f t="shared" si="0"/>
        <v>29.999199999999973</v>
      </c>
      <c r="I77" s="20">
        <f t="shared" si="1"/>
        <v>1649.9559999999985</v>
      </c>
      <c r="J77" s="21">
        <f t="shared" si="3"/>
        <v>30.800000000000068</v>
      </c>
      <c r="K77" s="22">
        <f t="shared" si="2"/>
        <v>0.80080000000009477</v>
      </c>
    </row>
    <row r="78" spans="1:11" ht="12.75" x14ac:dyDescent="0.2">
      <c r="A78" s="13">
        <v>45615</v>
      </c>
      <c r="B78" s="14" t="s">
        <v>4</v>
      </c>
      <c r="C78" s="15">
        <v>0.94969999999999999</v>
      </c>
      <c r="D78" s="16" t="s">
        <v>22</v>
      </c>
      <c r="E78" s="17"/>
      <c r="F78" s="17"/>
      <c r="G78" s="18">
        <v>616</v>
      </c>
      <c r="H78" s="19">
        <f t="shared" si="0"/>
        <v>30.98479999999995</v>
      </c>
      <c r="I78" s="20">
        <f t="shared" si="1"/>
        <v>1704.1639999999973</v>
      </c>
      <c r="J78" s="21">
        <f t="shared" si="3"/>
        <v>30.800000000000068</v>
      </c>
      <c r="K78" s="22">
        <f t="shared" si="2"/>
        <v>-0.18479999999988195</v>
      </c>
    </row>
    <row r="79" spans="1:11" ht="12.75" x14ac:dyDescent="0.2">
      <c r="A79" s="13">
        <v>45616</v>
      </c>
      <c r="B79" s="14" t="s">
        <v>5</v>
      </c>
      <c r="C79" s="15">
        <v>0.93179999999999996</v>
      </c>
      <c r="D79" s="16" t="s">
        <v>22</v>
      </c>
      <c r="E79" s="17"/>
      <c r="F79" s="17"/>
      <c r="G79" s="18">
        <v>616</v>
      </c>
      <c r="H79" s="19">
        <f t="shared" si="0"/>
        <v>42.011200000000031</v>
      </c>
      <c r="I79" s="20">
        <f t="shared" si="1"/>
        <v>2310.6160000000018</v>
      </c>
      <c r="J79" s="21">
        <f t="shared" si="3"/>
        <v>30.800000000000068</v>
      </c>
      <c r="K79" s="22">
        <f t="shared" si="2"/>
        <v>-11.211199999999963</v>
      </c>
    </row>
    <row r="80" spans="1:11" ht="12.75" x14ac:dyDescent="0.2">
      <c r="A80" s="13">
        <v>45617</v>
      </c>
      <c r="B80" s="14" t="s">
        <v>6</v>
      </c>
      <c r="C80" s="15">
        <v>0.9335</v>
      </c>
      <c r="D80" s="16" t="s">
        <v>22</v>
      </c>
      <c r="E80" s="17"/>
      <c r="F80" s="17"/>
      <c r="G80" s="18">
        <v>617</v>
      </c>
      <c r="H80" s="19">
        <f t="shared" si="0"/>
        <v>41.030499999999961</v>
      </c>
      <c r="I80" s="20">
        <f t="shared" si="1"/>
        <v>2256.677499999998</v>
      </c>
      <c r="J80" s="21">
        <f t="shared" si="3"/>
        <v>30.850000000000023</v>
      </c>
      <c r="K80" s="22">
        <f t="shared" si="2"/>
        <v>-10.180499999999938</v>
      </c>
    </row>
    <row r="81" spans="1:11" ht="12.75" x14ac:dyDescent="0.2">
      <c r="A81" s="13">
        <v>45618</v>
      </c>
      <c r="B81" s="14" t="s">
        <v>7</v>
      </c>
      <c r="C81" s="15">
        <v>0.87519999999999998</v>
      </c>
      <c r="D81" s="16" t="s">
        <v>29</v>
      </c>
      <c r="E81" s="17" t="s">
        <v>203</v>
      </c>
      <c r="F81" s="17"/>
      <c r="G81" s="18">
        <v>617</v>
      </c>
      <c r="H81" s="19">
        <f t="shared" si="0"/>
        <v>77.001600000000053</v>
      </c>
      <c r="I81" s="20">
        <f t="shared" si="1"/>
        <v>4235.0880000000034</v>
      </c>
      <c r="J81" s="21">
        <f t="shared" si="3"/>
        <v>30.850000000000023</v>
      </c>
      <c r="K81" s="22">
        <f t="shared" si="2"/>
        <v>-46.15160000000003</v>
      </c>
    </row>
    <row r="82" spans="1:11" ht="12.75" x14ac:dyDescent="0.2">
      <c r="A82" s="30">
        <v>45621</v>
      </c>
      <c r="B82" s="31" t="s">
        <v>3</v>
      </c>
      <c r="C82" s="32"/>
      <c r="D82" s="33"/>
      <c r="E82" s="34"/>
      <c r="F82" s="34"/>
      <c r="G82" s="35"/>
      <c r="H82" s="19">
        <f t="shared" si="0"/>
        <v>0</v>
      </c>
      <c r="I82" s="20">
        <f t="shared" si="1"/>
        <v>0</v>
      </c>
      <c r="J82" s="21">
        <f t="shared" si="3"/>
        <v>0</v>
      </c>
      <c r="K82" s="22">
        <f t="shared" si="2"/>
        <v>0</v>
      </c>
    </row>
    <row r="83" spans="1:11" ht="12.75" x14ac:dyDescent="0.2">
      <c r="A83" s="30">
        <v>45622</v>
      </c>
      <c r="B83" s="31" t="s">
        <v>4</v>
      </c>
      <c r="C83" s="32"/>
      <c r="D83" s="33"/>
      <c r="E83" s="34"/>
      <c r="F83" s="34"/>
      <c r="G83" s="35"/>
      <c r="H83" s="19">
        <f t="shared" si="0"/>
        <v>0</v>
      </c>
      <c r="I83" s="20">
        <f t="shared" si="1"/>
        <v>0</v>
      </c>
      <c r="J83" s="21">
        <f t="shared" si="3"/>
        <v>0</v>
      </c>
      <c r="K83" s="22">
        <f t="shared" si="2"/>
        <v>0</v>
      </c>
    </row>
    <row r="84" spans="1:11" ht="12.75" x14ac:dyDescent="0.2">
      <c r="A84" s="30">
        <v>45623</v>
      </c>
      <c r="B84" s="31" t="s">
        <v>5</v>
      </c>
      <c r="C84" s="32"/>
      <c r="D84" s="33"/>
      <c r="E84" s="34"/>
      <c r="F84" s="34"/>
      <c r="G84" s="35"/>
      <c r="H84" s="19">
        <f t="shared" si="0"/>
        <v>0</v>
      </c>
      <c r="I84" s="20">
        <f t="shared" si="1"/>
        <v>0</v>
      </c>
      <c r="J84" s="21">
        <f t="shared" si="3"/>
        <v>0</v>
      </c>
      <c r="K84" s="22">
        <f t="shared" si="2"/>
        <v>0</v>
      </c>
    </row>
    <row r="85" spans="1:11" ht="12.75" x14ac:dyDescent="0.2">
      <c r="A85" s="30">
        <v>45624</v>
      </c>
      <c r="B85" s="31" t="s">
        <v>6</v>
      </c>
      <c r="C85" s="32"/>
      <c r="D85" s="33"/>
      <c r="E85" s="34"/>
      <c r="F85" s="34"/>
      <c r="G85" s="35"/>
      <c r="H85" s="19">
        <f t="shared" si="0"/>
        <v>0</v>
      </c>
      <c r="I85" s="20">
        <f t="shared" si="1"/>
        <v>0</v>
      </c>
      <c r="J85" s="21">
        <f t="shared" si="3"/>
        <v>0</v>
      </c>
      <c r="K85" s="22">
        <f t="shared" si="2"/>
        <v>0</v>
      </c>
    </row>
    <row r="86" spans="1:11" ht="12.75" x14ac:dyDescent="0.2">
      <c r="A86" s="30">
        <v>45625</v>
      </c>
      <c r="B86" s="31" t="s">
        <v>7</v>
      </c>
      <c r="C86" s="32"/>
      <c r="D86" s="33"/>
      <c r="E86" s="34"/>
      <c r="F86" s="34"/>
      <c r="G86" s="35"/>
      <c r="H86" s="19">
        <f t="shared" si="0"/>
        <v>0</v>
      </c>
      <c r="I86" s="20">
        <f t="shared" si="1"/>
        <v>0</v>
      </c>
      <c r="J86" s="21">
        <f t="shared" si="3"/>
        <v>0</v>
      </c>
      <c r="K86" s="22">
        <f t="shared" si="2"/>
        <v>0</v>
      </c>
    </row>
    <row r="87" spans="1:11" ht="12.75" x14ac:dyDescent="0.2">
      <c r="A87" s="13">
        <v>45628</v>
      </c>
      <c r="B87" s="14" t="s">
        <v>3</v>
      </c>
      <c r="C87" s="15">
        <v>0.92689999999999995</v>
      </c>
      <c r="D87" s="16" t="s">
        <v>22</v>
      </c>
      <c r="E87" s="17"/>
      <c r="F87" s="17"/>
      <c r="G87" s="18">
        <v>616</v>
      </c>
      <c r="H87" s="19">
        <f t="shared" si="0"/>
        <v>45.029600000000073</v>
      </c>
      <c r="I87" s="20">
        <f t="shared" si="1"/>
        <v>2476.6280000000042</v>
      </c>
      <c r="J87" s="21">
        <f t="shared" si="3"/>
        <v>30.800000000000068</v>
      </c>
      <c r="K87" s="22">
        <f t="shared" si="2"/>
        <v>-14.229600000000005</v>
      </c>
    </row>
    <row r="88" spans="1:11" ht="12.75" x14ac:dyDescent="0.2">
      <c r="A88" s="13">
        <v>45629</v>
      </c>
      <c r="B88" s="14" t="s">
        <v>4</v>
      </c>
      <c r="C88" s="15">
        <v>0.93510000000000004</v>
      </c>
      <c r="D88" s="16" t="s">
        <v>22</v>
      </c>
      <c r="E88" s="17"/>
      <c r="F88" s="17"/>
      <c r="G88" s="18">
        <v>616</v>
      </c>
      <c r="H88" s="19">
        <f t="shared" si="0"/>
        <v>39.978399999999965</v>
      </c>
      <c r="I88" s="20">
        <f t="shared" si="1"/>
        <v>2198.8119999999981</v>
      </c>
      <c r="J88" s="21">
        <f t="shared" si="3"/>
        <v>30.800000000000068</v>
      </c>
      <c r="K88" s="22">
        <f t="shared" si="2"/>
        <v>-9.1783999999998969</v>
      </c>
    </row>
    <row r="89" spans="1:11" ht="12.75" x14ac:dyDescent="0.2">
      <c r="A89" s="13">
        <v>45630</v>
      </c>
      <c r="B89" s="14" t="s">
        <v>5</v>
      </c>
      <c r="C89" s="15">
        <v>0.94169999999999998</v>
      </c>
      <c r="D89" s="16" t="s">
        <v>22</v>
      </c>
      <c r="E89" s="17"/>
      <c r="F89" s="17"/>
      <c r="G89" s="18">
        <v>618</v>
      </c>
      <c r="H89" s="19">
        <f t="shared" si="0"/>
        <v>36.02940000000001</v>
      </c>
      <c r="I89" s="20">
        <f t="shared" si="1"/>
        <v>1981.6170000000006</v>
      </c>
      <c r="J89" s="21">
        <f t="shared" si="3"/>
        <v>30.899999999999977</v>
      </c>
      <c r="K89" s="22">
        <f t="shared" si="2"/>
        <v>-5.1294000000000324</v>
      </c>
    </row>
    <row r="90" spans="1:11" ht="12.75" x14ac:dyDescent="0.2">
      <c r="A90" s="13">
        <v>45631</v>
      </c>
      <c r="B90" s="14" t="s">
        <v>6</v>
      </c>
      <c r="C90" s="15">
        <v>0.94340000000000002</v>
      </c>
      <c r="D90" s="16" t="s">
        <v>22</v>
      </c>
      <c r="E90" s="17"/>
      <c r="F90" s="17"/>
      <c r="G90" s="18">
        <v>618</v>
      </c>
      <c r="H90" s="19">
        <f t="shared" si="0"/>
        <v>34.978799999999978</v>
      </c>
      <c r="I90" s="20">
        <f t="shared" si="1"/>
        <v>1923.8339999999989</v>
      </c>
      <c r="J90" s="21">
        <f t="shared" si="3"/>
        <v>30.899999999999977</v>
      </c>
      <c r="K90" s="22">
        <f t="shared" si="2"/>
        <v>-4.0788000000000011</v>
      </c>
    </row>
    <row r="91" spans="1:11" ht="12.75" x14ac:dyDescent="0.2">
      <c r="A91" s="13">
        <v>45632</v>
      </c>
      <c r="B91" s="14" t="s">
        <v>7</v>
      </c>
      <c r="C91" s="15">
        <v>0.93369999999999997</v>
      </c>
      <c r="D91" s="16" t="s">
        <v>22</v>
      </c>
      <c r="E91" s="17"/>
      <c r="F91" s="17"/>
      <c r="G91" s="18">
        <v>618</v>
      </c>
      <c r="H91" s="19">
        <f t="shared" si="0"/>
        <v>40.97339999999997</v>
      </c>
      <c r="I91" s="20">
        <f t="shared" si="1"/>
        <v>2253.5369999999984</v>
      </c>
      <c r="J91" s="21">
        <f t="shared" si="3"/>
        <v>30.899999999999977</v>
      </c>
      <c r="K91" s="22">
        <f t="shared" si="2"/>
        <v>-10.073399999999992</v>
      </c>
    </row>
    <row r="92" spans="1:11" ht="12.75" x14ac:dyDescent="0.2">
      <c r="A92" s="13">
        <v>45635</v>
      </c>
      <c r="B92" s="14" t="s">
        <v>3</v>
      </c>
      <c r="C92" s="15">
        <v>0.95950000000000002</v>
      </c>
      <c r="D92" s="16" t="s">
        <v>22</v>
      </c>
      <c r="E92" s="17"/>
      <c r="F92" s="17"/>
      <c r="G92" s="18">
        <v>618</v>
      </c>
      <c r="H92" s="19">
        <f t="shared" si="0"/>
        <v>25.028999999999996</v>
      </c>
      <c r="I92" s="20">
        <f t="shared" si="1"/>
        <v>1376.5949999999998</v>
      </c>
      <c r="J92" s="21">
        <f t="shared" si="3"/>
        <v>30.899999999999977</v>
      </c>
      <c r="K92" s="22">
        <f t="shared" si="2"/>
        <v>5.8709999999999809</v>
      </c>
    </row>
    <row r="93" spans="1:11" ht="12.75" x14ac:dyDescent="0.2">
      <c r="A93" s="13">
        <v>45636</v>
      </c>
      <c r="B93" s="14" t="s">
        <v>4</v>
      </c>
      <c r="C93" s="15">
        <v>0.95950000000000002</v>
      </c>
      <c r="D93" s="16" t="s">
        <v>79</v>
      </c>
      <c r="E93" s="17"/>
      <c r="F93" s="17"/>
      <c r="G93" s="18">
        <v>618</v>
      </c>
      <c r="H93" s="19">
        <f t="shared" si="0"/>
        <v>25.028999999999996</v>
      </c>
      <c r="I93" s="20">
        <f t="shared" si="1"/>
        <v>1376.5949999999998</v>
      </c>
      <c r="J93" s="21">
        <f t="shared" si="3"/>
        <v>30.899999999999977</v>
      </c>
      <c r="K93" s="22">
        <f t="shared" si="2"/>
        <v>5.8709999999999809</v>
      </c>
    </row>
    <row r="94" spans="1:11" ht="12.75" x14ac:dyDescent="0.2">
      <c r="A94" s="13">
        <v>45637</v>
      </c>
      <c r="B94" s="14" t="s">
        <v>5</v>
      </c>
      <c r="C94" s="15">
        <v>0.95169999999999999</v>
      </c>
      <c r="D94" s="16" t="s">
        <v>79</v>
      </c>
      <c r="E94" s="17"/>
      <c r="F94" s="17"/>
      <c r="G94" s="18">
        <v>621</v>
      </c>
      <c r="H94" s="19">
        <f t="shared" si="0"/>
        <v>29.994299999999953</v>
      </c>
      <c r="I94" s="20">
        <f t="shared" si="1"/>
        <v>1649.6864999999975</v>
      </c>
      <c r="J94" s="21">
        <f t="shared" si="3"/>
        <v>31.050000000000068</v>
      </c>
      <c r="K94" s="22">
        <f t="shared" si="2"/>
        <v>1.0557000000001153</v>
      </c>
    </row>
    <row r="95" spans="1:11" ht="12.75" x14ac:dyDescent="0.2">
      <c r="A95" s="13">
        <v>45638</v>
      </c>
      <c r="B95" s="14" t="s">
        <v>6</v>
      </c>
      <c r="C95" s="15">
        <v>0.93559999999999999</v>
      </c>
      <c r="D95" s="16" t="s">
        <v>22</v>
      </c>
      <c r="E95" s="17"/>
      <c r="F95" s="17"/>
      <c r="G95" s="18">
        <v>621</v>
      </c>
      <c r="H95" s="19">
        <f t="shared" si="0"/>
        <v>39.992399999999975</v>
      </c>
      <c r="I95" s="20">
        <f t="shared" si="1"/>
        <v>2199.5819999999985</v>
      </c>
      <c r="J95" s="21">
        <f t="shared" si="3"/>
        <v>31.050000000000068</v>
      </c>
      <c r="K95" s="22">
        <f t="shared" si="2"/>
        <v>-8.9423999999999069</v>
      </c>
    </row>
    <row r="96" spans="1:11" ht="12.75" x14ac:dyDescent="0.2">
      <c r="A96" s="13">
        <v>45639</v>
      </c>
      <c r="B96" s="14" t="s">
        <v>7</v>
      </c>
      <c r="C96" s="15">
        <v>0.92910000000000004</v>
      </c>
      <c r="D96" s="16" t="s">
        <v>22</v>
      </c>
      <c r="E96" s="17"/>
      <c r="F96" s="17"/>
      <c r="G96" s="18">
        <v>621</v>
      </c>
      <c r="H96" s="19">
        <f t="shared" si="0"/>
        <v>44.028900000000021</v>
      </c>
      <c r="I96" s="20">
        <f t="shared" si="1"/>
        <v>2421.589500000001</v>
      </c>
      <c r="J96" s="21">
        <f t="shared" si="3"/>
        <v>31.050000000000068</v>
      </c>
      <c r="K96" s="22">
        <f t="shared" si="2"/>
        <v>-12.978899999999953</v>
      </c>
    </row>
    <row r="97" spans="1:11" ht="12.75" x14ac:dyDescent="0.2">
      <c r="A97" s="13">
        <v>45642</v>
      </c>
      <c r="B97" s="14" t="s">
        <v>3</v>
      </c>
      <c r="C97" s="15">
        <v>0.93559999999999999</v>
      </c>
      <c r="D97" s="16" t="s">
        <v>79</v>
      </c>
      <c r="E97" s="17"/>
      <c r="F97" s="17"/>
      <c r="G97" s="18">
        <v>621</v>
      </c>
      <c r="H97" s="19">
        <f t="shared" si="0"/>
        <v>39.992399999999975</v>
      </c>
      <c r="I97" s="20">
        <f t="shared" si="1"/>
        <v>2199.5819999999985</v>
      </c>
      <c r="J97" s="21">
        <f t="shared" si="3"/>
        <v>31.050000000000068</v>
      </c>
      <c r="K97" s="22">
        <f t="shared" si="2"/>
        <v>-8.9423999999999069</v>
      </c>
    </row>
    <row r="98" spans="1:11" ht="12.75" x14ac:dyDescent="0.2">
      <c r="A98" s="13">
        <v>45643</v>
      </c>
      <c r="B98" s="14" t="s">
        <v>4</v>
      </c>
      <c r="C98" s="15">
        <v>0.95009999999999994</v>
      </c>
      <c r="D98" s="16" t="s">
        <v>22</v>
      </c>
      <c r="E98" s="17"/>
      <c r="F98" s="17"/>
      <c r="G98" s="18">
        <v>621</v>
      </c>
      <c r="H98" s="19">
        <f t="shared" si="0"/>
        <v>30.987900000000081</v>
      </c>
      <c r="I98" s="20">
        <f t="shared" si="1"/>
        <v>1704.3345000000045</v>
      </c>
      <c r="J98" s="21">
        <f t="shared" si="3"/>
        <v>31.050000000000068</v>
      </c>
      <c r="K98" s="22">
        <f t="shared" si="2"/>
        <v>6.2099999999986721E-2</v>
      </c>
    </row>
    <row r="99" spans="1:11" ht="12.75" x14ac:dyDescent="0.2">
      <c r="A99" s="13">
        <v>45644</v>
      </c>
      <c r="B99" s="14" t="s">
        <v>5</v>
      </c>
      <c r="C99" s="15">
        <v>0.95350000000000001</v>
      </c>
      <c r="D99" s="16" t="s">
        <v>79</v>
      </c>
      <c r="E99" s="17"/>
      <c r="F99" s="17"/>
      <c r="G99" s="18">
        <v>623</v>
      </c>
      <c r="H99" s="19">
        <f t="shared" si="0"/>
        <v>28.969500000000039</v>
      </c>
      <c r="I99" s="20">
        <f t="shared" si="1"/>
        <v>1593.322500000002</v>
      </c>
      <c r="J99" s="21">
        <f t="shared" si="3"/>
        <v>31.149999999999977</v>
      </c>
      <c r="K99" s="22">
        <f t="shared" si="2"/>
        <v>2.1804999999999382</v>
      </c>
    </row>
    <row r="100" spans="1:11" ht="12.75" x14ac:dyDescent="0.2">
      <c r="A100" s="13">
        <v>45645</v>
      </c>
      <c r="B100" s="14" t="s">
        <v>6</v>
      </c>
      <c r="C100" s="15">
        <v>0.95499999999999996</v>
      </c>
      <c r="D100" s="16" t="s">
        <v>22</v>
      </c>
      <c r="E100" s="17"/>
      <c r="F100" s="17"/>
      <c r="G100" s="18">
        <v>622</v>
      </c>
      <c r="H100" s="19">
        <f t="shared" si="0"/>
        <v>27.990000000000009</v>
      </c>
      <c r="I100" s="20">
        <f t="shared" si="1"/>
        <v>1539.4500000000005</v>
      </c>
      <c r="J100" s="21">
        <f t="shared" si="3"/>
        <v>31.100000000000023</v>
      </c>
      <c r="K100" s="22">
        <f t="shared" si="2"/>
        <v>3.1100000000000136</v>
      </c>
    </row>
    <row r="101" spans="1:11" ht="12.75" x14ac:dyDescent="0.2">
      <c r="A101" s="13">
        <v>45646</v>
      </c>
      <c r="B101" s="14" t="s">
        <v>7</v>
      </c>
      <c r="C101" s="15">
        <v>0.92279999999999995</v>
      </c>
      <c r="D101" s="16" t="s">
        <v>22</v>
      </c>
      <c r="E101" s="17"/>
      <c r="F101" s="17"/>
      <c r="G101" s="18">
        <v>622</v>
      </c>
      <c r="H101" s="19">
        <f t="shared" si="0"/>
        <v>48.018400000000042</v>
      </c>
      <c r="I101" s="20">
        <f t="shared" si="1"/>
        <v>2641.0120000000024</v>
      </c>
      <c r="J101" s="21">
        <f t="shared" si="3"/>
        <v>31.100000000000023</v>
      </c>
      <c r="K101" s="22">
        <f t="shared" si="2"/>
        <v>-16.91840000000002</v>
      </c>
    </row>
    <row r="102" spans="1:11" ht="12.75" x14ac:dyDescent="0.2">
      <c r="A102" s="24">
        <v>45649</v>
      </c>
      <c r="B102" s="25" t="s">
        <v>3</v>
      </c>
      <c r="C102" s="26"/>
      <c r="D102" s="27"/>
      <c r="E102" s="28"/>
      <c r="F102" s="28"/>
      <c r="G102" s="29"/>
      <c r="H102" s="19">
        <f t="shared" si="0"/>
        <v>0</v>
      </c>
      <c r="I102" s="20">
        <f t="shared" si="1"/>
        <v>0</v>
      </c>
      <c r="J102" s="21">
        <f t="shared" si="3"/>
        <v>0</v>
      </c>
      <c r="K102" s="22">
        <f t="shared" si="2"/>
        <v>0</v>
      </c>
    </row>
    <row r="103" spans="1:11" ht="12.75" x14ac:dyDescent="0.2">
      <c r="A103" s="24">
        <v>45650</v>
      </c>
      <c r="B103" s="25" t="s">
        <v>4</v>
      </c>
      <c r="C103" s="26"/>
      <c r="D103" s="27"/>
      <c r="E103" s="28"/>
      <c r="F103" s="28"/>
      <c r="G103" s="29"/>
      <c r="H103" s="19">
        <f t="shared" si="0"/>
        <v>0</v>
      </c>
      <c r="I103" s="20">
        <f t="shared" si="1"/>
        <v>0</v>
      </c>
      <c r="J103" s="21">
        <f t="shared" si="3"/>
        <v>0</v>
      </c>
      <c r="K103" s="22">
        <f t="shared" si="2"/>
        <v>0</v>
      </c>
    </row>
    <row r="104" spans="1:11" ht="12.75" x14ac:dyDescent="0.2">
      <c r="A104" s="24">
        <v>45651</v>
      </c>
      <c r="B104" s="25" t="s">
        <v>5</v>
      </c>
      <c r="C104" s="26"/>
      <c r="D104" s="27"/>
      <c r="E104" s="28"/>
      <c r="F104" s="28"/>
      <c r="G104" s="29"/>
      <c r="H104" s="19">
        <f t="shared" si="0"/>
        <v>0</v>
      </c>
      <c r="I104" s="20">
        <f t="shared" si="1"/>
        <v>0</v>
      </c>
      <c r="J104" s="21">
        <f t="shared" si="3"/>
        <v>0</v>
      </c>
      <c r="K104" s="22">
        <f t="shared" si="2"/>
        <v>0</v>
      </c>
    </row>
    <row r="105" spans="1:11" ht="12.75" x14ac:dyDescent="0.2">
      <c r="A105" s="24">
        <v>45652</v>
      </c>
      <c r="B105" s="25" t="s">
        <v>6</v>
      </c>
      <c r="C105" s="26"/>
      <c r="D105" s="27"/>
      <c r="E105" s="28"/>
      <c r="F105" s="28"/>
      <c r="G105" s="29"/>
      <c r="H105" s="19">
        <f t="shared" si="0"/>
        <v>0</v>
      </c>
      <c r="I105" s="20">
        <f t="shared" si="1"/>
        <v>0</v>
      </c>
      <c r="J105" s="21">
        <f t="shared" si="3"/>
        <v>0</v>
      </c>
      <c r="K105" s="22">
        <f t="shared" si="2"/>
        <v>0</v>
      </c>
    </row>
    <row r="106" spans="1:11" ht="12.75" x14ac:dyDescent="0.2">
      <c r="A106" s="24">
        <v>45653</v>
      </c>
      <c r="B106" s="25" t="s">
        <v>7</v>
      </c>
      <c r="C106" s="26"/>
      <c r="D106" s="27"/>
      <c r="E106" s="28"/>
      <c r="F106" s="28"/>
      <c r="G106" s="29"/>
      <c r="H106" s="19">
        <f t="shared" si="0"/>
        <v>0</v>
      </c>
      <c r="I106" s="20">
        <f t="shared" si="1"/>
        <v>0</v>
      </c>
      <c r="J106" s="21">
        <f t="shared" si="3"/>
        <v>0</v>
      </c>
      <c r="K106" s="22">
        <f t="shared" si="2"/>
        <v>0</v>
      </c>
    </row>
    <row r="107" spans="1:11" ht="12.75" x14ac:dyDescent="0.2">
      <c r="A107" s="24">
        <v>45656</v>
      </c>
      <c r="B107" s="25" t="s">
        <v>3</v>
      </c>
      <c r="C107" s="26"/>
      <c r="D107" s="27"/>
      <c r="E107" s="28"/>
      <c r="F107" s="28"/>
      <c r="G107" s="29"/>
      <c r="H107" s="19">
        <f t="shared" si="0"/>
        <v>0</v>
      </c>
      <c r="I107" s="20">
        <f t="shared" si="1"/>
        <v>0</v>
      </c>
      <c r="J107" s="21">
        <f t="shared" si="3"/>
        <v>0</v>
      </c>
      <c r="K107" s="22">
        <f t="shared" si="2"/>
        <v>0</v>
      </c>
    </row>
    <row r="108" spans="1:11" ht="12.75" x14ac:dyDescent="0.2">
      <c r="A108" s="24">
        <v>45657</v>
      </c>
      <c r="B108" s="25" t="s">
        <v>4</v>
      </c>
      <c r="C108" s="26"/>
      <c r="D108" s="27"/>
      <c r="E108" s="28"/>
      <c r="F108" s="28"/>
      <c r="G108" s="29"/>
      <c r="H108" s="19">
        <f t="shared" si="0"/>
        <v>0</v>
      </c>
      <c r="I108" s="20">
        <f t="shared" si="1"/>
        <v>0</v>
      </c>
      <c r="J108" s="21">
        <f t="shared" si="3"/>
        <v>0</v>
      </c>
      <c r="K108" s="22">
        <f t="shared" si="2"/>
        <v>0</v>
      </c>
    </row>
    <row r="109" spans="1:11" ht="12.75" x14ac:dyDescent="0.2">
      <c r="A109" s="24">
        <v>45658</v>
      </c>
      <c r="B109" s="25" t="s">
        <v>5</v>
      </c>
      <c r="C109" s="26"/>
      <c r="D109" s="27"/>
      <c r="E109" s="28"/>
      <c r="F109" s="28"/>
      <c r="G109" s="29"/>
      <c r="H109" s="19">
        <f t="shared" si="0"/>
        <v>0</v>
      </c>
      <c r="I109" s="20">
        <f t="shared" si="1"/>
        <v>0</v>
      </c>
      <c r="J109" s="21">
        <f t="shared" si="3"/>
        <v>0</v>
      </c>
      <c r="K109" s="22">
        <f t="shared" si="2"/>
        <v>0</v>
      </c>
    </row>
    <row r="110" spans="1:11" ht="12.75" x14ac:dyDescent="0.2">
      <c r="A110" s="24">
        <v>45659</v>
      </c>
      <c r="B110" s="25" t="s">
        <v>6</v>
      </c>
      <c r="C110" s="26"/>
      <c r="D110" s="27"/>
      <c r="E110" s="28"/>
      <c r="F110" s="28"/>
      <c r="G110" s="29"/>
      <c r="H110" s="19">
        <f t="shared" si="0"/>
        <v>0</v>
      </c>
      <c r="I110" s="20">
        <f t="shared" si="1"/>
        <v>0</v>
      </c>
      <c r="J110" s="21">
        <f t="shared" si="3"/>
        <v>0</v>
      </c>
      <c r="K110" s="22">
        <f t="shared" si="2"/>
        <v>0</v>
      </c>
    </row>
    <row r="111" spans="1:11" ht="12.75" x14ac:dyDescent="0.2">
      <c r="A111" s="24">
        <v>45660</v>
      </c>
      <c r="B111" s="25" t="s">
        <v>7</v>
      </c>
      <c r="C111" s="26"/>
      <c r="D111" s="27"/>
      <c r="E111" s="28"/>
      <c r="F111" s="28"/>
      <c r="G111" s="29"/>
      <c r="H111" s="19">
        <f t="shared" si="0"/>
        <v>0</v>
      </c>
      <c r="I111" s="20">
        <f t="shared" si="1"/>
        <v>0</v>
      </c>
      <c r="J111" s="21">
        <f t="shared" si="3"/>
        <v>0</v>
      </c>
      <c r="K111" s="22">
        <f t="shared" si="2"/>
        <v>0</v>
      </c>
    </row>
    <row r="112" spans="1:11" ht="12.75" x14ac:dyDescent="0.2">
      <c r="A112" s="30">
        <v>45663</v>
      </c>
      <c r="B112" s="31" t="s">
        <v>3</v>
      </c>
      <c r="C112" s="32"/>
      <c r="D112" s="33"/>
      <c r="E112" s="34"/>
      <c r="F112" s="34"/>
      <c r="G112" s="35"/>
      <c r="H112" s="19">
        <f t="shared" si="0"/>
        <v>0</v>
      </c>
      <c r="I112" s="20">
        <f t="shared" si="1"/>
        <v>0</v>
      </c>
      <c r="J112" s="21">
        <f t="shared" si="3"/>
        <v>0</v>
      </c>
      <c r="K112" s="22">
        <f t="shared" si="2"/>
        <v>0</v>
      </c>
    </row>
    <row r="113" spans="1:11" ht="12.75" x14ac:dyDescent="0.2">
      <c r="A113" s="30">
        <v>45664</v>
      </c>
      <c r="B113" s="31" t="s">
        <v>4</v>
      </c>
      <c r="C113" s="32"/>
      <c r="D113" s="33"/>
      <c r="E113" s="34"/>
      <c r="F113" s="34"/>
      <c r="G113" s="35"/>
      <c r="H113" s="19">
        <f t="shared" si="0"/>
        <v>0</v>
      </c>
      <c r="I113" s="20">
        <f t="shared" si="1"/>
        <v>0</v>
      </c>
      <c r="J113" s="21">
        <f t="shared" si="3"/>
        <v>0</v>
      </c>
      <c r="K113" s="22">
        <f t="shared" si="2"/>
        <v>0</v>
      </c>
    </row>
    <row r="114" spans="1:11" ht="12.75" x14ac:dyDescent="0.2">
      <c r="A114" s="13">
        <v>45665</v>
      </c>
      <c r="B114" s="14" t="s">
        <v>5</v>
      </c>
      <c r="C114" s="15">
        <v>0.93410000000000004</v>
      </c>
      <c r="D114" s="16" t="s">
        <v>23</v>
      </c>
      <c r="E114" s="17"/>
      <c r="F114" s="17"/>
      <c r="G114" s="18">
        <v>622</v>
      </c>
      <c r="H114" s="19">
        <f t="shared" si="0"/>
        <v>40.989799999999946</v>
      </c>
      <c r="I114" s="20">
        <f t="shared" si="1"/>
        <v>2254.4389999999971</v>
      </c>
      <c r="J114" s="21">
        <f t="shared" si="3"/>
        <v>31.100000000000023</v>
      </c>
      <c r="K114" s="22">
        <f t="shared" si="2"/>
        <v>-9.8897999999999229</v>
      </c>
    </row>
    <row r="115" spans="1:11" ht="12.75" x14ac:dyDescent="0.2">
      <c r="A115" s="13">
        <v>45666</v>
      </c>
      <c r="B115" s="14" t="s">
        <v>6</v>
      </c>
      <c r="C115" s="15">
        <v>0.92779999999999996</v>
      </c>
      <c r="D115" s="16" t="s">
        <v>250</v>
      </c>
      <c r="E115" s="17"/>
      <c r="F115" s="17"/>
      <c r="G115" s="18">
        <v>623</v>
      </c>
      <c r="H115" s="19">
        <f t="shared" si="0"/>
        <v>44.980599999999981</v>
      </c>
      <c r="I115" s="20">
        <f t="shared" si="1"/>
        <v>2473.9329999999991</v>
      </c>
      <c r="J115" s="21">
        <f t="shared" si="3"/>
        <v>31.149999999999977</v>
      </c>
      <c r="K115" s="22">
        <f t="shared" si="2"/>
        <v>-13.830600000000004</v>
      </c>
    </row>
    <row r="116" spans="1:11" ht="12.75" x14ac:dyDescent="0.2">
      <c r="A116" s="13">
        <v>45667</v>
      </c>
      <c r="B116" s="14" t="s">
        <v>7</v>
      </c>
      <c r="C116" s="15">
        <v>0.92269999999999996</v>
      </c>
      <c r="D116" s="16" t="s">
        <v>86</v>
      </c>
      <c r="E116" s="17"/>
      <c r="F116" s="17"/>
      <c r="G116" s="18">
        <v>621</v>
      </c>
      <c r="H116" s="19">
        <f t="shared" si="0"/>
        <v>48.003299999999967</v>
      </c>
      <c r="I116" s="20">
        <f t="shared" si="1"/>
        <v>2640.1814999999983</v>
      </c>
      <c r="J116" s="21">
        <f t="shared" si="3"/>
        <v>31.050000000000068</v>
      </c>
      <c r="K116" s="22">
        <f t="shared" si="2"/>
        <v>-16.953299999999899</v>
      </c>
    </row>
    <row r="117" spans="1:11" ht="12.75" x14ac:dyDescent="0.2">
      <c r="A117" s="13">
        <v>45670</v>
      </c>
      <c r="B117" s="14" t="s">
        <v>3</v>
      </c>
      <c r="C117" s="15">
        <v>0.9375</v>
      </c>
      <c r="D117" s="16" t="s">
        <v>79</v>
      </c>
      <c r="E117" s="17"/>
      <c r="F117" s="17"/>
      <c r="G117" s="18">
        <v>624</v>
      </c>
      <c r="H117" s="19">
        <f t="shared" si="0"/>
        <v>39</v>
      </c>
      <c r="I117" s="20">
        <f t="shared" si="1"/>
        <v>2145</v>
      </c>
      <c r="J117" s="21">
        <f t="shared" si="3"/>
        <v>31.200000000000045</v>
      </c>
      <c r="K117" s="22">
        <f t="shared" si="2"/>
        <v>-7.7999999999999545</v>
      </c>
    </row>
    <row r="118" spans="1:11" ht="12.75" x14ac:dyDescent="0.2">
      <c r="A118" s="13">
        <v>45671</v>
      </c>
      <c r="B118" s="14" t="s">
        <v>4</v>
      </c>
      <c r="C118" s="15">
        <v>0.94230000000000003</v>
      </c>
      <c r="D118" s="16" t="s">
        <v>79</v>
      </c>
      <c r="E118" s="17"/>
      <c r="F118" s="17"/>
      <c r="G118" s="18">
        <v>624</v>
      </c>
      <c r="H118" s="19">
        <f t="shared" si="0"/>
        <v>36.004799999999932</v>
      </c>
      <c r="I118" s="20">
        <f t="shared" si="1"/>
        <v>1980.2639999999963</v>
      </c>
      <c r="J118" s="21">
        <f t="shared" si="3"/>
        <v>31.200000000000045</v>
      </c>
      <c r="K118" s="22">
        <f t="shared" si="2"/>
        <v>-4.8047999999998865</v>
      </c>
    </row>
    <row r="119" spans="1:11" ht="12.75" x14ac:dyDescent="0.2">
      <c r="A119" s="13">
        <v>45672</v>
      </c>
      <c r="B119" s="14" t="s">
        <v>5</v>
      </c>
      <c r="C119" s="15">
        <v>0.95840000000000003</v>
      </c>
      <c r="D119" s="16" t="s">
        <v>79</v>
      </c>
      <c r="E119" s="17"/>
      <c r="F119" s="17"/>
      <c r="G119" s="18">
        <v>625</v>
      </c>
      <c r="H119" s="19">
        <f t="shared" si="0"/>
        <v>26</v>
      </c>
      <c r="I119" s="20">
        <f t="shared" si="1"/>
        <v>1430</v>
      </c>
      <c r="J119" s="21">
        <f t="shared" si="3"/>
        <v>31.25</v>
      </c>
      <c r="K119" s="22">
        <f t="shared" si="2"/>
        <v>5.25</v>
      </c>
    </row>
    <row r="120" spans="1:11" ht="12.75" x14ac:dyDescent="0.2">
      <c r="A120" s="13">
        <v>45673</v>
      </c>
      <c r="B120" s="14" t="s">
        <v>6</v>
      </c>
      <c r="C120" s="15">
        <v>0.9425</v>
      </c>
      <c r="D120" s="16" t="s">
        <v>79</v>
      </c>
      <c r="E120" s="17"/>
      <c r="F120" s="17"/>
      <c r="G120" s="18">
        <v>626</v>
      </c>
      <c r="H120" s="19">
        <f t="shared" si="0"/>
        <v>35.995000000000005</v>
      </c>
      <c r="I120" s="20">
        <f t="shared" si="1"/>
        <v>1979.7250000000004</v>
      </c>
      <c r="J120" s="21">
        <f t="shared" si="3"/>
        <v>31.300000000000068</v>
      </c>
      <c r="K120" s="22">
        <f t="shared" si="2"/>
        <v>-4.6949999999999363</v>
      </c>
    </row>
    <row r="121" spans="1:11" ht="12.75" x14ac:dyDescent="0.2">
      <c r="A121" s="13">
        <v>45674</v>
      </c>
      <c r="B121" s="14" t="s">
        <v>7</v>
      </c>
      <c r="C121" s="15">
        <v>0.91210000000000002</v>
      </c>
      <c r="D121" s="16" t="s">
        <v>22</v>
      </c>
      <c r="E121" s="17"/>
      <c r="F121" s="17"/>
      <c r="G121" s="18">
        <v>626</v>
      </c>
      <c r="H121" s="19">
        <f t="shared" si="0"/>
        <v>55.025399999999991</v>
      </c>
      <c r="I121" s="20">
        <f t="shared" si="1"/>
        <v>3026.3969999999995</v>
      </c>
      <c r="J121" s="21">
        <f t="shared" si="3"/>
        <v>31.300000000000068</v>
      </c>
      <c r="K121" s="22">
        <f t="shared" si="2"/>
        <v>-23.725399999999922</v>
      </c>
    </row>
    <row r="122" spans="1:11" ht="12.75" x14ac:dyDescent="0.2">
      <c r="A122" s="24">
        <v>45677</v>
      </c>
      <c r="B122" s="25" t="s">
        <v>3</v>
      </c>
      <c r="C122" s="26"/>
      <c r="D122" s="27"/>
      <c r="E122" s="28"/>
      <c r="F122" s="28"/>
      <c r="G122" s="29"/>
      <c r="H122" s="19">
        <f t="shared" si="0"/>
        <v>0</v>
      </c>
      <c r="I122" s="20">
        <f t="shared" si="1"/>
        <v>0</v>
      </c>
      <c r="J122" s="21">
        <f t="shared" si="3"/>
        <v>0</v>
      </c>
      <c r="K122" s="22">
        <f t="shared" si="2"/>
        <v>0</v>
      </c>
    </row>
    <row r="123" spans="1:11" ht="12.75" x14ac:dyDescent="0.2">
      <c r="A123" s="13">
        <v>45678</v>
      </c>
      <c r="B123" s="14" t="s">
        <v>4</v>
      </c>
      <c r="C123" s="15"/>
      <c r="D123" s="16"/>
      <c r="E123" s="17"/>
      <c r="F123" s="17"/>
      <c r="H123" s="19">
        <f t="shared" si="0"/>
        <v>0</v>
      </c>
      <c r="I123" s="20">
        <f t="shared" si="1"/>
        <v>0</v>
      </c>
      <c r="J123" s="21">
        <f t="shared" si="3"/>
        <v>0</v>
      </c>
      <c r="K123" s="22">
        <f t="shared" si="2"/>
        <v>0</v>
      </c>
    </row>
    <row r="124" spans="1:11" ht="12.75" x14ac:dyDescent="0.2">
      <c r="A124" s="13">
        <v>45679</v>
      </c>
      <c r="B124" s="14" t="s">
        <v>5</v>
      </c>
      <c r="C124" s="15"/>
      <c r="D124" s="16"/>
      <c r="E124" s="17"/>
      <c r="F124" s="17"/>
      <c r="H124" s="19">
        <f t="shared" si="0"/>
        <v>0</v>
      </c>
      <c r="I124" s="20">
        <f t="shared" si="1"/>
        <v>0</v>
      </c>
      <c r="J124" s="21">
        <f t="shared" si="3"/>
        <v>0</v>
      </c>
      <c r="K124" s="22">
        <f t="shared" si="2"/>
        <v>0</v>
      </c>
    </row>
    <row r="125" spans="1:11" ht="12.75" x14ac:dyDescent="0.2">
      <c r="A125" s="13">
        <v>45680</v>
      </c>
      <c r="B125" s="14" t="s">
        <v>6</v>
      </c>
      <c r="C125" s="15">
        <v>0.82399999999999995</v>
      </c>
      <c r="D125" s="16" t="s">
        <v>75</v>
      </c>
      <c r="E125" s="17" t="s">
        <v>251</v>
      </c>
      <c r="F125" s="17"/>
      <c r="G125" s="18">
        <v>625</v>
      </c>
      <c r="H125" s="19">
        <f t="shared" si="0"/>
        <v>110</v>
      </c>
      <c r="I125" s="20">
        <f t="shared" si="1"/>
        <v>6050</v>
      </c>
      <c r="J125" s="21">
        <f t="shared" si="3"/>
        <v>31.25</v>
      </c>
      <c r="K125" s="22">
        <f t="shared" si="2"/>
        <v>-78.75</v>
      </c>
    </row>
    <row r="126" spans="1:11" ht="12.75" x14ac:dyDescent="0.2">
      <c r="A126" s="13">
        <v>45681</v>
      </c>
      <c r="B126" s="14" t="s">
        <v>7</v>
      </c>
      <c r="C126" s="15">
        <v>0.91520000000000001</v>
      </c>
      <c r="D126" s="16" t="s">
        <v>22</v>
      </c>
      <c r="E126" s="17"/>
      <c r="F126" s="17"/>
      <c r="G126" s="18">
        <v>625</v>
      </c>
      <c r="H126" s="19">
        <f t="shared" si="0"/>
        <v>53</v>
      </c>
      <c r="I126" s="20">
        <f t="shared" si="1"/>
        <v>2915</v>
      </c>
      <c r="J126" s="21">
        <f t="shared" si="3"/>
        <v>31.25</v>
      </c>
      <c r="K126" s="22">
        <f t="shared" si="2"/>
        <v>-21.75</v>
      </c>
    </row>
    <row r="127" spans="1:11" ht="12.75" x14ac:dyDescent="0.2">
      <c r="A127" s="13">
        <v>45684</v>
      </c>
      <c r="B127" s="14" t="s">
        <v>3</v>
      </c>
      <c r="C127" s="15">
        <v>0.96650000000000003</v>
      </c>
      <c r="D127" s="16" t="s">
        <v>79</v>
      </c>
      <c r="E127" s="17"/>
      <c r="F127" s="17"/>
      <c r="G127" s="18">
        <v>627</v>
      </c>
      <c r="H127" s="19">
        <f t="shared" si="0"/>
        <v>21.004500000000007</v>
      </c>
      <c r="I127" s="20">
        <f t="shared" si="1"/>
        <v>1155.2475000000004</v>
      </c>
      <c r="J127" s="21">
        <f t="shared" si="3"/>
        <v>31.350000000000023</v>
      </c>
      <c r="K127" s="22">
        <f t="shared" si="2"/>
        <v>10.345500000000015</v>
      </c>
    </row>
    <row r="128" spans="1:11" ht="12.75" x14ac:dyDescent="0.2">
      <c r="A128" s="13">
        <v>45685</v>
      </c>
      <c r="B128" s="14" t="s">
        <v>4</v>
      </c>
      <c r="C128" s="15">
        <v>0.95069999999999999</v>
      </c>
      <c r="D128" s="16" t="s">
        <v>79</v>
      </c>
      <c r="E128" s="17"/>
      <c r="F128" s="17"/>
      <c r="G128" s="18">
        <v>629</v>
      </c>
      <c r="H128" s="19">
        <f t="shared" si="0"/>
        <v>31.009699999999953</v>
      </c>
      <c r="I128" s="20">
        <f t="shared" si="1"/>
        <v>1705.5334999999973</v>
      </c>
      <c r="J128" s="21">
        <f t="shared" si="3"/>
        <v>31.450000000000045</v>
      </c>
      <c r="K128" s="22">
        <f t="shared" si="2"/>
        <v>0.44030000000009295</v>
      </c>
    </row>
    <row r="129" spans="1:11" ht="12.75" x14ac:dyDescent="0.2">
      <c r="A129" s="13">
        <v>45686</v>
      </c>
      <c r="B129" s="14" t="s">
        <v>5</v>
      </c>
      <c r="C129" s="15">
        <v>0.93959999999999999</v>
      </c>
      <c r="D129" s="16" t="s">
        <v>79</v>
      </c>
      <c r="E129" s="17"/>
      <c r="F129" s="17"/>
      <c r="G129" s="18">
        <v>629</v>
      </c>
      <c r="H129" s="19">
        <f t="shared" si="0"/>
        <v>37.991600000000062</v>
      </c>
      <c r="I129" s="20">
        <f t="shared" si="1"/>
        <v>2089.5380000000032</v>
      </c>
      <c r="J129" s="21">
        <f t="shared" si="3"/>
        <v>31.450000000000045</v>
      </c>
      <c r="K129" s="22">
        <f t="shared" si="2"/>
        <v>-6.5416000000000167</v>
      </c>
    </row>
    <row r="130" spans="1:11" ht="12.75" x14ac:dyDescent="0.2">
      <c r="A130" s="13">
        <v>45687</v>
      </c>
      <c r="B130" s="14" t="s">
        <v>6</v>
      </c>
      <c r="C130" s="15">
        <v>0.9304</v>
      </c>
      <c r="D130" s="16" t="s">
        <v>22</v>
      </c>
      <c r="E130" s="17"/>
      <c r="F130" s="17"/>
      <c r="G130" s="18">
        <v>632</v>
      </c>
      <c r="H130" s="19">
        <f t="shared" si="0"/>
        <v>43.98720000000003</v>
      </c>
      <c r="I130" s="20">
        <f t="shared" si="1"/>
        <v>2419.2960000000016</v>
      </c>
      <c r="J130" s="21">
        <f t="shared" si="3"/>
        <v>31.600000000000023</v>
      </c>
      <c r="K130" s="22">
        <f t="shared" si="2"/>
        <v>-12.387200000000007</v>
      </c>
    </row>
    <row r="131" spans="1:11" ht="12.75" x14ac:dyDescent="0.2">
      <c r="A131" s="13">
        <v>45688</v>
      </c>
      <c r="B131" s="14" t="s">
        <v>7</v>
      </c>
      <c r="C131" s="15">
        <v>0.91410000000000002</v>
      </c>
      <c r="D131" s="16" t="s">
        <v>79</v>
      </c>
      <c r="E131" s="17"/>
      <c r="F131" s="17"/>
      <c r="H131" s="19">
        <f t="shared" si="0"/>
        <v>0</v>
      </c>
      <c r="I131" s="20">
        <f t="shared" si="1"/>
        <v>0</v>
      </c>
      <c r="J131" s="21">
        <f t="shared" si="3"/>
        <v>0</v>
      </c>
      <c r="K131" s="22">
        <f t="shared" si="2"/>
        <v>0</v>
      </c>
    </row>
    <row r="132" spans="1:11" ht="12.75" x14ac:dyDescent="0.2">
      <c r="A132" s="13">
        <v>45691</v>
      </c>
      <c r="B132" s="14" t="s">
        <v>3</v>
      </c>
      <c r="C132" s="15">
        <v>0.81330000000000002</v>
      </c>
      <c r="D132" s="16" t="s">
        <v>75</v>
      </c>
      <c r="E132" s="17" t="s">
        <v>252</v>
      </c>
      <c r="F132" s="17"/>
      <c r="G132" s="18">
        <v>632</v>
      </c>
      <c r="H132" s="19">
        <f t="shared" si="0"/>
        <v>117.99440000000004</v>
      </c>
      <c r="I132" s="20">
        <f t="shared" si="1"/>
        <v>6489.6920000000027</v>
      </c>
      <c r="J132" s="21">
        <f t="shared" si="3"/>
        <v>31.600000000000023</v>
      </c>
      <c r="K132" s="22">
        <f t="shared" si="2"/>
        <v>-86.394400000000019</v>
      </c>
    </row>
    <row r="133" spans="1:11" ht="12.75" x14ac:dyDescent="0.2">
      <c r="A133" s="13">
        <v>45692</v>
      </c>
      <c r="B133" s="14" t="s">
        <v>4</v>
      </c>
      <c r="C133" s="15">
        <v>0.94930000000000003</v>
      </c>
      <c r="D133" s="16" t="s">
        <v>79</v>
      </c>
      <c r="E133" s="17"/>
      <c r="F133" s="17"/>
      <c r="G133" s="18">
        <v>632</v>
      </c>
      <c r="H133" s="19">
        <f t="shared" si="0"/>
        <v>32.04239999999993</v>
      </c>
      <c r="I133" s="20">
        <f t="shared" si="1"/>
        <v>1762.3319999999962</v>
      </c>
      <c r="J133" s="21">
        <f t="shared" si="3"/>
        <v>31.600000000000023</v>
      </c>
      <c r="K133" s="22">
        <f t="shared" si="2"/>
        <v>-0.44239999999990687</v>
      </c>
    </row>
    <row r="134" spans="1:11" ht="12.75" x14ac:dyDescent="0.2">
      <c r="A134" s="13">
        <v>45693</v>
      </c>
      <c r="B134" s="14" t="s">
        <v>5</v>
      </c>
      <c r="C134" s="15">
        <v>0.95089999999999997</v>
      </c>
      <c r="D134" s="16" t="s">
        <v>22</v>
      </c>
      <c r="E134" s="17"/>
      <c r="F134" s="17"/>
      <c r="G134" s="18">
        <v>631</v>
      </c>
      <c r="H134" s="19">
        <f t="shared" si="0"/>
        <v>30.982100000000059</v>
      </c>
      <c r="I134" s="20">
        <f t="shared" si="1"/>
        <v>1704.0155000000032</v>
      </c>
      <c r="J134" s="21">
        <f t="shared" si="3"/>
        <v>31.550000000000068</v>
      </c>
      <c r="K134" s="22">
        <f t="shared" si="2"/>
        <v>0.56790000000000873</v>
      </c>
    </row>
    <row r="135" spans="1:11" ht="12.75" x14ac:dyDescent="0.2">
      <c r="A135" s="13">
        <v>45694</v>
      </c>
      <c r="B135" s="14" t="s">
        <v>6</v>
      </c>
      <c r="C135" s="15">
        <v>0.91920000000000002</v>
      </c>
      <c r="D135" s="16" t="s">
        <v>22</v>
      </c>
      <c r="E135" s="17"/>
      <c r="F135" s="17"/>
      <c r="G135" s="18">
        <v>631</v>
      </c>
      <c r="H135" s="19">
        <f t="shared" si="0"/>
        <v>50.98479999999995</v>
      </c>
      <c r="I135" s="20">
        <f t="shared" si="1"/>
        <v>2804.163999999997</v>
      </c>
      <c r="J135" s="21">
        <f t="shared" si="3"/>
        <v>31.550000000000068</v>
      </c>
      <c r="K135" s="22">
        <f t="shared" si="2"/>
        <v>-19.434799999999882</v>
      </c>
    </row>
    <row r="136" spans="1:11" ht="12.75" x14ac:dyDescent="0.2">
      <c r="A136" s="13">
        <v>45695</v>
      </c>
      <c r="B136" s="14" t="s">
        <v>7</v>
      </c>
      <c r="C136" s="15">
        <v>0.91600000000000004</v>
      </c>
      <c r="D136" s="16" t="s">
        <v>79</v>
      </c>
      <c r="E136" s="17"/>
      <c r="F136" s="17"/>
      <c r="G136" s="18">
        <v>631</v>
      </c>
      <c r="H136" s="19">
        <f t="shared" si="0"/>
        <v>53.004000000000019</v>
      </c>
      <c r="I136" s="20">
        <f t="shared" si="1"/>
        <v>2915.2200000000012</v>
      </c>
      <c r="J136" s="21">
        <f t="shared" si="3"/>
        <v>31.550000000000068</v>
      </c>
      <c r="K136" s="22">
        <f t="shared" si="2"/>
        <v>-21.453999999999951</v>
      </c>
    </row>
    <row r="137" spans="1:11" ht="12.75" x14ac:dyDescent="0.2">
      <c r="A137" s="30">
        <v>45698</v>
      </c>
      <c r="B137" s="31" t="s">
        <v>3</v>
      </c>
      <c r="C137" s="32"/>
      <c r="D137" s="33"/>
      <c r="E137" s="34"/>
      <c r="F137" s="34"/>
      <c r="G137" s="35"/>
      <c r="H137" s="19">
        <f t="shared" si="0"/>
        <v>0</v>
      </c>
      <c r="I137" s="20">
        <f t="shared" si="1"/>
        <v>0</v>
      </c>
      <c r="J137" s="21">
        <f t="shared" si="3"/>
        <v>0</v>
      </c>
      <c r="K137" s="22">
        <f t="shared" si="2"/>
        <v>0</v>
      </c>
    </row>
    <row r="138" spans="1:11" ht="12.75" x14ac:dyDescent="0.2">
      <c r="A138" s="30">
        <v>45699</v>
      </c>
      <c r="B138" s="31" t="s">
        <v>4</v>
      </c>
      <c r="C138" s="32"/>
      <c r="D138" s="33"/>
      <c r="E138" s="34"/>
      <c r="F138" s="34"/>
      <c r="G138" s="35"/>
      <c r="H138" s="19">
        <f t="shared" si="0"/>
        <v>0</v>
      </c>
      <c r="I138" s="20">
        <f t="shared" si="1"/>
        <v>0</v>
      </c>
      <c r="J138" s="21">
        <f t="shared" si="3"/>
        <v>0</v>
      </c>
      <c r="K138" s="22">
        <f t="shared" si="2"/>
        <v>0</v>
      </c>
    </row>
    <row r="139" spans="1:11" ht="12.75" x14ac:dyDescent="0.2">
      <c r="A139" s="13">
        <v>45700</v>
      </c>
      <c r="B139" s="14" t="s">
        <v>5</v>
      </c>
      <c r="C139" s="15">
        <v>0.95879999999999999</v>
      </c>
      <c r="D139" s="16" t="s">
        <v>79</v>
      </c>
      <c r="E139" s="17"/>
      <c r="F139" s="17"/>
      <c r="G139" s="18">
        <v>631</v>
      </c>
      <c r="H139" s="19">
        <f t="shared" si="0"/>
        <v>25.997200000000021</v>
      </c>
      <c r="I139" s="20">
        <f t="shared" si="1"/>
        <v>1429.8460000000011</v>
      </c>
      <c r="J139" s="21">
        <f t="shared" si="3"/>
        <v>31.550000000000068</v>
      </c>
      <c r="K139" s="22">
        <f t="shared" si="2"/>
        <v>5.5528000000000475</v>
      </c>
    </row>
    <row r="140" spans="1:11" ht="12.75" x14ac:dyDescent="0.2">
      <c r="A140" s="13">
        <v>45701</v>
      </c>
      <c r="B140" s="14" t="s">
        <v>6</v>
      </c>
      <c r="C140" s="15">
        <v>0.91920000000000002</v>
      </c>
      <c r="D140" s="16" t="s">
        <v>79</v>
      </c>
      <c r="E140" s="17"/>
      <c r="F140" s="17"/>
      <c r="G140" s="18">
        <v>631</v>
      </c>
      <c r="H140" s="19">
        <f t="shared" si="0"/>
        <v>50.98479999999995</v>
      </c>
      <c r="I140" s="20">
        <f t="shared" si="1"/>
        <v>2804.163999999997</v>
      </c>
      <c r="J140" s="21">
        <f t="shared" si="3"/>
        <v>31.550000000000068</v>
      </c>
      <c r="K140" s="22">
        <f t="shared" si="2"/>
        <v>-19.434799999999882</v>
      </c>
    </row>
    <row r="141" spans="1:11" ht="12.75" x14ac:dyDescent="0.2">
      <c r="A141" s="13">
        <v>45702</v>
      </c>
      <c r="B141" s="14" t="s">
        <v>7</v>
      </c>
      <c r="C141" s="15">
        <v>0.88149999999999995</v>
      </c>
      <c r="D141" s="16" t="s">
        <v>75</v>
      </c>
      <c r="E141" s="17" t="s">
        <v>253</v>
      </c>
      <c r="F141" s="17"/>
      <c r="G141" s="18">
        <v>633</v>
      </c>
      <c r="H141" s="19">
        <f t="shared" si="0"/>
        <v>75.010499999999979</v>
      </c>
      <c r="I141" s="20">
        <f t="shared" si="1"/>
        <v>4125.5774999999985</v>
      </c>
      <c r="J141" s="21">
        <f t="shared" si="3"/>
        <v>31.649999999999977</v>
      </c>
      <c r="K141" s="22">
        <f t="shared" si="2"/>
        <v>-43.360500000000002</v>
      </c>
    </row>
    <row r="142" spans="1:11" ht="12.75" x14ac:dyDescent="0.2">
      <c r="A142" s="38">
        <v>45705</v>
      </c>
      <c r="B142" s="39" t="s">
        <v>3</v>
      </c>
      <c r="C142" s="15"/>
      <c r="D142" s="41"/>
      <c r="E142" s="42"/>
      <c r="F142" s="42"/>
      <c r="G142" s="43"/>
      <c r="H142" s="19">
        <f t="shared" si="0"/>
        <v>0</v>
      </c>
      <c r="I142" s="20">
        <f t="shared" si="1"/>
        <v>0</v>
      </c>
      <c r="J142" s="21">
        <f t="shared" si="3"/>
        <v>0</v>
      </c>
      <c r="K142" s="22">
        <f t="shared" si="2"/>
        <v>0</v>
      </c>
    </row>
    <row r="143" spans="1:11" ht="12.75" x14ac:dyDescent="0.2">
      <c r="A143" s="13">
        <v>45706</v>
      </c>
      <c r="B143" s="14" t="s">
        <v>4</v>
      </c>
      <c r="C143" s="15">
        <v>0.93330000000000002</v>
      </c>
      <c r="D143" s="16" t="s">
        <v>79</v>
      </c>
      <c r="E143" s="17"/>
      <c r="F143" s="17"/>
      <c r="G143" s="18">
        <v>630</v>
      </c>
      <c r="H143" s="19">
        <f t="shared" si="0"/>
        <v>42.020999999999958</v>
      </c>
      <c r="I143" s="20">
        <f t="shared" si="1"/>
        <v>2311.1549999999979</v>
      </c>
      <c r="J143" s="21">
        <f t="shared" si="3"/>
        <v>31.5</v>
      </c>
      <c r="K143" s="22">
        <f t="shared" si="2"/>
        <v>-10.520999999999958</v>
      </c>
    </row>
    <row r="144" spans="1:11" ht="12.75" x14ac:dyDescent="0.2">
      <c r="A144" s="13">
        <v>45707</v>
      </c>
      <c r="B144" s="14" t="s">
        <v>5</v>
      </c>
      <c r="C144" s="15">
        <v>0.95709999999999995</v>
      </c>
      <c r="D144" s="16" t="s">
        <v>22</v>
      </c>
      <c r="E144" s="17"/>
      <c r="F144" s="17"/>
      <c r="G144" s="18">
        <v>630</v>
      </c>
      <c r="H144" s="19" t="e">
        <f>G144-(#REF!*G144)</f>
        <v>#REF!</v>
      </c>
      <c r="I144" s="20" t="e">
        <f t="shared" si="1"/>
        <v>#REF!</v>
      </c>
      <c r="J144" s="21">
        <f t="shared" si="3"/>
        <v>31.5</v>
      </c>
      <c r="K144" s="22" t="e">
        <f t="shared" si="2"/>
        <v>#REF!</v>
      </c>
    </row>
    <row r="145" spans="1:11" ht="12.75" x14ac:dyDescent="0.2">
      <c r="A145" s="13">
        <v>45708</v>
      </c>
      <c r="B145" s="14" t="s">
        <v>6</v>
      </c>
      <c r="C145" s="72">
        <v>0.84789999999999999</v>
      </c>
      <c r="D145" s="16" t="s">
        <v>75</v>
      </c>
      <c r="E145" s="17" t="s">
        <v>254</v>
      </c>
      <c r="F145" s="17"/>
      <c r="G145" s="18">
        <v>631</v>
      </c>
      <c r="H145" s="19">
        <f>G145-(C144*G145)</f>
        <v>27.069900000000075</v>
      </c>
      <c r="I145" s="20">
        <f t="shared" si="1"/>
        <v>1488.8445000000042</v>
      </c>
      <c r="J145" s="21">
        <f t="shared" si="3"/>
        <v>31.550000000000068</v>
      </c>
      <c r="K145" s="22">
        <f t="shared" si="2"/>
        <v>4.4800999999999931</v>
      </c>
    </row>
    <row r="146" spans="1:11" ht="12.75" x14ac:dyDescent="0.2">
      <c r="A146" s="13">
        <v>45709</v>
      </c>
      <c r="B146" s="14" t="s">
        <v>7</v>
      </c>
      <c r="C146" s="15">
        <v>0.90810000000000002</v>
      </c>
      <c r="D146" s="16" t="s">
        <v>22</v>
      </c>
      <c r="E146" s="17"/>
      <c r="F146" s="17"/>
      <c r="G146" s="18">
        <v>631</v>
      </c>
      <c r="H146" s="19">
        <f t="shared" ref="H146:H215" si="4">G146-(C146*G146)</f>
        <v>57.988899999999944</v>
      </c>
      <c r="I146" s="20">
        <f t="shared" si="1"/>
        <v>3189.389499999997</v>
      </c>
      <c r="J146" s="21">
        <f t="shared" si="3"/>
        <v>31.550000000000068</v>
      </c>
      <c r="K146" s="22">
        <f t="shared" si="2"/>
        <v>-26.438899999999876</v>
      </c>
    </row>
    <row r="147" spans="1:11" ht="12.75" x14ac:dyDescent="0.2">
      <c r="A147" s="13">
        <v>45712</v>
      </c>
      <c r="B147" s="14" t="s">
        <v>3</v>
      </c>
      <c r="C147" s="15">
        <v>0.9304</v>
      </c>
      <c r="D147" s="16" t="s">
        <v>23</v>
      </c>
      <c r="E147" s="17"/>
      <c r="F147" s="17"/>
      <c r="G147" s="18">
        <v>632</v>
      </c>
      <c r="H147" s="19">
        <f t="shared" si="4"/>
        <v>43.98720000000003</v>
      </c>
      <c r="I147" s="20">
        <f t="shared" si="1"/>
        <v>2419.2960000000016</v>
      </c>
      <c r="J147" s="21">
        <f t="shared" si="3"/>
        <v>31.600000000000023</v>
      </c>
      <c r="K147" s="22">
        <f t="shared" si="2"/>
        <v>-12.387200000000007</v>
      </c>
    </row>
    <row r="148" spans="1:11" ht="12.75" x14ac:dyDescent="0.2">
      <c r="A148" s="13">
        <v>45713</v>
      </c>
      <c r="B148" s="14" t="s">
        <v>4</v>
      </c>
      <c r="C148" s="15">
        <v>0.95730000000000004</v>
      </c>
      <c r="D148" s="16" t="s">
        <v>22</v>
      </c>
      <c r="E148" s="17"/>
      <c r="F148" s="17"/>
      <c r="G148" s="18">
        <v>632</v>
      </c>
      <c r="H148" s="19">
        <f t="shared" si="4"/>
        <v>26.986400000000003</v>
      </c>
      <c r="I148" s="20">
        <f t="shared" si="1"/>
        <v>1484.2520000000002</v>
      </c>
      <c r="J148" s="21">
        <f t="shared" si="3"/>
        <v>31.600000000000023</v>
      </c>
      <c r="K148" s="22">
        <f t="shared" si="2"/>
        <v>4.6136000000000195</v>
      </c>
    </row>
    <row r="149" spans="1:11" ht="12.75" x14ac:dyDescent="0.2">
      <c r="A149" s="13">
        <v>45714</v>
      </c>
      <c r="B149" s="14" t="s">
        <v>5</v>
      </c>
      <c r="C149" s="15">
        <v>0.92869999999999997</v>
      </c>
      <c r="D149" s="16" t="s">
        <v>22</v>
      </c>
      <c r="E149" s="17"/>
      <c r="F149" s="17"/>
      <c r="G149" s="18">
        <v>631</v>
      </c>
      <c r="H149" s="19">
        <f t="shared" si="4"/>
        <v>44.990300000000047</v>
      </c>
      <c r="I149" s="20">
        <f t="shared" si="1"/>
        <v>2474.4665000000027</v>
      </c>
      <c r="J149" s="21">
        <f t="shared" si="3"/>
        <v>31.550000000000068</v>
      </c>
      <c r="K149" s="22">
        <f t="shared" si="2"/>
        <v>-13.440299999999979</v>
      </c>
    </row>
    <row r="150" spans="1:11" ht="12.75" x14ac:dyDescent="0.2">
      <c r="A150" s="13">
        <v>45715</v>
      </c>
      <c r="B150" s="14" t="s">
        <v>6</v>
      </c>
      <c r="C150" s="15">
        <v>0.93130000000000002</v>
      </c>
      <c r="D150" s="16" t="s">
        <v>22</v>
      </c>
      <c r="E150" s="17"/>
      <c r="F150" s="17"/>
      <c r="G150" s="18">
        <v>631</v>
      </c>
      <c r="H150" s="19">
        <f t="shared" si="4"/>
        <v>43.349699999999984</v>
      </c>
      <c r="I150" s="20">
        <f t="shared" si="1"/>
        <v>2384.2334999999994</v>
      </c>
      <c r="J150" s="21">
        <f t="shared" si="3"/>
        <v>31.550000000000068</v>
      </c>
      <c r="K150" s="22">
        <f t="shared" si="2"/>
        <v>-11.799699999999916</v>
      </c>
    </row>
    <row r="151" spans="1:11" ht="12.75" x14ac:dyDescent="0.2">
      <c r="A151" s="13">
        <v>45716</v>
      </c>
      <c r="B151" s="14" t="s">
        <v>7</v>
      </c>
      <c r="C151" s="15">
        <v>0.8921</v>
      </c>
      <c r="D151" s="16" t="s">
        <v>29</v>
      </c>
      <c r="E151" s="17"/>
      <c r="F151" s="17"/>
      <c r="G151" s="18">
        <v>630</v>
      </c>
      <c r="H151" s="19">
        <f t="shared" si="4"/>
        <v>67.976999999999975</v>
      </c>
      <c r="I151" s="20">
        <f t="shared" si="1"/>
        <v>3738.7349999999988</v>
      </c>
      <c r="J151" s="21">
        <f t="shared" si="3"/>
        <v>31.5</v>
      </c>
      <c r="K151" s="22">
        <f t="shared" si="2"/>
        <v>-36.476999999999975</v>
      </c>
    </row>
    <row r="152" spans="1:11" ht="12.75" x14ac:dyDescent="0.2">
      <c r="A152" s="13">
        <v>45719</v>
      </c>
      <c r="B152" s="14" t="s">
        <v>3</v>
      </c>
      <c r="C152" s="15">
        <v>0.90049999999999997</v>
      </c>
      <c r="D152" s="16" t="s">
        <v>22</v>
      </c>
      <c r="E152" s="17"/>
      <c r="F152" s="17"/>
      <c r="G152" s="18">
        <v>633</v>
      </c>
      <c r="H152" s="19">
        <f t="shared" si="4"/>
        <v>62.983500000000049</v>
      </c>
      <c r="I152" s="20">
        <f t="shared" si="1"/>
        <v>3464.0925000000025</v>
      </c>
      <c r="J152" s="21">
        <f t="shared" si="3"/>
        <v>31.649999999999977</v>
      </c>
      <c r="K152" s="22">
        <f t="shared" si="2"/>
        <v>-31.333500000000072</v>
      </c>
    </row>
    <row r="153" spans="1:11" ht="38.25" x14ac:dyDescent="0.2">
      <c r="A153" s="13">
        <v>45720</v>
      </c>
      <c r="B153" s="14" t="s">
        <v>4</v>
      </c>
      <c r="C153" s="15">
        <v>0.86929999999999996</v>
      </c>
      <c r="D153" s="16" t="s">
        <v>29</v>
      </c>
      <c r="E153" s="17" t="s">
        <v>255</v>
      </c>
      <c r="F153" s="17"/>
      <c r="G153" s="18">
        <v>635</v>
      </c>
      <c r="H153" s="19">
        <f t="shared" si="4"/>
        <v>82.994500000000016</v>
      </c>
      <c r="I153" s="20">
        <f t="shared" si="1"/>
        <v>4564.6975000000011</v>
      </c>
      <c r="J153" s="21">
        <f t="shared" si="3"/>
        <v>31.75</v>
      </c>
      <c r="K153" s="22">
        <f t="shared" si="2"/>
        <v>-51.244500000000016</v>
      </c>
    </row>
    <row r="154" spans="1:11" ht="12.75" x14ac:dyDescent="0.2">
      <c r="A154" s="13">
        <v>45721</v>
      </c>
      <c r="B154" s="14" t="s">
        <v>5</v>
      </c>
      <c r="C154" s="15">
        <v>0.93859999999999999</v>
      </c>
      <c r="D154" s="16" t="s">
        <v>79</v>
      </c>
      <c r="E154" s="17"/>
      <c r="F154" s="17"/>
      <c r="G154" s="18">
        <v>635</v>
      </c>
      <c r="H154" s="19">
        <f t="shared" si="4"/>
        <v>38.989000000000033</v>
      </c>
      <c r="I154" s="20">
        <f t="shared" si="1"/>
        <v>2144.3950000000018</v>
      </c>
      <c r="J154" s="21">
        <f t="shared" si="3"/>
        <v>31.75</v>
      </c>
      <c r="K154" s="22">
        <f t="shared" si="2"/>
        <v>-7.2390000000000327</v>
      </c>
    </row>
    <row r="155" spans="1:11" ht="12.75" x14ac:dyDescent="0.2">
      <c r="A155" s="13">
        <v>45722</v>
      </c>
      <c r="B155" s="14" t="s">
        <v>6</v>
      </c>
      <c r="C155" s="15">
        <v>0.94169999999999998</v>
      </c>
      <c r="D155" s="16" t="s">
        <v>79</v>
      </c>
      <c r="E155" s="17"/>
      <c r="F155" s="17"/>
      <c r="G155" s="18">
        <v>635</v>
      </c>
      <c r="H155" s="19">
        <f t="shared" si="4"/>
        <v>37.02049999999997</v>
      </c>
      <c r="I155" s="20">
        <f t="shared" si="1"/>
        <v>2036.1274999999982</v>
      </c>
      <c r="J155" s="21">
        <f t="shared" si="3"/>
        <v>31.75</v>
      </c>
      <c r="K155" s="22">
        <f t="shared" si="2"/>
        <v>-5.27049999999997</v>
      </c>
    </row>
    <row r="156" spans="1:11" ht="25.5" x14ac:dyDescent="0.2">
      <c r="A156" s="13">
        <v>45723</v>
      </c>
      <c r="B156" s="14" t="s">
        <v>7</v>
      </c>
      <c r="C156" s="15">
        <v>0.87239999999999995</v>
      </c>
      <c r="D156" s="16" t="s">
        <v>75</v>
      </c>
      <c r="E156" s="17" t="s">
        <v>256</v>
      </c>
      <c r="F156" s="17"/>
      <c r="G156" s="18">
        <v>635</v>
      </c>
      <c r="H156" s="19">
        <f t="shared" si="4"/>
        <v>81.026000000000067</v>
      </c>
      <c r="I156" s="20">
        <f t="shared" si="1"/>
        <v>4456.4300000000039</v>
      </c>
      <c r="J156" s="21">
        <f t="shared" si="3"/>
        <v>31.75</v>
      </c>
      <c r="K156" s="22">
        <f t="shared" si="2"/>
        <v>-49.276000000000067</v>
      </c>
    </row>
    <row r="157" spans="1:11" ht="12.75" x14ac:dyDescent="0.2">
      <c r="A157" s="44">
        <v>45726</v>
      </c>
      <c r="B157" s="45" t="s">
        <v>3</v>
      </c>
      <c r="C157" s="15">
        <v>0.90380000000000005</v>
      </c>
      <c r="D157" s="16" t="s">
        <v>79</v>
      </c>
      <c r="E157" s="17"/>
      <c r="F157" s="17"/>
      <c r="G157" s="18">
        <v>635</v>
      </c>
      <c r="H157" s="19">
        <f t="shared" si="4"/>
        <v>61.086999999999989</v>
      </c>
      <c r="I157" s="20">
        <f t="shared" si="1"/>
        <v>3359.7849999999994</v>
      </c>
      <c r="J157" s="21">
        <f t="shared" si="3"/>
        <v>31.75</v>
      </c>
      <c r="K157" s="22">
        <f t="shared" si="2"/>
        <v>-29.336999999999989</v>
      </c>
    </row>
    <row r="158" spans="1:11" ht="12.75" x14ac:dyDescent="0.2">
      <c r="A158" s="44">
        <v>45727</v>
      </c>
      <c r="B158" s="45" t="s">
        <v>4</v>
      </c>
      <c r="C158" s="15">
        <v>0.91959999999999997</v>
      </c>
      <c r="D158" s="16" t="s">
        <v>79</v>
      </c>
      <c r="E158" s="17"/>
      <c r="F158" s="17"/>
      <c r="G158" s="18">
        <v>634</v>
      </c>
      <c r="H158" s="19">
        <f t="shared" si="4"/>
        <v>50.973600000000033</v>
      </c>
      <c r="I158" s="20">
        <f t="shared" si="1"/>
        <v>2803.5480000000016</v>
      </c>
      <c r="J158" s="21">
        <f t="shared" si="3"/>
        <v>31.700000000000045</v>
      </c>
      <c r="K158" s="22">
        <f t="shared" si="2"/>
        <v>-19.273599999999988</v>
      </c>
    </row>
    <row r="159" spans="1:11" ht="12.75" x14ac:dyDescent="0.2">
      <c r="A159" s="44">
        <v>45728</v>
      </c>
      <c r="B159" s="45" t="s">
        <v>5</v>
      </c>
      <c r="C159" s="15"/>
      <c r="D159" s="16"/>
      <c r="E159" s="17"/>
      <c r="F159" s="17"/>
      <c r="H159" s="19">
        <f t="shared" si="4"/>
        <v>0</v>
      </c>
      <c r="I159" s="20">
        <f t="shared" si="1"/>
        <v>0</v>
      </c>
      <c r="J159" s="21">
        <f t="shared" si="3"/>
        <v>0</v>
      </c>
      <c r="K159" s="22">
        <f t="shared" si="2"/>
        <v>0</v>
      </c>
    </row>
    <row r="160" spans="1:11" ht="12.75" x14ac:dyDescent="0.2">
      <c r="A160" s="44">
        <v>45729</v>
      </c>
      <c r="B160" s="45" t="s">
        <v>6</v>
      </c>
      <c r="C160" s="15"/>
      <c r="D160" s="16"/>
      <c r="E160" s="17"/>
      <c r="F160" s="17"/>
      <c r="H160" s="19">
        <f t="shared" si="4"/>
        <v>0</v>
      </c>
      <c r="I160" s="20">
        <f t="shared" si="1"/>
        <v>0</v>
      </c>
      <c r="J160" s="21">
        <f t="shared" si="3"/>
        <v>0</v>
      </c>
      <c r="K160" s="22">
        <f t="shared" si="2"/>
        <v>0</v>
      </c>
    </row>
    <row r="161" spans="1:11" ht="12.75" x14ac:dyDescent="0.2">
      <c r="A161" s="44">
        <v>45730</v>
      </c>
      <c r="B161" s="45" t="s">
        <v>7</v>
      </c>
      <c r="C161" s="15"/>
      <c r="D161" s="16"/>
      <c r="E161" s="17"/>
      <c r="F161" s="17"/>
      <c r="H161" s="19">
        <f t="shared" si="4"/>
        <v>0</v>
      </c>
      <c r="I161" s="20">
        <f t="shared" si="1"/>
        <v>0</v>
      </c>
      <c r="J161" s="21">
        <f t="shared" si="3"/>
        <v>0</v>
      </c>
      <c r="K161" s="22">
        <f t="shared" si="2"/>
        <v>0</v>
      </c>
    </row>
    <row r="162" spans="1:11" ht="12.75" x14ac:dyDescent="0.2">
      <c r="A162" s="24">
        <v>45733</v>
      </c>
      <c r="B162" s="25" t="s">
        <v>3</v>
      </c>
      <c r="C162" s="15"/>
      <c r="D162" s="27"/>
      <c r="E162" s="28"/>
      <c r="F162" s="28"/>
      <c r="G162" s="29"/>
      <c r="H162" s="19">
        <f t="shared" si="4"/>
        <v>0</v>
      </c>
      <c r="I162" s="20">
        <f t="shared" si="1"/>
        <v>0</v>
      </c>
      <c r="J162" s="21">
        <f t="shared" si="3"/>
        <v>0</v>
      </c>
      <c r="K162" s="22">
        <f t="shared" si="2"/>
        <v>0</v>
      </c>
    </row>
    <row r="163" spans="1:11" ht="12.75" x14ac:dyDescent="0.2">
      <c r="A163" s="24">
        <v>45734</v>
      </c>
      <c r="B163" s="25" t="s">
        <v>4</v>
      </c>
      <c r="C163" s="15"/>
      <c r="D163" s="27"/>
      <c r="E163" s="28"/>
      <c r="F163" s="28"/>
      <c r="G163" s="29"/>
      <c r="H163" s="19">
        <f t="shared" si="4"/>
        <v>0</v>
      </c>
      <c r="I163" s="20">
        <f t="shared" si="1"/>
        <v>0</v>
      </c>
      <c r="J163" s="21">
        <f t="shared" si="3"/>
        <v>0</v>
      </c>
      <c r="K163" s="22">
        <f t="shared" si="2"/>
        <v>0</v>
      </c>
    </row>
    <row r="164" spans="1:11" ht="12.75" x14ac:dyDescent="0.2">
      <c r="A164" s="24">
        <v>45735</v>
      </c>
      <c r="B164" s="25" t="s">
        <v>5</v>
      </c>
      <c r="C164" s="15"/>
      <c r="D164" s="27"/>
      <c r="E164" s="28"/>
      <c r="F164" s="28"/>
      <c r="G164" s="29"/>
      <c r="H164" s="19">
        <f t="shared" si="4"/>
        <v>0</v>
      </c>
      <c r="I164" s="20">
        <f t="shared" si="1"/>
        <v>0</v>
      </c>
      <c r="J164" s="21">
        <f t="shared" si="3"/>
        <v>0</v>
      </c>
      <c r="K164" s="22">
        <f t="shared" si="2"/>
        <v>0</v>
      </c>
    </row>
    <row r="165" spans="1:11" ht="12.75" x14ac:dyDescent="0.2">
      <c r="A165" s="24">
        <v>45736</v>
      </c>
      <c r="B165" s="25" t="s">
        <v>6</v>
      </c>
      <c r="C165" s="15"/>
      <c r="D165" s="27"/>
      <c r="E165" s="28"/>
      <c r="F165" s="28"/>
      <c r="G165" s="29"/>
      <c r="H165" s="19">
        <f t="shared" si="4"/>
        <v>0</v>
      </c>
      <c r="I165" s="20">
        <f t="shared" si="1"/>
        <v>0</v>
      </c>
      <c r="J165" s="21">
        <f t="shared" si="3"/>
        <v>0</v>
      </c>
      <c r="K165" s="22">
        <f t="shared" si="2"/>
        <v>0</v>
      </c>
    </row>
    <row r="166" spans="1:11" ht="12.75" x14ac:dyDescent="0.2">
      <c r="A166" s="24">
        <v>45737</v>
      </c>
      <c r="B166" s="25" t="s">
        <v>7</v>
      </c>
      <c r="C166" s="15"/>
      <c r="D166" s="27"/>
      <c r="E166" s="28"/>
      <c r="F166" s="28"/>
      <c r="G166" s="29"/>
      <c r="H166" s="19">
        <f t="shared" si="4"/>
        <v>0</v>
      </c>
      <c r="I166" s="20">
        <f t="shared" si="1"/>
        <v>0</v>
      </c>
      <c r="J166" s="21">
        <f t="shared" si="3"/>
        <v>0</v>
      </c>
      <c r="K166" s="22">
        <f t="shared" si="2"/>
        <v>0</v>
      </c>
    </row>
    <row r="167" spans="1:11" ht="12.75" x14ac:dyDescent="0.2">
      <c r="A167" s="13">
        <v>45740</v>
      </c>
      <c r="B167" s="14" t="s">
        <v>3</v>
      </c>
      <c r="C167" s="15"/>
      <c r="D167" s="16"/>
      <c r="E167" s="17"/>
      <c r="F167" s="17"/>
      <c r="H167" s="19">
        <f t="shared" si="4"/>
        <v>0</v>
      </c>
      <c r="I167" s="20">
        <f t="shared" si="1"/>
        <v>0</v>
      </c>
      <c r="J167" s="21">
        <f t="shared" si="3"/>
        <v>0</v>
      </c>
      <c r="K167" s="22">
        <f t="shared" si="2"/>
        <v>0</v>
      </c>
    </row>
    <row r="168" spans="1:11" ht="12.75" x14ac:dyDescent="0.2">
      <c r="A168" s="13">
        <v>45741</v>
      </c>
      <c r="B168" s="14" t="s">
        <v>4</v>
      </c>
      <c r="C168" s="15"/>
      <c r="D168" s="16"/>
      <c r="E168" s="17"/>
      <c r="F168" s="17"/>
      <c r="H168" s="19">
        <f t="shared" si="4"/>
        <v>0</v>
      </c>
      <c r="I168" s="20">
        <f t="shared" si="1"/>
        <v>0</v>
      </c>
      <c r="J168" s="21">
        <f t="shared" si="3"/>
        <v>0</v>
      </c>
      <c r="K168" s="22">
        <f t="shared" si="2"/>
        <v>0</v>
      </c>
    </row>
    <row r="169" spans="1:11" ht="12.75" x14ac:dyDescent="0.2">
      <c r="A169" s="13">
        <v>45742</v>
      </c>
      <c r="B169" s="14" t="s">
        <v>5</v>
      </c>
      <c r="C169" s="15"/>
      <c r="D169" s="16"/>
      <c r="E169" s="17"/>
      <c r="F169" s="17"/>
      <c r="H169" s="19">
        <f t="shared" si="4"/>
        <v>0</v>
      </c>
      <c r="I169" s="20">
        <f t="shared" si="1"/>
        <v>0</v>
      </c>
      <c r="J169" s="21">
        <f t="shared" si="3"/>
        <v>0</v>
      </c>
      <c r="K169" s="22">
        <f t="shared" si="2"/>
        <v>0</v>
      </c>
    </row>
    <row r="170" spans="1:11" ht="12.75" x14ac:dyDescent="0.2">
      <c r="A170" s="13">
        <v>45743</v>
      </c>
      <c r="B170" s="14" t="s">
        <v>6</v>
      </c>
      <c r="C170" s="15"/>
      <c r="D170" s="16"/>
      <c r="E170" s="17"/>
      <c r="F170" s="17"/>
      <c r="H170" s="19">
        <f t="shared" si="4"/>
        <v>0</v>
      </c>
      <c r="I170" s="20">
        <f t="shared" si="1"/>
        <v>0</v>
      </c>
      <c r="J170" s="21">
        <f t="shared" si="3"/>
        <v>0</v>
      </c>
      <c r="K170" s="22">
        <f t="shared" si="2"/>
        <v>0</v>
      </c>
    </row>
    <row r="171" spans="1:11" ht="12.75" x14ac:dyDescent="0.2">
      <c r="A171" s="13">
        <v>45744</v>
      </c>
      <c r="B171" s="14" t="s">
        <v>7</v>
      </c>
      <c r="C171" s="15"/>
      <c r="D171" s="16"/>
      <c r="E171" s="17"/>
      <c r="F171" s="17"/>
      <c r="H171" s="19">
        <f t="shared" si="4"/>
        <v>0</v>
      </c>
      <c r="I171" s="20">
        <f t="shared" si="1"/>
        <v>0</v>
      </c>
      <c r="J171" s="21">
        <f t="shared" si="3"/>
        <v>0</v>
      </c>
      <c r="K171" s="22">
        <f t="shared" si="2"/>
        <v>0</v>
      </c>
    </row>
    <row r="172" spans="1:11" ht="12.75" x14ac:dyDescent="0.2">
      <c r="A172" s="13">
        <v>45747</v>
      </c>
      <c r="B172" s="14" t="s">
        <v>3</v>
      </c>
      <c r="C172" s="15"/>
      <c r="D172" s="16"/>
      <c r="E172" s="17"/>
      <c r="F172" s="17"/>
      <c r="H172" s="19">
        <f t="shared" si="4"/>
        <v>0</v>
      </c>
      <c r="I172" s="20">
        <f t="shared" si="1"/>
        <v>0</v>
      </c>
      <c r="J172" s="21">
        <f t="shared" si="3"/>
        <v>0</v>
      </c>
      <c r="K172" s="22">
        <f t="shared" si="2"/>
        <v>0</v>
      </c>
    </row>
    <row r="173" spans="1:11" ht="12.75" x14ac:dyDescent="0.2">
      <c r="A173" s="13">
        <v>45748</v>
      </c>
      <c r="B173" s="14" t="s">
        <v>4</v>
      </c>
      <c r="C173" s="15"/>
      <c r="D173" s="16"/>
      <c r="E173" s="17"/>
      <c r="F173" s="17"/>
      <c r="H173" s="19">
        <f t="shared" si="4"/>
        <v>0</v>
      </c>
      <c r="I173" s="20">
        <f t="shared" si="1"/>
        <v>0</v>
      </c>
      <c r="J173" s="21">
        <f t="shared" si="3"/>
        <v>0</v>
      </c>
      <c r="K173" s="22">
        <f t="shared" si="2"/>
        <v>0</v>
      </c>
    </row>
    <row r="174" spans="1:11" ht="12.75" x14ac:dyDescent="0.2">
      <c r="A174" s="13">
        <v>45749</v>
      </c>
      <c r="B174" s="14" t="s">
        <v>5</v>
      </c>
      <c r="C174" s="15"/>
      <c r="D174" s="16"/>
      <c r="E174" s="17"/>
      <c r="F174" s="17"/>
      <c r="H174" s="19">
        <f t="shared" si="4"/>
        <v>0</v>
      </c>
      <c r="I174" s="20">
        <f t="shared" si="1"/>
        <v>0</v>
      </c>
      <c r="J174" s="21">
        <f t="shared" si="3"/>
        <v>0</v>
      </c>
      <c r="K174" s="22">
        <f t="shared" si="2"/>
        <v>0</v>
      </c>
    </row>
    <row r="175" spans="1:11" ht="12.75" x14ac:dyDescent="0.2">
      <c r="A175" s="13">
        <v>45750</v>
      </c>
      <c r="B175" s="14" t="s">
        <v>6</v>
      </c>
      <c r="C175" s="15"/>
      <c r="D175" s="16"/>
      <c r="E175" s="17"/>
      <c r="F175" s="17"/>
      <c r="H175" s="19">
        <f t="shared" si="4"/>
        <v>0</v>
      </c>
      <c r="I175" s="20">
        <f t="shared" si="1"/>
        <v>0</v>
      </c>
      <c r="J175" s="21">
        <f t="shared" si="3"/>
        <v>0</v>
      </c>
      <c r="K175" s="22">
        <f t="shared" si="2"/>
        <v>0</v>
      </c>
    </row>
    <row r="176" spans="1:11" ht="12.75" x14ac:dyDescent="0.2">
      <c r="A176" s="13">
        <v>45751</v>
      </c>
      <c r="B176" s="14" t="s">
        <v>7</v>
      </c>
      <c r="C176" s="15"/>
      <c r="D176" s="16"/>
      <c r="E176" s="17"/>
      <c r="F176" s="17"/>
      <c r="H176" s="19">
        <f t="shared" si="4"/>
        <v>0</v>
      </c>
      <c r="I176" s="20">
        <f t="shared" si="1"/>
        <v>0</v>
      </c>
      <c r="J176" s="21">
        <f t="shared" si="3"/>
        <v>0</v>
      </c>
      <c r="K176" s="22">
        <f t="shared" si="2"/>
        <v>0</v>
      </c>
    </row>
    <row r="177" spans="1:11" ht="12.75" x14ac:dyDescent="0.2">
      <c r="A177" s="13">
        <v>45754</v>
      </c>
      <c r="B177" s="14" t="s">
        <v>3</v>
      </c>
      <c r="C177" s="15"/>
      <c r="D177" s="16"/>
      <c r="E177" s="17"/>
      <c r="F177" s="17"/>
      <c r="H177" s="19">
        <f t="shared" si="4"/>
        <v>0</v>
      </c>
      <c r="I177" s="20">
        <f t="shared" si="1"/>
        <v>0</v>
      </c>
      <c r="J177" s="21">
        <f t="shared" si="3"/>
        <v>0</v>
      </c>
      <c r="K177" s="22">
        <f t="shared" si="2"/>
        <v>0</v>
      </c>
    </row>
    <row r="178" spans="1:11" ht="12.75" x14ac:dyDescent="0.2">
      <c r="A178" s="13">
        <v>45755</v>
      </c>
      <c r="B178" s="14" t="s">
        <v>4</v>
      </c>
      <c r="C178" s="15"/>
      <c r="D178" s="16"/>
      <c r="E178" s="17"/>
      <c r="F178" s="17"/>
      <c r="H178" s="19">
        <f t="shared" si="4"/>
        <v>0</v>
      </c>
      <c r="I178" s="20">
        <f t="shared" si="1"/>
        <v>0</v>
      </c>
      <c r="J178" s="21">
        <f t="shared" si="3"/>
        <v>0</v>
      </c>
      <c r="K178" s="22">
        <f t="shared" si="2"/>
        <v>0</v>
      </c>
    </row>
    <row r="179" spans="1:11" ht="12.75" x14ac:dyDescent="0.2">
      <c r="A179" s="13">
        <v>45756</v>
      </c>
      <c r="B179" s="14" t="s">
        <v>5</v>
      </c>
      <c r="C179" s="15"/>
      <c r="D179" s="16"/>
      <c r="E179" s="17"/>
      <c r="F179" s="17"/>
      <c r="H179" s="19">
        <f t="shared" si="4"/>
        <v>0</v>
      </c>
      <c r="I179" s="20">
        <f t="shared" si="1"/>
        <v>0</v>
      </c>
      <c r="J179" s="21">
        <f t="shared" si="3"/>
        <v>0</v>
      </c>
      <c r="K179" s="22">
        <f t="shared" si="2"/>
        <v>0</v>
      </c>
    </row>
    <row r="180" spans="1:11" ht="12.75" x14ac:dyDescent="0.2">
      <c r="A180" s="13">
        <v>45757</v>
      </c>
      <c r="B180" s="14" t="s">
        <v>6</v>
      </c>
      <c r="C180" s="15"/>
      <c r="D180" s="16"/>
      <c r="E180" s="17"/>
      <c r="F180" s="17"/>
      <c r="H180" s="19">
        <f t="shared" si="4"/>
        <v>0</v>
      </c>
      <c r="I180" s="20">
        <f t="shared" si="1"/>
        <v>0</v>
      </c>
      <c r="J180" s="21">
        <f t="shared" si="3"/>
        <v>0</v>
      </c>
      <c r="K180" s="22">
        <f t="shared" si="2"/>
        <v>0</v>
      </c>
    </row>
    <row r="181" spans="1:11" ht="12.75" x14ac:dyDescent="0.2">
      <c r="A181" s="13">
        <v>45758</v>
      </c>
      <c r="B181" s="14" t="s">
        <v>7</v>
      </c>
      <c r="C181" s="15"/>
      <c r="D181" s="16"/>
      <c r="E181" s="17"/>
      <c r="F181" s="17"/>
      <c r="H181" s="19">
        <f t="shared" si="4"/>
        <v>0</v>
      </c>
      <c r="I181" s="20">
        <f t="shared" si="1"/>
        <v>0</v>
      </c>
      <c r="J181" s="21">
        <f t="shared" si="3"/>
        <v>0</v>
      </c>
      <c r="K181" s="22">
        <f t="shared" si="2"/>
        <v>0</v>
      </c>
    </row>
    <row r="182" spans="1:11" ht="12.75" x14ac:dyDescent="0.2">
      <c r="A182" s="13">
        <v>45761</v>
      </c>
      <c r="B182" s="14" t="s">
        <v>3</v>
      </c>
      <c r="C182" s="15"/>
      <c r="D182" s="16"/>
      <c r="E182" s="17"/>
      <c r="F182" s="17"/>
      <c r="H182" s="19">
        <f t="shared" si="4"/>
        <v>0</v>
      </c>
      <c r="I182" s="20">
        <f t="shared" si="1"/>
        <v>0</v>
      </c>
      <c r="J182" s="21">
        <f t="shared" si="3"/>
        <v>0</v>
      </c>
      <c r="K182" s="22">
        <f t="shared" si="2"/>
        <v>0</v>
      </c>
    </row>
    <row r="183" spans="1:11" ht="12.75" x14ac:dyDescent="0.2">
      <c r="A183" s="13">
        <v>45762</v>
      </c>
      <c r="B183" s="14" t="s">
        <v>4</v>
      </c>
      <c r="C183" s="15"/>
      <c r="D183" s="16"/>
      <c r="E183" s="17"/>
      <c r="F183" s="17"/>
      <c r="H183" s="19">
        <f t="shared" si="4"/>
        <v>0</v>
      </c>
      <c r="I183" s="20">
        <f t="shared" si="1"/>
        <v>0</v>
      </c>
      <c r="J183" s="21">
        <f t="shared" si="3"/>
        <v>0</v>
      </c>
      <c r="K183" s="22">
        <f t="shared" si="2"/>
        <v>0</v>
      </c>
    </row>
    <row r="184" spans="1:11" ht="12.75" x14ac:dyDescent="0.2">
      <c r="A184" s="13">
        <v>45763</v>
      </c>
      <c r="B184" s="14" t="s">
        <v>5</v>
      </c>
      <c r="C184" s="15"/>
      <c r="D184" s="16"/>
      <c r="E184" s="17"/>
      <c r="F184" s="17"/>
      <c r="H184" s="19">
        <f t="shared" si="4"/>
        <v>0</v>
      </c>
      <c r="I184" s="20">
        <f t="shared" si="1"/>
        <v>0</v>
      </c>
      <c r="J184" s="21">
        <f t="shared" si="3"/>
        <v>0</v>
      </c>
      <c r="K184" s="22">
        <f t="shared" si="2"/>
        <v>0</v>
      </c>
    </row>
    <row r="185" spans="1:11" ht="12.75" x14ac:dyDescent="0.2">
      <c r="A185" s="13">
        <v>45764</v>
      </c>
      <c r="B185" s="14" t="s">
        <v>6</v>
      </c>
      <c r="C185" s="15"/>
      <c r="D185" s="16"/>
      <c r="E185" s="17"/>
      <c r="F185" s="17"/>
      <c r="H185" s="19">
        <f t="shared" si="4"/>
        <v>0</v>
      </c>
      <c r="I185" s="20">
        <f t="shared" si="1"/>
        <v>0</v>
      </c>
      <c r="J185" s="21">
        <f t="shared" si="3"/>
        <v>0</v>
      </c>
      <c r="K185" s="22">
        <f t="shared" si="2"/>
        <v>0</v>
      </c>
    </row>
    <row r="186" spans="1:11" ht="12.75" x14ac:dyDescent="0.2">
      <c r="A186" s="24">
        <v>45765</v>
      </c>
      <c r="B186" s="25" t="s">
        <v>7</v>
      </c>
      <c r="C186" s="15"/>
      <c r="D186" s="27"/>
      <c r="E186" s="28"/>
      <c r="F186" s="28"/>
      <c r="G186" s="29"/>
      <c r="H186" s="19">
        <f t="shared" si="4"/>
        <v>0</v>
      </c>
      <c r="I186" s="20">
        <f t="shared" si="1"/>
        <v>0</v>
      </c>
      <c r="J186" s="21">
        <f t="shared" si="3"/>
        <v>0</v>
      </c>
      <c r="K186" s="22">
        <f t="shared" si="2"/>
        <v>0</v>
      </c>
    </row>
    <row r="187" spans="1:11" ht="12.75" x14ac:dyDescent="0.2">
      <c r="A187" s="24">
        <v>45768</v>
      </c>
      <c r="B187" s="25" t="s">
        <v>3</v>
      </c>
      <c r="C187" s="15"/>
      <c r="D187" s="27"/>
      <c r="E187" s="28"/>
      <c r="F187" s="28"/>
      <c r="G187" s="29"/>
      <c r="H187" s="19">
        <f t="shared" si="4"/>
        <v>0</v>
      </c>
      <c r="I187" s="20">
        <f t="shared" si="1"/>
        <v>0</v>
      </c>
      <c r="J187" s="21">
        <f t="shared" si="3"/>
        <v>0</v>
      </c>
      <c r="K187" s="22">
        <f t="shared" si="2"/>
        <v>0</v>
      </c>
    </row>
    <row r="188" spans="1:11" ht="12.75" x14ac:dyDescent="0.2">
      <c r="A188" s="13">
        <v>45769</v>
      </c>
      <c r="B188" s="14" t="s">
        <v>4</v>
      </c>
      <c r="C188" s="15"/>
      <c r="D188" s="16"/>
      <c r="E188" s="17"/>
      <c r="F188" s="17"/>
      <c r="H188" s="19">
        <f t="shared" si="4"/>
        <v>0</v>
      </c>
      <c r="I188" s="20">
        <f t="shared" si="1"/>
        <v>0</v>
      </c>
      <c r="J188" s="21">
        <f t="shared" si="3"/>
        <v>0</v>
      </c>
      <c r="K188" s="22">
        <f t="shared" si="2"/>
        <v>0</v>
      </c>
    </row>
    <row r="189" spans="1:11" ht="12.75" x14ac:dyDescent="0.2">
      <c r="A189" s="13">
        <v>45770</v>
      </c>
      <c r="B189" s="14" t="s">
        <v>5</v>
      </c>
      <c r="C189" s="15"/>
      <c r="D189" s="16"/>
      <c r="E189" s="17"/>
      <c r="F189" s="17"/>
      <c r="H189" s="19">
        <f t="shared" si="4"/>
        <v>0</v>
      </c>
      <c r="I189" s="20">
        <f t="shared" si="1"/>
        <v>0</v>
      </c>
      <c r="J189" s="21">
        <f t="shared" si="3"/>
        <v>0</v>
      </c>
      <c r="K189" s="22">
        <f t="shared" si="2"/>
        <v>0</v>
      </c>
    </row>
    <row r="190" spans="1:11" ht="12.75" x14ac:dyDescent="0.2">
      <c r="A190" s="13">
        <v>45771</v>
      </c>
      <c r="B190" s="14" t="s">
        <v>6</v>
      </c>
      <c r="C190" s="15"/>
      <c r="D190" s="16"/>
      <c r="E190" s="17"/>
      <c r="F190" s="17"/>
      <c r="H190" s="19">
        <f t="shared" si="4"/>
        <v>0</v>
      </c>
      <c r="I190" s="20">
        <f t="shared" si="1"/>
        <v>0</v>
      </c>
      <c r="J190" s="21">
        <f t="shared" si="3"/>
        <v>0</v>
      </c>
      <c r="K190" s="22">
        <f t="shared" si="2"/>
        <v>0</v>
      </c>
    </row>
    <row r="191" spans="1:11" ht="12.75" x14ac:dyDescent="0.2">
      <c r="A191" s="13">
        <v>45772</v>
      </c>
      <c r="B191" s="14" t="s">
        <v>7</v>
      </c>
      <c r="C191" s="15"/>
      <c r="D191" s="16"/>
      <c r="E191" s="17"/>
      <c r="F191" s="17"/>
      <c r="H191" s="19">
        <f t="shared" si="4"/>
        <v>0</v>
      </c>
      <c r="I191" s="20">
        <f t="shared" si="1"/>
        <v>0</v>
      </c>
      <c r="J191" s="21">
        <f t="shared" si="3"/>
        <v>0</v>
      </c>
      <c r="K191" s="22">
        <f t="shared" si="2"/>
        <v>0</v>
      </c>
    </row>
    <row r="192" spans="1:11" ht="12.75" x14ac:dyDescent="0.2">
      <c r="A192" s="13">
        <v>45775</v>
      </c>
      <c r="B192" s="14" t="s">
        <v>3</v>
      </c>
      <c r="C192" s="15"/>
      <c r="D192" s="16"/>
      <c r="E192" s="17"/>
      <c r="F192" s="17"/>
      <c r="H192" s="19">
        <f t="shared" si="4"/>
        <v>0</v>
      </c>
      <c r="I192" s="20">
        <f t="shared" si="1"/>
        <v>0</v>
      </c>
      <c r="J192" s="21">
        <f t="shared" si="3"/>
        <v>0</v>
      </c>
      <c r="K192" s="22">
        <f t="shared" si="2"/>
        <v>0</v>
      </c>
    </row>
    <row r="193" spans="1:11" ht="12.75" x14ac:dyDescent="0.2">
      <c r="A193" s="13">
        <v>45776</v>
      </c>
      <c r="B193" s="14" t="s">
        <v>4</v>
      </c>
      <c r="C193" s="15"/>
      <c r="D193" s="16"/>
      <c r="E193" s="17"/>
      <c r="F193" s="17"/>
      <c r="H193" s="19">
        <f t="shared" si="4"/>
        <v>0</v>
      </c>
      <c r="I193" s="20">
        <f t="shared" si="1"/>
        <v>0</v>
      </c>
      <c r="J193" s="21">
        <f t="shared" si="3"/>
        <v>0</v>
      </c>
      <c r="K193" s="22">
        <f t="shared" si="2"/>
        <v>0</v>
      </c>
    </row>
    <row r="194" spans="1:11" ht="12.75" x14ac:dyDescent="0.2">
      <c r="A194" s="13">
        <v>45777</v>
      </c>
      <c r="B194" s="14" t="s">
        <v>5</v>
      </c>
      <c r="C194" s="15"/>
      <c r="D194" s="16"/>
      <c r="E194" s="17"/>
      <c r="F194" s="17"/>
      <c r="H194" s="19">
        <f t="shared" si="4"/>
        <v>0</v>
      </c>
      <c r="I194" s="20">
        <f t="shared" si="1"/>
        <v>0</v>
      </c>
      <c r="J194" s="21">
        <f t="shared" si="3"/>
        <v>0</v>
      </c>
      <c r="K194" s="22">
        <f t="shared" si="2"/>
        <v>0</v>
      </c>
    </row>
    <row r="195" spans="1:11" ht="12.75" x14ac:dyDescent="0.2">
      <c r="A195" s="13">
        <v>45778</v>
      </c>
      <c r="B195" s="14" t="s">
        <v>6</v>
      </c>
      <c r="C195" s="15"/>
      <c r="D195" s="16"/>
      <c r="E195" s="17"/>
      <c r="F195" s="17"/>
      <c r="H195" s="19">
        <f t="shared" si="4"/>
        <v>0</v>
      </c>
      <c r="I195" s="20">
        <f t="shared" si="1"/>
        <v>0</v>
      </c>
      <c r="J195" s="21">
        <f t="shared" si="3"/>
        <v>0</v>
      </c>
      <c r="K195" s="22">
        <f t="shared" si="2"/>
        <v>0</v>
      </c>
    </row>
    <row r="196" spans="1:11" ht="12.75" x14ac:dyDescent="0.2">
      <c r="A196" s="13">
        <v>45779</v>
      </c>
      <c r="B196" s="14" t="s">
        <v>7</v>
      </c>
      <c r="C196" s="15"/>
      <c r="D196" s="16"/>
      <c r="E196" s="17"/>
      <c r="F196" s="17"/>
      <c r="H196" s="19">
        <f t="shared" si="4"/>
        <v>0</v>
      </c>
      <c r="I196" s="20">
        <f t="shared" si="1"/>
        <v>0</v>
      </c>
      <c r="J196" s="21">
        <f t="shared" si="3"/>
        <v>0</v>
      </c>
      <c r="K196" s="22">
        <f t="shared" si="2"/>
        <v>0</v>
      </c>
    </row>
    <row r="197" spans="1:11" ht="12.75" x14ac:dyDescent="0.2">
      <c r="A197" s="13">
        <v>45782</v>
      </c>
      <c r="B197" s="14" t="s">
        <v>3</v>
      </c>
      <c r="C197" s="15"/>
      <c r="D197" s="16"/>
      <c r="E197" s="17"/>
      <c r="F197" s="17"/>
      <c r="H197" s="19">
        <f t="shared" si="4"/>
        <v>0</v>
      </c>
      <c r="I197" s="20">
        <f t="shared" si="1"/>
        <v>0</v>
      </c>
      <c r="J197" s="21">
        <f t="shared" si="3"/>
        <v>0</v>
      </c>
      <c r="K197" s="22">
        <f t="shared" si="2"/>
        <v>0</v>
      </c>
    </row>
    <row r="198" spans="1:11" ht="12.75" x14ac:dyDescent="0.2">
      <c r="A198" s="13">
        <v>45783</v>
      </c>
      <c r="B198" s="14" t="s">
        <v>4</v>
      </c>
      <c r="C198" s="15"/>
      <c r="D198" s="16"/>
      <c r="E198" s="17"/>
      <c r="F198" s="17"/>
      <c r="H198" s="19">
        <f t="shared" si="4"/>
        <v>0</v>
      </c>
      <c r="I198" s="20">
        <f t="shared" si="1"/>
        <v>0</v>
      </c>
      <c r="J198" s="21">
        <f t="shared" si="3"/>
        <v>0</v>
      </c>
      <c r="K198" s="22">
        <f t="shared" si="2"/>
        <v>0</v>
      </c>
    </row>
    <row r="199" spans="1:11" ht="12.75" x14ac:dyDescent="0.2">
      <c r="A199" s="13">
        <v>45784</v>
      </c>
      <c r="B199" s="14" t="s">
        <v>5</v>
      </c>
      <c r="C199" s="15"/>
      <c r="D199" s="16"/>
      <c r="E199" s="17"/>
      <c r="F199" s="17"/>
      <c r="H199" s="19">
        <f t="shared" si="4"/>
        <v>0</v>
      </c>
      <c r="I199" s="20">
        <f t="shared" si="1"/>
        <v>0</v>
      </c>
      <c r="J199" s="21">
        <f t="shared" si="3"/>
        <v>0</v>
      </c>
      <c r="K199" s="22">
        <f t="shared" si="2"/>
        <v>0</v>
      </c>
    </row>
    <row r="200" spans="1:11" ht="12.75" x14ac:dyDescent="0.2">
      <c r="A200" s="13">
        <v>45785</v>
      </c>
      <c r="B200" s="14" t="s">
        <v>6</v>
      </c>
      <c r="C200" s="15"/>
      <c r="D200" s="16"/>
      <c r="E200" s="17"/>
      <c r="F200" s="17"/>
      <c r="H200" s="19">
        <f t="shared" si="4"/>
        <v>0</v>
      </c>
      <c r="I200" s="20">
        <f t="shared" si="1"/>
        <v>0</v>
      </c>
      <c r="J200" s="21">
        <f t="shared" si="3"/>
        <v>0</v>
      </c>
      <c r="K200" s="22">
        <f t="shared" si="2"/>
        <v>0</v>
      </c>
    </row>
    <row r="201" spans="1:11" ht="12.75" x14ac:dyDescent="0.2">
      <c r="A201" s="13">
        <v>45786</v>
      </c>
      <c r="B201" s="14" t="s">
        <v>7</v>
      </c>
      <c r="C201" s="15"/>
      <c r="D201" s="16"/>
      <c r="E201" s="17"/>
      <c r="F201" s="17"/>
      <c r="H201" s="19">
        <f t="shared" si="4"/>
        <v>0</v>
      </c>
      <c r="I201" s="20">
        <f t="shared" si="1"/>
        <v>0</v>
      </c>
      <c r="J201" s="21">
        <f t="shared" si="3"/>
        <v>0</v>
      </c>
      <c r="K201" s="22">
        <f t="shared" si="2"/>
        <v>0</v>
      </c>
    </row>
    <row r="202" spans="1:11" ht="12.75" x14ac:dyDescent="0.2">
      <c r="A202" s="13">
        <v>45789</v>
      </c>
      <c r="B202" s="14" t="s">
        <v>3</v>
      </c>
      <c r="C202" s="15"/>
      <c r="D202" s="16"/>
      <c r="E202" s="17"/>
      <c r="F202" s="17"/>
      <c r="H202" s="19">
        <f t="shared" si="4"/>
        <v>0</v>
      </c>
      <c r="I202" s="20">
        <f t="shared" si="1"/>
        <v>0</v>
      </c>
      <c r="J202" s="21">
        <f t="shared" si="3"/>
        <v>0</v>
      </c>
      <c r="K202" s="22">
        <f t="shared" si="2"/>
        <v>0</v>
      </c>
    </row>
    <row r="203" spans="1:11" ht="12.75" x14ac:dyDescent="0.2">
      <c r="A203" s="13">
        <v>45790</v>
      </c>
      <c r="B203" s="14" t="s">
        <v>4</v>
      </c>
      <c r="C203" s="15"/>
      <c r="D203" s="16"/>
      <c r="E203" s="17"/>
      <c r="F203" s="17"/>
      <c r="H203" s="19">
        <f t="shared" si="4"/>
        <v>0</v>
      </c>
      <c r="I203" s="20">
        <f t="shared" si="1"/>
        <v>0</v>
      </c>
      <c r="J203" s="21">
        <f t="shared" si="3"/>
        <v>0</v>
      </c>
      <c r="K203" s="22">
        <f t="shared" si="2"/>
        <v>0</v>
      </c>
    </row>
    <row r="204" spans="1:11" ht="12.75" x14ac:dyDescent="0.2">
      <c r="A204" s="13">
        <v>45791</v>
      </c>
      <c r="B204" s="14" t="s">
        <v>5</v>
      </c>
      <c r="C204" s="15"/>
      <c r="D204" s="16"/>
      <c r="E204" s="17"/>
      <c r="F204" s="17"/>
      <c r="H204" s="19">
        <f t="shared" si="4"/>
        <v>0</v>
      </c>
      <c r="I204" s="20">
        <f t="shared" si="1"/>
        <v>0</v>
      </c>
      <c r="J204" s="21">
        <f t="shared" si="3"/>
        <v>0</v>
      </c>
      <c r="K204" s="22">
        <f t="shared" si="2"/>
        <v>0</v>
      </c>
    </row>
    <row r="205" spans="1:11" ht="12.75" x14ac:dyDescent="0.2">
      <c r="A205" s="13">
        <v>45792</v>
      </c>
      <c r="B205" s="14" t="s">
        <v>6</v>
      </c>
      <c r="C205" s="15"/>
      <c r="D205" s="16"/>
      <c r="E205" s="17"/>
      <c r="F205" s="17"/>
      <c r="H205" s="19">
        <f t="shared" si="4"/>
        <v>0</v>
      </c>
      <c r="I205" s="20">
        <f t="shared" si="1"/>
        <v>0</v>
      </c>
      <c r="J205" s="21">
        <f t="shared" si="3"/>
        <v>0</v>
      </c>
      <c r="K205" s="22">
        <f t="shared" si="2"/>
        <v>0</v>
      </c>
    </row>
    <row r="206" spans="1:11" ht="12.75" x14ac:dyDescent="0.2">
      <c r="A206" s="13">
        <v>45793</v>
      </c>
      <c r="B206" s="14" t="s">
        <v>7</v>
      </c>
      <c r="C206" s="15"/>
      <c r="D206" s="16"/>
      <c r="E206" s="17"/>
      <c r="F206" s="17"/>
      <c r="H206" s="19">
        <f t="shared" si="4"/>
        <v>0</v>
      </c>
      <c r="I206" s="20">
        <f t="shared" si="1"/>
        <v>0</v>
      </c>
      <c r="J206" s="21">
        <f t="shared" si="3"/>
        <v>0</v>
      </c>
      <c r="K206" s="22">
        <f t="shared" si="2"/>
        <v>0</v>
      </c>
    </row>
    <row r="207" spans="1:11" ht="12.75" x14ac:dyDescent="0.2">
      <c r="A207" s="13">
        <v>45796</v>
      </c>
      <c r="B207" s="14" t="s">
        <v>3</v>
      </c>
      <c r="C207" s="15"/>
      <c r="D207" s="16"/>
      <c r="E207" s="17"/>
      <c r="F207" s="17"/>
      <c r="H207" s="19">
        <f t="shared" si="4"/>
        <v>0</v>
      </c>
      <c r="I207" s="20">
        <f t="shared" si="1"/>
        <v>0</v>
      </c>
      <c r="J207" s="21">
        <f t="shared" si="3"/>
        <v>0</v>
      </c>
      <c r="K207" s="22">
        <f t="shared" si="2"/>
        <v>0</v>
      </c>
    </row>
    <row r="208" spans="1:11" ht="12.75" x14ac:dyDescent="0.2">
      <c r="A208" s="13">
        <v>45797</v>
      </c>
      <c r="B208" s="14" t="s">
        <v>4</v>
      </c>
      <c r="C208" s="15"/>
      <c r="D208" s="16"/>
      <c r="E208" s="17"/>
      <c r="F208" s="17"/>
      <c r="H208" s="19">
        <f t="shared" si="4"/>
        <v>0</v>
      </c>
      <c r="I208" s="20">
        <f t="shared" si="1"/>
        <v>0</v>
      </c>
      <c r="J208" s="21">
        <f t="shared" si="3"/>
        <v>0</v>
      </c>
      <c r="K208" s="22">
        <f t="shared" si="2"/>
        <v>0</v>
      </c>
    </row>
    <row r="209" spans="1:11" ht="12.75" x14ac:dyDescent="0.2">
      <c r="A209" s="13">
        <v>45798</v>
      </c>
      <c r="B209" s="14" t="s">
        <v>5</v>
      </c>
      <c r="C209" s="15"/>
      <c r="D209" s="16"/>
      <c r="E209" s="17"/>
      <c r="F209" s="17"/>
      <c r="H209" s="19">
        <f t="shared" si="4"/>
        <v>0</v>
      </c>
      <c r="I209" s="20">
        <f t="shared" si="1"/>
        <v>0</v>
      </c>
      <c r="J209" s="21">
        <f t="shared" si="3"/>
        <v>0</v>
      </c>
      <c r="K209" s="22">
        <f t="shared" si="2"/>
        <v>0</v>
      </c>
    </row>
    <row r="210" spans="1:11" ht="12.75" x14ac:dyDescent="0.2">
      <c r="A210" s="13">
        <v>45799</v>
      </c>
      <c r="B210" s="14" t="s">
        <v>6</v>
      </c>
      <c r="C210" s="15"/>
      <c r="D210" s="16"/>
      <c r="E210" s="17"/>
      <c r="F210" s="17"/>
      <c r="H210" s="19">
        <f t="shared" si="4"/>
        <v>0</v>
      </c>
      <c r="I210" s="20">
        <f t="shared" si="1"/>
        <v>0</v>
      </c>
      <c r="J210" s="21">
        <f t="shared" si="3"/>
        <v>0</v>
      </c>
      <c r="K210" s="22">
        <f t="shared" si="2"/>
        <v>0</v>
      </c>
    </row>
    <row r="211" spans="1:11" ht="12.75" x14ac:dyDescent="0.2">
      <c r="A211" s="13">
        <v>45800</v>
      </c>
      <c r="B211" s="14" t="s">
        <v>7</v>
      </c>
      <c r="C211" s="15"/>
      <c r="D211" s="16"/>
      <c r="E211" s="17"/>
      <c r="F211" s="17"/>
      <c r="H211" s="19">
        <f t="shared" si="4"/>
        <v>0</v>
      </c>
      <c r="I211" s="20">
        <f t="shared" si="1"/>
        <v>0</v>
      </c>
      <c r="J211" s="21">
        <f t="shared" si="3"/>
        <v>0</v>
      </c>
      <c r="K211" s="22">
        <f t="shared" si="2"/>
        <v>0</v>
      </c>
    </row>
    <row r="212" spans="1:11" ht="12.75" x14ac:dyDescent="0.2">
      <c r="A212" s="24">
        <v>45803</v>
      </c>
      <c r="B212" s="25" t="s">
        <v>3</v>
      </c>
      <c r="C212" s="15"/>
      <c r="D212" s="27"/>
      <c r="E212" s="28"/>
      <c r="F212" s="28"/>
      <c r="G212" s="29"/>
      <c r="H212" s="19">
        <f t="shared" si="4"/>
        <v>0</v>
      </c>
      <c r="I212" s="20">
        <f t="shared" si="1"/>
        <v>0</v>
      </c>
      <c r="J212" s="21">
        <f t="shared" si="3"/>
        <v>0</v>
      </c>
      <c r="K212" s="22">
        <f t="shared" si="2"/>
        <v>0</v>
      </c>
    </row>
    <row r="213" spans="1:11" ht="12.75" x14ac:dyDescent="0.2">
      <c r="A213" s="13">
        <v>45804</v>
      </c>
      <c r="B213" s="14" t="s">
        <v>4</v>
      </c>
      <c r="C213" s="15"/>
      <c r="D213" s="16"/>
      <c r="E213" s="17"/>
      <c r="F213" s="17"/>
      <c r="H213" s="19">
        <f t="shared" si="4"/>
        <v>0</v>
      </c>
      <c r="I213" s="20">
        <f t="shared" si="1"/>
        <v>0</v>
      </c>
      <c r="J213" s="21">
        <f t="shared" si="3"/>
        <v>0</v>
      </c>
      <c r="K213" s="22">
        <f t="shared" si="2"/>
        <v>0</v>
      </c>
    </row>
    <row r="214" spans="1:11" ht="12.75" x14ac:dyDescent="0.2">
      <c r="A214" s="13">
        <v>45805</v>
      </c>
      <c r="B214" s="14" t="s">
        <v>5</v>
      </c>
      <c r="C214" s="15"/>
      <c r="D214" s="16"/>
      <c r="E214" s="17"/>
      <c r="F214" s="17"/>
      <c r="H214" s="19">
        <f t="shared" si="4"/>
        <v>0</v>
      </c>
      <c r="I214" s="20">
        <f t="shared" si="1"/>
        <v>0</v>
      </c>
      <c r="J214" s="21">
        <f t="shared" si="3"/>
        <v>0</v>
      </c>
      <c r="K214" s="22">
        <f t="shared" si="2"/>
        <v>0</v>
      </c>
    </row>
    <row r="215" spans="1:11" ht="12.75" x14ac:dyDescent="0.2">
      <c r="A215" s="13">
        <v>45806</v>
      </c>
      <c r="B215" s="46" t="s">
        <v>6</v>
      </c>
      <c r="C215" s="15"/>
      <c r="D215" s="16"/>
      <c r="E215" s="17"/>
      <c r="F215" s="17"/>
      <c r="H215" s="19">
        <f t="shared" si="4"/>
        <v>0</v>
      </c>
      <c r="I215" s="20">
        <f t="shared" si="1"/>
        <v>0</v>
      </c>
      <c r="J215" s="21">
        <f t="shared" si="3"/>
        <v>0</v>
      </c>
      <c r="K215" s="22">
        <f t="shared" si="2"/>
        <v>0</v>
      </c>
    </row>
    <row r="216" spans="1:11" ht="12.75" hidden="1" x14ac:dyDescent="0.2">
      <c r="A216" s="16"/>
      <c r="B216" s="16"/>
      <c r="C216" s="15"/>
      <c r="D216" s="16"/>
      <c r="E216" s="17"/>
      <c r="F216" s="17"/>
      <c r="H216" s="19"/>
      <c r="I216" s="47"/>
      <c r="J216" s="48"/>
      <c r="K216" s="49"/>
    </row>
    <row r="217" spans="1:11" ht="12.75" hidden="1" x14ac:dyDescent="0.2">
      <c r="A217" s="16"/>
      <c r="B217" s="16"/>
      <c r="C217" s="15"/>
      <c r="D217" s="16"/>
      <c r="E217" s="17"/>
      <c r="F217" s="17"/>
      <c r="H217" s="19"/>
      <c r="I217" s="47"/>
      <c r="J217" s="48"/>
      <c r="K217" s="49"/>
    </row>
    <row r="218" spans="1:11" ht="12.75" hidden="1" x14ac:dyDescent="0.2">
      <c r="A218" s="16"/>
      <c r="B218" s="16"/>
      <c r="C218" s="15"/>
      <c r="D218" s="16"/>
      <c r="E218" s="17"/>
      <c r="F218" s="17"/>
      <c r="H218" s="19"/>
      <c r="I218" s="47"/>
      <c r="J218" s="48"/>
      <c r="K218" s="49"/>
    </row>
    <row r="219" spans="1:11" ht="12.75" hidden="1" x14ac:dyDescent="0.2">
      <c r="A219" s="16"/>
      <c r="B219" s="16"/>
      <c r="C219" s="15"/>
      <c r="D219" s="16"/>
      <c r="E219" s="17"/>
      <c r="F219" s="17"/>
      <c r="H219" s="19"/>
      <c r="I219" s="47"/>
      <c r="J219" s="48"/>
      <c r="K219" s="49"/>
    </row>
    <row r="220" spans="1:11" ht="12.75" hidden="1" x14ac:dyDescent="0.2">
      <c r="A220" s="16"/>
      <c r="B220" s="16"/>
      <c r="C220" s="15"/>
      <c r="D220" s="16"/>
      <c r="E220" s="17"/>
      <c r="F220" s="17"/>
      <c r="H220" s="19"/>
      <c r="I220" s="47"/>
      <c r="J220" s="48"/>
      <c r="K220" s="49"/>
    </row>
    <row r="221" spans="1:11" ht="12.75" hidden="1" x14ac:dyDescent="0.2">
      <c r="A221" s="16"/>
      <c r="B221" s="16"/>
      <c r="C221" s="15"/>
      <c r="D221" s="16"/>
      <c r="E221" s="17"/>
      <c r="F221" s="17"/>
      <c r="H221" s="19"/>
      <c r="I221" s="47"/>
      <c r="J221" s="48"/>
      <c r="K221" s="49"/>
    </row>
    <row r="222" spans="1:11" ht="12.75" hidden="1" x14ac:dyDescent="0.2">
      <c r="A222" s="16"/>
      <c r="B222" s="16"/>
      <c r="C222" s="15"/>
      <c r="D222" s="16"/>
      <c r="E222" s="17"/>
      <c r="F222" s="17"/>
      <c r="H222" s="19"/>
      <c r="I222" s="47"/>
      <c r="J222" s="48"/>
      <c r="K222" s="49"/>
    </row>
    <row r="223" spans="1:11" ht="12.75" hidden="1" x14ac:dyDescent="0.2">
      <c r="A223" s="16"/>
      <c r="B223" s="16"/>
      <c r="C223" s="15"/>
      <c r="D223" s="16"/>
      <c r="E223" s="17"/>
      <c r="F223" s="17"/>
      <c r="H223" s="19"/>
      <c r="I223" s="47"/>
      <c r="J223" s="48"/>
      <c r="K223" s="49"/>
    </row>
    <row r="224" spans="1:11" ht="12.75" hidden="1" x14ac:dyDescent="0.2">
      <c r="A224" s="16"/>
      <c r="B224" s="16"/>
      <c r="C224" s="15"/>
      <c r="D224" s="16"/>
      <c r="E224" s="17"/>
      <c r="F224" s="17"/>
      <c r="H224" s="19"/>
      <c r="I224" s="47"/>
      <c r="J224" s="48"/>
      <c r="K224" s="49"/>
    </row>
    <row r="225" spans="1:11" ht="12.75" hidden="1" x14ac:dyDescent="0.2">
      <c r="A225" s="16"/>
      <c r="B225" s="16"/>
      <c r="C225" s="15"/>
      <c r="D225" s="16"/>
      <c r="E225" s="17"/>
      <c r="F225" s="17"/>
      <c r="H225" s="19"/>
      <c r="I225" s="47"/>
      <c r="J225" s="48"/>
      <c r="K225" s="49"/>
    </row>
    <row r="226" spans="1:11" ht="12.75" hidden="1" x14ac:dyDescent="0.2">
      <c r="A226" s="16"/>
      <c r="B226" s="16"/>
      <c r="C226" s="15"/>
      <c r="D226" s="16"/>
      <c r="E226" s="17"/>
      <c r="F226" s="17"/>
      <c r="H226" s="19"/>
      <c r="I226" s="47"/>
      <c r="J226" s="48"/>
      <c r="K226" s="49"/>
    </row>
    <row r="227" spans="1:11" ht="12.75" hidden="1" x14ac:dyDescent="0.2">
      <c r="A227" s="16"/>
      <c r="B227" s="16"/>
      <c r="C227" s="15"/>
      <c r="D227" s="16"/>
      <c r="E227" s="17"/>
      <c r="F227" s="17"/>
      <c r="H227" s="19"/>
      <c r="I227" s="47"/>
      <c r="J227" s="48"/>
      <c r="K227" s="49"/>
    </row>
    <row r="228" spans="1:11" ht="12.75" hidden="1" x14ac:dyDescent="0.2">
      <c r="A228" s="16"/>
      <c r="B228" s="16"/>
      <c r="C228" s="15"/>
      <c r="D228" s="16"/>
      <c r="E228" s="17"/>
      <c r="F228" s="17"/>
      <c r="H228" s="19"/>
      <c r="I228" s="47"/>
      <c r="J228" s="48"/>
      <c r="K228" s="49"/>
    </row>
    <row r="229" spans="1:11" ht="12.75" hidden="1" x14ac:dyDescent="0.2">
      <c r="A229" s="16"/>
      <c r="B229" s="16"/>
      <c r="C229" s="15"/>
      <c r="D229" s="16"/>
      <c r="E229" s="17"/>
      <c r="F229" s="17"/>
      <c r="H229" s="19"/>
      <c r="I229" s="47"/>
      <c r="J229" s="48"/>
      <c r="K229" s="49"/>
    </row>
    <row r="230" spans="1:11" ht="12.75" hidden="1" x14ac:dyDescent="0.2">
      <c r="A230" s="16"/>
      <c r="B230" s="16"/>
      <c r="C230" s="15"/>
      <c r="D230" s="16"/>
      <c r="E230" s="17"/>
      <c r="F230" s="17"/>
      <c r="H230" s="19"/>
      <c r="I230" s="47"/>
      <c r="J230" s="48"/>
      <c r="K230" s="49"/>
    </row>
    <row r="231" spans="1:11" ht="12.75" hidden="1" x14ac:dyDescent="0.2">
      <c r="A231" s="16"/>
      <c r="B231" s="16"/>
      <c r="C231" s="15"/>
      <c r="D231" s="16"/>
      <c r="E231" s="17"/>
      <c r="F231" s="17"/>
      <c r="H231" s="19"/>
      <c r="I231" s="47"/>
      <c r="J231" s="48"/>
      <c r="K231" s="49"/>
    </row>
    <row r="232" spans="1:11" ht="12.75" hidden="1" x14ac:dyDescent="0.2">
      <c r="A232" s="16"/>
      <c r="B232" s="16"/>
      <c r="C232" s="15"/>
      <c r="D232" s="16"/>
      <c r="E232" s="17"/>
      <c r="F232" s="17"/>
      <c r="H232" s="19"/>
      <c r="I232" s="47"/>
      <c r="J232" s="48"/>
      <c r="K232" s="49"/>
    </row>
    <row r="233" spans="1:11" ht="12.75" hidden="1" x14ac:dyDescent="0.2">
      <c r="A233" s="16"/>
      <c r="B233" s="16"/>
      <c r="C233" s="15"/>
      <c r="D233" s="16"/>
      <c r="E233" s="17"/>
      <c r="F233" s="17"/>
      <c r="H233" s="19"/>
      <c r="I233" s="47"/>
      <c r="J233" s="48"/>
      <c r="K233" s="49"/>
    </row>
    <row r="234" spans="1:11" ht="12.75" hidden="1" x14ac:dyDescent="0.2">
      <c r="A234" s="16"/>
      <c r="B234" s="16"/>
      <c r="C234" s="15"/>
      <c r="D234" s="16"/>
      <c r="E234" s="17"/>
      <c r="F234" s="17"/>
      <c r="H234" s="19"/>
      <c r="I234" s="47"/>
      <c r="J234" s="48"/>
      <c r="K234" s="49"/>
    </row>
    <row r="235" spans="1:11" ht="12.75" hidden="1" x14ac:dyDescent="0.2">
      <c r="A235" s="16"/>
      <c r="B235" s="16"/>
      <c r="C235" s="15"/>
      <c r="D235" s="16"/>
      <c r="E235" s="17"/>
      <c r="F235" s="17"/>
      <c r="H235" s="19"/>
      <c r="I235" s="47"/>
      <c r="J235" s="48"/>
      <c r="K235" s="49"/>
    </row>
    <row r="236" spans="1:11" ht="12.75" hidden="1" x14ac:dyDescent="0.2">
      <c r="A236" s="16"/>
      <c r="B236" s="16"/>
      <c r="C236" s="15"/>
      <c r="D236" s="16"/>
      <c r="E236" s="17"/>
      <c r="F236" s="17"/>
      <c r="H236" s="19"/>
      <c r="I236" s="47"/>
      <c r="J236" s="48"/>
      <c r="K236" s="49"/>
    </row>
    <row r="237" spans="1:11" ht="12.75" hidden="1" x14ac:dyDescent="0.2">
      <c r="A237" s="16"/>
      <c r="B237" s="16"/>
      <c r="C237" s="15"/>
      <c r="D237" s="16"/>
      <c r="E237" s="17"/>
      <c r="F237" s="17"/>
      <c r="H237" s="19"/>
      <c r="I237" s="47"/>
      <c r="J237" s="48"/>
      <c r="K237" s="49"/>
    </row>
    <row r="238" spans="1:11" ht="12.75" hidden="1" x14ac:dyDescent="0.2">
      <c r="A238" s="16"/>
      <c r="B238" s="16"/>
      <c r="C238" s="15"/>
      <c r="D238" s="16"/>
      <c r="E238" s="17"/>
      <c r="F238" s="17"/>
      <c r="H238" s="19"/>
      <c r="I238" s="47"/>
      <c r="J238" s="48"/>
      <c r="K238" s="49"/>
    </row>
    <row r="239" spans="1:11" ht="12.75" hidden="1" x14ac:dyDescent="0.2">
      <c r="A239" s="16"/>
      <c r="B239" s="16"/>
      <c r="C239" s="15"/>
      <c r="D239" s="16"/>
      <c r="E239" s="17"/>
      <c r="F239" s="17"/>
      <c r="H239" s="19"/>
      <c r="I239" s="47"/>
      <c r="J239" s="48"/>
      <c r="K239" s="49"/>
    </row>
    <row r="240" spans="1:11" ht="12.75" hidden="1" x14ac:dyDescent="0.2">
      <c r="A240" s="16"/>
      <c r="B240" s="16"/>
      <c r="C240" s="15"/>
      <c r="D240" s="16"/>
      <c r="E240" s="17"/>
      <c r="F240" s="17"/>
      <c r="H240" s="19"/>
      <c r="I240" s="47"/>
      <c r="J240" s="48"/>
      <c r="K240" s="49"/>
    </row>
    <row r="241" spans="1:11" ht="12.75" hidden="1" x14ac:dyDescent="0.2">
      <c r="A241" s="16"/>
      <c r="B241" s="16"/>
      <c r="C241" s="15"/>
      <c r="D241" s="16"/>
      <c r="E241" s="17"/>
      <c r="F241" s="17"/>
      <c r="H241" s="19"/>
      <c r="I241" s="47"/>
      <c r="J241" s="48"/>
      <c r="K241" s="49"/>
    </row>
    <row r="242" spans="1:11" ht="12.75" hidden="1" x14ac:dyDescent="0.2">
      <c r="A242" s="16"/>
      <c r="B242" s="16"/>
      <c r="C242" s="15"/>
      <c r="D242" s="16"/>
      <c r="E242" s="17"/>
      <c r="F242" s="17"/>
      <c r="H242" s="19"/>
      <c r="I242" s="47"/>
      <c r="J242" s="48"/>
      <c r="K242" s="49"/>
    </row>
    <row r="243" spans="1:11" ht="12.75" hidden="1" x14ac:dyDescent="0.2">
      <c r="A243" s="16"/>
      <c r="B243" s="16"/>
      <c r="C243" s="15"/>
      <c r="D243" s="16"/>
      <c r="E243" s="17"/>
      <c r="F243" s="17"/>
      <c r="H243" s="19"/>
      <c r="I243" s="47"/>
      <c r="J243" s="48"/>
      <c r="K243" s="49"/>
    </row>
    <row r="244" spans="1:11" ht="12.75" hidden="1" x14ac:dyDescent="0.2">
      <c r="A244" s="16"/>
      <c r="B244" s="16"/>
      <c r="C244" s="15"/>
      <c r="D244" s="16"/>
      <c r="E244" s="17"/>
      <c r="F244" s="17"/>
      <c r="H244" s="19"/>
      <c r="I244" s="47"/>
      <c r="J244" s="48"/>
      <c r="K244" s="49"/>
    </row>
    <row r="245" spans="1:11" ht="12.75" hidden="1" x14ac:dyDescent="0.2">
      <c r="A245" s="16"/>
      <c r="B245" s="16"/>
      <c r="C245" s="15"/>
      <c r="D245" s="16"/>
      <c r="E245" s="17"/>
      <c r="F245" s="17"/>
      <c r="H245" s="19"/>
      <c r="I245" s="47"/>
      <c r="J245" s="48"/>
      <c r="K245" s="49"/>
    </row>
    <row r="246" spans="1:11" ht="12.75" hidden="1" x14ac:dyDescent="0.2">
      <c r="A246" s="16"/>
      <c r="B246" s="16"/>
      <c r="C246" s="15"/>
      <c r="D246" s="16"/>
      <c r="E246" s="17"/>
      <c r="F246" s="17"/>
      <c r="H246" s="19"/>
      <c r="I246" s="47"/>
      <c r="J246" s="48"/>
      <c r="K246" s="49"/>
    </row>
    <row r="247" spans="1:11" ht="12.75" hidden="1" x14ac:dyDescent="0.2">
      <c r="A247" s="16"/>
      <c r="B247" s="16"/>
      <c r="C247" s="15"/>
      <c r="D247" s="16"/>
      <c r="E247" s="17"/>
      <c r="F247" s="17"/>
      <c r="H247" s="19"/>
      <c r="I247" s="47"/>
      <c r="J247" s="48"/>
      <c r="K247" s="49"/>
    </row>
    <row r="248" spans="1:11" ht="12.75" hidden="1" x14ac:dyDescent="0.2">
      <c r="A248" s="16"/>
      <c r="B248" s="16"/>
      <c r="C248" s="15"/>
      <c r="D248" s="16"/>
      <c r="E248" s="17"/>
      <c r="F248" s="17"/>
      <c r="H248" s="19"/>
      <c r="I248" s="47"/>
      <c r="J248" s="48"/>
      <c r="K248" s="49"/>
    </row>
    <row r="249" spans="1:11" ht="12.75" hidden="1" x14ac:dyDescent="0.2">
      <c r="A249" s="16"/>
      <c r="B249" s="16"/>
      <c r="C249" s="15"/>
      <c r="D249" s="16"/>
      <c r="E249" s="17"/>
      <c r="F249" s="17"/>
      <c r="H249" s="19"/>
      <c r="I249" s="47"/>
      <c r="J249" s="48"/>
      <c r="K249" s="49"/>
    </row>
    <row r="250" spans="1:11" ht="12.75" hidden="1" x14ac:dyDescent="0.2">
      <c r="A250" s="16"/>
      <c r="B250" s="16"/>
      <c r="C250" s="15"/>
      <c r="D250" s="16"/>
      <c r="E250" s="17"/>
      <c r="F250" s="17"/>
      <c r="H250" s="19"/>
      <c r="I250" s="47"/>
      <c r="J250" s="48"/>
      <c r="K250" s="49"/>
    </row>
    <row r="251" spans="1:11" ht="12.75" hidden="1" x14ac:dyDescent="0.2">
      <c r="A251" s="16"/>
      <c r="B251" s="16"/>
      <c r="C251" s="15"/>
      <c r="D251" s="16"/>
      <c r="E251" s="17"/>
      <c r="F251" s="17"/>
      <c r="H251" s="19"/>
      <c r="I251" s="47"/>
      <c r="J251" s="48"/>
      <c r="K251" s="49"/>
    </row>
    <row r="252" spans="1:11" ht="12.75" hidden="1" x14ac:dyDescent="0.2">
      <c r="A252" s="16"/>
      <c r="B252" s="16"/>
      <c r="C252" s="15"/>
      <c r="D252" s="16"/>
      <c r="E252" s="17"/>
      <c r="F252" s="17"/>
      <c r="H252" s="19"/>
      <c r="I252" s="47"/>
      <c r="J252" s="48"/>
      <c r="K252" s="49"/>
    </row>
    <row r="253" spans="1:11" ht="12.75" hidden="1" x14ac:dyDescent="0.2">
      <c r="A253" s="16"/>
      <c r="B253" s="16"/>
      <c r="C253" s="15"/>
      <c r="D253" s="16"/>
      <c r="E253" s="17"/>
      <c r="F253" s="17"/>
      <c r="H253" s="19"/>
      <c r="I253" s="47"/>
      <c r="J253" s="48"/>
      <c r="K253" s="49"/>
    </row>
    <row r="254" spans="1:11" ht="12.75" hidden="1" x14ac:dyDescent="0.2">
      <c r="A254" s="16"/>
      <c r="B254" s="16"/>
      <c r="C254" s="15"/>
      <c r="D254" s="16"/>
      <c r="E254" s="17"/>
      <c r="F254" s="17"/>
      <c r="H254" s="19"/>
      <c r="I254" s="47"/>
      <c r="J254" s="48"/>
      <c r="K254" s="49"/>
    </row>
    <row r="255" spans="1:11" ht="12.75" hidden="1" x14ac:dyDescent="0.2">
      <c r="A255" s="16"/>
      <c r="B255" s="16"/>
      <c r="C255" s="15"/>
      <c r="D255" s="16"/>
      <c r="E255" s="17"/>
      <c r="F255" s="17"/>
      <c r="H255" s="19"/>
      <c r="I255" s="47"/>
      <c r="J255" s="48"/>
      <c r="K255" s="49"/>
    </row>
    <row r="256" spans="1:11" ht="12.75" hidden="1" x14ac:dyDescent="0.2">
      <c r="A256" s="16"/>
      <c r="B256" s="16"/>
      <c r="C256" s="15"/>
      <c r="D256" s="16"/>
      <c r="E256" s="17"/>
      <c r="F256" s="17"/>
      <c r="H256" s="19"/>
      <c r="I256" s="47"/>
      <c r="J256" s="48"/>
      <c r="K256" s="49"/>
    </row>
    <row r="257" spans="1:11" ht="12.75" hidden="1" x14ac:dyDescent="0.2">
      <c r="A257" s="16"/>
      <c r="B257" s="16"/>
      <c r="C257" s="15"/>
      <c r="D257" s="16"/>
      <c r="E257" s="17"/>
      <c r="F257" s="17"/>
      <c r="H257" s="19"/>
      <c r="I257" s="47"/>
      <c r="J257" s="48"/>
      <c r="K257" s="49"/>
    </row>
    <row r="258" spans="1:11" ht="12.75" hidden="1" x14ac:dyDescent="0.2">
      <c r="A258" s="16"/>
      <c r="B258" s="16"/>
      <c r="C258" s="15"/>
      <c r="D258" s="16"/>
      <c r="E258" s="17"/>
      <c r="F258" s="17"/>
      <c r="H258" s="19"/>
      <c r="I258" s="47"/>
      <c r="J258" s="48"/>
      <c r="K258" s="49"/>
    </row>
    <row r="259" spans="1:11" ht="12.75" hidden="1" x14ac:dyDescent="0.2">
      <c r="A259" s="16"/>
      <c r="B259" s="16"/>
      <c r="C259" s="15"/>
      <c r="D259" s="16"/>
      <c r="E259" s="17"/>
      <c r="F259" s="17"/>
      <c r="H259" s="19"/>
      <c r="I259" s="47"/>
      <c r="J259" s="48"/>
      <c r="K259" s="49"/>
    </row>
    <row r="260" spans="1:11" ht="12.75" hidden="1" x14ac:dyDescent="0.2">
      <c r="A260" s="16"/>
      <c r="B260" s="16"/>
      <c r="C260" s="15"/>
      <c r="D260" s="16"/>
      <c r="E260" s="17"/>
      <c r="F260" s="17"/>
      <c r="H260" s="19"/>
      <c r="I260" s="47"/>
      <c r="J260" s="48"/>
      <c r="K260" s="49"/>
    </row>
    <row r="261" spans="1:11" ht="12.75" hidden="1" x14ac:dyDescent="0.2">
      <c r="A261" s="16"/>
      <c r="B261" s="16"/>
      <c r="C261" s="15"/>
      <c r="D261" s="16"/>
      <c r="E261" s="17"/>
      <c r="F261" s="17"/>
      <c r="H261" s="19"/>
      <c r="I261" s="47"/>
      <c r="J261" s="48"/>
      <c r="K261" s="49"/>
    </row>
    <row r="262" spans="1:11" ht="12.75" hidden="1" x14ac:dyDescent="0.2">
      <c r="A262" s="16"/>
      <c r="B262" s="16"/>
      <c r="C262" s="15"/>
      <c r="D262" s="16"/>
      <c r="E262" s="17"/>
      <c r="F262" s="17"/>
      <c r="H262" s="19"/>
      <c r="I262" s="47"/>
      <c r="J262" s="48"/>
      <c r="K262" s="49"/>
    </row>
    <row r="263" spans="1:11" ht="12.75" hidden="1" x14ac:dyDescent="0.2">
      <c r="A263" s="16"/>
      <c r="B263" s="16"/>
      <c r="C263" s="15"/>
      <c r="D263" s="16"/>
      <c r="E263" s="17"/>
      <c r="F263" s="17"/>
      <c r="H263" s="19"/>
      <c r="I263" s="47"/>
      <c r="J263" s="48"/>
      <c r="K263" s="49"/>
    </row>
    <row r="264" spans="1:11" ht="12.75" hidden="1" x14ac:dyDescent="0.2">
      <c r="A264" s="16"/>
      <c r="B264" s="16"/>
      <c r="C264" s="15"/>
      <c r="D264" s="16"/>
      <c r="E264" s="17"/>
      <c r="F264" s="17"/>
      <c r="H264" s="19"/>
      <c r="I264" s="47"/>
      <c r="J264" s="48"/>
      <c r="K264" s="49"/>
    </row>
    <row r="265" spans="1:11" ht="12.75" hidden="1" x14ac:dyDescent="0.2">
      <c r="A265" s="16"/>
      <c r="B265" s="16"/>
      <c r="C265" s="15"/>
      <c r="D265" s="16"/>
      <c r="E265" s="17"/>
      <c r="F265" s="17"/>
      <c r="H265" s="19"/>
      <c r="I265" s="47"/>
      <c r="J265" s="48"/>
      <c r="K265" s="49"/>
    </row>
    <row r="266" spans="1:11" ht="12.75" hidden="1" x14ac:dyDescent="0.2">
      <c r="A266" s="16"/>
      <c r="B266" s="16"/>
      <c r="C266" s="15"/>
      <c r="D266" s="16"/>
      <c r="E266" s="17"/>
      <c r="F266" s="17"/>
      <c r="H266" s="19"/>
      <c r="I266" s="47"/>
      <c r="J266" s="48"/>
      <c r="K266" s="49"/>
    </row>
    <row r="267" spans="1:11" ht="12.75" hidden="1" x14ac:dyDescent="0.2">
      <c r="A267" s="16"/>
      <c r="B267" s="16"/>
      <c r="C267" s="15"/>
      <c r="D267" s="16"/>
      <c r="E267" s="17"/>
      <c r="F267" s="17"/>
      <c r="H267" s="19"/>
      <c r="I267" s="47"/>
      <c r="J267" s="48"/>
      <c r="K267" s="49"/>
    </row>
    <row r="268" spans="1:11" ht="12.75" hidden="1" x14ac:dyDescent="0.2">
      <c r="A268" s="16"/>
      <c r="B268" s="16"/>
      <c r="C268" s="15"/>
      <c r="D268" s="16"/>
      <c r="E268" s="17"/>
      <c r="F268" s="17"/>
      <c r="H268" s="19"/>
      <c r="I268" s="47"/>
      <c r="J268" s="48"/>
      <c r="K268" s="49"/>
    </row>
    <row r="269" spans="1:11" ht="12.75" hidden="1" x14ac:dyDescent="0.2">
      <c r="A269" s="16"/>
      <c r="B269" s="16"/>
      <c r="C269" s="15"/>
      <c r="D269" s="16"/>
      <c r="E269" s="17"/>
      <c r="F269" s="17"/>
      <c r="H269" s="19"/>
      <c r="I269" s="47"/>
      <c r="J269" s="48"/>
      <c r="K269" s="49"/>
    </row>
    <row r="270" spans="1:11" ht="12.75" hidden="1" x14ac:dyDescent="0.2">
      <c r="A270" s="16"/>
      <c r="B270" s="16"/>
      <c r="C270" s="15"/>
      <c r="D270" s="16"/>
      <c r="E270" s="17"/>
      <c r="F270" s="17"/>
      <c r="H270" s="19"/>
      <c r="I270" s="47"/>
      <c r="J270" s="48"/>
      <c r="K270" s="49"/>
    </row>
    <row r="271" spans="1:11" ht="12.75" hidden="1" x14ac:dyDescent="0.2">
      <c r="A271" s="16"/>
      <c r="B271" s="16"/>
      <c r="C271" s="15"/>
      <c r="D271" s="16"/>
      <c r="E271" s="17"/>
      <c r="F271" s="17"/>
      <c r="H271" s="19"/>
      <c r="I271" s="47"/>
      <c r="J271" s="48"/>
      <c r="K271" s="49"/>
    </row>
    <row r="272" spans="1:11" ht="12.75" hidden="1" x14ac:dyDescent="0.2">
      <c r="A272" s="16"/>
      <c r="B272" s="16"/>
      <c r="C272" s="15"/>
      <c r="D272" s="16"/>
      <c r="E272" s="17"/>
      <c r="F272" s="17"/>
      <c r="H272" s="19"/>
      <c r="I272" s="47"/>
      <c r="J272" s="48"/>
      <c r="K272" s="49"/>
    </row>
    <row r="273" spans="1:11" ht="12.75" hidden="1" x14ac:dyDescent="0.2">
      <c r="A273" s="16"/>
      <c r="B273" s="16"/>
      <c r="C273" s="15"/>
      <c r="D273" s="16"/>
      <c r="E273" s="17"/>
      <c r="F273" s="17"/>
      <c r="H273" s="19"/>
      <c r="I273" s="47"/>
      <c r="J273" s="48"/>
      <c r="K273" s="49"/>
    </row>
    <row r="274" spans="1:11" ht="12.75" hidden="1" x14ac:dyDescent="0.2">
      <c r="A274" s="16"/>
      <c r="B274" s="16"/>
      <c r="C274" s="15"/>
      <c r="D274" s="16"/>
      <c r="E274" s="17"/>
      <c r="F274" s="17"/>
      <c r="H274" s="19"/>
      <c r="I274" s="47"/>
      <c r="J274" s="48"/>
      <c r="K274" s="49"/>
    </row>
    <row r="275" spans="1:11" ht="12.75" hidden="1" x14ac:dyDescent="0.2">
      <c r="A275" s="16"/>
      <c r="B275" s="16"/>
      <c r="C275" s="15"/>
      <c r="D275" s="16"/>
      <c r="E275" s="17"/>
      <c r="F275" s="17"/>
      <c r="H275" s="19"/>
      <c r="I275" s="47"/>
      <c r="J275" s="48"/>
      <c r="K275" s="49"/>
    </row>
    <row r="276" spans="1:11" ht="12.75" hidden="1" x14ac:dyDescent="0.2">
      <c r="A276" s="16"/>
      <c r="B276" s="16"/>
      <c r="C276" s="15"/>
      <c r="D276" s="16"/>
      <c r="E276" s="17"/>
      <c r="F276" s="17"/>
      <c r="H276" s="19"/>
      <c r="I276" s="47"/>
      <c r="J276" s="48"/>
      <c r="K276" s="49"/>
    </row>
    <row r="277" spans="1:11" ht="12.75" hidden="1" x14ac:dyDescent="0.2">
      <c r="A277" s="16"/>
      <c r="B277" s="16"/>
      <c r="C277" s="15"/>
      <c r="D277" s="16"/>
      <c r="E277" s="17"/>
      <c r="F277" s="17"/>
      <c r="H277" s="19"/>
      <c r="I277" s="47"/>
      <c r="J277" s="48"/>
      <c r="K277" s="49"/>
    </row>
    <row r="278" spans="1:11" ht="12.75" hidden="1" x14ac:dyDescent="0.2">
      <c r="A278" s="16"/>
      <c r="B278" s="16"/>
      <c r="C278" s="15"/>
      <c r="D278" s="16"/>
      <c r="E278" s="17"/>
      <c r="F278" s="17"/>
      <c r="H278" s="19"/>
      <c r="I278" s="47"/>
      <c r="J278" s="48"/>
      <c r="K278" s="49"/>
    </row>
    <row r="279" spans="1:11" ht="12.75" hidden="1" x14ac:dyDescent="0.2">
      <c r="A279" s="16"/>
      <c r="B279" s="16"/>
      <c r="C279" s="15"/>
      <c r="D279" s="16"/>
      <c r="E279" s="17"/>
      <c r="F279" s="17"/>
      <c r="H279" s="19"/>
      <c r="I279" s="47"/>
      <c r="J279" s="48"/>
      <c r="K279" s="49"/>
    </row>
    <row r="280" spans="1:11" ht="12.75" hidden="1" x14ac:dyDescent="0.2">
      <c r="A280" s="16"/>
      <c r="B280" s="16"/>
      <c r="C280" s="15"/>
      <c r="D280" s="16"/>
      <c r="E280" s="17"/>
      <c r="F280" s="17"/>
      <c r="H280" s="19"/>
      <c r="I280" s="47"/>
      <c r="J280" s="48"/>
      <c r="K280" s="49"/>
    </row>
    <row r="281" spans="1:11" ht="12.75" hidden="1" x14ac:dyDescent="0.2">
      <c r="A281" s="16"/>
      <c r="B281" s="16"/>
      <c r="C281" s="15"/>
      <c r="D281" s="16"/>
      <c r="E281" s="17"/>
      <c r="F281" s="17"/>
      <c r="H281" s="19"/>
      <c r="I281" s="47"/>
      <c r="J281" s="48"/>
      <c r="K281" s="49"/>
    </row>
    <row r="282" spans="1:11" ht="12.75" hidden="1" x14ac:dyDescent="0.2">
      <c r="A282" s="16"/>
      <c r="B282" s="16"/>
      <c r="C282" s="15"/>
      <c r="D282" s="16"/>
      <c r="E282" s="17"/>
      <c r="F282" s="17"/>
      <c r="H282" s="19"/>
      <c r="I282" s="47"/>
      <c r="J282" s="48"/>
      <c r="K282" s="49"/>
    </row>
    <row r="283" spans="1:11" ht="12.75" hidden="1" x14ac:dyDescent="0.2">
      <c r="A283" s="16"/>
      <c r="B283" s="16"/>
      <c r="C283" s="15"/>
      <c r="D283" s="16"/>
      <c r="E283" s="17"/>
      <c r="F283" s="17"/>
      <c r="H283" s="19"/>
      <c r="I283" s="47"/>
      <c r="J283" s="48"/>
      <c r="K283" s="49"/>
    </row>
    <row r="284" spans="1:11" ht="12.75" hidden="1" x14ac:dyDescent="0.2">
      <c r="A284" s="16"/>
      <c r="B284" s="16"/>
      <c r="C284" s="15"/>
      <c r="D284" s="16"/>
      <c r="E284" s="17"/>
      <c r="F284" s="17"/>
      <c r="H284" s="19"/>
      <c r="I284" s="47"/>
      <c r="J284" s="48"/>
      <c r="K284" s="49"/>
    </row>
    <row r="285" spans="1:11" ht="12.75" hidden="1" x14ac:dyDescent="0.2">
      <c r="A285" s="16"/>
      <c r="B285" s="16"/>
      <c r="C285" s="15"/>
      <c r="D285" s="16"/>
      <c r="E285" s="17"/>
      <c r="F285" s="17"/>
      <c r="H285" s="19"/>
      <c r="I285" s="47"/>
      <c r="J285" s="48"/>
      <c r="K285" s="49"/>
    </row>
    <row r="286" spans="1:11" ht="12.75" hidden="1" x14ac:dyDescent="0.2">
      <c r="A286" s="16"/>
      <c r="B286" s="16"/>
      <c r="C286" s="15"/>
      <c r="D286" s="16"/>
      <c r="E286" s="17"/>
      <c r="F286" s="17"/>
      <c r="H286" s="19"/>
      <c r="I286" s="47"/>
      <c r="J286" s="48"/>
      <c r="K286" s="49"/>
    </row>
    <row r="287" spans="1:11" ht="12.75" hidden="1" x14ac:dyDescent="0.2">
      <c r="A287" s="16"/>
      <c r="B287" s="16"/>
      <c r="C287" s="15"/>
      <c r="D287" s="16"/>
      <c r="E287" s="17"/>
      <c r="F287" s="17"/>
      <c r="H287" s="19"/>
      <c r="I287" s="47"/>
      <c r="J287" s="48"/>
      <c r="K287" s="49"/>
    </row>
    <row r="288" spans="1:11" ht="12.75" hidden="1" x14ac:dyDescent="0.2">
      <c r="A288" s="16"/>
      <c r="B288" s="16"/>
      <c r="C288" s="15"/>
      <c r="D288" s="16"/>
      <c r="E288" s="17"/>
      <c r="F288" s="17"/>
      <c r="H288" s="19"/>
      <c r="I288" s="47"/>
      <c r="J288" s="48"/>
      <c r="K288" s="49"/>
    </row>
    <row r="289" spans="1:11" ht="12.75" hidden="1" x14ac:dyDescent="0.2">
      <c r="A289" s="16"/>
      <c r="B289" s="16"/>
      <c r="C289" s="15"/>
      <c r="D289" s="16"/>
      <c r="E289" s="17"/>
      <c r="F289" s="17"/>
      <c r="H289" s="19"/>
      <c r="I289" s="47"/>
      <c r="J289" s="48"/>
      <c r="K289" s="49"/>
    </row>
    <row r="290" spans="1:11" ht="12.75" hidden="1" x14ac:dyDescent="0.2">
      <c r="A290" s="16"/>
      <c r="B290" s="16"/>
      <c r="C290" s="15"/>
      <c r="D290" s="16"/>
      <c r="E290" s="17"/>
      <c r="F290" s="17"/>
      <c r="H290" s="19"/>
      <c r="I290" s="47"/>
      <c r="J290" s="48"/>
      <c r="K290" s="49"/>
    </row>
    <row r="291" spans="1:11" ht="12.75" hidden="1" x14ac:dyDescent="0.2">
      <c r="A291" s="16"/>
      <c r="B291" s="16"/>
      <c r="C291" s="15"/>
      <c r="D291" s="16"/>
      <c r="E291" s="17"/>
      <c r="F291" s="17"/>
      <c r="H291" s="19"/>
      <c r="I291" s="47"/>
      <c r="J291" s="48"/>
      <c r="K291" s="49"/>
    </row>
    <row r="292" spans="1:11" ht="12.75" hidden="1" x14ac:dyDescent="0.2">
      <c r="A292" s="16"/>
      <c r="B292" s="16"/>
      <c r="C292" s="15"/>
      <c r="D292" s="16"/>
      <c r="E292" s="17"/>
      <c r="F292" s="17"/>
      <c r="H292" s="19"/>
      <c r="I292" s="47"/>
      <c r="J292" s="48"/>
      <c r="K292" s="49"/>
    </row>
    <row r="293" spans="1:11" ht="12.75" hidden="1" x14ac:dyDescent="0.2">
      <c r="A293" s="16"/>
      <c r="B293" s="16"/>
      <c r="C293" s="15"/>
      <c r="D293" s="16"/>
      <c r="E293" s="17"/>
      <c r="F293" s="17"/>
      <c r="H293" s="19"/>
      <c r="I293" s="47"/>
      <c r="J293" s="48"/>
      <c r="K293" s="49"/>
    </row>
    <row r="294" spans="1:11" ht="12.75" hidden="1" x14ac:dyDescent="0.2">
      <c r="A294" s="16"/>
      <c r="B294" s="16"/>
      <c r="C294" s="15"/>
      <c r="D294" s="16"/>
      <c r="E294" s="17"/>
      <c r="F294" s="17"/>
      <c r="H294" s="19"/>
      <c r="I294" s="47"/>
      <c r="J294" s="48"/>
      <c r="K294" s="49"/>
    </row>
    <row r="295" spans="1:11" ht="12.75" hidden="1" x14ac:dyDescent="0.2">
      <c r="A295" s="16"/>
      <c r="B295" s="16"/>
      <c r="C295" s="15"/>
      <c r="D295" s="16"/>
      <c r="E295" s="17"/>
      <c r="F295" s="17"/>
      <c r="H295" s="19"/>
      <c r="I295" s="47"/>
      <c r="J295" s="48"/>
      <c r="K295" s="49"/>
    </row>
    <row r="296" spans="1:11" ht="12.75" hidden="1" x14ac:dyDescent="0.2">
      <c r="A296" s="16"/>
      <c r="B296" s="16"/>
      <c r="C296" s="15"/>
      <c r="D296" s="16"/>
      <c r="E296" s="17"/>
      <c r="F296" s="17"/>
      <c r="H296" s="19"/>
      <c r="I296" s="47"/>
      <c r="J296" s="48"/>
      <c r="K296" s="49"/>
    </row>
    <row r="297" spans="1:11" ht="12.75" hidden="1" x14ac:dyDescent="0.2">
      <c r="A297" s="16"/>
      <c r="B297" s="16"/>
      <c r="C297" s="15"/>
      <c r="D297" s="16"/>
      <c r="E297" s="17"/>
      <c r="F297" s="17"/>
      <c r="H297" s="19"/>
      <c r="I297" s="47"/>
      <c r="J297" s="48"/>
      <c r="K297" s="49"/>
    </row>
    <row r="298" spans="1:11" ht="12.75" hidden="1" x14ac:dyDescent="0.2">
      <c r="A298" s="16"/>
      <c r="B298" s="16"/>
      <c r="C298" s="15"/>
      <c r="D298" s="16"/>
      <c r="E298" s="17"/>
      <c r="F298" s="17"/>
      <c r="H298" s="19"/>
      <c r="I298" s="47"/>
      <c r="J298" s="48"/>
      <c r="K298" s="49"/>
    </row>
    <row r="299" spans="1:11" ht="12.75" hidden="1" x14ac:dyDescent="0.2">
      <c r="A299" s="16"/>
      <c r="B299" s="16"/>
      <c r="C299" s="15"/>
      <c r="D299" s="16"/>
      <c r="E299" s="17"/>
      <c r="F299" s="17"/>
      <c r="H299" s="19"/>
      <c r="I299" s="47"/>
      <c r="J299" s="48"/>
      <c r="K299" s="49"/>
    </row>
    <row r="300" spans="1:11" ht="12.75" hidden="1" x14ac:dyDescent="0.2">
      <c r="A300" s="16"/>
      <c r="B300" s="16"/>
      <c r="C300" s="15"/>
      <c r="D300" s="16"/>
      <c r="E300" s="17"/>
      <c r="F300" s="17"/>
      <c r="H300" s="19"/>
      <c r="I300" s="47"/>
      <c r="J300" s="48"/>
      <c r="K300" s="49"/>
    </row>
    <row r="301" spans="1:11" ht="12.75" hidden="1" x14ac:dyDescent="0.2">
      <c r="A301" s="16"/>
      <c r="B301" s="16"/>
      <c r="C301" s="15"/>
      <c r="D301" s="16"/>
      <c r="E301" s="17"/>
      <c r="F301" s="17"/>
      <c r="H301" s="19"/>
      <c r="I301" s="47"/>
      <c r="J301" s="48"/>
      <c r="K301" s="49"/>
    </row>
    <row r="302" spans="1:11" ht="12.75" hidden="1" x14ac:dyDescent="0.2">
      <c r="A302" s="16"/>
      <c r="B302" s="16"/>
      <c r="C302" s="15"/>
      <c r="D302" s="16"/>
      <c r="E302" s="17"/>
      <c r="F302" s="17"/>
      <c r="H302" s="19"/>
      <c r="I302" s="47"/>
      <c r="J302" s="48"/>
      <c r="K302" s="49"/>
    </row>
    <row r="303" spans="1:11" ht="12.75" hidden="1" x14ac:dyDescent="0.2">
      <c r="A303" s="16"/>
      <c r="B303" s="16"/>
      <c r="C303" s="15"/>
      <c r="D303" s="16"/>
      <c r="E303" s="17"/>
      <c r="F303" s="17"/>
      <c r="H303" s="19"/>
      <c r="I303" s="47"/>
      <c r="J303" s="48"/>
      <c r="K303" s="49"/>
    </row>
    <row r="304" spans="1:11" ht="12.75" hidden="1" x14ac:dyDescent="0.2">
      <c r="A304" s="16"/>
      <c r="B304" s="16"/>
      <c r="C304" s="15"/>
      <c r="D304" s="16"/>
      <c r="E304" s="17"/>
      <c r="F304" s="17"/>
      <c r="H304" s="19"/>
      <c r="I304" s="47"/>
      <c r="J304" s="48"/>
      <c r="K304" s="49"/>
    </row>
    <row r="305" spans="1:11" ht="12.75" hidden="1" x14ac:dyDescent="0.2">
      <c r="A305" s="16"/>
      <c r="B305" s="16"/>
      <c r="C305" s="15"/>
      <c r="D305" s="16"/>
      <c r="E305" s="17"/>
      <c r="F305" s="17"/>
      <c r="H305" s="19"/>
      <c r="I305" s="47"/>
      <c r="J305" s="48"/>
      <c r="K305" s="49"/>
    </row>
    <row r="306" spans="1:11" ht="12.75" hidden="1" x14ac:dyDescent="0.2">
      <c r="A306" s="16"/>
      <c r="B306" s="16"/>
      <c r="C306" s="15"/>
      <c r="D306" s="16"/>
      <c r="E306" s="17"/>
      <c r="F306" s="17"/>
      <c r="H306" s="19"/>
      <c r="I306" s="47"/>
      <c r="J306" s="48"/>
      <c r="K306" s="49"/>
    </row>
    <row r="307" spans="1:11" ht="12.75" hidden="1" x14ac:dyDescent="0.2">
      <c r="A307" s="16"/>
      <c r="B307" s="16"/>
      <c r="C307" s="15"/>
      <c r="D307" s="16"/>
      <c r="E307" s="17"/>
      <c r="F307" s="17"/>
      <c r="H307" s="19"/>
      <c r="I307" s="47"/>
      <c r="J307" s="48"/>
      <c r="K307" s="49"/>
    </row>
    <row r="308" spans="1:11" ht="12.75" hidden="1" x14ac:dyDescent="0.2">
      <c r="A308" s="16"/>
      <c r="B308" s="16"/>
      <c r="C308" s="15"/>
      <c r="D308" s="16"/>
      <c r="E308" s="17"/>
      <c r="F308" s="17"/>
      <c r="H308" s="19"/>
      <c r="I308" s="47"/>
      <c r="J308" s="48"/>
      <c r="K308" s="49"/>
    </row>
    <row r="309" spans="1:11" ht="12.75" hidden="1" x14ac:dyDescent="0.2">
      <c r="A309" s="16"/>
      <c r="B309" s="16"/>
      <c r="C309" s="15"/>
      <c r="D309" s="16"/>
      <c r="E309" s="17"/>
      <c r="F309" s="17"/>
      <c r="H309" s="19"/>
      <c r="I309" s="47"/>
      <c r="J309" s="48"/>
      <c r="K309" s="49"/>
    </row>
    <row r="310" spans="1:11" ht="12.75" hidden="1" x14ac:dyDescent="0.2">
      <c r="A310" s="16"/>
      <c r="B310" s="16"/>
      <c r="C310" s="15"/>
      <c r="D310" s="16"/>
      <c r="E310" s="17"/>
      <c r="F310" s="17"/>
      <c r="H310" s="19"/>
      <c r="I310" s="47"/>
      <c r="J310" s="48"/>
      <c r="K310" s="49"/>
    </row>
    <row r="311" spans="1:11" ht="12.75" hidden="1" x14ac:dyDescent="0.2">
      <c r="A311" s="16"/>
      <c r="B311" s="16"/>
      <c r="C311" s="15"/>
      <c r="D311" s="16"/>
      <c r="E311" s="17"/>
      <c r="F311" s="17"/>
      <c r="H311" s="19"/>
      <c r="I311" s="47"/>
      <c r="J311" s="48"/>
      <c r="K311" s="49"/>
    </row>
    <row r="312" spans="1:11" ht="12.75" hidden="1" x14ac:dyDescent="0.2">
      <c r="A312" s="16"/>
      <c r="B312" s="16"/>
      <c r="C312" s="15"/>
      <c r="D312" s="16"/>
      <c r="E312" s="17"/>
      <c r="F312" s="17"/>
      <c r="H312" s="19"/>
      <c r="I312" s="47"/>
      <c r="J312" s="48"/>
      <c r="K312" s="49"/>
    </row>
    <row r="313" spans="1:11" ht="12.75" hidden="1" x14ac:dyDescent="0.2">
      <c r="A313" s="16"/>
      <c r="B313" s="16"/>
      <c r="C313" s="15"/>
      <c r="D313" s="16"/>
      <c r="E313" s="17"/>
      <c r="F313" s="17"/>
      <c r="H313" s="19"/>
      <c r="I313" s="47"/>
      <c r="J313" s="48"/>
      <c r="K313" s="49"/>
    </row>
    <row r="314" spans="1:11" ht="12.75" hidden="1" x14ac:dyDescent="0.2">
      <c r="A314" s="16"/>
      <c r="B314" s="16"/>
      <c r="C314" s="15"/>
      <c r="D314" s="16"/>
      <c r="E314" s="17"/>
      <c r="F314" s="17"/>
      <c r="H314" s="19"/>
      <c r="I314" s="47"/>
      <c r="J314" s="48"/>
      <c r="K314" s="49"/>
    </row>
    <row r="315" spans="1:11" ht="12.75" hidden="1" x14ac:dyDescent="0.2">
      <c r="A315" s="16"/>
      <c r="B315" s="16"/>
      <c r="C315" s="15"/>
      <c r="D315" s="16"/>
      <c r="E315" s="17"/>
      <c r="F315" s="17"/>
      <c r="H315" s="19"/>
      <c r="I315" s="47"/>
      <c r="J315" s="48"/>
      <c r="K315" s="49"/>
    </row>
    <row r="316" spans="1:11" ht="12.75" hidden="1" x14ac:dyDescent="0.2">
      <c r="A316" s="16"/>
      <c r="B316" s="16"/>
      <c r="C316" s="15"/>
      <c r="D316" s="16"/>
      <c r="E316" s="17"/>
      <c r="F316" s="17"/>
      <c r="H316" s="19"/>
      <c r="I316" s="47"/>
      <c r="J316" s="48"/>
      <c r="K316" s="49"/>
    </row>
    <row r="317" spans="1:11" ht="12.75" hidden="1" x14ac:dyDescent="0.2">
      <c r="A317" s="16"/>
      <c r="B317" s="16"/>
      <c r="C317" s="15"/>
      <c r="D317" s="16"/>
      <c r="E317" s="17"/>
      <c r="F317" s="17"/>
      <c r="H317" s="19"/>
      <c r="I317" s="47"/>
      <c r="J317" s="48"/>
      <c r="K317" s="49"/>
    </row>
    <row r="318" spans="1:11" ht="12.75" hidden="1" x14ac:dyDescent="0.2">
      <c r="A318" s="16"/>
      <c r="B318" s="16"/>
      <c r="C318" s="15"/>
      <c r="D318" s="16"/>
      <c r="E318" s="17"/>
      <c r="F318" s="17"/>
      <c r="H318" s="19"/>
      <c r="I318" s="47"/>
      <c r="J318" s="48"/>
      <c r="K318" s="49"/>
    </row>
    <row r="319" spans="1:11" ht="12.75" hidden="1" x14ac:dyDescent="0.2">
      <c r="A319" s="16"/>
      <c r="B319" s="16"/>
      <c r="C319" s="15"/>
      <c r="D319" s="16"/>
      <c r="E319" s="17"/>
      <c r="F319" s="17"/>
      <c r="H319" s="19"/>
      <c r="I319" s="47"/>
      <c r="J319" s="48"/>
      <c r="K319" s="49"/>
    </row>
    <row r="320" spans="1:11" ht="12.75" hidden="1" x14ac:dyDescent="0.2">
      <c r="A320" s="16"/>
      <c r="B320" s="16"/>
      <c r="C320" s="15"/>
      <c r="D320" s="16"/>
      <c r="E320" s="17"/>
      <c r="F320" s="17"/>
      <c r="H320" s="19"/>
      <c r="I320" s="47"/>
      <c r="J320" s="48"/>
      <c r="K320" s="49"/>
    </row>
    <row r="321" spans="1:11" ht="12.75" hidden="1" x14ac:dyDescent="0.2">
      <c r="A321" s="16"/>
      <c r="B321" s="16"/>
      <c r="C321" s="15"/>
      <c r="D321" s="16"/>
      <c r="E321" s="17"/>
      <c r="F321" s="17"/>
      <c r="H321" s="19"/>
      <c r="I321" s="47"/>
      <c r="J321" s="48"/>
      <c r="K321" s="49"/>
    </row>
    <row r="322" spans="1:11" ht="12.75" hidden="1" x14ac:dyDescent="0.2">
      <c r="A322" s="16"/>
      <c r="B322" s="16"/>
      <c r="C322" s="15"/>
      <c r="D322" s="16"/>
      <c r="E322" s="17"/>
      <c r="F322" s="17"/>
      <c r="H322" s="19"/>
      <c r="I322" s="47"/>
      <c r="J322" s="48"/>
      <c r="K322" s="49"/>
    </row>
    <row r="323" spans="1:11" ht="12.75" hidden="1" x14ac:dyDescent="0.2">
      <c r="A323" s="16"/>
      <c r="B323" s="16"/>
      <c r="C323" s="15"/>
      <c r="D323" s="16"/>
      <c r="E323" s="17"/>
      <c r="F323" s="17"/>
      <c r="H323" s="19"/>
      <c r="I323" s="47"/>
      <c r="J323" s="48"/>
      <c r="K323" s="49"/>
    </row>
    <row r="324" spans="1:11" ht="12.75" hidden="1" x14ac:dyDescent="0.2">
      <c r="A324" s="16"/>
      <c r="B324" s="16"/>
      <c r="C324" s="15"/>
      <c r="D324" s="16"/>
      <c r="E324" s="17"/>
      <c r="F324" s="17"/>
      <c r="H324" s="19"/>
      <c r="I324" s="47"/>
      <c r="J324" s="48"/>
      <c r="K324" s="49"/>
    </row>
    <row r="325" spans="1:11" ht="12.75" hidden="1" x14ac:dyDescent="0.2">
      <c r="A325" s="16"/>
      <c r="B325" s="16"/>
      <c r="C325" s="15"/>
      <c r="D325" s="16"/>
      <c r="E325" s="17"/>
      <c r="F325" s="17"/>
      <c r="H325" s="19"/>
      <c r="I325" s="47"/>
      <c r="J325" s="48"/>
      <c r="K325" s="49"/>
    </row>
    <row r="326" spans="1:11" ht="12.75" hidden="1" x14ac:dyDescent="0.2">
      <c r="A326" s="16"/>
      <c r="B326" s="16"/>
      <c r="C326" s="15"/>
      <c r="D326" s="16"/>
      <c r="E326" s="17"/>
      <c r="F326" s="17"/>
      <c r="H326" s="19"/>
      <c r="I326" s="47"/>
      <c r="J326" s="48"/>
      <c r="K326" s="49"/>
    </row>
    <row r="327" spans="1:11" ht="12.75" hidden="1" x14ac:dyDescent="0.2">
      <c r="A327" s="16"/>
      <c r="B327" s="16"/>
      <c r="C327" s="15"/>
      <c r="D327" s="16"/>
      <c r="E327" s="17"/>
      <c r="F327" s="17"/>
      <c r="H327" s="19"/>
      <c r="I327" s="47"/>
      <c r="J327" s="48"/>
      <c r="K327" s="49"/>
    </row>
    <row r="328" spans="1:11" ht="12.75" hidden="1" x14ac:dyDescent="0.2">
      <c r="A328" s="16"/>
      <c r="B328" s="16"/>
      <c r="C328" s="15"/>
      <c r="D328" s="16"/>
      <c r="E328" s="17"/>
      <c r="F328" s="17"/>
      <c r="H328" s="19"/>
      <c r="I328" s="47"/>
      <c r="J328" s="48"/>
      <c r="K328" s="49"/>
    </row>
    <row r="329" spans="1:11" ht="12.75" hidden="1" x14ac:dyDescent="0.2">
      <c r="A329" s="16"/>
      <c r="B329" s="16"/>
      <c r="C329" s="15"/>
      <c r="D329" s="16"/>
      <c r="E329" s="17"/>
      <c r="F329" s="17"/>
      <c r="H329" s="19"/>
      <c r="I329" s="47"/>
      <c r="J329" s="48"/>
      <c r="K329" s="49"/>
    </row>
    <row r="330" spans="1:11" ht="12.75" hidden="1" x14ac:dyDescent="0.2">
      <c r="A330" s="16"/>
      <c r="B330" s="16"/>
      <c r="C330" s="15"/>
      <c r="D330" s="16"/>
      <c r="E330" s="17"/>
      <c r="F330" s="17"/>
      <c r="H330" s="19"/>
      <c r="I330" s="47"/>
      <c r="J330" s="48"/>
      <c r="K330" s="49"/>
    </row>
    <row r="331" spans="1:11" ht="12.75" hidden="1" x14ac:dyDescent="0.2">
      <c r="A331" s="16"/>
      <c r="B331" s="16"/>
      <c r="C331" s="15"/>
      <c r="D331" s="16"/>
      <c r="E331" s="17"/>
      <c r="F331" s="17"/>
      <c r="H331" s="19"/>
      <c r="I331" s="47"/>
      <c r="J331" s="48"/>
      <c r="K331" s="49"/>
    </row>
    <row r="332" spans="1:11" ht="12.75" hidden="1" x14ac:dyDescent="0.2">
      <c r="A332" s="16"/>
      <c r="B332" s="16"/>
      <c r="C332" s="15"/>
      <c r="D332" s="16"/>
      <c r="E332" s="17"/>
      <c r="F332" s="17"/>
      <c r="H332" s="19"/>
      <c r="I332" s="47"/>
      <c r="J332" s="48"/>
      <c r="K332" s="49"/>
    </row>
    <row r="333" spans="1:11" ht="12.75" hidden="1" x14ac:dyDescent="0.2">
      <c r="A333" s="16"/>
      <c r="B333" s="16"/>
      <c r="C333" s="15"/>
      <c r="D333" s="16"/>
      <c r="E333" s="17"/>
      <c r="F333" s="17"/>
      <c r="H333" s="19"/>
      <c r="I333" s="47"/>
      <c r="J333" s="48"/>
      <c r="K333" s="49"/>
    </row>
    <row r="334" spans="1:11" ht="12.75" hidden="1" x14ac:dyDescent="0.2">
      <c r="A334" s="16"/>
      <c r="B334" s="16"/>
      <c r="C334" s="15"/>
      <c r="D334" s="16"/>
      <c r="E334" s="17"/>
      <c r="F334" s="17"/>
      <c r="H334" s="19"/>
      <c r="I334" s="47"/>
      <c r="J334" s="48"/>
      <c r="K334" s="49"/>
    </row>
    <row r="335" spans="1:11" ht="12.75" hidden="1" x14ac:dyDescent="0.2">
      <c r="A335" s="16"/>
      <c r="B335" s="16"/>
      <c r="C335" s="15"/>
      <c r="D335" s="16"/>
      <c r="E335" s="17"/>
      <c r="F335" s="17"/>
      <c r="H335" s="19"/>
      <c r="I335" s="47"/>
      <c r="J335" s="48"/>
      <c r="K335" s="49"/>
    </row>
    <row r="336" spans="1:11" ht="12.75" hidden="1" x14ac:dyDescent="0.2">
      <c r="A336" s="16"/>
      <c r="B336" s="16"/>
      <c r="C336" s="15"/>
      <c r="D336" s="16"/>
      <c r="E336" s="17"/>
      <c r="F336" s="17"/>
      <c r="H336" s="19"/>
      <c r="I336" s="47"/>
      <c r="J336" s="48"/>
      <c r="K336" s="49"/>
    </row>
    <row r="337" spans="1:11" ht="12.75" hidden="1" x14ac:dyDescent="0.2">
      <c r="A337" s="16"/>
      <c r="B337" s="16"/>
      <c r="C337" s="15"/>
      <c r="D337" s="16"/>
      <c r="E337" s="17"/>
      <c r="F337" s="17"/>
      <c r="H337" s="19"/>
      <c r="I337" s="47"/>
      <c r="J337" s="48"/>
      <c r="K337" s="49"/>
    </row>
    <row r="338" spans="1:11" ht="12.75" hidden="1" x14ac:dyDescent="0.2">
      <c r="A338" s="16"/>
      <c r="B338" s="16"/>
      <c r="C338" s="15"/>
      <c r="D338" s="16"/>
      <c r="E338" s="17"/>
      <c r="F338" s="17"/>
      <c r="H338" s="19"/>
      <c r="I338" s="47"/>
      <c r="J338" s="48"/>
      <c r="K338" s="49"/>
    </row>
    <row r="339" spans="1:11" ht="12.75" hidden="1" x14ac:dyDescent="0.2">
      <c r="A339" s="16"/>
      <c r="B339" s="16"/>
      <c r="C339" s="15"/>
      <c r="D339" s="16"/>
      <c r="E339" s="17"/>
      <c r="F339" s="17"/>
      <c r="H339" s="19"/>
      <c r="I339" s="47"/>
      <c r="J339" s="48"/>
      <c r="K339" s="49"/>
    </row>
    <row r="340" spans="1:11" ht="12.75" hidden="1" x14ac:dyDescent="0.2">
      <c r="A340" s="16"/>
      <c r="B340" s="16"/>
      <c r="C340" s="15"/>
      <c r="D340" s="16"/>
      <c r="E340" s="17"/>
      <c r="F340" s="17"/>
      <c r="H340" s="19"/>
      <c r="I340" s="47"/>
      <c r="J340" s="48"/>
      <c r="K340" s="49"/>
    </row>
    <row r="341" spans="1:11" ht="12.75" hidden="1" x14ac:dyDescent="0.2">
      <c r="A341" s="16"/>
      <c r="B341" s="16"/>
      <c r="C341" s="15"/>
      <c r="D341" s="16"/>
      <c r="E341" s="17"/>
      <c r="F341" s="17"/>
      <c r="H341" s="19"/>
      <c r="I341" s="47"/>
      <c r="J341" s="48"/>
      <c r="K341" s="49"/>
    </row>
    <row r="342" spans="1:11" ht="12.75" hidden="1" x14ac:dyDescent="0.2">
      <c r="A342" s="16"/>
      <c r="B342" s="16"/>
      <c r="C342" s="15"/>
      <c r="D342" s="16"/>
      <c r="E342" s="17"/>
      <c r="F342" s="17"/>
      <c r="H342" s="19"/>
      <c r="I342" s="47"/>
      <c r="J342" s="48"/>
      <c r="K342" s="49"/>
    </row>
    <row r="343" spans="1:11" ht="12.75" hidden="1" x14ac:dyDescent="0.2">
      <c r="A343" s="16"/>
      <c r="B343" s="16"/>
      <c r="C343" s="15"/>
      <c r="D343" s="16"/>
      <c r="E343" s="17"/>
      <c r="F343" s="17"/>
      <c r="H343" s="19"/>
      <c r="I343" s="47"/>
      <c r="J343" s="48"/>
      <c r="K343" s="49"/>
    </row>
    <row r="344" spans="1:11" ht="12.75" hidden="1" x14ac:dyDescent="0.2">
      <c r="A344" s="16"/>
      <c r="B344" s="16"/>
      <c r="C344" s="15"/>
      <c r="D344" s="16"/>
      <c r="E344" s="17"/>
      <c r="F344" s="17"/>
      <c r="H344" s="19"/>
      <c r="I344" s="47"/>
      <c r="J344" s="48"/>
      <c r="K344" s="49"/>
    </row>
    <row r="345" spans="1:11" ht="12.75" hidden="1" x14ac:dyDescent="0.2">
      <c r="A345" s="16"/>
      <c r="B345" s="16"/>
      <c r="C345" s="15"/>
      <c r="D345" s="16"/>
      <c r="E345" s="17"/>
      <c r="F345" s="17"/>
      <c r="H345" s="19"/>
      <c r="I345" s="47"/>
      <c r="J345" s="48"/>
      <c r="K345" s="49"/>
    </row>
    <row r="346" spans="1:11" ht="12.75" hidden="1" x14ac:dyDescent="0.2">
      <c r="A346" s="16"/>
      <c r="B346" s="16"/>
      <c r="C346" s="15"/>
      <c r="D346" s="16"/>
      <c r="E346" s="17"/>
      <c r="F346" s="17"/>
      <c r="H346" s="19"/>
      <c r="I346" s="47"/>
      <c r="J346" s="48"/>
      <c r="K346" s="49"/>
    </row>
    <row r="347" spans="1:11" ht="12.75" hidden="1" x14ac:dyDescent="0.2">
      <c r="A347" s="16"/>
      <c r="B347" s="16"/>
      <c r="C347" s="15"/>
      <c r="D347" s="16"/>
      <c r="E347" s="17"/>
      <c r="F347" s="17"/>
      <c r="H347" s="19"/>
      <c r="I347" s="47"/>
      <c r="J347" s="48"/>
      <c r="K347" s="49"/>
    </row>
    <row r="348" spans="1:11" ht="12.75" hidden="1" x14ac:dyDescent="0.2">
      <c r="A348" s="16"/>
      <c r="B348" s="16"/>
      <c r="C348" s="15"/>
      <c r="D348" s="16"/>
      <c r="E348" s="17"/>
      <c r="F348" s="17"/>
      <c r="H348" s="19"/>
      <c r="I348" s="47"/>
      <c r="J348" s="48"/>
      <c r="K348" s="49"/>
    </row>
    <row r="349" spans="1:11" ht="12.75" hidden="1" x14ac:dyDescent="0.2">
      <c r="A349" s="16"/>
      <c r="B349" s="16"/>
      <c r="C349" s="15"/>
      <c r="D349" s="16"/>
      <c r="E349" s="17"/>
      <c r="F349" s="17"/>
      <c r="H349" s="19"/>
      <c r="I349" s="47"/>
      <c r="J349" s="48"/>
      <c r="K349" s="49"/>
    </row>
    <row r="350" spans="1:11" ht="12.75" hidden="1" x14ac:dyDescent="0.2">
      <c r="A350" s="16"/>
      <c r="B350" s="16"/>
      <c r="C350" s="15"/>
      <c r="D350" s="16"/>
      <c r="E350" s="17"/>
      <c r="F350" s="17"/>
      <c r="H350" s="19"/>
      <c r="I350" s="47"/>
      <c r="J350" s="48"/>
      <c r="K350" s="49"/>
    </row>
    <row r="351" spans="1:11" ht="12.75" hidden="1" x14ac:dyDescent="0.2">
      <c r="A351" s="16"/>
      <c r="B351" s="16"/>
      <c r="C351" s="15"/>
      <c r="D351" s="16"/>
      <c r="E351" s="17"/>
      <c r="F351" s="17"/>
      <c r="H351" s="19"/>
      <c r="I351" s="47"/>
      <c r="J351" s="48"/>
      <c r="K351" s="49"/>
    </row>
    <row r="352" spans="1:11" ht="12.75" hidden="1" x14ac:dyDescent="0.2">
      <c r="A352" s="16"/>
      <c r="B352" s="16"/>
      <c r="C352" s="15"/>
      <c r="D352" s="16"/>
      <c r="E352" s="17"/>
      <c r="F352" s="17"/>
      <c r="H352" s="19"/>
      <c r="I352" s="47"/>
      <c r="J352" s="48"/>
      <c r="K352" s="49"/>
    </row>
    <row r="353" spans="1:11" ht="12.75" hidden="1" x14ac:dyDescent="0.2">
      <c r="A353" s="16"/>
      <c r="B353" s="16"/>
      <c r="C353" s="15"/>
      <c r="D353" s="16"/>
      <c r="E353" s="17"/>
      <c r="F353" s="17"/>
      <c r="H353" s="19"/>
      <c r="I353" s="47"/>
      <c r="J353" s="48"/>
      <c r="K353" s="49"/>
    </row>
    <row r="354" spans="1:11" ht="12.75" hidden="1" x14ac:dyDescent="0.2">
      <c r="A354" s="16"/>
      <c r="B354" s="16"/>
      <c r="C354" s="15"/>
      <c r="D354" s="16"/>
      <c r="E354" s="17"/>
      <c r="F354" s="17"/>
      <c r="H354" s="19"/>
      <c r="I354" s="47"/>
      <c r="J354" s="48"/>
      <c r="K354" s="49"/>
    </row>
    <row r="355" spans="1:11" ht="12.75" hidden="1" x14ac:dyDescent="0.2">
      <c r="A355" s="16"/>
      <c r="B355" s="16"/>
      <c r="C355" s="15"/>
      <c r="D355" s="16"/>
      <c r="E355" s="17"/>
      <c r="F355" s="17"/>
      <c r="H355" s="19"/>
      <c r="I355" s="47"/>
      <c r="J355" s="48"/>
      <c r="K355" s="49"/>
    </row>
    <row r="356" spans="1:11" ht="12.75" hidden="1" x14ac:dyDescent="0.2">
      <c r="A356" s="16"/>
      <c r="B356" s="16"/>
      <c r="C356" s="15"/>
      <c r="D356" s="16"/>
      <c r="E356" s="17"/>
      <c r="F356" s="17"/>
      <c r="H356" s="19"/>
      <c r="I356" s="47"/>
      <c r="J356" s="48"/>
      <c r="K356" s="49"/>
    </row>
    <row r="357" spans="1:11" ht="12.75" hidden="1" x14ac:dyDescent="0.2">
      <c r="A357" s="16"/>
      <c r="B357" s="16"/>
      <c r="C357" s="15"/>
      <c r="D357" s="16"/>
      <c r="E357" s="17"/>
      <c r="F357" s="17"/>
      <c r="H357" s="19"/>
      <c r="I357" s="47"/>
      <c r="J357" s="48"/>
      <c r="K357" s="49"/>
    </row>
    <row r="358" spans="1:11" ht="12.75" hidden="1" x14ac:dyDescent="0.2">
      <c r="A358" s="16"/>
      <c r="B358" s="16"/>
      <c r="C358" s="15"/>
      <c r="D358" s="16"/>
      <c r="E358" s="17"/>
      <c r="F358" s="17"/>
      <c r="H358" s="19"/>
      <c r="I358" s="47"/>
      <c r="J358" s="48"/>
      <c r="K358" s="49"/>
    </row>
    <row r="359" spans="1:11" ht="12.75" hidden="1" x14ac:dyDescent="0.2">
      <c r="A359" s="16"/>
      <c r="B359" s="16"/>
      <c r="C359" s="15"/>
      <c r="D359" s="16"/>
      <c r="E359" s="17"/>
      <c r="F359" s="17"/>
      <c r="H359" s="19"/>
      <c r="I359" s="47"/>
      <c r="J359" s="48"/>
      <c r="K359" s="49"/>
    </row>
    <row r="360" spans="1:11" ht="12.75" hidden="1" x14ac:dyDescent="0.2">
      <c r="A360" s="16"/>
      <c r="B360" s="16"/>
      <c r="C360" s="15"/>
      <c r="D360" s="16"/>
      <c r="E360" s="17"/>
      <c r="F360" s="17"/>
      <c r="H360" s="19"/>
      <c r="I360" s="47"/>
      <c r="J360" s="48"/>
      <c r="K360" s="49"/>
    </row>
    <row r="361" spans="1:11" ht="12.75" hidden="1" x14ac:dyDescent="0.2">
      <c r="A361" s="16"/>
      <c r="B361" s="16"/>
      <c r="C361" s="15"/>
      <c r="D361" s="16"/>
      <c r="E361" s="17"/>
      <c r="F361" s="17"/>
      <c r="H361" s="19"/>
      <c r="I361" s="47"/>
      <c r="J361" s="48"/>
      <c r="K361" s="49"/>
    </row>
    <row r="362" spans="1:11" ht="12.75" hidden="1" x14ac:dyDescent="0.2">
      <c r="A362" s="16"/>
      <c r="B362" s="16"/>
      <c r="C362" s="15"/>
      <c r="D362" s="16"/>
      <c r="E362" s="17"/>
      <c r="F362" s="17"/>
      <c r="H362" s="19"/>
      <c r="I362" s="47"/>
      <c r="J362" s="48"/>
      <c r="K362" s="49"/>
    </row>
    <row r="363" spans="1:11" ht="12.75" hidden="1" x14ac:dyDescent="0.2">
      <c r="A363" s="16"/>
      <c r="B363" s="16"/>
      <c r="C363" s="15"/>
      <c r="D363" s="16"/>
      <c r="E363" s="17"/>
      <c r="F363" s="17"/>
      <c r="H363" s="19"/>
      <c r="I363" s="47"/>
      <c r="J363" s="48"/>
      <c r="K363" s="49"/>
    </row>
    <row r="364" spans="1:11" ht="12.75" hidden="1" x14ac:dyDescent="0.2">
      <c r="A364" s="16"/>
      <c r="B364" s="16"/>
      <c r="C364" s="15"/>
      <c r="D364" s="16"/>
      <c r="E364" s="17"/>
      <c r="F364" s="17"/>
      <c r="H364" s="19"/>
      <c r="I364" s="47"/>
      <c r="J364" s="48"/>
      <c r="K364" s="49"/>
    </row>
    <row r="365" spans="1:11" ht="12.75" hidden="1" x14ac:dyDescent="0.2">
      <c r="A365" s="16"/>
      <c r="B365" s="16"/>
      <c r="C365" s="15"/>
      <c r="D365" s="16"/>
      <c r="E365" s="17"/>
      <c r="F365" s="17"/>
      <c r="H365" s="19"/>
      <c r="I365" s="47"/>
      <c r="J365" s="48"/>
      <c r="K365" s="49"/>
    </row>
    <row r="366" spans="1:11" ht="12.75" hidden="1" x14ac:dyDescent="0.2">
      <c r="A366" s="16"/>
      <c r="B366" s="16"/>
      <c r="C366" s="15"/>
      <c r="D366" s="16"/>
      <c r="E366" s="17"/>
      <c r="F366" s="17"/>
      <c r="H366" s="19"/>
      <c r="I366" s="47"/>
      <c r="J366" s="48"/>
      <c r="K366" s="49"/>
    </row>
    <row r="367" spans="1:11" ht="12.75" hidden="1" x14ac:dyDescent="0.2">
      <c r="A367" s="16"/>
      <c r="B367" s="16"/>
      <c r="C367" s="15"/>
      <c r="D367" s="16"/>
      <c r="E367" s="17"/>
      <c r="F367" s="17"/>
      <c r="H367" s="19"/>
      <c r="I367" s="47"/>
      <c r="J367" s="48"/>
      <c r="K367" s="49"/>
    </row>
    <row r="368" spans="1:11" ht="12.75" hidden="1" x14ac:dyDescent="0.2">
      <c r="A368" s="16"/>
      <c r="B368" s="16"/>
      <c r="C368" s="15"/>
      <c r="D368" s="16"/>
      <c r="E368" s="17"/>
      <c r="F368" s="17"/>
      <c r="H368" s="19"/>
      <c r="I368" s="47"/>
      <c r="J368" s="48"/>
      <c r="K368" s="49"/>
    </row>
    <row r="369" spans="1:11" ht="12.75" hidden="1" x14ac:dyDescent="0.2">
      <c r="A369" s="16"/>
      <c r="B369" s="16"/>
      <c r="C369" s="15"/>
      <c r="D369" s="16"/>
      <c r="E369" s="17"/>
      <c r="F369" s="17"/>
      <c r="H369" s="19"/>
      <c r="I369" s="47"/>
      <c r="J369" s="48"/>
      <c r="K369" s="49"/>
    </row>
    <row r="370" spans="1:11" ht="12.75" hidden="1" x14ac:dyDescent="0.2">
      <c r="A370" s="16"/>
      <c r="B370" s="16"/>
      <c r="C370" s="15"/>
      <c r="D370" s="16"/>
      <c r="E370" s="17"/>
      <c r="F370" s="17"/>
      <c r="H370" s="19"/>
      <c r="I370" s="47"/>
      <c r="J370" s="48"/>
      <c r="K370" s="49"/>
    </row>
    <row r="371" spans="1:11" ht="12.75" hidden="1" x14ac:dyDescent="0.2">
      <c r="A371" s="16"/>
      <c r="B371" s="16"/>
      <c r="C371" s="15"/>
      <c r="D371" s="16"/>
      <c r="E371" s="17"/>
      <c r="F371" s="17"/>
      <c r="H371" s="19"/>
      <c r="I371" s="47"/>
      <c r="J371" s="48"/>
      <c r="K371" s="49"/>
    </row>
    <row r="372" spans="1:11" ht="12.75" hidden="1" x14ac:dyDescent="0.2">
      <c r="A372" s="16"/>
      <c r="B372" s="16"/>
      <c r="C372" s="15"/>
      <c r="D372" s="16"/>
      <c r="E372" s="17"/>
      <c r="F372" s="17"/>
      <c r="H372" s="19"/>
      <c r="I372" s="47"/>
      <c r="J372" s="48"/>
      <c r="K372" s="49"/>
    </row>
    <row r="373" spans="1:11" ht="12.75" hidden="1" x14ac:dyDescent="0.2">
      <c r="A373" s="16"/>
      <c r="B373" s="16"/>
      <c r="C373" s="15"/>
      <c r="D373" s="16"/>
      <c r="E373" s="17"/>
      <c r="F373" s="17"/>
      <c r="H373" s="19"/>
      <c r="I373" s="47"/>
      <c r="J373" s="48"/>
      <c r="K373" s="49"/>
    </row>
    <row r="374" spans="1:11" ht="12.75" hidden="1" x14ac:dyDescent="0.2">
      <c r="A374" s="16"/>
      <c r="B374" s="16"/>
      <c r="C374" s="15"/>
      <c r="D374" s="16"/>
      <c r="E374" s="17"/>
      <c r="F374" s="17"/>
      <c r="H374" s="19"/>
      <c r="I374" s="47"/>
      <c r="J374" s="48"/>
      <c r="K374" s="49"/>
    </row>
    <row r="375" spans="1:11" ht="12.75" hidden="1" x14ac:dyDescent="0.2">
      <c r="A375" s="16"/>
      <c r="B375" s="16"/>
      <c r="C375" s="15"/>
      <c r="D375" s="16"/>
      <c r="E375" s="17"/>
      <c r="F375" s="17"/>
      <c r="H375" s="19"/>
      <c r="I375" s="47"/>
      <c r="J375" s="48"/>
      <c r="K375" s="49"/>
    </row>
    <row r="376" spans="1:11" ht="12.75" hidden="1" x14ac:dyDescent="0.2">
      <c r="A376" s="16"/>
      <c r="B376" s="16"/>
      <c r="C376" s="15"/>
      <c r="D376" s="16"/>
      <c r="E376" s="17"/>
      <c r="F376" s="17"/>
      <c r="H376" s="19"/>
      <c r="I376" s="47"/>
      <c r="J376" s="48"/>
      <c r="K376" s="49"/>
    </row>
    <row r="377" spans="1:11" ht="12.75" hidden="1" x14ac:dyDescent="0.2">
      <c r="A377" s="16"/>
      <c r="B377" s="16"/>
      <c r="C377" s="15"/>
      <c r="D377" s="16"/>
      <c r="E377" s="17"/>
      <c r="F377" s="17"/>
      <c r="H377" s="19"/>
      <c r="I377" s="47"/>
      <c r="J377" s="48"/>
      <c r="K377" s="49"/>
    </row>
    <row r="378" spans="1:11" ht="12.75" hidden="1" x14ac:dyDescent="0.2">
      <c r="A378" s="16"/>
      <c r="B378" s="16"/>
      <c r="C378" s="15"/>
      <c r="D378" s="16"/>
      <c r="E378" s="17"/>
      <c r="F378" s="17"/>
      <c r="H378" s="19"/>
      <c r="I378" s="47"/>
      <c r="J378" s="48"/>
      <c r="K378" s="49"/>
    </row>
    <row r="379" spans="1:11" ht="12.75" hidden="1" x14ac:dyDescent="0.2">
      <c r="A379" s="16"/>
      <c r="B379" s="16"/>
      <c r="C379" s="15"/>
      <c r="D379" s="16"/>
      <c r="E379" s="17"/>
      <c r="F379" s="17"/>
      <c r="H379" s="19"/>
      <c r="I379" s="47"/>
      <c r="J379" s="48"/>
      <c r="K379" s="49"/>
    </row>
    <row r="380" spans="1:11" ht="12.75" hidden="1" x14ac:dyDescent="0.2">
      <c r="A380" s="16"/>
      <c r="B380" s="16"/>
      <c r="C380" s="15"/>
      <c r="D380" s="16"/>
      <c r="E380" s="17"/>
      <c r="F380" s="17"/>
      <c r="H380" s="19"/>
      <c r="I380" s="47"/>
      <c r="J380" s="48"/>
      <c r="K380" s="49"/>
    </row>
    <row r="381" spans="1:11" ht="12.75" hidden="1" x14ac:dyDescent="0.2">
      <c r="A381" s="16"/>
      <c r="B381" s="16"/>
      <c r="C381" s="15"/>
      <c r="D381" s="16"/>
      <c r="E381" s="17"/>
      <c r="F381" s="17"/>
      <c r="H381" s="19"/>
      <c r="I381" s="47"/>
      <c r="J381" s="48"/>
      <c r="K381" s="49"/>
    </row>
    <row r="382" spans="1:11" ht="12.75" hidden="1" x14ac:dyDescent="0.2">
      <c r="A382" s="16"/>
      <c r="B382" s="16"/>
      <c r="C382" s="15"/>
      <c r="D382" s="16"/>
      <c r="E382" s="17"/>
      <c r="F382" s="17"/>
      <c r="H382" s="19"/>
      <c r="I382" s="47"/>
      <c r="J382" s="48"/>
      <c r="K382" s="49"/>
    </row>
    <row r="383" spans="1:11" ht="12.75" hidden="1" x14ac:dyDescent="0.2">
      <c r="A383" s="16"/>
      <c r="B383" s="16"/>
      <c r="C383" s="15"/>
      <c r="D383" s="16"/>
      <c r="E383" s="17"/>
      <c r="F383" s="17"/>
      <c r="H383" s="19"/>
      <c r="I383" s="47"/>
      <c r="J383" s="48"/>
      <c r="K383" s="49"/>
    </row>
    <row r="384" spans="1:11" ht="12.75" hidden="1" x14ac:dyDescent="0.2">
      <c r="A384" s="16"/>
      <c r="B384" s="16"/>
      <c r="C384" s="15"/>
      <c r="D384" s="16"/>
      <c r="E384" s="17"/>
      <c r="F384" s="17"/>
      <c r="H384" s="19"/>
      <c r="I384" s="47"/>
      <c r="J384" s="48"/>
      <c r="K384" s="49"/>
    </row>
    <row r="385" spans="1:11" ht="12.75" hidden="1" x14ac:dyDescent="0.2">
      <c r="A385" s="16"/>
      <c r="B385" s="16"/>
      <c r="C385" s="15"/>
      <c r="D385" s="16"/>
      <c r="E385" s="17"/>
      <c r="F385" s="17"/>
      <c r="H385" s="19"/>
      <c r="I385" s="47"/>
      <c r="J385" s="48"/>
      <c r="K385" s="49"/>
    </row>
    <row r="386" spans="1:11" ht="12.75" hidden="1" x14ac:dyDescent="0.2">
      <c r="A386" s="16"/>
      <c r="B386" s="16"/>
      <c r="C386" s="15"/>
      <c r="D386" s="16"/>
      <c r="E386" s="17"/>
      <c r="F386" s="17"/>
      <c r="H386" s="19"/>
      <c r="I386" s="47"/>
      <c r="J386" s="48"/>
      <c r="K386" s="49"/>
    </row>
    <row r="387" spans="1:11" ht="12.75" hidden="1" x14ac:dyDescent="0.2">
      <c r="A387" s="16"/>
      <c r="B387" s="16"/>
      <c r="C387" s="15"/>
      <c r="D387" s="16"/>
      <c r="E387" s="17"/>
      <c r="F387" s="17"/>
      <c r="H387" s="19"/>
      <c r="I387" s="47"/>
      <c r="J387" s="48"/>
      <c r="K387" s="49"/>
    </row>
    <row r="388" spans="1:11" ht="12.75" hidden="1" x14ac:dyDescent="0.2">
      <c r="A388" s="16"/>
      <c r="B388" s="16"/>
      <c r="C388" s="15"/>
      <c r="D388" s="16"/>
      <c r="E388" s="17"/>
      <c r="F388" s="17"/>
      <c r="H388" s="19"/>
      <c r="I388" s="47"/>
      <c r="J388" s="48"/>
      <c r="K388" s="49"/>
    </row>
    <row r="389" spans="1:11" ht="12.75" hidden="1" x14ac:dyDescent="0.2">
      <c r="A389" s="16"/>
      <c r="B389" s="16"/>
      <c r="C389" s="15"/>
      <c r="D389" s="16"/>
      <c r="E389" s="17"/>
      <c r="F389" s="17"/>
      <c r="H389" s="19"/>
      <c r="I389" s="47"/>
      <c r="J389" s="48"/>
      <c r="K389" s="49"/>
    </row>
    <row r="390" spans="1:11" ht="12.75" hidden="1" x14ac:dyDescent="0.2">
      <c r="A390" s="16"/>
      <c r="B390" s="16"/>
      <c r="C390" s="15"/>
      <c r="D390" s="16"/>
      <c r="E390" s="17"/>
      <c r="F390" s="17"/>
      <c r="H390" s="19"/>
      <c r="I390" s="47"/>
      <c r="J390" s="48"/>
      <c r="K390" s="49"/>
    </row>
    <row r="391" spans="1:11" ht="12.75" hidden="1" x14ac:dyDescent="0.2">
      <c r="A391" s="16"/>
      <c r="B391" s="16"/>
      <c r="C391" s="15"/>
      <c r="D391" s="16"/>
      <c r="E391" s="17"/>
      <c r="F391" s="17"/>
      <c r="H391" s="19"/>
      <c r="I391" s="47"/>
      <c r="J391" s="48"/>
      <c r="K391" s="49"/>
    </row>
    <row r="392" spans="1:11" ht="12.75" hidden="1" x14ac:dyDescent="0.2">
      <c r="A392" s="16"/>
      <c r="B392" s="16"/>
      <c r="C392" s="15"/>
      <c r="D392" s="16"/>
      <c r="E392" s="17"/>
      <c r="F392" s="17"/>
      <c r="H392" s="19"/>
      <c r="I392" s="47"/>
      <c r="J392" s="48"/>
      <c r="K392" s="49"/>
    </row>
    <row r="393" spans="1:11" ht="12.75" hidden="1" x14ac:dyDescent="0.2">
      <c r="A393" s="16"/>
      <c r="B393" s="16"/>
      <c r="C393" s="15"/>
      <c r="D393" s="16"/>
      <c r="E393" s="17"/>
      <c r="F393" s="17"/>
      <c r="H393" s="19"/>
      <c r="I393" s="47"/>
      <c r="J393" s="48"/>
      <c r="K393" s="49"/>
    </row>
    <row r="394" spans="1:11" ht="12.75" hidden="1" x14ac:dyDescent="0.2">
      <c r="A394" s="16"/>
      <c r="B394" s="16"/>
      <c r="C394" s="15"/>
      <c r="D394" s="16"/>
      <c r="E394" s="17"/>
      <c r="F394" s="17"/>
      <c r="H394" s="19"/>
      <c r="I394" s="47"/>
      <c r="J394" s="48"/>
      <c r="K394" s="49"/>
    </row>
    <row r="395" spans="1:11" ht="12.75" hidden="1" x14ac:dyDescent="0.2">
      <c r="A395" s="16"/>
      <c r="B395" s="16"/>
      <c r="C395" s="15"/>
      <c r="D395" s="16"/>
      <c r="E395" s="17"/>
      <c r="F395" s="17"/>
      <c r="H395" s="19"/>
      <c r="I395" s="47"/>
      <c r="J395" s="48"/>
      <c r="K395" s="49"/>
    </row>
    <row r="396" spans="1:11" ht="12.75" hidden="1" x14ac:dyDescent="0.2">
      <c r="A396" s="16"/>
      <c r="B396" s="16"/>
      <c r="C396" s="15"/>
      <c r="D396" s="16"/>
      <c r="E396" s="17"/>
      <c r="F396" s="17"/>
      <c r="H396" s="19"/>
      <c r="I396" s="47"/>
      <c r="J396" s="48"/>
      <c r="K396" s="49"/>
    </row>
    <row r="397" spans="1:11" ht="12.75" hidden="1" x14ac:dyDescent="0.2">
      <c r="A397" s="16"/>
      <c r="B397" s="16"/>
      <c r="C397" s="15"/>
      <c r="D397" s="16"/>
      <c r="E397" s="17"/>
      <c r="F397" s="17"/>
      <c r="H397" s="19"/>
      <c r="I397" s="47"/>
      <c r="J397" s="48"/>
      <c r="K397" s="49"/>
    </row>
    <row r="398" spans="1:11" ht="12.75" hidden="1" x14ac:dyDescent="0.2">
      <c r="A398" s="16"/>
      <c r="B398" s="16"/>
      <c r="C398" s="15"/>
      <c r="D398" s="16"/>
      <c r="E398" s="17"/>
      <c r="F398" s="17"/>
      <c r="H398" s="19"/>
      <c r="I398" s="47"/>
      <c r="J398" s="48"/>
      <c r="K398" s="49"/>
    </row>
    <row r="399" spans="1:11" ht="12.75" hidden="1" x14ac:dyDescent="0.2">
      <c r="A399" s="16"/>
      <c r="B399" s="16"/>
      <c r="C399" s="15"/>
      <c r="D399" s="16"/>
      <c r="E399" s="17"/>
      <c r="F399" s="17"/>
      <c r="H399" s="19"/>
      <c r="I399" s="47"/>
      <c r="J399" s="48"/>
      <c r="K399" s="49"/>
    </row>
    <row r="400" spans="1:11" ht="12.75" hidden="1" x14ac:dyDescent="0.2">
      <c r="A400" s="16"/>
      <c r="B400" s="16"/>
      <c r="C400" s="15"/>
      <c r="D400" s="16"/>
      <c r="E400" s="17"/>
      <c r="F400" s="17"/>
      <c r="H400" s="19"/>
      <c r="I400" s="47"/>
      <c r="J400" s="48"/>
      <c r="K400" s="49"/>
    </row>
    <row r="401" spans="1:11" ht="12.75" hidden="1" x14ac:dyDescent="0.2">
      <c r="A401" s="16"/>
      <c r="B401" s="16"/>
      <c r="C401" s="15"/>
      <c r="D401" s="16"/>
      <c r="E401" s="17"/>
      <c r="F401" s="17"/>
      <c r="H401" s="19"/>
      <c r="I401" s="47"/>
      <c r="J401" s="48"/>
      <c r="K401" s="49"/>
    </row>
    <row r="402" spans="1:11" ht="12.75" hidden="1" x14ac:dyDescent="0.2">
      <c r="A402" s="16"/>
      <c r="B402" s="16"/>
      <c r="C402" s="15"/>
      <c r="D402" s="16"/>
      <c r="E402" s="17"/>
      <c r="F402" s="17"/>
      <c r="H402" s="19"/>
      <c r="I402" s="47"/>
      <c r="J402" s="48"/>
      <c r="K402" s="49"/>
    </row>
    <row r="403" spans="1:11" ht="12.75" hidden="1" x14ac:dyDescent="0.2">
      <c r="A403" s="16"/>
      <c r="B403" s="16"/>
      <c r="C403" s="15"/>
      <c r="D403" s="16"/>
      <c r="E403" s="17"/>
      <c r="F403" s="17"/>
      <c r="H403" s="19"/>
      <c r="I403" s="47"/>
      <c r="J403" s="48"/>
      <c r="K403" s="49"/>
    </row>
    <row r="404" spans="1:11" ht="12.75" hidden="1" x14ac:dyDescent="0.2">
      <c r="A404" s="16"/>
      <c r="B404" s="16"/>
      <c r="C404" s="15"/>
      <c r="D404" s="16"/>
      <c r="E404" s="17"/>
      <c r="F404" s="17"/>
      <c r="H404" s="19"/>
      <c r="I404" s="47"/>
      <c r="J404" s="48"/>
      <c r="K404" s="49"/>
    </row>
    <row r="405" spans="1:11" ht="12.75" hidden="1" x14ac:dyDescent="0.2">
      <c r="A405" s="16"/>
      <c r="B405" s="16"/>
      <c r="C405" s="15"/>
      <c r="D405" s="16"/>
      <c r="E405" s="17"/>
      <c r="F405" s="17"/>
      <c r="H405" s="19"/>
      <c r="I405" s="47"/>
      <c r="J405" s="48"/>
      <c r="K405" s="49"/>
    </row>
    <row r="406" spans="1:11" ht="12.75" hidden="1" x14ac:dyDescent="0.2">
      <c r="A406" s="16"/>
      <c r="B406" s="16"/>
      <c r="C406" s="15"/>
      <c r="D406" s="16"/>
      <c r="E406" s="17"/>
      <c r="F406" s="17"/>
      <c r="H406" s="19"/>
      <c r="I406" s="47"/>
      <c r="J406" s="48"/>
      <c r="K406" s="49"/>
    </row>
    <row r="407" spans="1:11" ht="12.75" hidden="1" x14ac:dyDescent="0.2">
      <c r="A407" s="16"/>
      <c r="B407" s="16"/>
      <c r="C407" s="15"/>
      <c r="D407" s="16"/>
      <c r="E407" s="17"/>
      <c r="F407" s="17"/>
      <c r="H407" s="19"/>
      <c r="I407" s="47"/>
      <c r="J407" s="48"/>
      <c r="K407" s="49"/>
    </row>
    <row r="408" spans="1:11" ht="12.75" hidden="1" x14ac:dyDescent="0.2">
      <c r="A408" s="16"/>
      <c r="B408" s="16"/>
      <c r="C408" s="15"/>
      <c r="D408" s="16"/>
      <c r="E408" s="17"/>
      <c r="F408" s="17"/>
      <c r="H408" s="19"/>
      <c r="I408" s="47"/>
      <c r="J408" s="48"/>
      <c r="K408" s="49"/>
    </row>
    <row r="409" spans="1:11" ht="12.75" hidden="1" x14ac:dyDescent="0.2">
      <c r="A409" s="16"/>
      <c r="B409" s="16"/>
      <c r="C409" s="15"/>
      <c r="D409" s="16"/>
      <c r="E409" s="17"/>
      <c r="F409" s="17"/>
      <c r="H409" s="19"/>
      <c r="I409" s="47"/>
      <c r="J409" s="48"/>
      <c r="K409" s="49"/>
    </row>
    <row r="410" spans="1:11" ht="12.75" hidden="1" x14ac:dyDescent="0.2">
      <c r="A410" s="16"/>
      <c r="B410" s="16"/>
      <c r="C410" s="15"/>
      <c r="D410" s="16"/>
      <c r="E410" s="17"/>
      <c r="F410" s="17"/>
      <c r="H410" s="19"/>
      <c r="I410" s="47"/>
      <c r="J410" s="48"/>
      <c r="K410" s="49"/>
    </row>
    <row r="411" spans="1:11" ht="12.75" hidden="1" x14ac:dyDescent="0.2">
      <c r="A411" s="16"/>
      <c r="B411" s="16"/>
      <c r="C411" s="15"/>
      <c r="D411" s="16"/>
      <c r="E411" s="17"/>
      <c r="F411" s="17"/>
      <c r="H411" s="19"/>
      <c r="I411" s="47"/>
      <c r="J411" s="48"/>
      <c r="K411" s="49"/>
    </row>
    <row r="412" spans="1:11" ht="12.75" hidden="1" x14ac:dyDescent="0.2">
      <c r="A412" s="16"/>
      <c r="B412" s="16"/>
      <c r="C412" s="15"/>
      <c r="D412" s="16"/>
      <c r="E412" s="17"/>
      <c r="F412" s="17"/>
      <c r="H412" s="19"/>
      <c r="I412" s="47"/>
      <c r="J412" s="48"/>
      <c r="K412" s="49"/>
    </row>
    <row r="413" spans="1:11" ht="12.75" hidden="1" x14ac:dyDescent="0.2">
      <c r="A413" s="16"/>
      <c r="B413" s="16"/>
      <c r="C413" s="15"/>
      <c r="D413" s="16"/>
      <c r="E413" s="17"/>
      <c r="F413" s="17"/>
      <c r="H413" s="19"/>
      <c r="I413" s="47"/>
      <c r="J413" s="48"/>
      <c r="K413" s="49"/>
    </row>
    <row r="414" spans="1:11" ht="12.75" hidden="1" x14ac:dyDescent="0.2">
      <c r="A414" s="16"/>
      <c r="B414" s="16"/>
      <c r="C414" s="15"/>
      <c r="D414" s="16"/>
      <c r="E414" s="17"/>
      <c r="F414" s="17"/>
      <c r="H414" s="19"/>
      <c r="I414" s="47"/>
      <c r="J414" s="48"/>
      <c r="K414" s="49"/>
    </row>
    <row r="415" spans="1:11" ht="12.75" hidden="1" x14ac:dyDescent="0.2">
      <c r="A415" s="16"/>
      <c r="B415" s="16"/>
      <c r="C415" s="15"/>
      <c r="D415" s="16"/>
      <c r="E415" s="17"/>
      <c r="F415" s="17"/>
      <c r="H415" s="19"/>
      <c r="I415" s="47"/>
      <c r="J415" s="48"/>
      <c r="K415" s="49"/>
    </row>
    <row r="416" spans="1:11" ht="12.75" hidden="1" x14ac:dyDescent="0.2">
      <c r="A416" s="16"/>
      <c r="B416" s="16"/>
      <c r="C416" s="15"/>
      <c r="D416" s="16"/>
      <c r="E416" s="17"/>
      <c r="F416" s="17"/>
      <c r="H416" s="19"/>
      <c r="I416" s="47"/>
      <c r="J416" s="48"/>
      <c r="K416" s="49"/>
    </row>
    <row r="417" spans="1:11" ht="12.75" hidden="1" x14ac:dyDescent="0.2">
      <c r="A417" s="16"/>
      <c r="B417" s="16"/>
      <c r="C417" s="15"/>
      <c r="D417" s="16"/>
      <c r="E417" s="17"/>
      <c r="F417" s="17"/>
      <c r="H417" s="19"/>
      <c r="I417" s="47"/>
      <c r="J417" s="48"/>
      <c r="K417" s="49"/>
    </row>
    <row r="418" spans="1:11" ht="12.75" hidden="1" x14ac:dyDescent="0.2">
      <c r="A418" s="16"/>
      <c r="B418" s="16"/>
      <c r="C418" s="15"/>
      <c r="D418" s="16"/>
      <c r="E418" s="17"/>
      <c r="F418" s="17"/>
      <c r="H418" s="19"/>
      <c r="I418" s="47"/>
      <c r="J418" s="48"/>
      <c r="K418" s="49"/>
    </row>
    <row r="419" spans="1:11" ht="12.75" hidden="1" x14ac:dyDescent="0.2">
      <c r="A419" s="16"/>
      <c r="B419" s="16"/>
      <c r="C419" s="15"/>
      <c r="D419" s="16"/>
      <c r="E419" s="17"/>
      <c r="F419" s="17"/>
      <c r="H419" s="19"/>
      <c r="I419" s="47"/>
      <c r="J419" s="48"/>
      <c r="K419" s="49"/>
    </row>
    <row r="420" spans="1:11" ht="12.75" hidden="1" x14ac:dyDescent="0.2">
      <c r="A420" s="16"/>
      <c r="B420" s="16"/>
      <c r="C420" s="15"/>
      <c r="D420" s="16"/>
      <c r="E420" s="17"/>
      <c r="F420" s="17"/>
      <c r="H420" s="19"/>
      <c r="I420" s="47"/>
      <c r="J420" s="48"/>
      <c r="K420" s="49"/>
    </row>
    <row r="421" spans="1:11" ht="12.75" hidden="1" x14ac:dyDescent="0.2">
      <c r="A421" s="16"/>
      <c r="B421" s="16"/>
      <c r="C421" s="15"/>
      <c r="D421" s="16"/>
      <c r="E421" s="17"/>
      <c r="F421" s="17"/>
      <c r="H421" s="19"/>
      <c r="I421" s="47"/>
      <c r="J421" s="48"/>
      <c r="K421" s="49"/>
    </row>
    <row r="422" spans="1:11" ht="12.75" hidden="1" x14ac:dyDescent="0.2">
      <c r="A422" s="16"/>
      <c r="B422" s="16"/>
      <c r="C422" s="15"/>
      <c r="D422" s="16"/>
      <c r="E422" s="17"/>
      <c r="F422" s="17"/>
      <c r="H422" s="19"/>
      <c r="I422" s="47"/>
      <c r="J422" s="48"/>
      <c r="K422" s="49"/>
    </row>
    <row r="423" spans="1:11" ht="12.75" hidden="1" x14ac:dyDescent="0.2">
      <c r="A423" s="16"/>
      <c r="B423" s="16"/>
      <c r="C423" s="15"/>
      <c r="D423" s="16"/>
      <c r="E423" s="17"/>
      <c r="F423" s="17"/>
      <c r="H423" s="19"/>
      <c r="I423" s="47"/>
      <c r="J423" s="48"/>
      <c r="K423" s="49"/>
    </row>
    <row r="424" spans="1:11" ht="12.75" hidden="1" x14ac:dyDescent="0.2">
      <c r="A424" s="16"/>
      <c r="B424" s="16"/>
      <c r="C424" s="15"/>
      <c r="D424" s="16"/>
      <c r="E424" s="17"/>
      <c r="F424" s="17"/>
      <c r="H424" s="19"/>
      <c r="I424" s="47"/>
      <c r="J424" s="48"/>
      <c r="K424" s="49"/>
    </row>
    <row r="425" spans="1:11" ht="12.75" hidden="1" x14ac:dyDescent="0.2">
      <c r="A425" s="16"/>
      <c r="B425" s="16"/>
      <c r="C425" s="15"/>
      <c r="D425" s="16"/>
      <c r="E425" s="17"/>
      <c r="F425" s="17"/>
      <c r="H425" s="19"/>
      <c r="I425" s="47"/>
      <c r="J425" s="48"/>
      <c r="K425" s="49"/>
    </row>
    <row r="426" spans="1:11" ht="12.75" hidden="1" x14ac:dyDescent="0.2">
      <c r="A426" s="16"/>
      <c r="B426" s="16"/>
      <c r="C426" s="15"/>
      <c r="D426" s="16"/>
      <c r="E426" s="17"/>
      <c r="F426" s="17"/>
      <c r="H426" s="19"/>
      <c r="I426" s="47"/>
      <c r="J426" s="48"/>
      <c r="K426" s="49"/>
    </row>
    <row r="427" spans="1:11" ht="12.75" hidden="1" x14ac:dyDescent="0.2">
      <c r="A427" s="16"/>
      <c r="B427" s="16"/>
      <c r="C427" s="15"/>
      <c r="D427" s="16"/>
      <c r="E427" s="17"/>
      <c r="F427" s="17"/>
      <c r="H427" s="19"/>
      <c r="I427" s="47"/>
      <c r="J427" s="48"/>
      <c r="K427" s="49"/>
    </row>
    <row r="428" spans="1:11" ht="12.75" hidden="1" x14ac:dyDescent="0.2">
      <c r="A428" s="16"/>
      <c r="B428" s="16"/>
      <c r="C428" s="15"/>
      <c r="D428" s="16"/>
      <c r="E428" s="17"/>
      <c r="F428" s="17"/>
      <c r="H428" s="19"/>
      <c r="I428" s="47"/>
      <c r="J428" s="48"/>
      <c r="K428" s="49"/>
    </row>
    <row r="429" spans="1:11" ht="12.75" hidden="1" x14ac:dyDescent="0.2">
      <c r="A429" s="16"/>
      <c r="B429" s="16"/>
      <c r="C429" s="15"/>
      <c r="D429" s="16"/>
      <c r="E429" s="17"/>
      <c r="F429" s="17"/>
      <c r="H429" s="19"/>
      <c r="I429" s="47"/>
      <c r="J429" s="48"/>
      <c r="K429" s="49"/>
    </row>
    <row r="430" spans="1:11" ht="12.75" hidden="1" x14ac:dyDescent="0.2">
      <c r="A430" s="16"/>
      <c r="B430" s="16"/>
      <c r="C430" s="15"/>
      <c r="D430" s="16"/>
      <c r="E430" s="17"/>
      <c r="F430" s="17"/>
      <c r="H430" s="19"/>
      <c r="I430" s="47"/>
      <c r="J430" s="48"/>
      <c r="K430" s="49"/>
    </row>
    <row r="431" spans="1:11" ht="12.75" hidden="1" x14ac:dyDescent="0.2">
      <c r="A431" s="16"/>
      <c r="B431" s="16"/>
      <c r="C431" s="15"/>
      <c r="D431" s="16"/>
      <c r="E431" s="17"/>
      <c r="F431" s="17"/>
      <c r="H431" s="19"/>
      <c r="I431" s="47"/>
      <c r="J431" s="48"/>
      <c r="K431" s="49"/>
    </row>
    <row r="432" spans="1:11" ht="12.75" hidden="1" x14ac:dyDescent="0.2">
      <c r="A432" s="16"/>
      <c r="B432" s="16"/>
      <c r="C432" s="15"/>
      <c r="D432" s="16"/>
      <c r="E432" s="17"/>
      <c r="F432" s="17"/>
      <c r="H432" s="19"/>
      <c r="I432" s="47"/>
      <c r="J432" s="48"/>
      <c r="K432" s="49"/>
    </row>
    <row r="433" spans="1:11" ht="12.75" hidden="1" x14ac:dyDescent="0.2">
      <c r="A433" s="16"/>
      <c r="B433" s="16"/>
      <c r="C433" s="15"/>
      <c r="D433" s="16"/>
      <c r="E433" s="17"/>
      <c r="F433" s="17"/>
      <c r="H433" s="19"/>
      <c r="I433" s="47"/>
      <c r="J433" s="48"/>
      <c r="K433" s="49"/>
    </row>
    <row r="434" spans="1:11" ht="12.75" hidden="1" x14ac:dyDescent="0.2">
      <c r="A434" s="16"/>
      <c r="B434" s="16"/>
      <c r="C434" s="15"/>
      <c r="D434" s="16"/>
      <c r="E434" s="17"/>
      <c r="F434" s="17"/>
      <c r="H434" s="19"/>
      <c r="I434" s="47"/>
      <c r="J434" s="48"/>
      <c r="K434" s="49"/>
    </row>
    <row r="435" spans="1:11" ht="12.75" hidden="1" x14ac:dyDescent="0.2">
      <c r="A435" s="16"/>
      <c r="B435" s="16"/>
      <c r="C435" s="15"/>
      <c r="D435" s="16"/>
      <c r="E435" s="17"/>
      <c r="F435" s="17"/>
      <c r="H435" s="19"/>
      <c r="I435" s="47"/>
      <c r="J435" s="48"/>
      <c r="K435" s="49"/>
    </row>
    <row r="436" spans="1:11" ht="12.75" hidden="1" x14ac:dyDescent="0.2">
      <c r="A436" s="16"/>
      <c r="B436" s="16"/>
      <c r="C436" s="15"/>
      <c r="D436" s="16"/>
      <c r="E436" s="17"/>
      <c r="F436" s="17"/>
      <c r="H436" s="19"/>
      <c r="I436" s="47"/>
      <c r="J436" s="48"/>
      <c r="K436" s="49"/>
    </row>
    <row r="437" spans="1:11" ht="12.75" hidden="1" x14ac:dyDescent="0.2">
      <c r="A437" s="16"/>
      <c r="B437" s="16"/>
      <c r="C437" s="15"/>
      <c r="D437" s="16"/>
      <c r="E437" s="17"/>
      <c r="F437" s="17"/>
      <c r="H437" s="19"/>
      <c r="I437" s="47"/>
      <c r="J437" s="48"/>
      <c r="K437" s="49"/>
    </row>
    <row r="438" spans="1:11" ht="12.75" hidden="1" x14ac:dyDescent="0.2">
      <c r="A438" s="16"/>
      <c r="B438" s="16"/>
      <c r="C438" s="15"/>
      <c r="D438" s="16"/>
      <c r="E438" s="17"/>
      <c r="F438" s="17"/>
      <c r="H438" s="19"/>
      <c r="I438" s="47"/>
      <c r="J438" s="48"/>
      <c r="K438" s="49"/>
    </row>
    <row r="439" spans="1:11" ht="12.75" hidden="1" x14ac:dyDescent="0.2">
      <c r="A439" s="16"/>
      <c r="B439" s="16"/>
      <c r="C439" s="15"/>
      <c r="D439" s="16"/>
      <c r="E439" s="17"/>
      <c r="F439" s="17"/>
      <c r="H439" s="19"/>
      <c r="I439" s="47"/>
      <c r="J439" s="48"/>
      <c r="K439" s="49"/>
    </row>
    <row r="440" spans="1:11" ht="12.75" hidden="1" x14ac:dyDescent="0.2">
      <c r="A440" s="16"/>
      <c r="B440" s="16"/>
      <c r="C440" s="15"/>
      <c r="D440" s="16"/>
      <c r="E440" s="17"/>
      <c r="F440" s="17"/>
      <c r="H440" s="19"/>
      <c r="I440" s="47"/>
      <c r="J440" s="48"/>
      <c r="K440" s="49"/>
    </row>
    <row r="441" spans="1:11" ht="12.75" hidden="1" x14ac:dyDescent="0.2">
      <c r="A441" s="16"/>
      <c r="B441" s="16"/>
      <c r="C441" s="15"/>
      <c r="D441" s="16"/>
      <c r="E441" s="17"/>
      <c r="F441" s="17"/>
      <c r="H441" s="19"/>
      <c r="I441" s="47"/>
      <c r="J441" s="48"/>
      <c r="K441" s="49"/>
    </row>
    <row r="442" spans="1:11" ht="12.75" hidden="1" x14ac:dyDescent="0.2">
      <c r="A442" s="16"/>
      <c r="B442" s="16"/>
      <c r="C442" s="15"/>
      <c r="D442" s="16"/>
      <c r="E442" s="17"/>
      <c r="F442" s="17"/>
      <c r="H442" s="19"/>
      <c r="I442" s="47"/>
      <c r="J442" s="48"/>
      <c r="K442" s="49"/>
    </row>
    <row r="443" spans="1:11" ht="12.75" hidden="1" x14ac:dyDescent="0.2">
      <c r="A443" s="16"/>
      <c r="B443" s="16"/>
      <c r="C443" s="15"/>
      <c r="D443" s="16"/>
      <c r="E443" s="17"/>
      <c r="F443" s="17"/>
      <c r="H443" s="19"/>
      <c r="I443" s="47"/>
      <c r="J443" s="48"/>
      <c r="K443" s="49"/>
    </row>
    <row r="444" spans="1:11" ht="12.75" hidden="1" x14ac:dyDescent="0.2">
      <c r="A444" s="16"/>
      <c r="B444" s="16"/>
      <c r="C444" s="15"/>
      <c r="D444" s="16"/>
      <c r="E444" s="17"/>
      <c r="F444" s="17"/>
      <c r="H444" s="19"/>
      <c r="I444" s="47"/>
      <c r="J444" s="48"/>
      <c r="K444" s="49"/>
    </row>
    <row r="445" spans="1:11" ht="12.75" hidden="1" x14ac:dyDescent="0.2">
      <c r="A445" s="16"/>
      <c r="B445" s="16"/>
      <c r="C445" s="15"/>
      <c r="D445" s="16"/>
      <c r="E445" s="17"/>
      <c r="F445" s="17"/>
      <c r="H445" s="19"/>
      <c r="I445" s="47"/>
      <c r="J445" s="48"/>
      <c r="K445" s="49"/>
    </row>
    <row r="446" spans="1:11" ht="12.75" hidden="1" x14ac:dyDescent="0.2">
      <c r="A446" s="16"/>
      <c r="B446" s="16"/>
      <c r="C446" s="15"/>
      <c r="D446" s="16"/>
      <c r="E446" s="17"/>
      <c r="F446" s="17"/>
      <c r="H446" s="19"/>
      <c r="I446" s="47"/>
      <c r="J446" s="48"/>
      <c r="K446" s="49"/>
    </row>
    <row r="447" spans="1:11" ht="12.75" hidden="1" x14ac:dyDescent="0.2">
      <c r="A447" s="16"/>
      <c r="B447" s="16"/>
      <c r="C447" s="15"/>
      <c r="D447" s="16"/>
      <c r="E447" s="17"/>
      <c r="F447" s="17"/>
      <c r="H447" s="19"/>
      <c r="I447" s="47"/>
      <c r="J447" s="48"/>
      <c r="K447" s="49"/>
    </row>
    <row r="448" spans="1:11" ht="12.75" hidden="1" x14ac:dyDescent="0.2">
      <c r="A448" s="16"/>
      <c r="B448" s="16"/>
      <c r="C448" s="15"/>
      <c r="D448" s="16"/>
      <c r="E448" s="17"/>
      <c r="F448" s="17"/>
      <c r="H448" s="19"/>
      <c r="I448" s="47"/>
      <c r="J448" s="48"/>
      <c r="K448" s="49"/>
    </row>
    <row r="449" spans="1:11" ht="12.75" hidden="1" x14ac:dyDescent="0.2">
      <c r="A449" s="16"/>
      <c r="B449" s="16"/>
      <c r="C449" s="15"/>
      <c r="D449" s="16"/>
      <c r="E449" s="17"/>
      <c r="F449" s="17"/>
      <c r="H449" s="19"/>
      <c r="I449" s="47"/>
      <c r="J449" s="48"/>
      <c r="K449" s="49"/>
    </row>
    <row r="450" spans="1:11" ht="12.75" hidden="1" x14ac:dyDescent="0.2">
      <c r="A450" s="16"/>
      <c r="B450" s="16"/>
      <c r="C450" s="15"/>
      <c r="D450" s="16"/>
      <c r="E450" s="17"/>
      <c r="F450" s="17"/>
      <c r="H450" s="19"/>
      <c r="I450" s="47"/>
      <c r="J450" s="48"/>
      <c r="K450" s="49"/>
    </row>
    <row r="451" spans="1:11" ht="12.75" hidden="1" x14ac:dyDescent="0.2">
      <c r="A451" s="16"/>
      <c r="B451" s="16"/>
      <c r="C451" s="15"/>
      <c r="D451" s="16"/>
      <c r="E451" s="17"/>
      <c r="F451" s="17"/>
      <c r="H451" s="19"/>
      <c r="I451" s="47"/>
      <c r="J451" s="48"/>
      <c r="K451" s="49"/>
    </row>
    <row r="452" spans="1:11" ht="12.75" hidden="1" x14ac:dyDescent="0.2">
      <c r="A452" s="16"/>
      <c r="B452" s="16"/>
      <c r="C452" s="15"/>
      <c r="D452" s="16"/>
      <c r="E452" s="17"/>
      <c r="F452" s="17"/>
      <c r="H452" s="19"/>
      <c r="I452" s="47"/>
      <c r="J452" s="48"/>
      <c r="K452" s="49"/>
    </row>
    <row r="453" spans="1:11" ht="12.75" hidden="1" x14ac:dyDescent="0.2">
      <c r="A453" s="16"/>
      <c r="B453" s="16"/>
      <c r="C453" s="15"/>
      <c r="D453" s="16"/>
      <c r="E453" s="17"/>
      <c r="F453" s="17"/>
      <c r="H453" s="19"/>
      <c r="I453" s="47"/>
      <c r="J453" s="48"/>
      <c r="K453" s="49"/>
    </row>
    <row r="454" spans="1:11" ht="12.75" hidden="1" x14ac:dyDescent="0.2">
      <c r="A454" s="16"/>
      <c r="B454" s="16"/>
      <c r="C454" s="15"/>
      <c r="D454" s="16"/>
      <c r="E454" s="17"/>
      <c r="F454" s="17"/>
      <c r="H454" s="19"/>
      <c r="I454" s="47"/>
      <c r="J454" s="48"/>
      <c r="K454" s="49"/>
    </row>
    <row r="455" spans="1:11" ht="12.75" hidden="1" x14ac:dyDescent="0.2">
      <c r="A455" s="16"/>
      <c r="B455" s="16"/>
      <c r="C455" s="15"/>
      <c r="D455" s="16"/>
      <c r="E455" s="17"/>
      <c r="F455" s="17"/>
      <c r="H455" s="19"/>
      <c r="I455" s="47"/>
      <c r="J455" s="48"/>
      <c r="K455" s="49"/>
    </row>
    <row r="456" spans="1:11" ht="12.75" hidden="1" x14ac:dyDescent="0.2">
      <c r="A456" s="16"/>
      <c r="B456" s="16"/>
      <c r="C456" s="15"/>
      <c r="D456" s="16"/>
      <c r="E456" s="17"/>
      <c r="F456" s="17"/>
      <c r="H456" s="19"/>
      <c r="I456" s="47"/>
      <c r="J456" s="48"/>
      <c r="K456" s="49"/>
    </row>
    <row r="457" spans="1:11" ht="12.75" hidden="1" x14ac:dyDescent="0.2">
      <c r="A457" s="16"/>
      <c r="B457" s="16"/>
      <c r="C457" s="15"/>
      <c r="D457" s="16"/>
      <c r="E457" s="17"/>
      <c r="F457" s="17"/>
      <c r="H457" s="19"/>
      <c r="I457" s="47"/>
      <c r="J457" s="48"/>
      <c r="K457" s="49"/>
    </row>
    <row r="458" spans="1:11" ht="12.75" hidden="1" x14ac:dyDescent="0.2">
      <c r="A458" s="16"/>
      <c r="B458" s="16"/>
      <c r="C458" s="15"/>
      <c r="D458" s="16"/>
      <c r="E458" s="17"/>
      <c r="F458" s="17"/>
      <c r="H458" s="19"/>
      <c r="I458" s="47"/>
      <c r="J458" s="48"/>
      <c r="K458" s="49"/>
    </row>
    <row r="459" spans="1:11" ht="12.75" hidden="1" x14ac:dyDescent="0.2">
      <c r="A459" s="16"/>
      <c r="B459" s="16"/>
      <c r="C459" s="15"/>
      <c r="D459" s="16"/>
      <c r="E459" s="17"/>
      <c r="F459" s="17"/>
      <c r="H459" s="19"/>
      <c r="I459" s="47"/>
      <c r="J459" s="48"/>
      <c r="K459" s="49"/>
    </row>
    <row r="460" spans="1:11" ht="12.75" hidden="1" x14ac:dyDescent="0.2">
      <c r="A460" s="16"/>
      <c r="B460" s="16"/>
      <c r="C460" s="15"/>
      <c r="D460" s="16"/>
      <c r="E460" s="17"/>
      <c r="F460" s="17"/>
      <c r="H460" s="19"/>
      <c r="I460" s="47"/>
      <c r="J460" s="48"/>
      <c r="K460" s="49"/>
    </row>
    <row r="461" spans="1:11" ht="12.75" hidden="1" x14ac:dyDescent="0.2">
      <c r="A461" s="16"/>
      <c r="B461" s="16"/>
      <c r="C461" s="15"/>
      <c r="D461" s="16"/>
      <c r="E461" s="17"/>
      <c r="F461" s="17"/>
      <c r="H461" s="19"/>
      <c r="I461" s="47"/>
      <c r="J461" s="48"/>
      <c r="K461" s="49"/>
    </row>
    <row r="462" spans="1:11" ht="12.75" hidden="1" x14ac:dyDescent="0.2">
      <c r="A462" s="16"/>
      <c r="B462" s="16"/>
      <c r="C462" s="15"/>
      <c r="D462" s="16"/>
      <c r="E462" s="17"/>
      <c r="F462" s="17"/>
      <c r="H462" s="19"/>
      <c r="I462" s="47"/>
      <c r="J462" s="48"/>
      <c r="K462" s="49"/>
    </row>
    <row r="463" spans="1:11" ht="12.75" hidden="1" x14ac:dyDescent="0.2">
      <c r="A463" s="16"/>
      <c r="B463" s="16"/>
      <c r="C463" s="15"/>
      <c r="D463" s="16"/>
      <c r="E463" s="17"/>
      <c r="F463" s="17"/>
      <c r="H463" s="19"/>
      <c r="I463" s="47"/>
      <c r="J463" s="48"/>
      <c r="K463" s="49"/>
    </row>
    <row r="464" spans="1:11" ht="12.75" hidden="1" x14ac:dyDescent="0.2">
      <c r="A464" s="16"/>
      <c r="B464" s="16"/>
      <c r="C464" s="15"/>
      <c r="D464" s="16"/>
      <c r="E464" s="17"/>
      <c r="F464" s="17"/>
      <c r="H464" s="19"/>
      <c r="I464" s="47"/>
      <c r="J464" s="48"/>
      <c r="K464" s="49"/>
    </row>
    <row r="465" spans="1:11" ht="12.75" hidden="1" x14ac:dyDescent="0.2">
      <c r="A465" s="16"/>
      <c r="B465" s="16"/>
      <c r="C465" s="15"/>
      <c r="D465" s="16"/>
      <c r="E465" s="17"/>
      <c r="F465" s="17"/>
      <c r="H465" s="19"/>
      <c r="I465" s="47"/>
      <c r="J465" s="48"/>
      <c r="K465" s="49"/>
    </row>
    <row r="466" spans="1:11" ht="12.75" hidden="1" x14ac:dyDescent="0.2">
      <c r="A466" s="16"/>
      <c r="B466" s="16"/>
      <c r="C466" s="15"/>
      <c r="D466" s="16"/>
      <c r="E466" s="17"/>
      <c r="F466" s="17"/>
      <c r="H466" s="19"/>
      <c r="I466" s="47"/>
      <c r="J466" s="48"/>
      <c r="K466" s="49"/>
    </row>
    <row r="467" spans="1:11" ht="12.75" hidden="1" x14ac:dyDescent="0.2">
      <c r="A467" s="16"/>
      <c r="B467" s="16"/>
      <c r="C467" s="15"/>
      <c r="D467" s="16"/>
      <c r="E467" s="17"/>
      <c r="F467" s="17"/>
      <c r="H467" s="19"/>
      <c r="I467" s="47"/>
      <c r="J467" s="48"/>
      <c r="K467" s="49"/>
    </row>
    <row r="468" spans="1:11" ht="12.75" hidden="1" x14ac:dyDescent="0.2">
      <c r="A468" s="16"/>
      <c r="B468" s="16"/>
      <c r="C468" s="15"/>
      <c r="D468" s="16"/>
      <c r="E468" s="17"/>
      <c r="F468" s="17"/>
      <c r="H468" s="19"/>
      <c r="I468" s="47"/>
      <c r="J468" s="48"/>
      <c r="K468" s="49"/>
    </row>
    <row r="469" spans="1:11" ht="12.75" hidden="1" x14ac:dyDescent="0.2">
      <c r="A469" s="16"/>
      <c r="B469" s="16"/>
      <c r="C469" s="15"/>
      <c r="D469" s="16"/>
      <c r="E469" s="17"/>
      <c r="F469" s="17"/>
      <c r="H469" s="19"/>
      <c r="I469" s="47"/>
      <c r="J469" s="48"/>
      <c r="K469" s="49"/>
    </row>
    <row r="470" spans="1:11" ht="12.75" hidden="1" x14ac:dyDescent="0.2">
      <c r="A470" s="16"/>
      <c r="B470" s="16"/>
      <c r="C470" s="15"/>
      <c r="D470" s="16"/>
      <c r="E470" s="17"/>
      <c r="F470" s="17"/>
      <c r="H470" s="19"/>
      <c r="I470" s="47"/>
      <c r="J470" s="48"/>
      <c r="K470" s="49"/>
    </row>
    <row r="471" spans="1:11" ht="12.75" hidden="1" x14ac:dyDescent="0.2">
      <c r="A471" s="16"/>
      <c r="B471" s="16"/>
      <c r="C471" s="15"/>
      <c r="D471" s="16"/>
      <c r="E471" s="17"/>
      <c r="F471" s="17"/>
      <c r="H471" s="19"/>
      <c r="I471" s="47"/>
      <c r="J471" s="48"/>
      <c r="K471" s="49"/>
    </row>
    <row r="472" spans="1:11" ht="12.75" hidden="1" x14ac:dyDescent="0.2">
      <c r="A472" s="16"/>
      <c r="B472" s="16"/>
      <c r="C472" s="15"/>
      <c r="D472" s="16"/>
      <c r="E472" s="17"/>
      <c r="F472" s="17"/>
      <c r="H472" s="19"/>
      <c r="I472" s="47"/>
      <c r="J472" s="48"/>
      <c r="K472" s="49"/>
    </row>
    <row r="473" spans="1:11" ht="12.75" hidden="1" x14ac:dyDescent="0.2">
      <c r="A473" s="16"/>
      <c r="B473" s="16"/>
      <c r="C473" s="15"/>
      <c r="D473" s="16"/>
      <c r="E473" s="17"/>
      <c r="F473" s="17"/>
      <c r="H473" s="19"/>
      <c r="I473" s="47"/>
      <c r="J473" s="48"/>
      <c r="K473" s="49"/>
    </row>
    <row r="474" spans="1:11" ht="12.75" hidden="1" x14ac:dyDescent="0.2">
      <c r="A474" s="16"/>
      <c r="B474" s="16"/>
      <c r="C474" s="15"/>
      <c r="D474" s="16"/>
      <c r="E474" s="17"/>
      <c r="F474" s="17"/>
      <c r="H474" s="19"/>
      <c r="I474" s="47"/>
      <c r="J474" s="48"/>
      <c r="K474" s="49"/>
    </row>
    <row r="475" spans="1:11" ht="12.75" hidden="1" x14ac:dyDescent="0.2">
      <c r="A475" s="16"/>
      <c r="B475" s="16"/>
      <c r="C475" s="15"/>
      <c r="D475" s="16"/>
      <c r="E475" s="17"/>
      <c r="F475" s="17"/>
      <c r="H475" s="19"/>
      <c r="I475" s="47"/>
      <c r="J475" s="48"/>
      <c r="K475" s="49"/>
    </row>
    <row r="476" spans="1:11" ht="12.75" hidden="1" x14ac:dyDescent="0.2">
      <c r="A476" s="16"/>
      <c r="B476" s="16"/>
      <c r="C476" s="15"/>
      <c r="D476" s="16"/>
      <c r="E476" s="17"/>
      <c r="F476" s="17"/>
      <c r="H476" s="19"/>
      <c r="I476" s="47"/>
      <c r="J476" s="48"/>
      <c r="K476" s="49"/>
    </row>
    <row r="477" spans="1:11" ht="12.75" hidden="1" x14ac:dyDescent="0.2">
      <c r="A477" s="16"/>
      <c r="B477" s="16"/>
      <c r="C477" s="15"/>
      <c r="D477" s="16"/>
      <c r="E477" s="17"/>
      <c r="F477" s="17"/>
      <c r="H477" s="19"/>
      <c r="I477" s="47"/>
      <c r="J477" s="48"/>
      <c r="K477" s="49"/>
    </row>
    <row r="478" spans="1:11" ht="12.75" hidden="1" x14ac:dyDescent="0.2">
      <c r="A478" s="16"/>
      <c r="B478" s="16"/>
      <c r="C478" s="15"/>
      <c r="D478" s="16"/>
      <c r="E478" s="17"/>
      <c r="F478" s="17"/>
      <c r="H478" s="19"/>
      <c r="I478" s="47"/>
      <c r="J478" s="48"/>
      <c r="K478" s="49"/>
    </row>
    <row r="479" spans="1:11" ht="12.75" hidden="1" x14ac:dyDescent="0.2">
      <c r="A479" s="16"/>
      <c r="B479" s="16"/>
      <c r="C479" s="15"/>
      <c r="D479" s="16"/>
      <c r="E479" s="17"/>
      <c r="F479" s="17"/>
      <c r="H479" s="19"/>
      <c r="I479" s="47"/>
      <c r="J479" s="48"/>
      <c r="K479" s="49"/>
    </row>
    <row r="480" spans="1:11" ht="12.75" hidden="1" x14ac:dyDescent="0.2">
      <c r="A480" s="16"/>
      <c r="B480" s="16"/>
      <c r="C480" s="15"/>
      <c r="D480" s="16"/>
      <c r="E480" s="17"/>
      <c r="F480" s="17"/>
      <c r="H480" s="19"/>
      <c r="I480" s="47"/>
      <c r="J480" s="48"/>
      <c r="K480" s="49"/>
    </row>
    <row r="481" spans="1:11" ht="12.75" hidden="1" x14ac:dyDescent="0.2">
      <c r="A481" s="16"/>
      <c r="B481" s="16"/>
      <c r="C481" s="15"/>
      <c r="D481" s="16"/>
      <c r="E481" s="17"/>
      <c r="F481" s="17"/>
      <c r="H481" s="19"/>
      <c r="I481" s="47"/>
      <c r="J481" s="48"/>
      <c r="K481" s="49"/>
    </row>
    <row r="482" spans="1:11" ht="12.75" hidden="1" x14ac:dyDescent="0.2">
      <c r="A482" s="16"/>
      <c r="B482" s="16"/>
      <c r="C482" s="15"/>
      <c r="D482" s="16"/>
      <c r="E482" s="17"/>
      <c r="F482" s="17"/>
      <c r="H482" s="19"/>
      <c r="I482" s="47"/>
      <c r="J482" s="48"/>
      <c r="K482" s="49"/>
    </row>
    <row r="483" spans="1:11" ht="12.75" hidden="1" x14ac:dyDescent="0.2">
      <c r="A483" s="16"/>
      <c r="B483" s="16"/>
      <c r="C483" s="15"/>
      <c r="D483" s="16"/>
      <c r="E483" s="17"/>
      <c r="F483" s="17"/>
      <c r="H483" s="19"/>
      <c r="I483" s="47"/>
      <c r="J483" s="48"/>
      <c r="K483" s="49"/>
    </row>
    <row r="484" spans="1:11" ht="12.75" hidden="1" x14ac:dyDescent="0.2">
      <c r="A484" s="16"/>
      <c r="B484" s="16"/>
      <c r="C484" s="15"/>
      <c r="D484" s="16"/>
      <c r="E484" s="17"/>
      <c r="F484" s="17"/>
      <c r="H484" s="19"/>
      <c r="I484" s="47"/>
      <c r="J484" s="48"/>
      <c r="K484" s="49"/>
    </row>
    <row r="485" spans="1:11" ht="12.75" hidden="1" x14ac:dyDescent="0.2">
      <c r="A485" s="16"/>
      <c r="B485" s="16"/>
      <c r="C485" s="15"/>
      <c r="D485" s="16"/>
      <c r="E485" s="17"/>
      <c r="F485" s="17"/>
      <c r="H485" s="19"/>
      <c r="I485" s="47"/>
      <c r="J485" s="48"/>
      <c r="K485" s="49"/>
    </row>
    <row r="486" spans="1:11" ht="12.75" hidden="1" x14ac:dyDescent="0.2">
      <c r="A486" s="16"/>
      <c r="B486" s="16"/>
      <c r="C486" s="15"/>
      <c r="D486" s="16"/>
      <c r="E486" s="17"/>
      <c r="F486" s="17"/>
      <c r="H486" s="19"/>
      <c r="I486" s="47"/>
      <c r="J486" s="48"/>
      <c r="K486" s="49"/>
    </row>
    <row r="487" spans="1:11" ht="12.75" hidden="1" x14ac:dyDescent="0.2">
      <c r="A487" s="16"/>
      <c r="B487" s="16"/>
      <c r="C487" s="15"/>
      <c r="D487" s="16"/>
      <c r="E487" s="17"/>
      <c r="F487" s="17"/>
      <c r="H487" s="19"/>
      <c r="I487" s="47"/>
      <c r="J487" s="48"/>
      <c r="K487" s="49"/>
    </row>
    <row r="488" spans="1:11" ht="12.75" hidden="1" x14ac:dyDescent="0.2">
      <c r="A488" s="16"/>
      <c r="B488" s="16"/>
      <c r="C488" s="15"/>
      <c r="D488" s="16"/>
      <c r="E488" s="17"/>
      <c r="F488" s="17"/>
      <c r="H488" s="19"/>
      <c r="I488" s="47"/>
      <c r="J488" s="48"/>
      <c r="K488" s="49"/>
    </row>
    <row r="489" spans="1:11" ht="12.75" hidden="1" x14ac:dyDescent="0.2">
      <c r="A489" s="16"/>
      <c r="B489" s="16"/>
      <c r="C489" s="15"/>
      <c r="D489" s="16"/>
      <c r="E489" s="17"/>
      <c r="F489" s="17"/>
      <c r="H489" s="19"/>
      <c r="I489" s="47"/>
      <c r="J489" s="48"/>
      <c r="K489" s="49"/>
    </row>
    <row r="490" spans="1:11" ht="12.75" hidden="1" x14ac:dyDescent="0.2">
      <c r="A490" s="16"/>
      <c r="B490" s="16"/>
      <c r="C490" s="15"/>
      <c r="D490" s="16"/>
      <c r="E490" s="17"/>
      <c r="F490" s="17"/>
      <c r="H490" s="19"/>
      <c r="I490" s="47"/>
      <c r="J490" s="48"/>
      <c r="K490" s="49"/>
    </row>
    <row r="491" spans="1:11" ht="12.75" hidden="1" x14ac:dyDescent="0.2">
      <c r="A491" s="16"/>
      <c r="B491" s="16"/>
      <c r="C491" s="15"/>
      <c r="D491" s="16"/>
      <c r="E491" s="17"/>
      <c r="F491" s="17"/>
      <c r="H491" s="19"/>
      <c r="I491" s="47"/>
      <c r="J491" s="48"/>
      <c r="K491" s="49"/>
    </row>
    <row r="492" spans="1:11" ht="12.75" hidden="1" x14ac:dyDescent="0.2">
      <c r="A492" s="16"/>
      <c r="B492" s="16"/>
      <c r="C492" s="15"/>
      <c r="D492" s="16"/>
      <c r="E492" s="17"/>
      <c r="F492" s="17"/>
      <c r="H492" s="19"/>
      <c r="I492" s="47"/>
      <c r="J492" s="48"/>
      <c r="K492" s="49"/>
    </row>
    <row r="493" spans="1:11" ht="12.75" hidden="1" x14ac:dyDescent="0.2">
      <c r="A493" s="16"/>
      <c r="B493" s="16"/>
      <c r="C493" s="15"/>
      <c r="D493" s="16"/>
      <c r="E493" s="17"/>
      <c r="F493" s="17"/>
      <c r="H493" s="19"/>
      <c r="I493" s="47"/>
      <c r="J493" s="48"/>
      <c r="K493" s="49"/>
    </row>
    <row r="494" spans="1:11" ht="12.75" hidden="1" x14ac:dyDescent="0.2">
      <c r="A494" s="16"/>
      <c r="B494" s="16"/>
      <c r="C494" s="15"/>
      <c r="D494" s="16"/>
      <c r="E494" s="17"/>
      <c r="F494" s="17"/>
      <c r="H494" s="19"/>
      <c r="I494" s="47"/>
      <c r="J494" s="48"/>
      <c r="K494" s="49"/>
    </row>
    <row r="495" spans="1:11" ht="12.75" hidden="1" x14ac:dyDescent="0.2">
      <c r="A495" s="16"/>
      <c r="B495" s="16"/>
      <c r="C495" s="15"/>
      <c r="D495" s="16"/>
      <c r="E495" s="17"/>
      <c r="F495" s="17"/>
      <c r="H495" s="19"/>
      <c r="I495" s="47"/>
      <c r="J495" s="48"/>
      <c r="K495" s="49"/>
    </row>
    <row r="496" spans="1:11" ht="12.75" hidden="1" x14ac:dyDescent="0.2">
      <c r="A496" s="16"/>
      <c r="B496" s="16"/>
      <c r="C496" s="15"/>
      <c r="D496" s="16"/>
      <c r="E496" s="17"/>
      <c r="F496" s="17"/>
      <c r="H496" s="19"/>
      <c r="I496" s="47"/>
      <c r="J496" s="48"/>
      <c r="K496" s="49"/>
    </row>
    <row r="497" spans="1:11" ht="12.75" hidden="1" x14ac:dyDescent="0.2">
      <c r="A497" s="16"/>
      <c r="B497" s="16"/>
      <c r="C497" s="15"/>
      <c r="D497" s="16"/>
      <c r="E497" s="17"/>
      <c r="F497" s="17"/>
      <c r="H497" s="19"/>
      <c r="I497" s="47"/>
      <c r="J497" s="48"/>
      <c r="K497" s="49"/>
    </row>
    <row r="498" spans="1:11" ht="12.75" hidden="1" x14ac:dyDescent="0.2">
      <c r="A498" s="16"/>
      <c r="B498" s="16"/>
      <c r="C498" s="15"/>
      <c r="D498" s="16"/>
      <c r="E498" s="17"/>
      <c r="F498" s="17"/>
      <c r="H498" s="19"/>
      <c r="I498" s="47"/>
      <c r="J498" s="48"/>
      <c r="K498" s="49"/>
    </row>
    <row r="499" spans="1:11" ht="12.75" hidden="1" x14ac:dyDescent="0.2">
      <c r="A499" s="16"/>
      <c r="B499" s="16"/>
      <c r="C499" s="15"/>
      <c r="D499" s="16"/>
      <c r="E499" s="17"/>
      <c r="F499" s="17"/>
      <c r="H499" s="19"/>
      <c r="I499" s="47"/>
      <c r="J499" s="48"/>
      <c r="K499" s="49"/>
    </row>
    <row r="500" spans="1:11" ht="12.75" hidden="1" x14ac:dyDescent="0.2">
      <c r="A500" s="16"/>
      <c r="B500" s="16"/>
      <c r="C500" s="15"/>
      <c r="D500" s="16"/>
      <c r="E500" s="17"/>
      <c r="F500" s="17"/>
      <c r="H500" s="19"/>
      <c r="I500" s="47"/>
      <c r="J500" s="48"/>
      <c r="K500" s="49"/>
    </row>
    <row r="501" spans="1:11" ht="12.75" hidden="1" x14ac:dyDescent="0.2">
      <c r="A501" s="16"/>
      <c r="B501" s="16"/>
      <c r="C501" s="15"/>
      <c r="D501" s="16"/>
      <c r="E501" s="17"/>
      <c r="F501" s="17"/>
      <c r="H501" s="19"/>
      <c r="I501" s="47"/>
      <c r="J501" s="48"/>
      <c r="K501" s="49"/>
    </row>
    <row r="502" spans="1:11" ht="12.75" hidden="1" x14ac:dyDescent="0.2">
      <c r="A502" s="16"/>
      <c r="B502" s="16"/>
      <c r="C502" s="15"/>
      <c r="D502" s="16"/>
      <c r="E502" s="17"/>
      <c r="F502" s="17"/>
      <c r="H502" s="19"/>
      <c r="I502" s="47"/>
      <c r="J502" s="48"/>
      <c r="K502" s="49"/>
    </row>
    <row r="503" spans="1:11" ht="12.75" hidden="1" x14ac:dyDescent="0.2">
      <c r="A503" s="16"/>
      <c r="B503" s="16"/>
      <c r="C503" s="15"/>
      <c r="D503" s="16"/>
      <c r="E503" s="17"/>
      <c r="F503" s="17"/>
      <c r="H503" s="19"/>
      <c r="I503" s="47"/>
      <c r="J503" s="48"/>
      <c r="K503" s="49"/>
    </row>
    <row r="504" spans="1:11" ht="12.75" hidden="1" x14ac:dyDescent="0.2">
      <c r="A504" s="16"/>
      <c r="B504" s="16"/>
      <c r="C504" s="15"/>
      <c r="D504" s="16"/>
      <c r="E504" s="17"/>
      <c r="F504" s="17"/>
      <c r="H504" s="19"/>
      <c r="I504" s="47"/>
      <c r="J504" s="48"/>
      <c r="K504" s="49"/>
    </row>
    <row r="505" spans="1:11" ht="12.75" hidden="1" x14ac:dyDescent="0.2">
      <c r="A505" s="16"/>
      <c r="B505" s="16"/>
      <c r="C505" s="15"/>
      <c r="D505" s="16"/>
      <c r="E505" s="17"/>
      <c r="F505" s="17"/>
      <c r="H505" s="19"/>
      <c r="I505" s="47"/>
      <c r="J505" s="48"/>
      <c r="K505" s="49"/>
    </row>
    <row r="506" spans="1:11" ht="12.75" hidden="1" x14ac:dyDescent="0.2">
      <c r="A506" s="16"/>
      <c r="B506" s="16"/>
      <c r="C506" s="15"/>
      <c r="D506" s="16"/>
      <c r="E506" s="17"/>
      <c r="F506" s="17"/>
      <c r="H506" s="19"/>
      <c r="I506" s="47"/>
      <c r="J506" s="48"/>
      <c r="K506" s="49"/>
    </row>
    <row r="507" spans="1:11" ht="12.75" hidden="1" x14ac:dyDescent="0.2">
      <c r="A507" s="16"/>
      <c r="B507" s="16"/>
      <c r="C507" s="15"/>
      <c r="D507" s="16"/>
      <c r="E507" s="17"/>
      <c r="F507" s="17"/>
      <c r="H507" s="19"/>
      <c r="I507" s="47"/>
      <c r="J507" s="48"/>
      <c r="K507" s="49"/>
    </row>
    <row r="508" spans="1:11" ht="12.75" hidden="1" x14ac:dyDescent="0.2">
      <c r="A508" s="16"/>
      <c r="B508" s="16"/>
      <c r="C508" s="15"/>
      <c r="D508" s="16"/>
      <c r="E508" s="17"/>
      <c r="F508" s="17"/>
      <c r="H508" s="19"/>
      <c r="I508" s="47"/>
      <c r="J508" s="48"/>
      <c r="K508" s="49"/>
    </row>
    <row r="509" spans="1:11" ht="12.75" hidden="1" x14ac:dyDescent="0.2">
      <c r="A509" s="16"/>
      <c r="B509" s="16"/>
      <c r="C509" s="15"/>
      <c r="D509" s="16"/>
      <c r="E509" s="17"/>
      <c r="F509" s="17"/>
      <c r="H509" s="19"/>
      <c r="I509" s="47"/>
      <c r="J509" s="48"/>
      <c r="K509" s="49"/>
    </row>
    <row r="510" spans="1:11" ht="12.75" hidden="1" x14ac:dyDescent="0.2">
      <c r="A510" s="16"/>
      <c r="B510" s="16"/>
      <c r="C510" s="15"/>
      <c r="D510" s="16"/>
      <c r="E510" s="17"/>
      <c r="F510" s="17"/>
      <c r="H510" s="19"/>
      <c r="I510" s="47"/>
      <c r="J510" s="48"/>
      <c r="K510" s="49"/>
    </row>
    <row r="511" spans="1:11" ht="12.75" hidden="1" x14ac:dyDescent="0.2">
      <c r="A511" s="16"/>
      <c r="B511" s="16"/>
      <c r="C511" s="15"/>
      <c r="D511" s="16"/>
      <c r="E511" s="17"/>
      <c r="F511" s="17"/>
      <c r="H511" s="19"/>
      <c r="I511" s="47"/>
      <c r="J511" s="48"/>
      <c r="K511" s="49"/>
    </row>
    <row r="512" spans="1:11" ht="12.75" hidden="1" x14ac:dyDescent="0.2">
      <c r="A512" s="16"/>
      <c r="B512" s="16"/>
      <c r="C512" s="15"/>
      <c r="D512" s="16"/>
      <c r="E512" s="17"/>
      <c r="F512" s="17"/>
      <c r="H512" s="19"/>
      <c r="I512" s="47"/>
      <c r="J512" s="48"/>
      <c r="K512" s="49"/>
    </row>
    <row r="513" spans="1:11" ht="12.75" hidden="1" x14ac:dyDescent="0.2">
      <c r="A513" s="16"/>
      <c r="B513" s="16"/>
      <c r="C513" s="15"/>
      <c r="D513" s="16"/>
      <c r="E513" s="17"/>
      <c r="F513" s="17"/>
      <c r="H513" s="19"/>
      <c r="I513" s="47"/>
      <c r="J513" s="48"/>
      <c r="K513" s="49"/>
    </row>
    <row r="514" spans="1:11" ht="12.75" hidden="1" x14ac:dyDescent="0.2">
      <c r="A514" s="16"/>
      <c r="B514" s="16"/>
      <c r="C514" s="15"/>
      <c r="D514" s="16"/>
      <c r="E514" s="17"/>
      <c r="F514" s="17"/>
      <c r="H514" s="19"/>
      <c r="I514" s="47"/>
      <c r="J514" s="48"/>
      <c r="K514" s="49"/>
    </row>
    <row r="515" spans="1:11" ht="12.75" hidden="1" x14ac:dyDescent="0.2">
      <c r="A515" s="16"/>
      <c r="B515" s="16"/>
      <c r="C515" s="15"/>
      <c r="D515" s="16"/>
      <c r="E515" s="17"/>
      <c r="F515" s="17"/>
      <c r="H515" s="19"/>
      <c r="I515" s="47"/>
      <c r="J515" s="48"/>
      <c r="K515" s="49"/>
    </row>
    <row r="516" spans="1:11" ht="12.75" hidden="1" x14ac:dyDescent="0.2">
      <c r="A516" s="16"/>
      <c r="B516" s="16"/>
      <c r="C516" s="15"/>
      <c r="D516" s="16"/>
      <c r="E516" s="17"/>
      <c r="F516" s="17"/>
      <c r="H516" s="19"/>
      <c r="I516" s="47"/>
      <c r="J516" s="48"/>
      <c r="K516" s="49"/>
    </row>
    <row r="517" spans="1:11" ht="12.75" hidden="1" x14ac:dyDescent="0.2">
      <c r="A517" s="16"/>
      <c r="B517" s="16"/>
      <c r="C517" s="15"/>
      <c r="D517" s="16"/>
      <c r="E517" s="17"/>
      <c r="F517" s="17"/>
      <c r="H517" s="19"/>
      <c r="I517" s="47"/>
      <c r="J517" s="48"/>
      <c r="K517" s="49"/>
    </row>
    <row r="518" spans="1:11" ht="12.75" hidden="1" x14ac:dyDescent="0.2">
      <c r="A518" s="16"/>
      <c r="B518" s="16"/>
      <c r="C518" s="15"/>
      <c r="D518" s="16"/>
      <c r="E518" s="17"/>
      <c r="F518" s="17"/>
      <c r="H518" s="19"/>
      <c r="I518" s="47"/>
      <c r="J518" s="48"/>
      <c r="K518" s="49"/>
    </row>
    <row r="519" spans="1:11" ht="12.75" hidden="1" x14ac:dyDescent="0.2">
      <c r="A519" s="16"/>
      <c r="B519" s="16"/>
      <c r="C519" s="15"/>
      <c r="D519" s="16"/>
      <c r="E519" s="17"/>
      <c r="F519" s="17"/>
      <c r="H519" s="19"/>
      <c r="I519" s="47"/>
      <c r="J519" s="48"/>
      <c r="K519" s="49"/>
    </row>
    <row r="520" spans="1:11" ht="12.75" hidden="1" x14ac:dyDescent="0.2">
      <c r="A520" s="16"/>
      <c r="B520" s="16"/>
      <c r="C520" s="15"/>
      <c r="D520" s="16"/>
      <c r="E520" s="17"/>
      <c r="F520" s="17"/>
      <c r="H520" s="19"/>
      <c r="I520" s="47"/>
      <c r="J520" s="48"/>
      <c r="K520" s="49"/>
    </row>
    <row r="521" spans="1:11" ht="12.75" hidden="1" x14ac:dyDescent="0.2">
      <c r="A521" s="16"/>
      <c r="B521" s="16"/>
      <c r="C521" s="15"/>
      <c r="D521" s="16"/>
      <c r="E521" s="17"/>
      <c r="F521" s="17"/>
      <c r="H521" s="19"/>
      <c r="I521" s="47"/>
      <c r="J521" s="48"/>
      <c r="K521" s="49"/>
    </row>
    <row r="522" spans="1:11" ht="12.75" hidden="1" x14ac:dyDescent="0.2">
      <c r="A522" s="16"/>
      <c r="B522" s="16"/>
      <c r="C522" s="15"/>
      <c r="D522" s="16"/>
      <c r="E522" s="17"/>
      <c r="F522" s="17"/>
      <c r="H522" s="19"/>
      <c r="I522" s="47"/>
      <c r="J522" s="48"/>
      <c r="K522" s="49"/>
    </row>
    <row r="523" spans="1:11" ht="12.75" hidden="1" x14ac:dyDescent="0.2">
      <c r="A523" s="16"/>
      <c r="B523" s="16"/>
      <c r="C523" s="15"/>
      <c r="D523" s="16"/>
      <c r="E523" s="17"/>
      <c r="F523" s="17"/>
      <c r="H523" s="19"/>
      <c r="I523" s="47"/>
      <c r="J523" s="48"/>
      <c r="K523" s="49"/>
    </row>
    <row r="524" spans="1:11" ht="12.75" hidden="1" x14ac:dyDescent="0.2">
      <c r="A524" s="16"/>
      <c r="B524" s="16"/>
      <c r="C524" s="15"/>
      <c r="D524" s="16"/>
      <c r="E524" s="17"/>
      <c r="F524" s="17"/>
      <c r="H524" s="19"/>
      <c r="I524" s="47"/>
      <c r="J524" s="48"/>
      <c r="K524" s="49"/>
    </row>
    <row r="525" spans="1:11" ht="12.75" hidden="1" x14ac:dyDescent="0.2">
      <c r="A525" s="16"/>
      <c r="B525" s="16"/>
      <c r="C525" s="15"/>
      <c r="D525" s="16"/>
      <c r="E525" s="17"/>
      <c r="F525" s="17"/>
      <c r="H525" s="19"/>
      <c r="I525" s="47"/>
      <c r="J525" s="48"/>
      <c r="K525" s="49"/>
    </row>
    <row r="526" spans="1:11" ht="12.75" hidden="1" x14ac:dyDescent="0.2">
      <c r="A526" s="16"/>
      <c r="B526" s="16"/>
      <c r="C526" s="15"/>
      <c r="D526" s="16"/>
      <c r="E526" s="17"/>
      <c r="F526" s="17"/>
      <c r="H526" s="19"/>
      <c r="I526" s="47"/>
      <c r="J526" s="48"/>
      <c r="K526" s="49"/>
    </row>
    <row r="527" spans="1:11" ht="12.75" hidden="1" x14ac:dyDescent="0.2">
      <c r="A527" s="16"/>
      <c r="B527" s="16"/>
      <c r="C527" s="15"/>
      <c r="D527" s="16"/>
      <c r="E527" s="17"/>
      <c r="F527" s="17"/>
      <c r="H527" s="19"/>
      <c r="I527" s="47"/>
      <c r="J527" s="48"/>
      <c r="K527" s="49"/>
    </row>
    <row r="528" spans="1:11" ht="12.75" hidden="1" x14ac:dyDescent="0.2">
      <c r="A528" s="16"/>
      <c r="B528" s="16"/>
      <c r="C528" s="15"/>
      <c r="D528" s="16"/>
      <c r="E528" s="17"/>
      <c r="F528" s="17"/>
      <c r="H528" s="19"/>
      <c r="I528" s="47"/>
      <c r="J528" s="48"/>
      <c r="K528" s="49"/>
    </row>
    <row r="529" spans="1:11" ht="12.75" hidden="1" x14ac:dyDescent="0.2">
      <c r="A529" s="16"/>
      <c r="B529" s="16"/>
      <c r="C529" s="15"/>
      <c r="D529" s="16"/>
      <c r="E529" s="17"/>
      <c r="F529" s="17"/>
      <c r="H529" s="19"/>
      <c r="I529" s="47"/>
      <c r="J529" s="48"/>
      <c r="K529" s="49"/>
    </row>
    <row r="530" spans="1:11" ht="12.75" hidden="1" x14ac:dyDescent="0.2">
      <c r="A530" s="16"/>
      <c r="B530" s="16"/>
      <c r="C530" s="15"/>
      <c r="D530" s="16"/>
      <c r="E530" s="17"/>
      <c r="F530" s="17"/>
      <c r="H530" s="19"/>
      <c r="I530" s="47"/>
      <c r="J530" s="48"/>
      <c r="K530" s="49"/>
    </row>
    <row r="531" spans="1:11" ht="12.75" hidden="1" x14ac:dyDescent="0.2">
      <c r="A531" s="16"/>
      <c r="B531" s="16"/>
      <c r="C531" s="15"/>
      <c r="D531" s="16"/>
      <c r="E531" s="17"/>
      <c r="F531" s="17"/>
      <c r="H531" s="19"/>
      <c r="I531" s="47"/>
      <c r="J531" s="48"/>
      <c r="K531" s="49"/>
    </row>
    <row r="532" spans="1:11" ht="12.75" hidden="1" x14ac:dyDescent="0.2">
      <c r="A532" s="16"/>
      <c r="B532" s="16"/>
      <c r="C532" s="15"/>
      <c r="D532" s="16"/>
      <c r="E532" s="17"/>
      <c r="F532" s="17"/>
      <c r="H532" s="19"/>
      <c r="I532" s="47"/>
      <c r="J532" s="48"/>
      <c r="K532" s="49"/>
    </row>
    <row r="533" spans="1:11" ht="12.75" hidden="1" x14ac:dyDescent="0.2">
      <c r="A533" s="16"/>
      <c r="B533" s="16"/>
      <c r="C533" s="15"/>
      <c r="D533" s="16"/>
      <c r="E533" s="17"/>
      <c r="F533" s="17"/>
      <c r="H533" s="19"/>
      <c r="I533" s="47"/>
      <c r="J533" s="48"/>
      <c r="K533" s="49"/>
    </row>
    <row r="534" spans="1:11" ht="12.75" hidden="1" x14ac:dyDescent="0.2">
      <c r="A534" s="16"/>
      <c r="B534" s="16"/>
      <c r="C534" s="15"/>
      <c r="D534" s="16"/>
      <c r="E534" s="17"/>
      <c r="F534" s="17"/>
      <c r="H534" s="19"/>
      <c r="I534" s="47"/>
      <c r="J534" s="48"/>
      <c r="K534" s="49"/>
    </row>
    <row r="535" spans="1:11" ht="12.75" hidden="1" x14ac:dyDescent="0.2">
      <c r="A535" s="16"/>
      <c r="B535" s="16"/>
      <c r="C535" s="15"/>
      <c r="D535" s="16"/>
      <c r="E535" s="17"/>
      <c r="F535" s="17"/>
      <c r="H535" s="19"/>
      <c r="I535" s="47"/>
      <c r="J535" s="48"/>
      <c r="K535" s="49"/>
    </row>
    <row r="536" spans="1:11" ht="12.75" hidden="1" x14ac:dyDescent="0.2">
      <c r="A536" s="16"/>
      <c r="B536" s="16"/>
      <c r="C536" s="15"/>
      <c r="D536" s="16"/>
      <c r="E536" s="17"/>
      <c r="F536" s="17"/>
      <c r="H536" s="19"/>
      <c r="I536" s="47"/>
      <c r="J536" s="48"/>
      <c r="K536" s="49"/>
    </row>
    <row r="537" spans="1:11" ht="12.75" hidden="1" x14ac:dyDescent="0.2">
      <c r="A537" s="16"/>
      <c r="B537" s="16"/>
      <c r="C537" s="15"/>
      <c r="D537" s="16"/>
      <c r="E537" s="17"/>
      <c r="F537" s="17"/>
      <c r="H537" s="19"/>
      <c r="I537" s="47"/>
      <c r="J537" s="48"/>
      <c r="K537" s="49"/>
    </row>
    <row r="538" spans="1:11" ht="12.75" hidden="1" x14ac:dyDescent="0.2">
      <c r="A538" s="16"/>
      <c r="B538" s="16"/>
      <c r="C538" s="15"/>
      <c r="D538" s="16"/>
      <c r="E538" s="17"/>
      <c r="F538" s="17"/>
      <c r="H538" s="19"/>
      <c r="I538" s="47"/>
      <c r="J538" s="48"/>
      <c r="K538" s="49"/>
    </row>
    <row r="539" spans="1:11" ht="12.75" hidden="1" x14ac:dyDescent="0.2">
      <c r="A539" s="16"/>
      <c r="B539" s="16"/>
      <c r="C539" s="15"/>
      <c r="D539" s="16"/>
      <c r="E539" s="17"/>
      <c r="F539" s="17"/>
      <c r="H539" s="19"/>
      <c r="I539" s="47"/>
      <c r="J539" s="48"/>
      <c r="K539" s="49"/>
    </row>
    <row r="540" spans="1:11" ht="12.75" hidden="1" x14ac:dyDescent="0.2">
      <c r="A540" s="16"/>
      <c r="B540" s="16"/>
      <c r="C540" s="15"/>
      <c r="D540" s="16"/>
      <c r="E540" s="17"/>
      <c r="F540" s="17"/>
      <c r="H540" s="19"/>
      <c r="I540" s="47"/>
      <c r="J540" s="48"/>
      <c r="K540" s="49"/>
    </row>
    <row r="541" spans="1:11" ht="12.75" hidden="1" x14ac:dyDescent="0.2">
      <c r="A541" s="16"/>
      <c r="B541" s="16"/>
      <c r="C541" s="15"/>
      <c r="D541" s="16"/>
      <c r="E541" s="17"/>
      <c r="F541" s="17"/>
      <c r="H541" s="19"/>
      <c r="I541" s="47"/>
      <c r="J541" s="48"/>
      <c r="K541" s="49"/>
    </row>
    <row r="542" spans="1:11" ht="12.75" hidden="1" x14ac:dyDescent="0.2">
      <c r="A542" s="16"/>
      <c r="B542" s="16"/>
      <c r="C542" s="15"/>
      <c r="D542" s="16"/>
      <c r="E542" s="17"/>
      <c r="F542" s="17"/>
      <c r="H542" s="19"/>
      <c r="I542" s="47"/>
      <c r="J542" s="48"/>
      <c r="K542" s="49"/>
    </row>
    <row r="543" spans="1:11" ht="12.75" hidden="1" x14ac:dyDescent="0.2">
      <c r="A543" s="16"/>
      <c r="B543" s="16"/>
      <c r="C543" s="15"/>
      <c r="D543" s="16"/>
      <c r="E543" s="17"/>
      <c r="F543" s="17"/>
      <c r="H543" s="19"/>
      <c r="I543" s="47"/>
      <c r="J543" s="48"/>
      <c r="K543" s="49"/>
    </row>
    <row r="544" spans="1:11" ht="12.75" hidden="1" x14ac:dyDescent="0.2">
      <c r="A544" s="16"/>
      <c r="B544" s="16"/>
      <c r="C544" s="15"/>
      <c r="D544" s="16"/>
      <c r="E544" s="17"/>
      <c r="F544" s="17"/>
      <c r="H544" s="19"/>
      <c r="I544" s="47"/>
      <c r="J544" s="48"/>
      <c r="K544" s="49"/>
    </row>
    <row r="545" spans="1:11" ht="12.75" hidden="1" x14ac:dyDescent="0.2">
      <c r="A545" s="16"/>
      <c r="B545" s="16"/>
      <c r="C545" s="15"/>
      <c r="D545" s="16"/>
      <c r="E545" s="17"/>
      <c r="F545" s="17"/>
      <c r="H545" s="19"/>
      <c r="I545" s="47"/>
      <c r="J545" s="48"/>
      <c r="K545" s="49"/>
    </row>
    <row r="546" spans="1:11" ht="12.75" hidden="1" x14ac:dyDescent="0.2">
      <c r="A546" s="16"/>
      <c r="B546" s="16"/>
      <c r="C546" s="15"/>
      <c r="D546" s="16"/>
      <c r="E546" s="17"/>
      <c r="F546" s="17"/>
      <c r="H546" s="19"/>
      <c r="I546" s="47"/>
      <c r="J546" s="48"/>
      <c r="K546" s="49"/>
    </row>
    <row r="547" spans="1:11" ht="12.75" hidden="1" x14ac:dyDescent="0.2">
      <c r="A547" s="16"/>
      <c r="B547" s="16"/>
      <c r="C547" s="15"/>
      <c r="D547" s="16"/>
      <c r="E547" s="17"/>
      <c r="F547" s="17"/>
      <c r="H547" s="19"/>
      <c r="I547" s="47"/>
      <c r="J547" s="48"/>
      <c r="K547" s="49"/>
    </row>
    <row r="548" spans="1:11" ht="12.75" hidden="1" x14ac:dyDescent="0.2">
      <c r="A548" s="16"/>
      <c r="B548" s="16"/>
      <c r="C548" s="15"/>
      <c r="D548" s="16"/>
      <c r="E548" s="17"/>
      <c r="F548" s="17"/>
      <c r="H548" s="19"/>
      <c r="I548" s="47"/>
      <c r="J548" s="48"/>
      <c r="K548" s="49"/>
    </row>
    <row r="549" spans="1:11" ht="12.75" hidden="1" x14ac:dyDescent="0.2">
      <c r="A549" s="16"/>
      <c r="B549" s="16"/>
      <c r="C549" s="15"/>
      <c r="D549" s="16"/>
      <c r="E549" s="17"/>
      <c r="F549" s="17"/>
      <c r="H549" s="19"/>
      <c r="I549" s="47"/>
      <c r="J549" s="48"/>
      <c r="K549" s="49"/>
    </row>
    <row r="550" spans="1:11" ht="12.75" hidden="1" x14ac:dyDescent="0.2">
      <c r="A550" s="16"/>
      <c r="B550" s="16"/>
      <c r="C550" s="15"/>
      <c r="D550" s="16"/>
      <c r="E550" s="17"/>
      <c r="F550" s="17"/>
      <c r="H550" s="19"/>
      <c r="I550" s="47"/>
      <c r="J550" s="48"/>
      <c r="K550" s="49"/>
    </row>
    <row r="551" spans="1:11" ht="12.75" hidden="1" x14ac:dyDescent="0.2">
      <c r="A551" s="16"/>
      <c r="B551" s="16"/>
      <c r="C551" s="15"/>
      <c r="D551" s="16"/>
      <c r="E551" s="17"/>
      <c r="F551" s="17"/>
      <c r="H551" s="19"/>
      <c r="I551" s="47"/>
      <c r="J551" s="48"/>
      <c r="K551" s="49"/>
    </row>
    <row r="552" spans="1:11" ht="12.75" hidden="1" x14ac:dyDescent="0.2">
      <c r="A552" s="16"/>
      <c r="B552" s="16"/>
      <c r="C552" s="15"/>
      <c r="D552" s="16"/>
      <c r="E552" s="17"/>
      <c r="F552" s="17"/>
      <c r="H552" s="19"/>
      <c r="I552" s="47"/>
      <c r="J552" s="48"/>
      <c r="K552" s="49"/>
    </row>
    <row r="553" spans="1:11" ht="12.75" hidden="1" x14ac:dyDescent="0.2">
      <c r="A553" s="16"/>
      <c r="B553" s="16"/>
      <c r="C553" s="15"/>
      <c r="D553" s="16"/>
      <c r="E553" s="17"/>
      <c r="F553" s="17"/>
      <c r="H553" s="19"/>
      <c r="I553" s="47"/>
      <c r="J553" s="48"/>
      <c r="K553" s="49"/>
    </row>
    <row r="554" spans="1:11" ht="12.75" hidden="1" x14ac:dyDescent="0.2">
      <c r="A554" s="16"/>
      <c r="B554" s="16"/>
      <c r="C554" s="15"/>
      <c r="D554" s="16"/>
      <c r="E554" s="17"/>
      <c r="F554" s="17"/>
      <c r="H554" s="19"/>
      <c r="I554" s="47"/>
      <c r="J554" s="48"/>
      <c r="K554" s="49"/>
    </row>
    <row r="555" spans="1:11" ht="12.75" hidden="1" x14ac:dyDescent="0.2">
      <c r="A555" s="16"/>
      <c r="B555" s="16"/>
      <c r="C555" s="15"/>
      <c r="D555" s="16"/>
      <c r="E555" s="17"/>
      <c r="F555" s="17"/>
      <c r="H555" s="19"/>
      <c r="I555" s="47"/>
      <c r="J555" s="48"/>
      <c r="K555" s="49"/>
    </row>
    <row r="556" spans="1:11" ht="12.75" hidden="1" x14ac:dyDescent="0.2">
      <c r="A556" s="16"/>
      <c r="B556" s="16"/>
      <c r="C556" s="15"/>
      <c r="D556" s="16"/>
      <c r="E556" s="17"/>
      <c r="F556" s="17"/>
      <c r="H556" s="19"/>
      <c r="I556" s="47"/>
      <c r="J556" s="48"/>
      <c r="K556" s="49"/>
    </row>
    <row r="557" spans="1:11" ht="12.75" hidden="1" x14ac:dyDescent="0.2">
      <c r="A557" s="16"/>
      <c r="B557" s="16"/>
      <c r="C557" s="15"/>
      <c r="D557" s="16"/>
      <c r="E557" s="17"/>
      <c r="F557" s="17"/>
      <c r="H557" s="19"/>
      <c r="I557" s="47"/>
      <c r="J557" s="48"/>
      <c r="K557" s="49"/>
    </row>
    <row r="558" spans="1:11" ht="12.75" hidden="1" x14ac:dyDescent="0.2">
      <c r="A558" s="16"/>
      <c r="B558" s="16"/>
      <c r="C558" s="15"/>
      <c r="D558" s="16"/>
      <c r="E558" s="17"/>
      <c r="F558" s="17"/>
      <c r="H558" s="19"/>
      <c r="I558" s="47"/>
      <c r="J558" s="48"/>
      <c r="K558" s="49"/>
    </row>
    <row r="559" spans="1:11" ht="12.75" hidden="1" x14ac:dyDescent="0.2">
      <c r="A559" s="16"/>
      <c r="B559" s="16"/>
      <c r="C559" s="15"/>
      <c r="D559" s="16"/>
      <c r="E559" s="17"/>
      <c r="F559" s="17"/>
      <c r="H559" s="19"/>
      <c r="I559" s="47"/>
      <c r="J559" s="48"/>
      <c r="K559" s="49"/>
    </row>
    <row r="560" spans="1:11" ht="12.75" hidden="1" x14ac:dyDescent="0.2">
      <c r="A560" s="16"/>
      <c r="B560" s="16"/>
      <c r="C560" s="15"/>
      <c r="D560" s="16"/>
      <c r="E560" s="17"/>
      <c r="F560" s="17"/>
      <c r="H560" s="19"/>
      <c r="I560" s="47"/>
      <c r="J560" s="48"/>
      <c r="K560" s="49"/>
    </row>
    <row r="561" spans="1:11" ht="12.75" hidden="1" x14ac:dyDescent="0.2">
      <c r="A561" s="16"/>
      <c r="B561" s="16"/>
      <c r="C561" s="15"/>
      <c r="D561" s="16"/>
      <c r="E561" s="17"/>
      <c r="F561" s="17"/>
      <c r="H561" s="19"/>
      <c r="I561" s="47"/>
      <c r="J561" s="48"/>
      <c r="K561" s="49"/>
    </row>
    <row r="562" spans="1:11" ht="12.75" hidden="1" x14ac:dyDescent="0.2">
      <c r="A562" s="16"/>
      <c r="B562" s="16"/>
      <c r="C562" s="15"/>
      <c r="D562" s="16"/>
      <c r="E562" s="17"/>
      <c r="F562" s="17"/>
      <c r="H562" s="19"/>
      <c r="I562" s="47"/>
      <c r="J562" s="48"/>
      <c r="K562" s="49"/>
    </row>
    <row r="563" spans="1:11" ht="12.75" hidden="1" x14ac:dyDescent="0.2">
      <c r="A563" s="16"/>
      <c r="B563" s="16"/>
      <c r="C563" s="15"/>
      <c r="D563" s="16"/>
      <c r="E563" s="17"/>
      <c r="F563" s="17"/>
      <c r="H563" s="19"/>
      <c r="I563" s="47"/>
      <c r="J563" s="48"/>
      <c r="K563" s="49"/>
    </row>
    <row r="564" spans="1:11" ht="12.75" hidden="1" x14ac:dyDescent="0.2">
      <c r="A564" s="16"/>
      <c r="B564" s="16"/>
      <c r="C564" s="15"/>
      <c r="D564" s="16"/>
      <c r="E564" s="17"/>
      <c r="F564" s="17"/>
      <c r="H564" s="19"/>
      <c r="I564" s="47"/>
      <c r="J564" s="48"/>
      <c r="K564" s="49"/>
    </row>
    <row r="565" spans="1:11" ht="12.75" hidden="1" x14ac:dyDescent="0.2">
      <c r="A565" s="16"/>
      <c r="B565" s="16"/>
      <c r="C565" s="15"/>
      <c r="D565" s="16"/>
      <c r="E565" s="17"/>
      <c r="F565" s="17"/>
      <c r="H565" s="19"/>
      <c r="I565" s="47"/>
      <c r="J565" s="48"/>
      <c r="K565" s="49"/>
    </row>
    <row r="566" spans="1:11" ht="12.75" hidden="1" x14ac:dyDescent="0.2">
      <c r="A566" s="16"/>
      <c r="B566" s="16"/>
      <c r="C566" s="15"/>
      <c r="D566" s="16"/>
      <c r="E566" s="17"/>
      <c r="F566" s="17"/>
      <c r="H566" s="19"/>
      <c r="I566" s="47"/>
      <c r="J566" s="48"/>
      <c r="K566" s="49"/>
    </row>
    <row r="567" spans="1:11" ht="12.75" hidden="1" x14ac:dyDescent="0.2">
      <c r="A567" s="16"/>
      <c r="B567" s="16"/>
      <c r="C567" s="15"/>
      <c r="D567" s="16"/>
      <c r="E567" s="17"/>
      <c r="F567" s="17"/>
      <c r="H567" s="19"/>
      <c r="I567" s="47"/>
      <c r="J567" s="48"/>
      <c r="K567" s="49"/>
    </row>
    <row r="568" spans="1:11" ht="12.75" hidden="1" x14ac:dyDescent="0.2">
      <c r="A568" s="16"/>
      <c r="B568" s="16"/>
      <c r="C568" s="15"/>
      <c r="D568" s="16"/>
      <c r="E568" s="17"/>
      <c r="F568" s="17"/>
      <c r="H568" s="19"/>
      <c r="I568" s="47"/>
      <c r="J568" s="48"/>
      <c r="K568" s="49"/>
    </row>
    <row r="569" spans="1:11" ht="12.75" hidden="1" x14ac:dyDescent="0.2">
      <c r="A569" s="16"/>
      <c r="B569" s="16"/>
      <c r="C569" s="15"/>
      <c r="D569" s="16"/>
      <c r="E569" s="17"/>
      <c r="F569" s="17"/>
      <c r="H569" s="19"/>
      <c r="I569" s="47"/>
      <c r="J569" s="48"/>
      <c r="K569" s="49"/>
    </row>
    <row r="570" spans="1:11" ht="12.75" hidden="1" x14ac:dyDescent="0.2">
      <c r="A570" s="16"/>
      <c r="B570" s="16"/>
      <c r="C570" s="15"/>
      <c r="D570" s="16"/>
      <c r="E570" s="17"/>
      <c r="F570" s="17"/>
      <c r="H570" s="19"/>
      <c r="I570" s="47"/>
      <c r="J570" s="48"/>
      <c r="K570" s="49"/>
    </row>
    <row r="571" spans="1:11" ht="12.75" hidden="1" x14ac:dyDescent="0.2">
      <c r="A571" s="16"/>
      <c r="B571" s="16"/>
      <c r="C571" s="15"/>
      <c r="D571" s="16"/>
      <c r="E571" s="17"/>
      <c r="F571" s="17"/>
      <c r="H571" s="19"/>
      <c r="I571" s="47"/>
      <c r="J571" s="48"/>
      <c r="K571" s="49"/>
    </row>
    <row r="572" spans="1:11" ht="12.75" hidden="1" x14ac:dyDescent="0.2">
      <c r="A572" s="16"/>
      <c r="B572" s="16"/>
      <c r="C572" s="15"/>
      <c r="D572" s="16"/>
      <c r="E572" s="17"/>
      <c r="F572" s="17"/>
      <c r="H572" s="19"/>
      <c r="I572" s="47"/>
      <c r="J572" s="48"/>
      <c r="K572" s="49"/>
    </row>
    <row r="573" spans="1:11" ht="12.75" hidden="1" x14ac:dyDescent="0.2">
      <c r="A573" s="16"/>
      <c r="B573" s="16"/>
      <c r="C573" s="15"/>
      <c r="D573" s="16"/>
      <c r="E573" s="17"/>
      <c r="F573" s="17"/>
      <c r="H573" s="19"/>
      <c r="I573" s="47"/>
      <c r="J573" s="48"/>
      <c r="K573" s="49"/>
    </row>
    <row r="574" spans="1:11" ht="12.75" hidden="1" x14ac:dyDescent="0.2">
      <c r="A574" s="16"/>
      <c r="B574" s="16"/>
      <c r="C574" s="15"/>
      <c r="D574" s="16"/>
      <c r="E574" s="17"/>
      <c r="F574" s="17"/>
      <c r="H574" s="19"/>
      <c r="I574" s="47"/>
      <c r="J574" s="48"/>
      <c r="K574" s="49"/>
    </row>
    <row r="575" spans="1:11" ht="12.75" hidden="1" x14ac:dyDescent="0.2">
      <c r="A575" s="16"/>
      <c r="B575" s="16"/>
      <c r="C575" s="15"/>
      <c r="D575" s="16"/>
      <c r="E575" s="17"/>
      <c r="F575" s="17"/>
      <c r="H575" s="19"/>
      <c r="I575" s="47"/>
      <c r="J575" s="48"/>
      <c r="K575" s="49"/>
    </row>
    <row r="576" spans="1:11" ht="12.75" hidden="1" x14ac:dyDescent="0.2">
      <c r="A576" s="16"/>
      <c r="B576" s="16"/>
      <c r="C576" s="15"/>
      <c r="D576" s="16"/>
      <c r="E576" s="17"/>
      <c r="F576" s="17"/>
      <c r="H576" s="19"/>
      <c r="I576" s="47"/>
      <c r="J576" s="48"/>
      <c r="K576" s="49"/>
    </row>
    <row r="577" spans="1:11" ht="12.75" hidden="1" x14ac:dyDescent="0.2">
      <c r="A577" s="16"/>
      <c r="B577" s="16"/>
      <c r="C577" s="15"/>
      <c r="D577" s="16"/>
      <c r="E577" s="17"/>
      <c r="F577" s="17"/>
      <c r="H577" s="19"/>
      <c r="I577" s="47"/>
      <c r="J577" s="48"/>
      <c r="K577" s="49"/>
    </row>
    <row r="578" spans="1:11" ht="12.75" hidden="1" x14ac:dyDescent="0.2">
      <c r="A578" s="16"/>
      <c r="B578" s="16"/>
      <c r="C578" s="15"/>
      <c r="D578" s="16"/>
      <c r="E578" s="17"/>
      <c r="F578" s="17"/>
      <c r="H578" s="19"/>
      <c r="I578" s="47"/>
      <c r="J578" s="48"/>
      <c r="K578" s="49"/>
    </row>
    <row r="579" spans="1:11" ht="12.75" hidden="1" x14ac:dyDescent="0.2">
      <c r="A579" s="16"/>
      <c r="B579" s="16"/>
      <c r="C579" s="15"/>
      <c r="D579" s="16"/>
      <c r="E579" s="17"/>
      <c r="F579" s="17"/>
      <c r="H579" s="19"/>
      <c r="I579" s="47"/>
      <c r="J579" s="48"/>
      <c r="K579" s="49"/>
    </row>
    <row r="580" spans="1:11" ht="12.75" hidden="1" x14ac:dyDescent="0.2">
      <c r="A580" s="16"/>
      <c r="B580" s="16"/>
      <c r="C580" s="15"/>
      <c r="D580" s="16"/>
      <c r="E580" s="17"/>
      <c r="F580" s="17"/>
      <c r="H580" s="19"/>
      <c r="I580" s="47"/>
      <c r="J580" s="48"/>
      <c r="K580" s="49"/>
    </row>
    <row r="581" spans="1:11" ht="12.75" hidden="1" x14ac:dyDescent="0.2">
      <c r="A581" s="16"/>
      <c r="B581" s="16"/>
      <c r="C581" s="15"/>
      <c r="D581" s="16"/>
      <c r="E581" s="17"/>
      <c r="F581" s="17"/>
      <c r="H581" s="19"/>
      <c r="I581" s="47"/>
      <c r="J581" s="48"/>
      <c r="K581" s="49"/>
    </row>
    <row r="582" spans="1:11" ht="12.75" hidden="1" x14ac:dyDescent="0.2">
      <c r="A582" s="16"/>
      <c r="B582" s="16"/>
      <c r="C582" s="15"/>
      <c r="D582" s="16"/>
      <c r="E582" s="17"/>
      <c r="F582" s="17"/>
      <c r="H582" s="19"/>
      <c r="I582" s="47"/>
      <c r="J582" s="48"/>
      <c r="K582" s="49"/>
    </row>
    <row r="583" spans="1:11" ht="12.75" hidden="1" x14ac:dyDescent="0.2">
      <c r="A583" s="16"/>
      <c r="B583" s="16"/>
      <c r="C583" s="15"/>
      <c r="D583" s="16"/>
      <c r="E583" s="17"/>
      <c r="F583" s="17"/>
      <c r="H583" s="19"/>
      <c r="I583" s="47"/>
      <c r="J583" s="48"/>
      <c r="K583" s="49"/>
    </row>
    <row r="584" spans="1:11" ht="12.75" hidden="1" x14ac:dyDescent="0.2">
      <c r="A584" s="16"/>
      <c r="B584" s="16"/>
      <c r="C584" s="15"/>
      <c r="D584" s="16"/>
      <c r="E584" s="17"/>
      <c r="F584" s="17"/>
      <c r="H584" s="19"/>
      <c r="I584" s="47"/>
      <c r="J584" s="48"/>
      <c r="K584" s="49"/>
    </row>
    <row r="585" spans="1:11" ht="12.75" hidden="1" x14ac:dyDescent="0.2">
      <c r="A585" s="16"/>
      <c r="B585" s="16"/>
      <c r="C585" s="15"/>
      <c r="D585" s="16"/>
      <c r="E585" s="17"/>
      <c r="F585" s="17"/>
      <c r="H585" s="19"/>
      <c r="I585" s="47"/>
      <c r="J585" s="48"/>
      <c r="K585" s="49"/>
    </row>
    <row r="586" spans="1:11" ht="12.75" hidden="1" x14ac:dyDescent="0.2">
      <c r="A586" s="16"/>
      <c r="B586" s="16"/>
      <c r="C586" s="15"/>
      <c r="D586" s="16"/>
      <c r="E586" s="17"/>
      <c r="F586" s="17"/>
      <c r="H586" s="19"/>
      <c r="I586" s="47"/>
      <c r="J586" s="48"/>
      <c r="K586" s="49"/>
    </row>
    <row r="587" spans="1:11" ht="12.75" hidden="1" x14ac:dyDescent="0.2">
      <c r="A587" s="16"/>
      <c r="B587" s="16"/>
      <c r="C587" s="15"/>
      <c r="D587" s="16"/>
      <c r="E587" s="17"/>
      <c r="F587" s="17"/>
      <c r="H587" s="19"/>
      <c r="I587" s="47"/>
      <c r="J587" s="48"/>
      <c r="K587" s="49"/>
    </row>
    <row r="588" spans="1:11" ht="12.75" hidden="1" x14ac:dyDescent="0.2">
      <c r="A588" s="16"/>
      <c r="B588" s="16"/>
      <c r="C588" s="15"/>
      <c r="D588" s="16"/>
      <c r="E588" s="17"/>
      <c r="F588" s="17"/>
      <c r="H588" s="19"/>
      <c r="I588" s="47"/>
      <c r="J588" s="48"/>
      <c r="K588" s="49"/>
    </row>
    <row r="589" spans="1:11" ht="12.75" hidden="1" x14ac:dyDescent="0.2">
      <c r="A589" s="16"/>
      <c r="B589" s="16"/>
      <c r="C589" s="15"/>
      <c r="D589" s="16"/>
      <c r="E589" s="17"/>
      <c r="F589" s="17"/>
      <c r="H589" s="19"/>
      <c r="I589" s="47"/>
      <c r="J589" s="48"/>
      <c r="K589" s="49"/>
    </row>
    <row r="590" spans="1:11" ht="12.75" hidden="1" x14ac:dyDescent="0.2">
      <c r="A590" s="16"/>
      <c r="B590" s="16"/>
      <c r="C590" s="15"/>
      <c r="D590" s="16"/>
      <c r="E590" s="17"/>
      <c r="F590" s="17"/>
      <c r="H590" s="19"/>
      <c r="I590" s="47"/>
      <c r="J590" s="48"/>
      <c r="K590" s="49"/>
    </row>
    <row r="591" spans="1:11" ht="12.75" hidden="1" x14ac:dyDescent="0.2">
      <c r="A591" s="16"/>
      <c r="B591" s="16"/>
      <c r="C591" s="15"/>
      <c r="D591" s="16"/>
      <c r="E591" s="17"/>
      <c r="F591" s="17"/>
      <c r="H591" s="19"/>
      <c r="I591" s="47"/>
      <c r="J591" s="48"/>
      <c r="K591" s="49"/>
    </row>
    <row r="592" spans="1:11" ht="12.75" hidden="1" x14ac:dyDescent="0.2">
      <c r="A592" s="16"/>
      <c r="B592" s="16"/>
      <c r="C592" s="15"/>
      <c r="D592" s="16"/>
      <c r="E592" s="17"/>
      <c r="F592" s="17"/>
      <c r="H592" s="19"/>
      <c r="I592" s="47"/>
      <c r="J592" s="48"/>
      <c r="K592" s="49"/>
    </row>
    <row r="593" spans="1:11" ht="12.75" hidden="1" x14ac:dyDescent="0.2">
      <c r="A593" s="16"/>
      <c r="B593" s="16"/>
      <c r="C593" s="15"/>
      <c r="D593" s="16"/>
      <c r="E593" s="17"/>
      <c r="F593" s="17"/>
      <c r="H593" s="19"/>
      <c r="I593" s="47"/>
      <c r="J593" s="48"/>
      <c r="K593" s="49"/>
    </row>
    <row r="594" spans="1:11" ht="12.75" hidden="1" x14ac:dyDescent="0.2">
      <c r="A594" s="16"/>
      <c r="B594" s="16"/>
      <c r="C594" s="15"/>
      <c r="D594" s="16"/>
      <c r="E594" s="17"/>
      <c r="F594" s="17"/>
      <c r="H594" s="19"/>
      <c r="I594" s="47"/>
      <c r="J594" s="48"/>
      <c r="K594" s="49"/>
    </row>
    <row r="595" spans="1:11" ht="12.75" hidden="1" x14ac:dyDescent="0.2">
      <c r="A595" s="16"/>
      <c r="B595" s="16"/>
      <c r="C595" s="15"/>
      <c r="D595" s="16"/>
      <c r="E595" s="17"/>
      <c r="F595" s="17"/>
      <c r="H595" s="19"/>
      <c r="I595" s="47"/>
      <c r="J595" s="48"/>
      <c r="K595" s="49"/>
    </row>
    <row r="596" spans="1:11" ht="12.75" hidden="1" x14ac:dyDescent="0.2">
      <c r="A596" s="16"/>
      <c r="B596" s="16"/>
      <c r="C596" s="15"/>
      <c r="D596" s="16"/>
      <c r="E596" s="17"/>
      <c r="F596" s="17"/>
      <c r="H596" s="19"/>
      <c r="I596" s="47"/>
      <c r="J596" s="48"/>
      <c r="K596" s="49"/>
    </row>
    <row r="597" spans="1:11" ht="12.75" hidden="1" x14ac:dyDescent="0.2">
      <c r="A597" s="16"/>
      <c r="B597" s="16"/>
      <c r="C597" s="15"/>
      <c r="D597" s="16"/>
      <c r="E597" s="17"/>
      <c r="F597" s="17"/>
      <c r="H597" s="19"/>
      <c r="I597" s="47"/>
      <c r="J597" s="48"/>
      <c r="K597" s="49"/>
    </row>
    <row r="598" spans="1:11" ht="12.75" hidden="1" x14ac:dyDescent="0.2">
      <c r="A598" s="16"/>
      <c r="B598" s="16"/>
      <c r="C598" s="15"/>
      <c r="D598" s="16"/>
      <c r="E598" s="17"/>
      <c r="F598" s="17"/>
      <c r="H598" s="19"/>
      <c r="I598" s="47"/>
      <c r="J598" s="48"/>
      <c r="K598" s="49"/>
    </row>
    <row r="599" spans="1:11" ht="12.75" hidden="1" x14ac:dyDescent="0.2">
      <c r="A599" s="16"/>
      <c r="B599" s="16"/>
      <c r="C599" s="15"/>
      <c r="D599" s="16"/>
      <c r="E599" s="17"/>
      <c r="F599" s="17"/>
      <c r="H599" s="19"/>
      <c r="I599" s="47"/>
      <c r="J599" s="48"/>
      <c r="K599" s="49"/>
    </row>
    <row r="600" spans="1:11" ht="12.75" hidden="1" x14ac:dyDescent="0.2">
      <c r="A600" s="16"/>
      <c r="B600" s="16"/>
      <c r="C600" s="15"/>
      <c r="D600" s="16"/>
      <c r="E600" s="17"/>
      <c r="F600" s="17"/>
      <c r="H600" s="19"/>
      <c r="I600" s="47"/>
      <c r="J600" s="48"/>
      <c r="K600" s="49"/>
    </row>
    <row r="601" spans="1:11" ht="12.75" hidden="1" x14ac:dyDescent="0.2">
      <c r="A601" s="16"/>
      <c r="B601" s="16"/>
      <c r="C601" s="15"/>
      <c r="D601" s="16"/>
      <c r="E601" s="17"/>
      <c r="F601" s="17"/>
      <c r="H601" s="19"/>
      <c r="I601" s="47"/>
      <c r="J601" s="48"/>
      <c r="K601" s="49"/>
    </row>
    <row r="602" spans="1:11" ht="12.75" hidden="1" x14ac:dyDescent="0.2">
      <c r="A602" s="16"/>
      <c r="B602" s="16"/>
      <c r="C602" s="15"/>
      <c r="D602" s="16"/>
      <c r="E602" s="17"/>
      <c r="F602" s="17"/>
      <c r="H602" s="19"/>
      <c r="I602" s="47"/>
      <c r="J602" s="48"/>
      <c r="K602" s="49"/>
    </row>
    <row r="603" spans="1:11" ht="12.75" hidden="1" x14ac:dyDescent="0.2">
      <c r="A603" s="16"/>
      <c r="B603" s="16"/>
      <c r="C603" s="15"/>
      <c r="D603" s="16"/>
      <c r="E603" s="17"/>
      <c r="F603" s="17"/>
      <c r="H603" s="19"/>
      <c r="I603" s="47"/>
      <c r="J603" s="48"/>
      <c r="K603" s="49"/>
    </row>
    <row r="604" spans="1:11" ht="12.75" hidden="1" x14ac:dyDescent="0.2">
      <c r="A604" s="16"/>
      <c r="B604" s="16"/>
      <c r="C604" s="15"/>
      <c r="D604" s="16"/>
      <c r="E604" s="17"/>
      <c r="F604" s="17"/>
      <c r="H604" s="19"/>
      <c r="I604" s="47"/>
      <c r="J604" s="48"/>
      <c r="K604" s="49"/>
    </row>
    <row r="605" spans="1:11" ht="12.75" hidden="1" x14ac:dyDescent="0.2">
      <c r="A605" s="16"/>
      <c r="B605" s="16"/>
      <c r="C605" s="15"/>
      <c r="D605" s="16"/>
      <c r="E605" s="17"/>
      <c r="F605" s="17"/>
      <c r="H605" s="19"/>
      <c r="I605" s="47"/>
      <c r="J605" s="48"/>
      <c r="K605" s="49"/>
    </row>
    <row r="606" spans="1:11" ht="12.75" hidden="1" x14ac:dyDescent="0.2">
      <c r="A606" s="16"/>
      <c r="B606" s="16"/>
      <c r="C606" s="15"/>
      <c r="D606" s="16"/>
      <c r="E606" s="17"/>
      <c r="F606" s="17"/>
      <c r="H606" s="19"/>
      <c r="I606" s="47"/>
      <c r="J606" s="48"/>
      <c r="K606" s="49"/>
    </row>
    <row r="607" spans="1:11" ht="12.75" hidden="1" x14ac:dyDescent="0.2">
      <c r="A607" s="16"/>
      <c r="B607" s="16"/>
      <c r="C607" s="15"/>
      <c r="D607" s="16"/>
      <c r="E607" s="17"/>
      <c r="F607" s="17"/>
      <c r="H607" s="19"/>
      <c r="I607" s="47"/>
      <c r="J607" s="48"/>
      <c r="K607" s="49"/>
    </row>
    <row r="608" spans="1:11" ht="12.75" hidden="1" x14ac:dyDescent="0.2">
      <c r="A608" s="16"/>
      <c r="B608" s="16"/>
      <c r="C608" s="15"/>
      <c r="D608" s="16"/>
      <c r="E608" s="17"/>
      <c r="F608" s="17"/>
      <c r="H608" s="19"/>
      <c r="I608" s="47"/>
      <c r="J608" s="48"/>
      <c r="K608" s="49"/>
    </row>
    <row r="609" spans="1:11" ht="12.75" hidden="1" x14ac:dyDescent="0.2">
      <c r="A609" s="16"/>
      <c r="B609" s="16"/>
      <c r="C609" s="15"/>
      <c r="D609" s="16"/>
      <c r="E609" s="17"/>
      <c r="F609" s="17"/>
      <c r="H609" s="19"/>
      <c r="I609" s="47"/>
      <c r="J609" s="48"/>
      <c r="K609" s="49"/>
    </row>
    <row r="610" spans="1:11" ht="12.75" hidden="1" x14ac:dyDescent="0.2">
      <c r="A610" s="16"/>
      <c r="B610" s="16"/>
      <c r="C610" s="15"/>
      <c r="D610" s="16"/>
      <c r="E610" s="17"/>
      <c r="F610" s="17"/>
      <c r="H610" s="19"/>
      <c r="I610" s="47"/>
      <c r="J610" s="48"/>
      <c r="K610" s="49"/>
    </row>
    <row r="611" spans="1:11" ht="12.75" hidden="1" x14ac:dyDescent="0.2">
      <c r="A611" s="16"/>
      <c r="B611" s="16"/>
      <c r="C611" s="15"/>
      <c r="D611" s="16"/>
      <c r="E611" s="17"/>
      <c r="F611" s="17"/>
      <c r="H611" s="19"/>
      <c r="I611" s="47"/>
      <c r="J611" s="48"/>
      <c r="K611" s="49"/>
    </row>
    <row r="612" spans="1:11" ht="12.75" hidden="1" x14ac:dyDescent="0.2">
      <c r="A612" s="16"/>
      <c r="B612" s="16"/>
      <c r="C612" s="15"/>
      <c r="D612" s="16"/>
      <c r="E612" s="17"/>
      <c r="F612" s="17"/>
      <c r="H612" s="19"/>
      <c r="I612" s="47"/>
      <c r="J612" s="48"/>
      <c r="K612" s="49"/>
    </row>
    <row r="613" spans="1:11" ht="12.75" hidden="1" x14ac:dyDescent="0.2">
      <c r="A613" s="16"/>
      <c r="B613" s="16"/>
      <c r="C613" s="15"/>
      <c r="D613" s="16"/>
      <c r="E613" s="17"/>
      <c r="F613" s="17"/>
      <c r="H613" s="19"/>
      <c r="I613" s="47"/>
      <c r="J613" s="48"/>
      <c r="K613" s="49"/>
    </row>
    <row r="614" spans="1:11" ht="12.75" hidden="1" x14ac:dyDescent="0.2">
      <c r="A614" s="16"/>
      <c r="B614" s="16"/>
      <c r="C614" s="15"/>
      <c r="D614" s="16"/>
      <c r="E614" s="17"/>
      <c r="F614" s="17"/>
      <c r="H614" s="19"/>
      <c r="I614" s="47"/>
      <c r="J614" s="48"/>
      <c r="K614" s="49"/>
    </row>
    <row r="615" spans="1:11" ht="12.75" hidden="1" x14ac:dyDescent="0.2">
      <c r="A615" s="16"/>
      <c r="B615" s="16"/>
      <c r="C615" s="15"/>
      <c r="D615" s="16"/>
      <c r="E615" s="17"/>
      <c r="F615" s="17"/>
      <c r="H615" s="19"/>
      <c r="I615" s="47"/>
      <c r="J615" s="48"/>
      <c r="K615" s="49"/>
    </row>
    <row r="616" spans="1:11" ht="12.75" hidden="1" x14ac:dyDescent="0.2">
      <c r="A616" s="16"/>
      <c r="B616" s="16"/>
      <c r="C616" s="15"/>
      <c r="D616" s="16"/>
      <c r="E616" s="17"/>
      <c r="F616" s="17"/>
      <c r="H616" s="19"/>
      <c r="I616" s="47"/>
      <c r="J616" s="48"/>
      <c r="K616" s="49"/>
    </row>
    <row r="617" spans="1:11" ht="12.75" hidden="1" x14ac:dyDescent="0.2">
      <c r="A617" s="16"/>
      <c r="B617" s="16"/>
      <c r="C617" s="15"/>
      <c r="D617" s="16"/>
      <c r="E617" s="17"/>
      <c r="F617" s="17"/>
      <c r="H617" s="19"/>
      <c r="I617" s="47"/>
      <c r="J617" s="48"/>
      <c r="K617" s="49"/>
    </row>
    <row r="618" spans="1:11" ht="12.75" hidden="1" x14ac:dyDescent="0.2">
      <c r="A618" s="16"/>
      <c r="B618" s="16"/>
      <c r="C618" s="15"/>
      <c r="D618" s="16"/>
      <c r="E618" s="17"/>
      <c r="F618" s="17"/>
      <c r="H618" s="19"/>
      <c r="I618" s="47"/>
      <c r="J618" s="48"/>
      <c r="K618" s="49"/>
    </row>
    <row r="619" spans="1:11" ht="12.75" hidden="1" x14ac:dyDescent="0.2">
      <c r="A619" s="16"/>
      <c r="B619" s="16"/>
      <c r="C619" s="15"/>
      <c r="D619" s="16"/>
      <c r="E619" s="17"/>
      <c r="F619" s="17"/>
      <c r="H619" s="19"/>
      <c r="I619" s="47"/>
      <c r="J619" s="48"/>
      <c r="K619" s="49"/>
    </row>
    <row r="620" spans="1:11" ht="12.75" hidden="1" x14ac:dyDescent="0.2">
      <c r="A620" s="16"/>
      <c r="B620" s="16"/>
      <c r="C620" s="15"/>
      <c r="D620" s="16"/>
      <c r="E620" s="17"/>
      <c r="F620" s="17"/>
      <c r="H620" s="19"/>
      <c r="I620" s="47"/>
      <c r="J620" s="48"/>
      <c r="K620" s="49"/>
    </row>
    <row r="621" spans="1:11" ht="12.75" hidden="1" x14ac:dyDescent="0.2">
      <c r="A621" s="16"/>
      <c r="B621" s="16"/>
      <c r="C621" s="15"/>
      <c r="D621" s="16"/>
      <c r="E621" s="17"/>
      <c r="F621" s="17"/>
      <c r="H621" s="19"/>
      <c r="I621" s="47"/>
      <c r="J621" s="48"/>
      <c r="K621" s="49"/>
    </row>
    <row r="622" spans="1:11" ht="12.75" hidden="1" x14ac:dyDescent="0.2">
      <c r="A622" s="16"/>
      <c r="B622" s="16"/>
      <c r="C622" s="15"/>
      <c r="D622" s="16"/>
      <c r="E622" s="17"/>
      <c r="F622" s="17"/>
      <c r="H622" s="19"/>
      <c r="I622" s="47"/>
      <c r="J622" s="48"/>
      <c r="K622" s="49"/>
    </row>
    <row r="623" spans="1:11" ht="12.75" hidden="1" x14ac:dyDescent="0.2">
      <c r="A623" s="16"/>
      <c r="B623" s="16"/>
      <c r="C623" s="15"/>
      <c r="D623" s="16"/>
      <c r="E623" s="17"/>
      <c r="F623" s="17"/>
      <c r="H623" s="19"/>
      <c r="I623" s="47"/>
      <c r="J623" s="48"/>
      <c r="K623" s="49"/>
    </row>
    <row r="624" spans="1:11" ht="12.75" hidden="1" x14ac:dyDescent="0.2">
      <c r="A624" s="16"/>
      <c r="B624" s="16"/>
      <c r="C624" s="15"/>
      <c r="D624" s="16"/>
      <c r="E624" s="17"/>
      <c r="F624" s="17"/>
      <c r="H624" s="19"/>
      <c r="I624" s="47"/>
      <c r="J624" s="48"/>
      <c r="K624" s="49"/>
    </row>
    <row r="625" spans="1:11" ht="12.75" hidden="1" x14ac:dyDescent="0.2">
      <c r="A625" s="16"/>
      <c r="B625" s="16"/>
      <c r="C625" s="15"/>
      <c r="D625" s="16"/>
      <c r="E625" s="17"/>
      <c r="F625" s="17"/>
      <c r="H625" s="19"/>
      <c r="I625" s="47"/>
      <c r="J625" s="48"/>
      <c r="K625" s="49"/>
    </row>
    <row r="626" spans="1:11" ht="12.75" hidden="1" x14ac:dyDescent="0.2">
      <c r="A626" s="16"/>
      <c r="B626" s="16"/>
      <c r="C626" s="15"/>
      <c r="D626" s="16"/>
      <c r="E626" s="17"/>
      <c r="F626" s="17"/>
      <c r="H626" s="19"/>
      <c r="I626" s="47"/>
      <c r="J626" s="48"/>
      <c r="K626" s="49"/>
    </row>
    <row r="627" spans="1:11" ht="12.75" hidden="1" x14ac:dyDescent="0.2">
      <c r="A627" s="16"/>
      <c r="B627" s="16"/>
      <c r="C627" s="15"/>
      <c r="D627" s="16"/>
      <c r="E627" s="17"/>
      <c r="F627" s="17"/>
      <c r="H627" s="19"/>
      <c r="I627" s="47"/>
      <c r="J627" s="48"/>
      <c r="K627" s="49"/>
    </row>
    <row r="628" spans="1:11" ht="12.75" hidden="1" x14ac:dyDescent="0.2">
      <c r="A628" s="16"/>
      <c r="B628" s="16"/>
      <c r="C628" s="15"/>
      <c r="D628" s="16"/>
      <c r="E628" s="17"/>
      <c r="F628" s="17"/>
      <c r="H628" s="19"/>
      <c r="I628" s="47"/>
      <c r="J628" s="48"/>
      <c r="K628" s="49"/>
    </row>
    <row r="629" spans="1:11" ht="12.75" hidden="1" x14ac:dyDescent="0.2">
      <c r="A629" s="16"/>
      <c r="B629" s="16"/>
      <c r="C629" s="15"/>
      <c r="D629" s="16"/>
      <c r="E629" s="17"/>
      <c r="F629" s="17"/>
      <c r="H629" s="19"/>
      <c r="I629" s="47"/>
      <c r="J629" s="48"/>
      <c r="K629" s="49"/>
    </row>
    <row r="630" spans="1:11" ht="12.75" hidden="1" x14ac:dyDescent="0.2">
      <c r="A630" s="16"/>
      <c r="B630" s="16"/>
      <c r="C630" s="15"/>
      <c r="D630" s="16"/>
      <c r="E630" s="17"/>
      <c r="F630" s="17"/>
      <c r="H630" s="19"/>
      <c r="I630" s="47"/>
      <c r="J630" s="48"/>
      <c r="K630" s="49"/>
    </row>
    <row r="631" spans="1:11" ht="12.75" hidden="1" x14ac:dyDescent="0.2">
      <c r="A631" s="16"/>
      <c r="B631" s="16"/>
      <c r="C631" s="15"/>
      <c r="D631" s="16"/>
      <c r="E631" s="17"/>
      <c r="F631" s="17"/>
      <c r="H631" s="19"/>
      <c r="I631" s="47"/>
      <c r="J631" s="48"/>
      <c r="K631" s="49"/>
    </row>
    <row r="632" spans="1:11" ht="12.75" hidden="1" x14ac:dyDescent="0.2">
      <c r="A632" s="16"/>
      <c r="B632" s="16"/>
      <c r="C632" s="15"/>
      <c r="D632" s="16"/>
      <c r="E632" s="17"/>
      <c r="F632" s="17"/>
      <c r="H632" s="19"/>
      <c r="I632" s="47"/>
      <c r="J632" s="48"/>
      <c r="K632" s="49"/>
    </row>
    <row r="633" spans="1:11" ht="12.75" hidden="1" x14ac:dyDescent="0.2">
      <c r="A633" s="16"/>
      <c r="B633" s="16"/>
      <c r="C633" s="15"/>
      <c r="D633" s="16"/>
      <c r="E633" s="17"/>
      <c r="F633" s="17"/>
      <c r="H633" s="19"/>
      <c r="I633" s="47"/>
      <c r="J633" s="48"/>
      <c r="K633" s="49"/>
    </row>
    <row r="634" spans="1:11" ht="12.75" hidden="1" x14ac:dyDescent="0.2">
      <c r="A634" s="16"/>
      <c r="B634" s="16"/>
      <c r="C634" s="15"/>
      <c r="D634" s="16"/>
      <c r="E634" s="17"/>
      <c r="F634" s="17"/>
      <c r="H634" s="19"/>
      <c r="I634" s="47"/>
      <c r="J634" s="48"/>
      <c r="K634" s="49"/>
    </row>
    <row r="635" spans="1:11" ht="12.75" hidden="1" x14ac:dyDescent="0.2">
      <c r="A635" s="16"/>
      <c r="B635" s="16"/>
      <c r="C635" s="15"/>
      <c r="D635" s="16"/>
      <c r="E635" s="17"/>
      <c r="F635" s="17"/>
      <c r="H635" s="19"/>
      <c r="I635" s="47"/>
      <c r="J635" s="48"/>
      <c r="K635" s="49"/>
    </row>
    <row r="636" spans="1:11" ht="12.75" hidden="1" x14ac:dyDescent="0.2">
      <c r="A636" s="16"/>
      <c r="B636" s="16"/>
      <c r="C636" s="15"/>
      <c r="D636" s="16"/>
      <c r="E636" s="17"/>
      <c r="F636" s="17"/>
      <c r="H636" s="19"/>
      <c r="I636" s="47"/>
      <c r="J636" s="48"/>
      <c r="K636" s="49"/>
    </row>
    <row r="637" spans="1:11" ht="12.75" hidden="1" x14ac:dyDescent="0.2">
      <c r="A637" s="16"/>
      <c r="B637" s="16"/>
      <c r="C637" s="15"/>
      <c r="D637" s="16"/>
      <c r="E637" s="17"/>
      <c r="F637" s="17"/>
      <c r="H637" s="19"/>
      <c r="I637" s="47"/>
      <c r="J637" s="48"/>
      <c r="K637" s="49"/>
    </row>
    <row r="638" spans="1:11" ht="12.75" hidden="1" x14ac:dyDescent="0.2">
      <c r="A638" s="16"/>
      <c r="B638" s="16"/>
      <c r="C638" s="15"/>
      <c r="D638" s="16"/>
      <c r="E638" s="17"/>
      <c r="F638" s="17"/>
      <c r="H638" s="19"/>
      <c r="I638" s="47"/>
      <c r="J638" s="48"/>
      <c r="K638" s="49"/>
    </row>
    <row r="639" spans="1:11" ht="12.75" hidden="1" x14ac:dyDescent="0.2">
      <c r="A639" s="16"/>
      <c r="B639" s="16"/>
      <c r="C639" s="15"/>
      <c r="D639" s="16"/>
      <c r="E639" s="17"/>
      <c r="F639" s="17"/>
      <c r="H639" s="19"/>
      <c r="I639" s="47"/>
      <c r="J639" s="48"/>
      <c r="K639" s="49"/>
    </row>
    <row r="640" spans="1:11" ht="12.75" hidden="1" x14ac:dyDescent="0.2">
      <c r="A640" s="16"/>
      <c r="B640" s="16"/>
      <c r="C640" s="15"/>
      <c r="D640" s="16"/>
      <c r="E640" s="17"/>
      <c r="F640" s="17"/>
      <c r="H640" s="19"/>
      <c r="I640" s="47"/>
      <c r="J640" s="48"/>
      <c r="K640" s="49"/>
    </row>
    <row r="641" spans="1:11" ht="12.75" hidden="1" x14ac:dyDescent="0.2">
      <c r="A641" s="16"/>
      <c r="B641" s="16"/>
      <c r="C641" s="15"/>
      <c r="D641" s="16"/>
      <c r="E641" s="17"/>
      <c r="F641" s="17"/>
      <c r="H641" s="19"/>
      <c r="I641" s="47"/>
      <c r="J641" s="48"/>
      <c r="K641" s="49"/>
    </row>
    <row r="642" spans="1:11" ht="12.75" hidden="1" x14ac:dyDescent="0.2">
      <c r="A642" s="16"/>
      <c r="B642" s="16"/>
      <c r="C642" s="15"/>
      <c r="D642" s="16"/>
      <c r="E642" s="17"/>
      <c r="F642" s="17"/>
      <c r="H642" s="19"/>
      <c r="I642" s="47"/>
      <c r="J642" s="48"/>
      <c r="K642" s="49"/>
    </row>
    <row r="643" spans="1:11" ht="12.75" hidden="1" x14ac:dyDescent="0.2">
      <c r="A643" s="16"/>
      <c r="B643" s="16"/>
      <c r="C643" s="15"/>
      <c r="D643" s="16"/>
      <c r="E643" s="17"/>
      <c r="F643" s="17"/>
      <c r="H643" s="19"/>
      <c r="I643" s="47"/>
      <c r="J643" s="48"/>
      <c r="K643" s="49"/>
    </row>
    <row r="644" spans="1:11" ht="12.75" hidden="1" x14ac:dyDescent="0.2">
      <c r="A644" s="16"/>
      <c r="B644" s="16"/>
      <c r="C644" s="15"/>
      <c r="D644" s="16"/>
      <c r="E644" s="17"/>
      <c r="F644" s="17"/>
      <c r="H644" s="19"/>
      <c r="I644" s="47"/>
      <c r="J644" s="48"/>
      <c r="K644" s="49"/>
    </row>
    <row r="645" spans="1:11" ht="12.75" hidden="1" x14ac:dyDescent="0.2">
      <c r="A645" s="16"/>
      <c r="B645" s="16"/>
      <c r="C645" s="15"/>
      <c r="D645" s="16"/>
      <c r="E645" s="17"/>
      <c r="F645" s="17"/>
      <c r="H645" s="19"/>
      <c r="I645" s="47"/>
      <c r="J645" s="48"/>
      <c r="K645" s="49"/>
    </row>
    <row r="646" spans="1:11" ht="12.75" hidden="1" x14ac:dyDescent="0.2">
      <c r="A646" s="16"/>
      <c r="B646" s="16"/>
      <c r="C646" s="15"/>
      <c r="D646" s="16"/>
      <c r="E646" s="17"/>
      <c r="F646" s="17"/>
      <c r="H646" s="19"/>
      <c r="I646" s="47"/>
      <c r="J646" s="48"/>
      <c r="K646" s="49"/>
    </row>
    <row r="647" spans="1:11" ht="12.75" hidden="1" x14ac:dyDescent="0.2">
      <c r="A647" s="16"/>
      <c r="B647" s="16"/>
      <c r="C647" s="15"/>
      <c r="D647" s="16"/>
      <c r="E647" s="17"/>
      <c r="F647" s="17"/>
      <c r="H647" s="19"/>
      <c r="I647" s="47"/>
      <c r="J647" s="48"/>
      <c r="K647" s="49"/>
    </row>
    <row r="648" spans="1:11" ht="12.75" hidden="1" x14ac:dyDescent="0.2">
      <c r="A648" s="16"/>
      <c r="B648" s="16"/>
      <c r="C648" s="15"/>
      <c r="D648" s="16"/>
      <c r="E648" s="17"/>
      <c r="F648" s="17"/>
      <c r="H648" s="19"/>
      <c r="I648" s="47"/>
      <c r="J648" s="48"/>
      <c r="K648" s="49"/>
    </row>
    <row r="649" spans="1:11" ht="12.75" hidden="1" x14ac:dyDescent="0.2">
      <c r="A649" s="16"/>
      <c r="B649" s="16"/>
      <c r="C649" s="15"/>
      <c r="D649" s="16"/>
      <c r="E649" s="17"/>
      <c r="F649" s="17"/>
      <c r="H649" s="19"/>
      <c r="I649" s="47"/>
      <c r="J649" s="48"/>
      <c r="K649" s="49"/>
    </row>
    <row r="650" spans="1:11" ht="12.75" hidden="1" x14ac:dyDescent="0.2">
      <c r="A650" s="16"/>
      <c r="B650" s="16"/>
      <c r="C650" s="15"/>
      <c r="D650" s="16"/>
      <c r="E650" s="17"/>
      <c r="F650" s="17"/>
      <c r="H650" s="19"/>
      <c r="I650" s="47"/>
      <c r="J650" s="48"/>
      <c r="K650" s="49"/>
    </row>
    <row r="651" spans="1:11" ht="12.75" hidden="1" x14ac:dyDescent="0.2">
      <c r="A651" s="16"/>
      <c r="B651" s="16"/>
      <c r="C651" s="15"/>
      <c r="D651" s="16"/>
      <c r="E651" s="17"/>
      <c r="F651" s="17"/>
      <c r="H651" s="19"/>
      <c r="I651" s="47"/>
      <c r="J651" s="48"/>
      <c r="K651" s="49"/>
    </row>
    <row r="652" spans="1:11" ht="12.75" hidden="1" x14ac:dyDescent="0.2">
      <c r="A652" s="16"/>
      <c r="B652" s="16"/>
      <c r="C652" s="15"/>
      <c r="D652" s="16"/>
      <c r="E652" s="17"/>
      <c r="F652" s="17"/>
      <c r="H652" s="19"/>
      <c r="I652" s="47"/>
      <c r="J652" s="48"/>
      <c r="K652" s="49"/>
    </row>
    <row r="653" spans="1:11" ht="12.75" hidden="1" x14ac:dyDescent="0.2">
      <c r="A653" s="16"/>
      <c r="B653" s="16"/>
      <c r="C653" s="15"/>
      <c r="D653" s="16"/>
      <c r="E653" s="17"/>
      <c r="F653" s="17"/>
      <c r="H653" s="19"/>
      <c r="I653" s="47"/>
      <c r="J653" s="48"/>
      <c r="K653" s="49"/>
    </row>
    <row r="654" spans="1:11" ht="12.75" hidden="1" x14ac:dyDescent="0.2">
      <c r="A654" s="16"/>
      <c r="B654" s="16"/>
      <c r="C654" s="15"/>
      <c r="D654" s="16"/>
      <c r="E654" s="17"/>
      <c r="F654" s="17"/>
      <c r="H654" s="19"/>
      <c r="I654" s="47"/>
      <c r="J654" s="48"/>
      <c r="K654" s="49"/>
    </row>
    <row r="655" spans="1:11" ht="12.75" hidden="1" x14ac:dyDescent="0.2">
      <c r="A655" s="16"/>
      <c r="B655" s="16"/>
      <c r="C655" s="15"/>
      <c r="D655" s="16"/>
      <c r="E655" s="17"/>
      <c r="F655" s="17"/>
      <c r="H655" s="19"/>
      <c r="I655" s="47"/>
      <c r="J655" s="48"/>
      <c r="K655" s="49"/>
    </row>
    <row r="656" spans="1:11" ht="12.75" hidden="1" x14ac:dyDescent="0.2">
      <c r="A656" s="16"/>
      <c r="B656" s="16"/>
      <c r="C656" s="15"/>
      <c r="D656" s="16"/>
      <c r="E656" s="17"/>
      <c r="F656" s="17"/>
      <c r="H656" s="19"/>
      <c r="I656" s="47"/>
      <c r="J656" s="48"/>
      <c r="K656" s="49"/>
    </row>
    <row r="657" spans="1:11" ht="12.75" hidden="1" x14ac:dyDescent="0.2">
      <c r="A657" s="16"/>
      <c r="B657" s="16"/>
      <c r="C657" s="15"/>
      <c r="D657" s="16"/>
      <c r="E657" s="17"/>
      <c r="F657" s="17"/>
      <c r="H657" s="19"/>
      <c r="I657" s="47"/>
      <c r="J657" s="48"/>
      <c r="K657" s="49"/>
    </row>
    <row r="658" spans="1:11" ht="12.75" hidden="1" x14ac:dyDescent="0.2">
      <c r="A658" s="16"/>
      <c r="B658" s="16"/>
      <c r="C658" s="15"/>
      <c r="D658" s="16"/>
      <c r="E658" s="17"/>
      <c r="F658" s="17"/>
      <c r="H658" s="19"/>
      <c r="I658" s="47"/>
      <c r="J658" s="48"/>
      <c r="K658" s="49"/>
    </row>
    <row r="659" spans="1:11" ht="12.75" hidden="1" x14ac:dyDescent="0.2">
      <c r="A659" s="16"/>
      <c r="B659" s="16"/>
      <c r="C659" s="15"/>
      <c r="D659" s="16"/>
      <c r="E659" s="17"/>
      <c r="F659" s="17"/>
      <c r="H659" s="19"/>
      <c r="I659" s="47"/>
      <c r="J659" s="48"/>
      <c r="K659" s="49"/>
    </row>
    <row r="660" spans="1:11" ht="12.75" hidden="1" x14ac:dyDescent="0.2">
      <c r="A660" s="16"/>
      <c r="B660" s="16"/>
      <c r="C660" s="15"/>
      <c r="D660" s="16"/>
      <c r="E660" s="17"/>
      <c r="F660" s="17"/>
      <c r="H660" s="19"/>
      <c r="I660" s="47"/>
      <c r="J660" s="48"/>
      <c r="K660" s="49"/>
    </row>
    <row r="661" spans="1:11" ht="12.75" hidden="1" x14ac:dyDescent="0.2">
      <c r="A661" s="16"/>
      <c r="B661" s="16"/>
      <c r="C661" s="15"/>
      <c r="D661" s="16"/>
      <c r="E661" s="17"/>
      <c r="F661" s="17"/>
      <c r="H661" s="19"/>
      <c r="I661" s="47"/>
      <c r="J661" s="48"/>
      <c r="K661" s="49"/>
    </row>
    <row r="662" spans="1:11" ht="12.75" hidden="1" x14ac:dyDescent="0.2">
      <c r="A662" s="16"/>
      <c r="B662" s="16"/>
      <c r="C662" s="15"/>
      <c r="D662" s="16"/>
      <c r="E662" s="17"/>
      <c r="F662" s="17"/>
      <c r="H662" s="19"/>
      <c r="I662" s="47"/>
      <c r="J662" s="48"/>
      <c r="K662" s="49"/>
    </row>
    <row r="663" spans="1:11" ht="12.75" hidden="1" x14ac:dyDescent="0.2">
      <c r="A663" s="16"/>
      <c r="B663" s="16"/>
      <c r="C663" s="15"/>
      <c r="D663" s="16"/>
      <c r="E663" s="17"/>
      <c r="F663" s="17"/>
      <c r="H663" s="19"/>
      <c r="I663" s="47"/>
      <c r="J663" s="48"/>
      <c r="K663" s="49"/>
    </row>
    <row r="664" spans="1:11" ht="12.75" hidden="1" x14ac:dyDescent="0.2">
      <c r="A664" s="16"/>
      <c r="B664" s="16"/>
      <c r="C664" s="15"/>
      <c r="D664" s="16"/>
      <c r="E664" s="17"/>
      <c r="F664" s="17"/>
      <c r="H664" s="19"/>
      <c r="I664" s="47"/>
      <c r="J664" s="48"/>
      <c r="K664" s="49"/>
    </row>
    <row r="665" spans="1:11" ht="12.75" hidden="1" x14ac:dyDescent="0.2">
      <c r="A665" s="16"/>
      <c r="B665" s="16"/>
      <c r="C665" s="15"/>
      <c r="D665" s="16"/>
      <c r="E665" s="17"/>
      <c r="F665" s="17"/>
      <c r="H665" s="19"/>
      <c r="I665" s="47"/>
      <c r="J665" s="48"/>
      <c r="K665" s="49"/>
    </row>
    <row r="666" spans="1:11" ht="12.75" hidden="1" x14ac:dyDescent="0.2">
      <c r="A666" s="16"/>
      <c r="B666" s="16"/>
      <c r="C666" s="15"/>
      <c r="D666" s="16"/>
      <c r="E666" s="17"/>
      <c r="F666" s="17"/>
      <c r="H666" s="19"/>
      <c r="I666" s="47"/>
      <c r="J666" s="48"/>
      <c r="K666" s="49"/>
    </row>
    <row r="667" spans="1:11" ht="12.75" hidden="1" x14ac:dyDescent="0.2">
      <c r="A667" s="16"/>
      <c r="B667" s="16"/>
      <c r="C667" s="15"/>
      <c r="D667" s="16"/>
      <c r="E667" s="17"/>
      <c r="F667" s="17"/>
      <c r="H667" s="19"/>
      <c r="I667" s="47"/>
      <c r="J667" s="48"/>
      <c r="K667" s="49"/>
    </row>
    <row r="668" spans="1:11" ht="12.75" hidden="1" x14ac:dyDescent="0.2">
      <c r="A668" s="16"/>
      <c r="B668" s="16"/>
      <c r="C668" s="15"/>
      <c r="D668" s="16"/>
      <c r="E668" s="17"/>
      <c r="F668" s="17"/>
      <c r="H668" s="19"/>
      <c r="I668" s="47"/>
      <c r="J668" s="48"/>
      <c r="K668" s="49"/>
    </row>
    <row r="669" spans="1:11" ht="12.75" hidden="1" x14ac:dyDescent="0.2">
      <c r="A669" s="16"/>
      <c r="B669" s="16"/>
      <c r="C669" s="15"/>
      <c r="D669" s="16"/>
      <c r="E669" s="17"/>
      <c r="F669" s="17"/>
      <c r="H669" s="19"/>
      <c r="I669" s="47"/>
      <c r="J669" s="48"/>
      <c r="K669" s="49"/>
    </row>
    <row r="670" spans="1:11" ht="12.75" hidden="1" x14ac:dyDescent="0.2">
      <c r="A670" s="16"/>
      <c r="B670" s="16"/>
      <c r="C670" s="15"/>
      <c r="D670" s="16"/>
      <c r="E670" s="17"/>
      <c r="F670" s="17"/>
      <c r="H670" s="19"/>
      <c r="I670" s="47"/>
      <c r="J670" s="48"/>
      <c r="K670" s="49"/>
    </row>
    <row r="671" spans="1:11" ht="12.75" hidden="1" x14ac:dyDescent="0.2">
      <c r="A671" s="16"/>
      <c r="B671" s="16"/>
      <c r="C671" s="15"/>
      <c r="D671" s="16"/>
      <c r="E671" s="17"/>
      <c r="F671" s="17"/>
      <c r="H671" s="19"/>
      <c r="I671" s="47"/>
      <c r="J671" s="48"/>
      <c r="K671" s="49"/>
    </row>
    <row r="672" spans="1:11" ht="12.75" hidden="1" x14ac:dyDescent="0.2">
      <c r="A672" s="16"/>
      <c r="B672" s="16"/>
      <c r="C672" s="15"/>
      <c r="D672" s="16"/>
      <c r="E672" s="17"/>
      <c r="F672" s="17"/>
      <c r="H672" s="19"/>
      <c r="I672" s="47"/>
      <c r="J672" s="48"/>
      <c r="K672" s="49"/>
    </row>
    <row r="673" spans="1:11" ht="12.75" hidden="1" x14ac:dyDescent="0.2">
      <c r="A673" s="16"/>
      <c r="B673" s="16"/>
      <c r="C673" s="15"/>
      <c r="D673" s="16"/>
      <c r="E673" s="17"/>
      <c r="F673" s="17"/>
      <c r="H673" s="19"/>
      <c r="I673" s="47"/>
      <c r="J673" s="48"/>
      <c r="K673" s="49"/>
    </row>
    <row r="674" spans="1:11" ht="12.75" hidden="1" x14ac:dyDescent="0.2">
      <c r="A674" s="16"/>
      <c r="B674" s="16"/>
      <c r="C674" s="15"/>
      <c r="D674" s="16"/>
      <c r="E674" s="17"/>
      <c r="F674" s="17"/>
      <c r="H674" s="19"/>
      <c r="I674" s="47"/>
      <c r="J674" s="48"/>
      <c r="K674" s="49"/>
    </row>
    <row r="675" spans="1:11" ht="12.75" hidden="1" x14ac:dyDescent="0.2">
      <c r="A675" s="16"/>
      <c r="B675" s="16"/>
      <c r="C675" s="15"/>
      <c r="D675" s="16"/>
      <c r="E675" s="17"/>
      <c r="F675" s="17"/>
      <c r="H675" s="19"/>
      <c r="I675" s="47"/>
      <c r="J675" s="48"/>
      <c r="K675" s="49"/>
    </row>
    <row r="676" spans="1:11" ht="12.75" hidden="1" x14ac:dyDescent="0.2">
      <c r="A676" s="16"/>
      <c r="B676" s="16"/>
      <c r="C676" s="15"/>
      <c r="D676" s="16"/>
      <c r="E676" s="17"/>
      <c r="F676" s="17"/>
      <c r="H676" s="19"/>
      <c r="I676" s="47"/>
      <c r="J676" s="48"/>
      <c r="K676" s="49"/>
    </row>
    <row r="677" spans="1:11" ht="12.75" hidden="1" x14ac:dyDescent="0.2">
      <c r="A677" s="16"/>
      <c r="B677" s="16"/>
      <c r="C677" s="15"/>
      <c r="D677" s="16"/>
      <c r="E677" s="17"/>
      <c r="F677" s="17"/>
      <c r="H677" s="19"/>
      <c r="I677" s="47"/>
      <c r="J677" s="48"/>
      <c r="K677" s="49"/>
    </row>
    <row r="678" spans="1:11" ht="12.75" hidden="1" x14ac:dyDescent="0.2">
      <c r="A678" s="16"/>
      <c r="B678" s="16"/>
      <c r="C678" s="15"/>
      <c r="D678" s="16"/>
      <c r="E678" s="17"/>
      <c r="F678" s="17"/>
      <c r="H678" s="19"/>
      <c r="I678" s="47"/>
      <c r="J678" s="48"/>
      <c r="K678" s="49"/>
    </row>
    <row r="679" spans="1:11" ht="12.75" hidden="1" x14ac:dyDescent="0.2">
      <c r="A679" s="16"/>
      <c r="B679" s="16"/>
      <c r="C679" s="15"/>
      <c r="D679" s="16"/>
      <c r="E679" s="17"/>
      <c r="F679" s="17"/>
      <c r="H679" s="19"/>
      <c r="I679" s="47"/>
      <c r="J679" s="48"/>
      <c r="K679" s="49"/>
    </row>
    <row r="680" spans="1:11" ht="12.75" hidden="1" x14ac:dyDescent="0.2">
      <c r="A680" s="16"/>
      <c r="B680" s="16"/>
      <c r="C680" s="15"/>
      <c r="D680" s="16"/>
      <c r="E680" s="17"/>
      <c r="F680" s="17"/>
      <c r="H680" s="19"/>
      <c r="I680" s="47"/>
      <c r="J680" s="48"/>
      <c r="K680" s="49"/>
    </row>
    <row r="681" spans="1:11" ht="12.75" hidden="1" x14ac:dyDescent="0.2">
      <c r="A681" s="16"/>
      <c r="B681" s="16"/>
      <c r="C681" s="15"/>
      <c r="D681" s="16"/>
      <c r="E681" s="17"/>
      <c r="F681" s="17"/>
      <c r="H681" s="19"/>
      <c r="I681" s="47"/>
      <c r="J681" s="48"/>
      <c r="K681" s="49"/>
    </row>
    <row r="682" spans="1:11" ht="12.75" hidden="1" x14ac:dyDescent="0.2">
      <c r="A682" s="16"/>
      <c r="B682" s="16"/>
      <c r="C682" s="15"/>
      <c r="D682" s="16"/>
      <c r="E682" s="17"/>
      <c r="F682" s="17"/>
      <c r="H682" s="19"/>
      <c r="I682" s="47"/>
      <c r="J682" s="48"/>
      <c r="K682" s="49"/>
    </row>
    <row r="683" spans="1:11" ht="12.75" hidden="1" x14ac:dyDescent="0.2">
      <c r="A683" s="16"/>
      <c r="B683" s="16"/>
      <c r="C683" s="15"/>
      <c r="D683" s="16"/>
      <c r="E683" s="17"/>
      <c r="F683" s="17"/>
      <c r="H683" s="19"/>
      <c r="I683" s="47"/>
      <c r="J683" s="48"/>
      <c r="K683" s="49"/>
    </row>
    <row r="684" spans="1:11" ht="12.75" hidden="1" x14ac:dyDescent="0.2">
      <c r="A684" s="16"/>
      <c r="B684" s="16"/>
      <c r="C684" s="15"/>
      <c r="D684" s="16"/>
      <c r="E684" s="17"/>
      <c r="F684" s="17"/>
      <c r="H684" s="19"/>
      <c r="I684" s="47"/>
      <c r="J684" s="48"/>
      <c r="K684" s="49"/>
    </row>
    <row r="685" spans="1:11" ht="12.75" hidden="1" x14ac:dyDescent="0.2">
      <c r="A685" s="16"/>
      <c r="B685" s="16"/>
      <c r="C685" s="15"/>
      <c r="D685" s="16"/>
      <c r="E685" s="17"/>
      <c r="F685" s="17"/>
      <c r="H685" s="19"/>
      <c r="I685" s="47"/>
      <c r="J685" s="48"/>
      <c r="K685" s="49"/>
    </row>
    <row r="686" spans="1:11" ht="12.75" hidden="1" x14ac:dyDescent="0.2">
      <c r="A686" s="16"/>
      <c r="B686" s="16"/>
      <c r="C686" s="15"/>
      <c r="D686" s="16"/>
      <c r="E686" s="17"/>
      <c r="F686" s="17"/>
      <c r="H686" s="19"/>
      <c r="I686" s="47"/>
      <c r="J686" s="48"/>
      <c r="K686" s="49"/>
    </row>
    <row r="687" spans="1:11" ht="12.75" hidden="1" x14ac:dyDescent="0.2">
      <c r="A687" s="16"/>
      <c r="B687" s="16"/>
      <c r="C687" s="15"/>
      <c r="D687" s="16"/>
      <c r="E687" s="17"/>
      <c r="F687" s="17"/>
      <c r="H687" s="19"/>
      <c r="I687" s="47"/>
      <c r="J687" s="48"/>
      <c r="K687" s="49"/>
    </row>
    <row r="688" spans="1:11" ht="12.75" hidden="1" x14ac:dyDescent="0.2">
      <c r="A688" s="16"/>
      <c r="B688" s="16"/>
      <c r="C688" s="15"/>
      <c r="D688" s="16"/>
      <c r="E688" s="17"/>
      <c r="F688" s="17"/>
      <c r="H688" s="19"/>
      <c r="I688" s="47"/>
      <c r="J688" s="48"/>
      <c r="K688" s="49"/>
    </row>
    <row r="689" spans="1:11" ht="12.75" hidden="1" x14ac:dyDescent="0.2">
      <c r="A689" s="16"/>
      <c r="B689" s="16"/>
      <c r="C689" s="15"/>
      <c r="D689" s="16"/>
      <c r="E689" s="17"/>
      <c r="F689" s="17"/>
      <c r="H689" s="19"/>
      <c r="I689" s="47"/>
      <c r="J689" s="48"/>
      <c r="K689" s="49"/>
    </row>
    <row r="690" spans="1:11" ht="12.75" hidden="1" x14ac:dyDescent="0.2">
      <c r="A690" s="16"/>
      <c r="B690" s="16"/>
      <c r="C690" s="15"/>
      <c r="D690" s="16"/>
      <c r="E690" s="17"/>
      <c r="F690" s="17"/>
      <c r="H690" s="19"/>
      <c r="I690" s="47"/>
      <c r="J690" s="48"/>
      <c r="K690" s="49"/>
    </row>
    <row r="691" spans="1:11" ht="12.75" hidden="1" x14ac:dyDescent="0.2">
      <c r="A691" s="16"/>
      <c r="B691" s="16"/>
      <c r="C691" s="15"/>
      <c r="D691" s="16"/>
      <c r="E691" s="17"/>
      <c r="F691" s="17"/>
      <c r="H691" s="19"/>
      <c r="I691" s="47"/>
      <c r="J691" s="48"/>
      <c r="K691" s="49"/>
    </row>
    <row r="692" spans="1:11" ht="12.75" hidden="1" x14ac:dyDescent="0.2">
      <c r="A692" s="16"/>
      <c r="B692" s="16"/>
      <c r="C692" s="15"/>
      <c r="D692" s="16"/>
      <c r="E692" s="17"/>
      <c r="F692" s="17"/>
      <c r="H692" s="19"/>
      <c r="I692" s="47"/>
      <c r="J692" s="48"/>
      <c r="K692" s="49"/>
    </row>
    <row r="693" spans="1:11" ht="12.75" hidden="1" x14ac:dyDescent="0.2">
      <c r="A693" s="16"/>
      <c r="B693" s="16"/>
      <c r="C693" s="15"/>
      <c r="D693" s="16"/>
      <c r="E693" s="17"/>
      <c r="F693" s="17"/>
      <c r="H693" s="19"/>
      <c r="I693" s="47"/>
      <c r="J693" s="48"/>
      <c r="K693" s="49"/>
    </row>
    <row r="694" spans="1:11" ht="12.75" hidden="1" x14ac:dyDescent="0.2">
      <c r="A694" s="16"/>
      <c r="B694" s="16"/>
      <c r="C694" s="15"/>
      <c r="D694" s="16"/>
      <c r="E694" s="17"/>
      <c r="F694" s="17"/>
      <c r="H694" s="19"/>
      <c r="I694" s="47"/>
      <c r="J694" s="48"/>
      <c r="K694" s="49"/>
    </row>
    <row r="695" spans="1:11" ht="12.75" hidden="1" x14ac:dyDescent="0.2">
      <c r="A695" s="16"/>
      <c r="B695" s="16"/>
      <c r="C695" s="15"/>
      <c r="D695" s="16"/>
      <c r="E695" s="17"/>
      <c r="F695" s="17"/>
      <c r="H695" s="19"/>
      <c r="I695" s="47"/>
      <c r="J695" s="48"/>
      <c r="K695" s="49"/>
    </row>
    <row r="696" spans="1:11" ht="12.75" hidden="1" x14ac:dyDescent="0.2">
      <c r="A696" s="16"/>
      <c r="B696" s="16"/>
      <c r="C696" s="15"/>
      <c r="D696" s="16"/>
      <c r="E696" s="17"/>
      <c r="F696" s="17"/>
      <c r="H696" s="19"/>
      <c r="I696" s="47"/>
      <c r="J696" s="48"/>
      <c r="K696" s="49"/>
    </row>
    <row r="697" spans="1:11" ht="12.75" hidden="1" x14ac:dyDescent="0.2">
      <c r="A697" s="16"/>
      <c r="B697" s="16"/>
      <c r="C697" s="15"/>
      <c r="D697" s="16"/>
      <c r="E697" s="17"/>
      <c r="F697" s="17"/>
      <c r="H697" s="19"/>
      <c r="I697" s="47"/>
      <c r="J697" s="48"/>
      <c r="K697" s="49"/>
    </row>
    <row r="698" spans="1:11" ht="12.75" hidden="1" x14ac:dyDescent="0.2">
      <c r="A698" s="16"/>
      <c r="B698" s="16"/>
      <c r="C698" s="15"/>
      <c r="D698" s="16"/>
      <c r="E698" s="17"/>
      <c r="F698" s="17"/>
      <c r="H698" s="19"/>
      <c r="I698" s="47"/>
      <c r="J698" s="48"/>
      <c r="K698" s="49"/>
    </row>
    <row r="699" spans="1:11" ht="12.75" hidden="1" x14ac:dyDescent="0.2">
      <c r="A699" s="16"/>
      <c r="B699" s="16"/>
      <c r="C699" s="15"/>
      <c r="D699" s="16"/>
      <c r="E699" s="17"/>
      <c r="F699" s="17"/>
      <c r="H699" s="19"/>
      <c r="I699" s="47"/>
      <c r="J699" s="48"/>
      <c r="K699" s="49"/>
    </row>
    <row r="700" spans="1:11" ht="12.75" hidden="1" x14ac:dyDescent="0.2">
      <c r="A700" s="16"/>
      <c r="B700" s="16"/>
      <c r="C700" s="15"/>
      <c r="D700" s="16"/>
      <c r="E700" s="17"/>
      <c r="F700" s="17"/>
      <c r="H700" s="19"/>
      <c r="I700" s="47"/>
      <c r="J700" s="48"/>
      <c r="K700" s="49"/>
    </row>
    <row r="701" spans="1:11" ht="12.75" hidden="1" x14ac:dyDescent="0.2">
      <c r="A701" s="16"/>
      <c r="B701" s="16"/>
      <c r="C701" s="15"/>
      <c r="D701" s="16"/>
      <c r="E701" s="17"/>
      <c r="F701" s="17"/>
      <c r="H701" s="19"/>
      <c r="I701" s="47"/>
      <c r="J701" s="48"/>
      <c r="K701" s="49"/>
    </row>
    <row r="702" spans="1:11" ht="12.75" hidden="1" x14ac:dyDescent="0.2">
      <c r="A702" s="16"/>
      <c r="B702" s="16"/>
      <c r="C702" s="15"/>
      <c r="D702" s="16"/>
      <c r="E702" s="17"/>
      <c r="F702" s="17"/>
      <c r="H702" s="19"/>
      <c r="I702" s="47"/>
      <c r="J702" s="48"/>
      <c r="K702" s="49"/>
    </row>
    <row r="703" spans="1:11" ht="12.75" hidden="1" x14ac:dyDescent="0.2">
      <c r="A703" s="16"/>
      <c r="B703" s="16"/>
      <c r="C703" s="15"/>
      <c r="D703" s="16"/>
      <c r="E703" s="17"/>
      <c r="F703" s="17"/>
      <c r="H703" s="19"/>
      <c r="I703" s="47"/>
      <c r="J703" s="48"/>
      <c r="K703" s="49"/>
    </row>
    <row r="704" spans="1:11" ht="12.75" hidden="1" x14ac:dyDescent="0.2">
      <c r="A704" s="16"/>
      <c r="B704" s="16"/>
      <c r="C704" s="15"/>
      <c r="D704" s="16"/>
      <c r="E704" s="17"/>
      <c r="F704" s="17"/>
      <c r="H704" s="19"/>
      <c r="I704" s="47"/>
      <c r="J704" s="48"/>
      <c r="K704" s="49"/>
    </row>
    <row r="705" spans="1:11" ht="12.75" hidden="1" x14ac:dyDescent="0.2">
      <c r="A705" s="16"/>
      <c r="B705" s="16"/>
      <c r="C705" s="15"/>
      <c r="D705" s="16"/>
      <c r="E705" s="17"/>
      <c r="F705" s="17"/>
      <c r="H705" s="19"/>
      <c r="I705" s="47"/>
      <c r="J705" s="48"/>
      <c r="K705" s="49"/>
    </row>
    <row r="706" spans="1:11" ht="12.75" hidden="1" x14ac:dyDescent="0.2">
      <c r="A706" s="16"/>
      <c r="B706" s="16"/>
      <c r="C706" s="15"/>
      <c r="D706" s="16"/>
      <c r="E706" s="17"/>
      <c r="F706" s="17"/>
      <c r="H706" s="19"/>
      <c r="I706" s="47"/>
      <c r="J706" s="48"/>
      <c r="K706" s="49"/>
    </row>
    <row r="707" spans="1:11" ht="12.75" hidden="1" x14ac:dyDescent="0.2">
      <c r="A707" s="16"/>
      <c r="B707" s="16"/>
      <c r="C707" s="15"/>
      <c r="D707" s="16"/>
      <c r="E707" s="17"/>
      <c r="F707" s="17"/>
      <c r="H707" s="19"/>
      <c r="I707" s="47"/>
      <c r="J707" s="48"/>
      <c r="K707" s="49"/>
    </row>
    <row r="708" spans="1:11" ht="12.75" hidden="1" x14ac:dyDescent="0.2">
      <c r="A708" s="16"/>
      <c r="B708" s="16"/>
      <c r="C708" s="15"/>
      <c r="D708" s="16"/>
      <c r="E708" s="17"/>
      <c r="F708" s="17"/>
      <c r="H708" s="19"/>
      <c r="I708" s="47"/>
      <c r="J708" s="48"/>
      <c r="K708" s="49"/>
    </row>
    <row r="709" spans="1:11" ht="12.75" hidden="1" x14ac:dyDescent="0.2">
      <c r="A709" s="16"/>
      <c r="B709" s="16"/>
      <c r="C709" s="15"/>
      <c r="D709" s="16"/>
      <c r="E709" s="17"/>
      <c r="F709" s="17"/>
      <c r="H709" s="19"/>
      <c r="I709" s="47"/>
      <c r="J709" s="48"/>
      <c r="K709" s="49"/>
    </row>
    <row r="710" spans="1:11" ht="12.75" hidden="1" x14ac:dyDescent="0.2">
      <c r="A710" s="16"/>
      <c r="B710" s="16"/>
      <c r="C710" s="15"/>
      <c r="D710" s="16"/>
      <c r="E710" s="17"/>
      <c r="F710" s="17"/>
      <c r="H710" s="19"/>
      <c r="I710" s="47"/>
      <c r="J710" s="48"/>
      <c r="K710" s="49"/>
    </row>
    <row r="711" spans="1:11" ht="12.75" hidden="1" x14ac:dyDescent="0.2">
      <c r="A711" s="16"/>
      <c r="B711" s="16"/>
      <c r="C711" s="15"/>
      <c r="D711" s="16"/>
      <c r="E711" s="17"/>
      <c r="F711" s="17"/>
      <c r="H711" s="19"/>
      <c r="I711" s="47"/>
      <c r="J711" s="48"/>
      <c r="K711" s="49"/>
    </row>
    <row r="712" spans="1:11" ht="12.75" hidden="1" x14ac:dyDescent="0.2">
      <c r="A712" s="16"/>
      <c r="B712" s="16"/>
      <c r="C712" s="15"/>
      <c r="D712" s="16"/>
      <c r="E712" s="17"/>
      <c r="F712" s="17"/>
      <c r="H712" s="19"/>
      <c r="I712" s="47"/>
      <c r="J712" s="48"/>
      <c r="K712" s="49"/>
    </row>
    <row r="713" spans="1:11" ht="12.75" hidden="1" x14ac:dyDescent="0.2">
      <c r="A713" s="16"/>
      <c r="B713" s="16"/>
      <c r="C713" s="15"/>
      <c r="D713" s="16"/>
      <c r="E713" s="17"/>
      <c r="F713" s="17"/>
      <c r="H713" s="19"/>
      <c r="I713" s="47"/>
      <c r="J713" s="48"/>
      <c r="K713" s="49"/>
    </row>
    <row r="714" spans="1:11" ht="12.75" hidden="1" x14ac:dyDescent="0.2">
      <c r="A714" s="16"/>
      <c r="B714" s="16"/>
      <c r="C714" s="15"/>
      <c r="D714" s="16"/>
      <c r="E714" s="17"/>
      <c r="F714" s="17"/>
      <c r="H714" s="19"/>
      <c r="I714" s="47"/>
      <c r="J714" s="48"/>
      <c r="K714" s="49"/>
    </row>
    <row r="715" spans="1:11" ht="12.75" hidden="1" x14ac:dyDescent="0.2">
      <c r="A715" s="16"/>
      <c r="B715" s="16"/>
      <c r="C715" s="15"/>
      <c r="D715" s="16"/>
      <c r="E715" s="17"/>
      <c r="F715" s="17"/>
      <c r="H715" s="19"/>
      <c r="I715" s="47"/>
      <c r="J715" s="48"/>
      <c r="K715" s="49"/>
    </row>
    <row r="716" spans="1:11" ht="12.75" hidden="1" x14ac:dyDescent="0.2">
      <c r="A716" s="16"/>
      <c r="B716" s="16"/>
      <c r="C716" s="15"/>
      <c r="D716" s="16"/>
      <c r="E716" s="17"/>
      <c r="F716" s="17"/>
      <c r="H716" s="19"/>
      <c r="I716" s="47"/>
      <c r="J716" s="48"/>
      <c r="K716" s="49"/>
    </row>
    <row r="717" spans="1:11" ht="12.75" hidden="1" x14ac:dyDescent="0.2">
      <c r="A717" s="16"/>
      <c r="B717" s="16"/>
      <c r="C717" s="15"/>
      <c r="D717" s="16"/>
      <c r="E717" s="17"/>
      <c r="F717" s="17"/>
      <c r="H717" s="19"/>
      <c r="I717" s="47"/>
      <c r="J717" s="48"/>
      <c r="K717" s="49"/>
    </row>
    <row r="718" spans="1:11" ht="12.75" hidden="1" x14ac:dyDescent="0.2">
      <c r="A718" s="16"/>
      <c r="B718" s="16"/>
      <c r="C718" s="15"/>
      <c r="D718" s="16"/>
      <c r="E718" s="17"/>
      <c r="F718" s="17"/>
      <c r="H718" s="19"/>
      <c r="I718" s="47"/>
      <c r="J718" s="48"/>
      <c r="K718" s="49"/>
    </row>
    <row r="719" spans="1:11" ht="12.75" hidden="1" x14ac:dyDescent="0.2">
      <c r="A719" s="16"/>
      <c r="B719" s="16"/>
      <c r="C719" s="15"/>
      <c r="D719" s="16"/>
      <c r="E719" s="17"/>
      <c r="F719" s="17"/>
      <c r="H719" s="19"/>
      <c r="I719" s="47"/>
      <c r="J719" s="48"/>
      <c r="K719" s="49"/>
    </row>
    <row r="720" spans="1:11" ht="12.75" hidden="1" x14ac:dyDescent="0.2">
      <c r="A720" s="16"/>
      <c r="B720" s="16"/>
      <c r="C720" s="15"/>
      <c r="D720" s="16"/>
      <c r="E720" s="17"/>
      <c r="F720" s="17"/>
      <c r="H720" s="19"/>
      <c r="I720" s="47"/>
      <c r="J720" s="48"/>
      <c r="K720" s="49"/>
    </row>
    <row r="721" spans="1:11" ht="12.75" hidden="1" x14ac:dyDescent="0.2">
      <c r="A721" s="16"/>
      <c r="B721" s="16"/>
      <c r="C721" s="15"/>
      <c r="D721" s="16"/>
      <c r="E721" s="17"/>
      <c r="F721" s="17"/>
      <c r="H721" s="19"/>
      <c r="I721" s="47"/>
      <c r="J721" s="48"/>
      <c r="K721" s="49"/>
    </row>
    <row r="722" spans="1:11" ht="12.75" hidden="1" x14ac:dyDescent="0.2">
      <c r="A722" s="16"/>
      <c r="B722" s="16"/>
      <c r="C722" s="15"/>
      <c r="D722" s="16"/>
      <c r="E722" s="17"/>
      <c r="F722" s="17"/>
      <c r="H722" s="19"/>
      <c r="I722" s="47"/>
      <c r="J722" s="48"/>
      <c r="K722" s="49"/>
    </row>
    <row r="723" spans="1:11" ht="12.75" hidden="1" x14ac:dyDescent="0.2">
      <c r="A723" s="16"/>
      <c r="B723" s="16"/>
      <c r="C723" s="15"/>
      <c r="D723" s="16"/>
      <c r="E723" s="17"/>
      <c r="F723" s="17"/>
      <c r="H723" s="19"/>
      <c r="I723" s="47"/>
      <c r="J723" s="48"/>
      <c r="K723" s="49"/>
    </row>
    <row r="724" spans="1:11" ht="12.75" hidden="1" x14ac:dyDescent="0.2">
      <c r="A724" s="16"/>
      <c r="B724" s="16"/>
      <c r="C724" s="15"/>
      <c r="D724" s="16"/>
      <c r="E724" s="17"/>
      <c r="F724" s="17"/>
      <c r="H724" s="19"/>
      <c r="I724" s="47"/>
      <c r="J724" s="48"/>
      <c r="K724" s="49"/>
    </row>
    <row r="725" spans="1:11" ht="12.75" hidden="1" x14ac:dyDescent="0.2">
      <c r="A725" s="16"/>
      <c r="B725" s="16"/>
      <c r="C725" s="15"/>
      <c r="D725" s="16"/>
      <c r="E725" s="17"/>
      <c r="F725" s="17"/>
      <c r="H725" s="19"/>
      <c r="I725" s="47"/>
      <c r="J725" s="48"/>
      <c r="K725" s="49"/>
    </row>
    <row r="726" spans="1:11" ht="12.75" hidden="1" x14ac:dyDescent="0.2">
      <c r="A726" s="16"/>
      <c r="B726" s="16"/>
      <c r="C726" s="15"/>
      <c r="D726" s="16"/>
      <c r="E726" s="17"/>
      <c r="F726" s="17"/>
      <c r="H726" s="19"/>
      <c r="I726" s="47"/>
      <c r="J726" s="48"/>
      <c r="K726" s="49"/>
    </row>
    <row r="727" spans="1:11" ht="12.75" hidden="1" x14ac:dyDescent="0.2">
      <c r="A727" s="16"/>
      <c r="B727" s="16"/>
      <c r="C727" s="15"/>
      <c r="D727" s="16"/>
      <c r="E727" s="17"/>
      <c r="F727" s="17"/>
      <c r="H727" s="19"/>
      <c r="I727" s="47"/>
      <c r="J727" s="48"/>
      <c r="K727" s="49"/>
    </row>
    <row r="728" spans="1:11" ht="12.75" hidden="1" x14ac:dyDescent="0.2">
      <c r="A728" s="16"/>
      <c r="B728" s="16"/>
      <c r="C728" s="15"/>
      <c r="D728" s="16"/>
      <c r="E728" s="17"/>
      <c r="F728" s="17"/>
      <c r="H728" s="19"/>
      <c r="I728" s="47"/>
      <c r="J728" s="48"/>
      <c r="K728" s="49"/>
    </row>
    <row r="729" spans="1:11" ht="12.75" hidden="1" x14ac:dyDescent="0.2">
      <c r="A729" s="16"/>
      <c r="B729" s="16"/>
      <c r="C729" s="15"/>
      <c r="D729" s="16"/>
      <c r="E729" s="17"/>
      <c r="F729" s="17"/>
      <c r="H729" s="19"/>
      <c r="I729" s="47"/>
      <c r="J729" s="48"/>
      <c r="K729" s="49"/>
    </row>
    <row r="730" spans="1:11" ht="12.75" hidden="1" x14ac:dyDescent="0.2">
      <c r="A730" s="16"/>
      <c r="B730" s="16"/>
      <c r="C730" s="15"/>
      <c r="D730" s="16"/>
      <c r="E730" s="17"/>
      <c r="F730" s="17"/>
      <c r="H730" s="19"/>
      <c r="I730" s="47"/>
      <c r="J730" s="48"/>
      <c r="K730" s="49"/>
    </row>
    <row r="731" spans="1:11" ht="12.75" hidden="1" x14ac:dyDescent="0.2">
      <c r="A731" s="16"/>
      <c r="B731" s="16"/>
      <c r="C731" s="15"/>
      <c r="D731" s="16"/>
      <c r="E731" s="17"/>
      <c r="F731" s="17"/>
      <c r="H731" s="19"/>
      <c r="I731" s="47"/>
      <c r="J731" s="48"/>
      <c r="K731" s="49"/>
    </row>
    <row r="732" spans="1:11" ht="12.75" hidden="1" x14ac:dyDescent="0.2">
      <c r="A732" s="16"/>
      <c r="B732" s="16"/>
      <c r="C732" s="15"/>
      <c r="D732" s="16"/>
      <c r="E732" s="17"/>
      <c r="F732" s="17"/>
      <c r="H732" s="19"/>
      <c r="I732" s="47"/>
      <c r="J732" s="48"/>
      <c r="K732" s="49"/>
    </row>
    <row r="733" spans="1:11" ht="12.75" hidden="1" x14ac:dyDescent="0.2">
      <c r="A733" s="16"/>
      <c r="B733" s="16"/>
      <c r="C733" s="15"/>
      <c r="D733" s="16"/>
      <c r="E733" s="17"/>
      <c r="F733" s="17"/>
      <c r="H733" s="19"/>
      <c r="I733" s="47"/>
      <c r="J733" s="48"/>
      <c r="K733" s="49"/>
    </row>
    <row r="734" spans="1:11" ht="12.75" hidden="1" x14ac:dyDescent="0.2">
      <c r="A734" s="16"/>
      <c r="B734" s="16"/>
      <c r="C734" s="15"/>
      <c r="D734" s="16"/>
      <c r="E734" s="17"/>
      <c r="F734" s="17"/>
      <c r="H734" s="19"/>
      <c r="I734" s="47"/>
      <c r="J734" s="48"/>
      <c r="K734" s="49"/>
    </row>
    <row r="735" spans="1:11" ht="12.75" hidden="1" x14ac:dyDescent="0.2">
      <c r="A735" s="16"/>
      <c r="B735" s="16"/>
      <c r="C735" s="15"/>
      <c r="D735" s="16"/>
      <c r="E735" s="17"/>
      <c r="F735" s="17"/>
      <c r="H735" s="19"/>
      <c r="I735" s="47"/>
      <c r="J735" s="48"/>
      <c r="K735" s="49"/>
    </row>
    <row r="736" spans="1:11" ht="12.75" hidden="1" x14ac:dyDescent="0.2">
      <c r="A736" s="16"/>
      <c r="B736" s="16"/>
      <c r="C736" s="15"/>
      <c r="D736" s="16"/>
      <c r="E736" s="17"/>
      <c r="F736" s="17"/>
      <c r="H736" s="19"/>
      <c r="I736" s="47"/>
      <c r="J736" s="48"/>
      <c r="K736" s="49"/>
    </row>
    <row r="737" spans="1:11" ht="12.75" hidden="1" x14ac:dyDescent="0.2">
      <c r="A737" s="16"/>
      <c r="B737" s="16"/>
      <c r="C737" s="15"/>
      <c r="D737" s="16"/>
      <c r="E737" s="17"/>
      <c r="F737" s="17"/>
      <c r="H737" s="19"/>
      <c r="I737" s="47"/>
      <c r="J737" s="48"/>
      <c r="K737" s="49"/>
    </row>
    <row r="738" spans="1:11" ht="12.75" hidden="1" x14ac:dyDescent="0.2">
      <c r="A738" s="16"/>
      <c r="B738" s="16"/>
      <c r="C738" s="15"/>
      <c r="D738" s="16"/>
      <c r="E738" s="17"/>
      <c r="F738" s="17"/>
      <c r="H738" s="19"/>
      <c r="I738" s="47"/>
      <c r="J738" s="48"/>
      <c r="K738" s="49"/>
    </row>
    <row r="739" spans="1:11" ht="12.75" hidden="1" x14ac:dyDescent="0.2">
      <c r="A739" s="16"/>
      <c r="B739" s="16"/>
      <c r="C739" s="15"/>
      <c r="D739" s="16"/>
      <c r="E739" s="17"/>
      <c r="F739" s="17"/>
      <c r="H739" s="19"/>
      <c r="I739" s="47"/>
      <c r="J739" s="48"/>
      <c r="K739" s="49"/>
    </row>
    <row r="740" spans="1:11" ht="12.75" hidden="1" x14ac:dyDescent="0.2">
      <c r="A740" s="16"/>
      <c r="B740" s="16"/>
      <c r="C740" s="15"/>
      <c r="D740" s="16"/>
      <c r="E740" s="17"/>
      <c r="F740" s="17"/>
      <c r="H740" s="19"/>
      <c r="I740" s="47"/>
      <c r="J740" s="48"/>
      <c r="K740" s="49"/>
    </row>
    <row r="741" spans="1:11" ht="12.75" hidden="1" x14ac:dyDescent="0.2">
      <c r="A741" s="16"/>
      <c r="B741" s="16"/>
      <c r="C741" s="15"/>
      <c r="D741" s="16"/>
      <c r="E741" s="17"/>
      <c r="F741" s="17"/>
      <c r="H741" s="19"/>
      <c r="I741" s="47"/>
      <c r="J741" s="48"/>
      <c r="K741" s="49"/>
    </row>
    <row r="742" spans="1:11" ht="12.75" hidden="1" x14ac:dyDescent="0.2">
      <c r="A742" s="16"/>
      <c r="B742" s="16"/>
      <c r="C742" s="15"/>
      <c r="D742" s="16"/>
      <c r="E742" s="17"/>
      <c r="F742" s="17"/>
      <c r="H742" s="19"/>
      <c r="I742" s="47"/>
      <c r="J742" s="48"/>
      <c r="K742" s="49"/>
    </row>
    <row r="743" spans="1:11" ht="12.75" hidden="1" x14ac:dyDescent="0.2">
      <c r="A743" s="16"/>
      <c r="B743" s="16"/>
      <c r="C743" s="15"/>
      <c r="D743" s="16"/>
      <c r="E743" s="17"/>
      <c r="F743" s="17"/>
      <c r="H743" s="19"/>
      <c r="I743" s="47"/>
      <c r="J743" s="48"/>
      <c r="K743" s="49"/>
    </row>
    <row r="744" spans="1:11" ht="12.75" hidden="1" x14ac:dyDescent="0.2">
      <c r="A744" s="16"/>
      <c r="B744" s="16"/>
      <c r="C744" s="15"/>
      <c r="D744" s="16"/>
      <c r="E744" s="17"/>
      <c r="F744" s="17"/>
      <c r="H744" s="19"/>
      <c r="I744" s="47"/>
      <c r="J744" s="48"/>
      <c r="K744" s="49"/>
    </row>
    <row r="745" spans="1:11" ht="12.75" hidden="1" x14ac:dyDescent="0.2">
      <c r="A745" s="16"/>
      <c r="B745" s="16"/>
      <c r="C745" s="15"/>
      <c r="D745" s="16"/>
      <c r="E745" s="17"/>
      <c r="F745" s="17"/>
      <c r="H745" s="19"/>
      <c r="I745" s="47"/>
      <c r="J745" s="48"/>
      <c r="K745" s="49"/>
    </row>
    <row r="746" spans="1:11" ht="12.75" hidden="1" x14ac:dyDescent="0.2">
      <c r="A746" s="16"/>
      <c r="B746" s="16"/>
      <c r="C746" s="15"/>
      <c r="D746" s="16"/>
      <c r="E746" s="17"/>
      <c r="F746" s="17"/>
      <c r="H746" s="19"/>
      <c r="I746" s="47"/>
      <c r="J746" s="48"/>
      <c r="K746" s="49"/>
    </row>
    <row r="747" spans="1:11" ht="12.75" hidden="1" x14ac:dyDescent="0.2">
      <c r="A747" s="16"/>
      <c r="B747" s="16"/>
      <c r="C747" s="15"/>
      <c r="D747" s="16"/>
      <c r="E747" s="17"/>
      <c r="F747" s="17"/>
      <c r="H747" s="19"/>
      <c r="I747" s="47"/>
      <c r="J747" s="48"/>
      <c r="K747" s="49"/>
    </row>
    <row r="748" spans="1:11" ht="12.75" hidden="1" x14ac:dyDescent="0.2">
      <c r="A748" s="16"/>
      <c r="B748" s="16"/>
      <c r="C748" s="15"/>
      <c r="D748" s="16"/>
      <c r="E748" s="17"/>
      <c r="F748" s="17"/>
      <c r="H748" s="19"/>
      <c r="I748" s="47"/>
      <c r="J748" s="48"/>
      <c r="K748" s="49"/>
    </row>
    <row r="749" spans="1:11" ht="12.75" hidden="1" x14ac:dyDescent="0.2">
      <c r="A749" s="16"/>
      <c r="B749" s="16"/>
      <c r="C749" s="15"/>
      <c r="D749" s="16"/>
      <c r="E749" s="17"/>
      <c r="F749" s="17"/>
      <c r="H749" s="19"/>
      <c r="I749" s="47"/>
      <c r="J749" s="48"/>
      <c r="K749" s="49"/>
    </row>
    <row r="750" spans="1:11" ht="12.75" hidden="1" x14ac:dyDescent="0.2">
      <c r="A750" s="16"/>
      <c r="B750" s="16"/>
      <c r="C750" s="15"/>
      <c r="D750" s="16"/>
      <c r="E750" s="17"/>
      <c r="F750" s="17"/>
      <c r="H750" s="19"/>
      <c r="I750" s="47"/>
      <c r="J750" s="48"/>
      <c r="K750" s="49"/>
    </row>
    <row r="751" spans="1:11" ht="12.75" hidden="1" x14ac:dyDescent="0.2">
      <c r="A751" s="16"/>
      <c r="B751" s="16"/>
      <c r="C751" s="15"/>
      <c r="D751" s="16"/>
      <c r="E751" s="17"/>
      <c r="F751" s="17"/>
      <c r="H751" s="19"/>
      <c r="I751" s="47"/>
      <c r="J751" s="48"/>
      <c r="K751" s="49"/>
    </row>
    <row r="752" spans="1:11" ht="12.75" hidden="1" x14ac:dyDescent="0.2">
      <c r="A752" s="16"/>
      <c r="B752" s="16"/>
      <c r="C752" s="15"/>
      <c r="D752" s="16"/>
      <c r="E752" s="17"/>
      <c r="F752" s="17"/>
      <c r="H752" s="19"/>
      <c r="I752" s="47"/>
      <c r="J752" s="48"/>
      <c r="K752" s="49"/>
    </row>
    <row r="753" spans="1:11" ht="12.75" hidden="1" x14ac:dyDescent="0.2">
      <c r="A753" s="16"/>
      <c r="B753" s="16"/>
      <c r="C753" s="15"/>
      <c r="D753" s="16"/>
      <c r="E753" s="17"/>
      <c r="F753" s="17"/>
      <c r="H753" s="19"/>
      <c r="I753" s="47"/>
      <c r="J753" s="48"/>
      <c r="K753" s="49"/>
    </row>
    <row r="754" spans="1:11" ht="12.75" hidden="1" x14ac:dyDescent="0.2">
      <c r="A754" s="16"/>
      <c r="B754" s="16"/>
      <c r="C754" s="15"/>
      <c r="D754" s="16"/>
      <c r="E754" s="17"/>
      <c r="F754" s="17"/>
      <c r="H754" s="19"/>
      <c r="I754" s="47"/>
      <c r="J754" s="48"/>
      <c r="K754" s="49"/>
    </row>
    <row r="755" spans="1:11" ht="12.75" hidden="1" x14ac:dyDescent="0.2">
      <c r="A755" s="16"/>
      <c r="B755" s="16"/>
      <c r="C755" s="15"/>
      <c r="D755" s="16"/>
      <c r="E755" s="17"/>
      <c r="F755" s="17"/>
      <c r="H755" s="19"/>
      <c r="I755" s="47"/>
      <c r="J755" s="48"/>
      <c r="K755" s="49"/>
    </row>
    <row r="756" spans="1:11" ht="12.75" hidden="1" x14ac:dyDescent="0.2">
      <c r="A756" s="16"/>
      <c r="B756" s="16"/>
      <c r="C756" s="15"/>
      <c r="D756" s="16"/>
      <c r="E756" s="17"/>
      <c r="F756" s="17"/>
      <c r="H756" s="19"/>
      <c r="I756" s="47"/>
      <c r="J756" s="48"/>
      <c r="K756" s="49"/>
    </row>
    <row r="757" spans="1:11" ht="12.75" hidden="1" x14ac:dyDescent="0.2">
      <c r="A757" s="16"/>
      <c r="B757" s="16"/>
      <c r="C757" s="15"/>
      <c r="D757" s="16"/>
      <c r="E757" s="17"/>
      <c r="F757" s="17"/>
      <c r="H757" s="19"/>
      <c r="I757" s="47"/>
      <c r="J757" s="48"/>
      <c r="K757" s="49"/>
    </row>
    <row r="758" spans="1:11" ht="12.75" hidden="1" x14ac:dyDescent="0.2">
      <c r="A758" s="16"/>
      <c r="B758" s="16"/>
      <c r="C758" s="15"/>
      <c r="D758" s="16"/>
      <c r="E758" s="17"/>
      <c r="F758" s="17"/>
      <c r="H758" s="19"/>
      <c r="I758" s="47"/>
      <c r="J758" s="48"/>
      <c r="K758" s="49"/>
    </row>
    <row r="759" spans="1:11" ht="12.75" hidden="1" x14ac:dyDescent="0.2">
      <c r="A759" s="16"/>
      <c r="B759" s="16"/>
      <c r="C759" s="15"/>
      <c r="D759" s="16"/>
      <c r="E759" s="17"/>
      <c r="F759" s="17"/>
      <c r="H759" s="19"/>
      <c r="I759" s="47"/>
      <c r="J759" s="48"/>
      <c r="K759" s="49"/>
    </row>
    <row r="760" spans="1:11" ht="12.75" hidden="1" x14ac:dyDescent="0.2">
      <c r="A760" s="16"/>
      <c r="B760" s="16"/>
      <c r="C760" s="15"/>
      <c r="D760" s="16"/>
      <c r="E760" s="17"/>
      <c r="F760" s="17"/>
      <c r="H760" s="19"/>
      <c r="I760" s="47"/>
      <c r="J760" s="48"/>
      <c r="K760" s="49"/>
    </row>
    <row r="761" spans="1:11" ht="12.75" hidden="1" x14ac:dyDescent="0.2">
      <c r="A761" s="16"/>
      <c r="B761" s="16"/>
      <c r="C761" s="15"/>
      <c r="D761" s="16"/>
      <c r="E761" s="17"/>
      <c r="F761" s="17"/>
      <c r="H761" s="19"/>
      <c r="I761" s="47"/>
      <c r="J761" s="48"/>
      <c r="K761" s="49"/>
    </row>
    <row r="762" spans="1:11" ht="12.75" hidden="1" x14ac:dyDescent="0.2">
      <c r="A762" s="16"/>
      <c r="B762" s="16"/>
      <c r="C762" s="15"/>
      <c r="D762" s="16"/>
      <c r="E762" s="17"/>
      <c r="F762" s="17"/>
      <c r="H762" s="19"/>
      <c r="I762" s="47"/>
      <c r="J762" s="48"/>
      <c r="K762" s="49"/>
    </row>
    <row r="763" spans="1:11" ht="12.75" hidden="1" x14ac:dyDescent="0.2">
      <c r="A763" s="16"/>
      <c r="B763" s="16"/>
      <c r="C763" s="15"/>
      <c r="D763" s="16"/>
      <c r="E763" s="17"/>
      <c r="F763" s="17"/>
      <c r="H763" s="19"/>
      <c r="I763" s="47"/>
      <c r="J763" s="48"/>
      <c r="K763" s="49"/>
    </row>
    <row r="764" spans="1:11" ht="12.75" hidden="1" x14ac:dyDescent="0.2">
      <c r="A764" s="16"/>
      <c r="B764" s="16"/>
      <c r="C764" s="15"/>
      <c r="D764" s="16"/>
      <c r="E764" s="17"/>
      <c r="F764" s="17"/>
      <c r="H764" s="19"/>
      <c r="I764" s="47"/>
      <c r="J764" s="48"/>
      <c r="K764" s="49"/>
    </row>
    <row r="765" spans="1:11" ht="12.75" hidden="1" x14ac:dyDescent="0.2">
      <c r="A765" s="16"/>
      <c r="B765" s="16"/>
      <c r="C765" s="15"/>
      <c r="D765" s="16"/>
      <c r="E765" s="17"/>
      <c r="F765" s="17"/>
      <c r="H765" s="19"/>
      <c r="I765" s="47"/>
      <c r="J765" s="48"/>
      <c r="K765" s="49"/>
    </row>
    <row r="766" spans="1:11" ht="12.75" hidden="1" x14ac:dyDescent="0.2">
      <c r="A766" s="16"/>
      <c r="B766" s="16"/>
      <c r="C766" s="15"/>
      <c r="D766" s="16"/>
      <c r="E766" s="17"/>
      <c r="F766" s="17"/>
      <c r="H766" s="19"/>
      <c r="I766" s="47"/>
      <c r="J766" s="48"/>
      <c r="K766" s="49"/>
    </row>
    <row r="767" spans="1:11" ht="12.75" hidden="1" x14ac:dyDescent="0.2">
      <c r="A767" s="16"/>
      <c r="B767" s="16"/>
      <c r="C767" s="15"/>
      <c r="D767" s="16"/>
      <c r="E767" s="17"/>
      <c r="F767" s="17"/>
      <c r="H767" s="19"/>
      <c r="I767" s="47"/>
      <c r="J767" s="48"/>
      <c r="K767" s="49"/>
    </row>
    <row r="768" spans="1:11" ht="12.75" hidden="1" x14ac:dyDescent="0.2">
      <c r="A768" s="16"/>
      <c r="B768" s="16"/>
      <c r="C768" s="15"/>
      <c r="D768" s="16"/>
      <c r="E768" s="17"/>
      <c r="F768" s="17"/>
      <c r="H768" s="19"/>
      <c r="I768" s="47"/>
      <c r="J768" s="48"/>
      <c r="K768" s="49"/>
    </row>
    <row r="769" spans="1:11" ht="12.75" hidden="1" x14ac:dyDescent="0.2">
      <c r="A769" s="16"/>
      <c r="B769" s="16"/>
      <c r="C769" s="15"/>
      <c r="D769" s="16"/>
      <c r="E769" s="17"/>
      <c r="F769" s="17"/>
      <c r="H769" s="19"/>
      <c r="I769" s="47"/>
      <c r="J769" s="48"/>
      <c r="K769" s="49"/>
    </row>
    <row r="770" spans="1:11" ht="12.75" hidden="1" x14ac:dyDescent="0.2">
      <c r="A770" s="16"/>
      <c r="B770" s="16"/>
      <c r="C770" s="15"/>
      <c r="D770" s="16"/>
      <c r="E770" s="17"/>
      <c r="F770" s="17"/>
      <c r="H770" s="19"/>
      <c r="I770" s="47"/>
      <c r="J770" s="48"/>
      <c r="K770" s="49"/>
    </row>
    <row r="771" spans="1:11" ht="12.75" hidden="1" x14ac:dyDescent="0.2">
      <c r="A771" s="16"/>
      <c r="B771" s="16"/>
      <c r="C771" s="15"/>
      <c r="D771" s="16"/>
      <c r="E771" s="17"/>
      <c r="F771" s="17"/>
      <c r="H771" s="19"/>
      <c r="I771" s="47"/>
      <c r="J771" s="48"/>
      <c r="K771" s="49"/>
    </row>
    <row r="772" spans="1:11" ht="12.75" hidden="1" x14ac:dyDescent="0.2">
      <c r="A772" s="16"/>
      <c r="B772" s="16"/>
      <c r="C772" s="15"/>
      <c r="D772" s="16"/>
      <c r="E772" s="17"/>
      <c r="F772" s="17"/>
      <c r="H772" s="19"/>
      <c r="I772" s="47"/>
      <c r="J772" s="48"/>
      <c r="K772" s="49"/>
    </row>
    <row r="773" spans="1:11" ht="12.75" hidden="1" x14ac:dyDescent="0.2">
      <c r="A773" s="16"/>
      <c r="B773" s="16"/>
      <c r="C773" s="15"/>
      <c r="D773" s="16"/>
      <c r="E773" s="17"/>
      <c r="F773" s="17"/>
      <c r="H773" s="19"/>
      <c r="I773" s="47"/>
      <c r="J773" s="48"/>
      <c r="K773" s="49"/>
    </row>
    <row r="774" spans="1:11" ht="12.75" hidden="1" x14ac:dyDescent="0.2">
      <c r="A774" s="16"/>
      <c r="B774" s="16"/>
      <c r="C774" s="15"/>
      <c r="D774" s="16"/>
      <c r="E774" s="17"/>
      <c r="F774" s="17"/>
      <c r="H774" s="19"/>
      <c r="I774" s="47"/>
      <c r="J774" s="48"/>
      <c r="K774" s="49"/>
    </row>
    <row r="775" spans="1:11" ht="12.75" hidden="1" x14ac:dyDescent="0.2">
      <c r="A775" s="16"/>
      <c r="B775" s="16"/>
      <c r="C775" s="15"/>
      <c r="D775" s="16"/>
      <c r="E775" s="17"/>
      <c r="F775" s="17"/>
      <c r="H775" s="19"/>
      <c r="I775" s="47"/>
      <c r="J775" s="48"/>
      <c r="K775" s="49"/>
    </row>
    <row r="776" spans="1:11" ht="12.75" hidden="1" x14ac:dyDescent="0.2">
      <c r="A776" s="16"/>
      <c r="B776" s="16"/>
      <c r="C776" s="15"/>
      <c r="D776" s="16"/>
      <c r="E776" s="17"/>
      <c r="F776" s="17"/>
      <c r="H776" s="19"/>
      <c r="I776" s="47"/>
      <c r="J776" s="48"/>
      <c r="K776" s="49"/>
    </row>
    <row r="777" spans="1:11" ht="12.75" hidden="1" x14ac:dyDescent="0.2">
      <c r="A777" s="16"/>
      <c r="B777" s="16"/>
      <c r="C777" s="15"/>
      <c r="D777" s="16"/>
      <c r="E777" s="17"/>
      <c r="F777" s="17"/>
      <c r="H777" s="19"/>
      <c r="I777" s="47"/>
      <c r="J777" s="48"/>
      <c r="K777" s="49"/>
    </row>
    <row r="778" spans="1:11" ht="12.75" hidden="1" x14ac:dyDescent="0.2">
      <c r="A778" s="16"/>
      <c r="B778" s="16"/>
      <c r="C778" s="15"/>
      <c r="D778" s="16"/>
      <c r="E778" s="17"/>
      <c r="F778" s="17"/>
      <c r="H778" s="19"/>
      <c r="I778" s="47"/>
      <c r="J778" s="48"/>
      <c r="K778" s="49"/>
    </row>
    <row r="779" spans="1:11" ht="12.75" hidden="1" x14ac:dyDescent="0.2">
      <c r="A779" s="16"/>
      <c r="B779" s="16"/>
      <c r="C779" s="15"/>
      <c r="D779" s="16"/>
      <c r="E779" s="17"/>
      <c r="F779" s="17"/>
      <c r="H779" s="19"/>
      <c r="I779" s="47"/>
      <c r="J779" s="48"/>
      <c r="K779" s="49"/>
    </row>
    <row r="780" spans="1:11" ht="12.75" hidden="1" x14ac:dyDescent="0.2">
      <c r="A780" s="16"/>
      <c r="B780" s="16"/>
      <c r="C780" s="15"/>
      <c r="D780" s="16"/>
      <c r="E780" s="17"/>
      <c r="F780" s="17"/>
      <c r="H780" s="19"/>
      <c r="I780" s="47"/>
      <c r="J780" s="48"/>
      <c r="K780" s="49"/>
    </row>
    <row r="781" spans="1:11" ht="12.75" hidden="1" x14ac:dyDescent="0.2">
      <c r="A781" s="16"/>
      <c r="B781" s="16"/>
      <c r="C781" s="15"/>
      <c r="D781" s="16"/>
      <c r="E781" s="17"/>
      <c r="F781" s="17"/>
      <c r="H781" s="19"/>
      <c r="I781" s="47"/>
      <c r="J781" s="48"/>
      <c r="K781" s="49"/>
    </row>
    <row r="782" spans="1:11" ht="12.75" hidden="1" x14ac:dyDescent="0.2">
      <c r="A782" s="16"/>
      <c r="B782" s="16"/>
      <c r="C782" s="15"/>
      <c r="D782" s="16"/>
      <c r="E782" s="17"/>
      <c r="F782" s="17"/>
      <c r="H782" s="19"/>
      <c r="I782" s="47"/>
      <c r="J782" s="48"/>
      <c r="K782" s="49"/>
    </row>
    <row r="783" spans="1:11" ht="12.75" hidden="1" x14ac:dyDescent="0.2">
      <c r="A783" s="16"/>
      <c r="B783" s="16"/>
      <c r="C783" s="15"/>
      <c r="D783" s="16"/>
      <c r="E783" s="17"/>
      <c r="F783" s="17"/>
      <c r="H783" s="19"/>
      <c r="I783" s="47"/>
      <c r="J783" s="48"/>
      <c r="K783" s="49"/>
    </row>
    <row r="784" spans="1:11" ht="12.75" hidden="1" x14ac:dyDescent="0.2">
      <c r="A784" s="16"/>
      <c r="B784" s="16"/>
      <c r="C784" s="15"/>
      <c r="D784" s="16"/>
      <c r="E784" s="17"/>
      <c r="F784" s="17"/>
      <c r="H784" s="19"/>
      <c r="I784" s="47"/>
      <c r="J784" s="48"/>
      <c r="K784" s="49"/>
    </row>
    <row r="785" spans="1:11" ht="12.75" hidden="1" x14ac:dyDescent="0.2">
      <c r="A785" s="16"/>
      <c r="B785" s="16"/>
      <c r="C785" s="15"/>
      <c r="D785" s="16"/>
      <c r="E785" s="17"/>
      <c r="F785" s="17"/>
      <c r="H785" s="19"/>
      <c r="I785" s="47"/>
      <c r="J785" s="48"/>
      <c r="K785" s="49"/>
    </row>
    <row r="786" spans="1:11" ht="12.75" hidden="1" x14ac:dyDescent="0.2">
      <c r="A786" s="16"/>
      <c r="B786" s="16"/>
      <c r="C786" s="15"/>
      <c r="D786" s="16"/>
      <c r="E786" s="17"/>
      <c r="F786" s="17"/>
      <c r="H786" s="19"/>
      <c r="I786" s="47"/>
      <c r="J786" s="48"/>
      <c r="K786" s="49"/>
    </row>
    <row r="787" spans="1:11" ht="12.75" hidden="1" x14ac:dyDescent="0.2">
      <c r="A787" s="16"/>
      <c r="B787" s="16"/>
      <c r="C787" s="15"/>
      <c r="D787" s="16"/>
      <c r="E787" s="17"/>
      <c r="F787" s="17"/>
      <c r="H787" s="19"/>
      <c r="I787" s="47"/>
      <c r="J787" s="48"/>
      <c r="K787" s="49"/>
    </row>
    <row r="788" spans="1:11" ht="12.75" hidden="1" x14ac:dyDescent="0.2">
      <c r="A788" s="16"/>
      <c r="B788" s="16"/>
      <c r="C788" s="15"/>
      <c r="D788" s="16"/>
      <c r="E788" s="17"/>
      <c r="F788" s="17"/>
      <c r="H788" s="19"/>
      <c r="I788" s="47"/>
      <c r="J788" s="48"/>
      <c r="K788" s="49"/>
    </row>
    <row r="789" spans="1:11" ht="12.75" hidden="1" x14ac:dyDescent="0.2">
      <c r="A789" s="16"/>
      <c r="B789" s="16"/>
      <c r="C789" s="15"/>
      <c r="D789" s="16"/>
      <c r="E789" s="17"/>
      <c r="F789" s="17"/>
      <c r="H789" s="19"/>
      <c r="I789" s="47"/>
      <c r="J789" s="48"/>
      <c r="K789" s="49"/>
    </row>
    <row r="790" spans="1:11" ht="12.75" hidden="1" x14ac:dyDescent="0.2">
      <c r="A790" s="16"/>
      <c r="B790" s="16"/>
      <c r="C790" s="15"/>
      <c r="D790" s="16"/>
      <c r="E790" s="17"/>
      <c r="F790" s="17"/>
      <c r="H790" s="19"/>
      <c r="I790" s="47"/>
      <c r="J790" s="48"/>
      <c r="K790" s="49"/>
    </row>
    <row r="791" spans="1:11" ht="12.75" hidden="1" x14ac:dyDescent="0.2">
      <c r="A791" s="16"/>
      <c r="B791" s="16"/>
      <c r="C791" s="15"/>
      <c r="D791" s="16"/>
      <c r="E791" s="17"/>
      <c r="F791" s="17"/>
      <c r="H791" s="19"/>
      <c r="I791" s="47"/>
      <c r="J791" s="48"/>
      <c r="K791" s="49"/>
    </row>
    <row r="792" spans="1:11" ht="12.75" hidden="1" x14ac:dyDescent="0.2">
      <c r="A792" s="16"/>
      <c r="B792" s="16"/>
      <c r="C792" s="15"/>
      <c r="D792" s="16"/>
      <c r="E792" s="17"/>
      <c r="F792" s="17"/>
      <c r="H792" s="19"/>
      <c r="I792" s="47"/>
      <c r="J792" s="48"/>
      <c r="K792" s="49"/>
    </row>
    <row r="793" spans="1:11" ht="12.75" hidden="1" x14ac:dyDescent="0.2">
      <c r="A793" s="16"/>
      <c r="B793" s="16"/>
      <c r="C793" s="15"/>
      <c r="D793" s="16"/>
      <c r="E793" s="17"/>
      <c r="F793" s="17"/>
      <c r="H793" s="19"/>
      <c r="I793" s="47"/>
      <c r="J793" s="48"/>
      <c r="K793" s="49"/>
    </row>
    <row r="794" spans="1:11" ht="12.75" hidden="1" x14ac:dyDescent="0.2">
      <c r="A794" s="16"/>
      <c r="B794" s="16"/>
      <c r="C794" s="15"/>
      <c r="D794" s="16"/>
      <c r="E794" s="17"/>
      <c r="F794" s="17"/>
      <c r="H794" s="19"/>
      <c r="I794" s="47"/>
      <c r="J794" s="48"/>
      <c r="K794" s="49"/>
    </row>
    <row r="795" spans="1:11" ht="12.75" hidden="1" x14ac:dyDescent="0.2">
      <c r="A795" s="16"/>
      <c r="B795" s="16"/>
      <c r="C795" s="15"/>
      <c r="D795" s="16"/>
      <c r="E795" s="17"/>
      <c r="F795" s="17"/>
      <c r="H795" s="19"/>
      <c r="I795" s="47"/>
      <c r="J795" s="48"/>
      <c r="K795" s="49"/>
    </row>
    <row r="796" spans="1:11" ht="12.75" hidden="1" x14ac:dyDescent="0.2">
      <c r="A796" s="16"/>
      <c r="B796" s="16"/>
      <c r="C796" s="15"/>
      <c r="D796" s="16"/>
      <c r="E796" s="17"/>
      <c r="F796" s="17"/>
      <c r="H796" s="19"/>
      <c r="I796" s="47"/>
      <c r="J796" s="48"/>
      <c r="K796" s="49"/>
    </row>
    <row r="797" spans="1:11" ht="12.75" hidden="1" x14ac:dyDescent="0.2">
      <c r="A797" s="16"/>
      <c r="B797" s="16"/>
      <c r="C797" s="15"/>
      <c r="D797" s="16"/>
      <c r="E797" s="17"/>
      <c r="F797" s="17"/>
      <c r="H797" s="19"/>
      <c r="I797" s="47"/>
      <c r="J797" s="48"/>
      <c r="K797" s="49"/>
    </row>
    <row r="798" spans="1:11" ht="12.75" hidden="1" x14ac:dyDescent="0.2">
      <c r="A798" s="16"/>
      <c r="B798" s="16"/>
      <c r="C798" s="15"/>
      <c r="D798" s="16"/>
      <c r="E798" s="17"/>
      <c r="F798" s="17"/>
      <c r="H798" s="19"/>
      <c r="I798" s="47"/>
      <c r="J798" s="48"/>
      <c r="K798" s="49"/>
    </row>
    <row r="799" spans="1:11" ht="12.75" hidden="1" x14ac:dyDescent="0.2">
      <c r="A799" s="16"/>
      <c r="B799" s="16"/>
      <c r="C799" s="15"/>
      <c r="D799" s="16"/>
      <c r="E799" s="17"/>
      <c r="F799" s="17"/>
      <c r="H799" s="19"/>
      <c r="I799" s="47"/>
      <c r="J799" s="48"/>
      <c r="K799" s="49"/>
    </row>
    <row r="800" spans="1:11" ht="12.75" hidden="1" x14ac:dyDescent="0.2">
      <c r="A800" s="16"/>
      <c r="B800" s="16"/>
      <c r="C800" s="15"/>
      <c r="D800" s="16"/>
      <c r="E800" s="17"/>
      <c r="F800" s="17"/>
      <c r="H800" s="19"/>
      <c r="I800" s="47"/>
      <c r="J800" s="48"/>
      <c r="K800" s="49"/>
    </row>
    <row r="801" spans="1:11" ht="12.75" hidden="1" x14ac:dyDescent="0.2">
      <c r="A801" s="16"/>
      <c r="B801" s="16"/>
      <c r="C801" s="15"/>
      <c r="D801" s="16"/>
      <c r="E801" s="17"/>
      <c r="F801" s="17"/>
      <c r="H801" s="19"/>
      <c r="I801" s="47"/>
      <c r="J801" s="48"/>
      <c r="K801" s="49"/>
    </row>
    <row r="802" spans="1:11" ht="12.75" hidden="1" x14ac:dyDescent="0.2">
      <c r="A802" s="16"/>
      <c r="B802" s="16"/>
      <c r="C802" s="15"/>
      <c r="D802" s="16"/>
      <c r="E802" s="17"/>
      <c r="F802" s="17"/>
      <c r="H802" s="19"/>
      <c r="I802" s="47"/>
      <c r="J802" s="48"/>
      <c r="K802" s="49"/>
    </row>
    <row r="803" spans="1:11" ht="12.75" hidden="1" x14ac:dyDescent="0.2">
      <c r="A803" s="16"/>
      <c r="B803" s="16"/>
      <c r="C803" s="15"/>
      <c r="D803" s="16"/>
      <c r="E803" s="17"/>
      <c r="F803" s="17"/>
      <c r="H803" s="19"/>
      <c r="I803" s="47"/>
      <c r="J803" s="48"/>
      <c r="K803" s="49"/>
    </row>
    <row r="804" spans="1:11" ht="12.75" hidden="1" x14ac:dyDescent="0.2">
      <c r="A804" s="16"/>
      <c r="B804" s="16"/>
      <c r="C804" s="15"/>
      <c r="D804" s="16"/>
      <c r="E804" s="17"/>
      <c r="F804" s="17"/>
      <c r="H804" s="19"/>
      <c r="I804" s="47"/>
      <c r="J804" s="48"/>
      <c r="K804" s="49"/>
    </row>
    <row r="805" spans="1:11" ht="12.75" hidden="1" x14ac:dyDescent="0.2">
      <c r="A805" s="16"/>
      <c r="B805" s="16"/>
      <c r="C805" s="15"/>
      <c r="D805" s="16"/>
      <c r="E805" s="17"/>
      <c r="F805" s="17"/>
      <c r="H805" s="19"/>
      <c r="I805" s="47"/>
      <c r="J805" s="48"/>
      <c r="K805" s="49"/>
    </row>
    <row r="806" spans="1:11" ht="12.75" hidden="1" x14ac:dyDescent="0.2">
      <c r="A806" s="16"/>
      <c r="B806" s="16"/>
      <c r="C806" s="15"/>
      <c r="D806" s="16"/>
      <c r="E806" s="17"/>
      <c r="F806" s="17"/>
      <c r="H806" s="19"/>
      <c r="I806" s="47"/>
      <c r="J806" s="48"/>
      <c r="K806" s="49"/>
    </row>
    <row r="807" spans="1:11" ht="12.75" hidden="1" x14ac:dyDescent="0.2">
      <c r="A807" s="16"/>
      <c r="B807" s="16"/>
      <c r="C807" s="15"/>
      <c r="D807" s="16"/>
      <c r="E807" s="17"/>
      <c r="F807" s="17"/>
      <c r="H807" s="19"/>
      <c r="I807" s="47"/>
      <c r="J807" s="48"/>
      <c r="K807" s="49"/>
    </row>
    <row r="808" spans="1:11" ht="12.75" hidden="1" x14ac:dyDescent="0.2">
      <c r="A808" s="16"/>
      <c r="B808" s="16"/>
      <c r="C808" s="15"/>
      <c r="D808" s="16"/>
      <c r="E808" s="17"/>
      <c r="F808" s="17"/>
      <c r="H808" s="19"/>
      <c r="I808" s="47"/>
      <c r="J808" s="48"/>
      <c r="K808" s="49"/>
    </row>
    <row r="809" spans="1:11" ht="12.75" hidden="1" x14ac:dyDescent="0.2">
      <c r="A809" s="16"/>
      <c r="B809" s="16"/>
      <c r="C809" s="15"/>
      <c r="D809" s="16"/>
      <c r="E809" s="17"/>
      <c r="F809" s="17"/>
      <c r="H809" s="19"/>
      <c r="I809" s="47"/>
      <c r="J809" s="48"/>
      <c r="K809" s="49"/>
    </row>
    <row r="810" spans="1:11" ht="12.75" hidden="1" x14ac:dyDescent="0.2">
      <c r="A810" s="16"/>
      <c r="B810" s="16"/>
      <c r="C810" s="15"/>
      <c r="D810" s="16"/>
      <c r="E810" s="17"/>
      <c r="F810" s="17"/>
      <c r="H810" s="19"/>
      <c r="I810" s="47"/>
      <c r="J810" s="48"/>
      <c r="K810" s="49"/>
    </row>
    <row r="811" spans="1:11" ht="12.75" hidden="1" x14ac:dyDescent="0.2">
      <c r="A811" s="16"/>
      <c r="B811" s="16"/>
      <c r="C811" s="15"/>
      <c r="D811" s="16"/>
      <c r="E811" s="17"/>
      <c r="F811" s="17"/>
      <c r="H811" s="19"/>
      <c r="I811" s="47"/>
      <c r="J811" s="48"/>
      <c r="K811" s="49"/>
    </row>
    <row r="812" spans="1:11" ht="12.75" hidden="1" x14ac:dyDescent="0.2">
      <c r="A812" s="16"/>
      <c r="B812" s="16"/>
      <c r="C812" s="15"/>
      <c r="D812" s="16"/>
      <c r="E812" s="17"/>
      <c r="F812" s="17"/>
      <c r="H812" s="19"/>
      <c r="I812" s="47"/>
      <c r="J812" s="48"/>
      <c r="K812" s="49"/>
    </row>
    <row r="813" spans="1:11" ht="12.75" hidden="1" x14ac:dyDescent="0.2">
      <c r="A813" s="16"/>
      <c r="B813" s="16"/>
      <c r="C813" s="15"/>
      <c r="D813" s="16"/>
      <c r="E813" s="17"/>
      <c r="F813" s="17"/>
      <c r="H813" s="19"/>
      <c r="I813" s="47"/>
      <c r="J813" s="48"/>
      <c r="K813" s="49"/>
    </row>
    <row r="814" spans="1:11" ht="12.75" hidden="1" x14ac:dyDescent="0.2">
      <c r="A814" s="16"/>
      <c r="B814" s="16"/>
      <c r="C814" s="15"/>
      <c r="D814" s="16"/>
      <c r="E814" s="17"/>
      <c r="F814" s="17"/>
      <c r="H814" s="19"/>
      <c r="I814" s="47"/>
      <c r="J814" s="48"/>
      <c r="K814" s="49"/>
    </row>
    <row r="815" spans="1:11" ht="12.75" hidden="1" x14ac:dyDescent="0.2">
      <c r="A815" s="16"/>
      <c r="B815" s="16"/>
      <c r="C815" s="15"/>
      <c r="D815" s="16"/>
      <c r="E815" s="17"/>
      <c r="F815" s="17"/>
      <c r="H815" s="19"/>
      <c r="I815" s="47"/>
      <c r="J815" s="48"/>
      <c r="K815" s="49"/>
    </row>
    <row r="816" spans="1:11" ht="12.75" hidden="1" x14ac:dyDescent="0.2">
      <c r="A816" s="16"/>
      <c r="B816" s="16"/>
      <c r="C816" s="15"/>
      <c r="D816" s="16"/>
      <c r="E816" s="17"/>
      <c r="F816" s="17"/>
      <c r="H816" s="19"/>
      <c r="I816" s="47"/>
      <c r="J816" s="48"/>
      <c r="K816" s="49"/>
    </row>
    <row r="817" spans="1:11" ht="12.75" hidden="1" x14ac:dyDescent="0.2">
      <c r="A817" s="16"/>
      <c r="B817" s="16"/>
      <c r="C817" s="15"/>
      <c r="D817" s="16"/>
      <c r="E817" s="17"/>
      <c r="F817" s="17"/>
      <c r="H817" s="19"/>
      <c r="I817" s="47"/>
      <c r="J817" s="48"/>
      <c r="K817" s="49"/>
    </row>
    <row r="818" spans="1:11" ht="12.75" hidden="1" x14ac:dyDescent="0.2">
      <c r="A818" s="16"/>
      <c r="B818" s="16"/>
      <c r="C818" s="15"/>
      <c r="D818" s="16"/>
      <c r="E818" s="17"/>
      <c r="F818" s="17"/>
      <c r="H818" s="19"/>
      <c r="I818" s="47"/>
      <c r="J818" s="48"/>
      <c r="K818" s="49"/>
    </row>
    <row r="819" spans="1:11" ht="12.75" hidden="1" x14ac:dyDescent="0.2">
      <c r="A819" s="16"/>
      <c r="B819" s="16"/>
      <c r="C819" s="15"/>
      <c r="D819" s="16"/>
      <c r="E819" s="17"/>
      <c r="F819" s="17"/>
      <c r="H819" s="19"/>
      <c r="I819" s="47"/>
      <c r="J819" s="48"/>
      <c r="K819" s="49"/>
    </row>
    <row r="820" spans="1:11" ht="12.75" hidden="1" x14ac:dyDescent="0.2">
      <c r="A820" s="16"/>
      <c r="B820" s="16"/>
      <c r="C820" s="15"/>
      <c r="D820" s="16"/>
      <c r="E820" s="17"/>
      <c r="F820" s="17"/>
      <c r="H820" s="19"/>
      <c r="I820" s="47"/>
      <c r="J820" s="48"/>
      <c r="K820" s="49"/>
    </row>
    <row r="821" spans="1:11" ht="12.75" hidden="1" x14ac:dyDescent="0.2">
      <c r="A821" s="16"/>
      <c r="B821" s="16"/>
      <c r="C821" s="15"/>
      <c r="D821" s="16"/>
      <c r="E821" s="17"/>
      <c r="F821" s="17"/>
      <c r="H821" s="19"/>
      <c r="I821" s="47"/>
      <c r="J821" s="48"/>
      <c r="K821" s="49"/>
    </row>
    <row r="822" spans="1:11" ht="12.75" hidden="1" x14ac:dyDescent="0.2">
      <c r="A822" s="16"/>
      <c r="B822" s="16"/>
      <c r="C822" s="15"/>
      <c r="D822" s="16"/>
      <c r="E822" s="17"/>
      <c r="F822" s="17"/>
      <c r="H822" s="19"/>
      <c r="I822" s="47"/>
      <c r="J822" s="48"/>
      <c r="K822" s="49"/>
    </row>
    <row r="823" spans="1:11" ht="12.75" hidden="1" x14ac:dyDescent="0.2">
      <c r="A823" s="16"/>
      <c r="B823" s="16"/>
      <c r="C823" s="15"/>
      <c r="D823" s="16"/>
      <c r="E823" s="17"/>
      <c r="F823" s="17"/>
      <c r="H823" s="19"/>
      <c r="I823" s="47"/>
      <c r="J823" s="48"/>
      <c r="K823" s="49"/>
    </row>
    <row r="824" spans="1:11" ht="12.75" hidden="1" x14ac:dyDescent="0.2">
      <c r="A824" s="16"/>
      <c r="B824" s="16"/>
      <c r="C824" s="15"/>
      <c r="D824" s="16"/>
      <c r="E824" s="17"/>
      <c r="F824" s="17"/>
      <c r="H824" s="19"/>
      <c r="I824" s="47"/>
      <c r="J824" s="48"/>
      <c r="K824" s="49"/>
    </row>
    <row r="825" spans="1:11" ht="12.75" hidden="1" x14ac:dyDescent="0.2">
      <c r="A825" s="16"/>
      <c r="B825" s="16"/>
      <c r="C825" s="15"/>
      <c r="D825" s="16"/>
      <c r="E825" s="17"/>
      <c r="F825" s="17"/>
      <c r="H825" s="19"/>
      <c r="I825" s="47"/>
      <c r="J825" s="48"/>
      <c r="K825" s="49"/>
    </row>
    <row r="826" spans="1:11" ht="12.75" hidden="1" x14ac:dyDescent="0.2">
      <c r="A826" s="16"/>
      <c r="B826" s="16"/>
      <c r="C826" s="15"/>
      <c r="D826" s="16"/>
      <c r="E826" s="17"/>
      <c r="F826" s="17"/>
      <c r="H826" s="19"/>
      <c r="I826" s="47"/>
      <c r="J826" s="48"/>
      <c r="K826" s="49"/>
    </row>
    <row r="827" spans="1:11" ht="12.75" hidden="1" x14ac:dyDescent="0.2">
      <c r="A827" s="16"/>
      <c r="B827" s="16"/>
      <c r="C827" s="15"/>
      <c r="D827" s="16"/>
      <c r="E827" s="17"/>
      <c r="F827" s="17"/>
      <c r="H827" s="19"/>
      <c r="I827" s="47"/>
      <c r="J827" s="48"/>
      <c r="K827" s="49"/>
    </row>
    <row r="828" spans="1:11" ht="12.75" hidden="1" x14ac:dyDescent="0.2">
      <c r="A828" s="16"/>
      <c r="B828" s="16"/>
      <c r="C828" s="15"/>
      <c r="D828" s="16"/>
      <c r="E828" s="17"/>
      <c r="F828" s="17"/>
      <c r="H828" s="19"/>
      <c r="I828" s="47"/>
      <c r="J828" s="48"/>
      <c r="K828" s="49"/>
    </row>
    <row r="829" spans="1:11" ht="12.75" hidden="1" x14ac:dyDescent="0.2">
      <c r="A829" s="16"/>
      <c r="B829" s="16"/>
      <c r="C829" s="15"/>
      <c r="D829" s="16"/>
      <c r="E829" s="17"/>
      <c r="F829" s="17"/>
      <c r="H829" s="19"/>
      <c r="I829" s="47"/>
      <c r="J829" s="48"/>
      <c r="K829" s="49"/>
    </row>
    <row r="830" spans="1:11" ht="12.75" hidden="1" x14ac:dyDescent="0.2">
      <c r="A830" s="16"/>
      <c r="B830" s="16"/>
      <c r="C830" s="15"/>
      <c r="D830" s="16"/>
      <c r="E830" s="17"/>
      <c r="F830" s="17"/>
      <c r="H830" s="19"/>
      <c r="I830" s="47"/>
      <c r="J830" s="48"/>
      <c r="K830" s="49"/>
    </row>
    <row r="831" spans="1:11" ht="12.75" hidden="1" x14ac:dyDescent="0.2">
      <c r="A831" s="16"/>
      <c r="B831" s="16"/>
      <c r="C831" s="15"/>
      <c r="D831" s="16"/>
      <c r="E831" s="17"/>
      <c r="F831" s="17"/>
      <c r="H831" s="19"/>
      <c r="I831" s="47"/>
      <c r="J831" s="48"/>
      <c r="K831" s="49"/>
    </row>
    <row r="832" spans="1:11" ht="12.75" hidden="1" x14ac:dyDescent="0.2">
      <c r="A832" s="16"/>
      <c r="B832" s="16"/>
      <c r="C832" s="15"/>
      <c r="D832" s="16"/>
      <c r="E832" s="17"/>
      <c r="F832" s="17"/>
      <c r="H832" s="19"/>
      <c r="I832" s="47"/>
      <c r="J832" s="48"/>
      <c r="K832" s="49"/>
    </row>
    <row r="833" spans="1:11" ht="12.75" hidden="1" x14ac:dyDescent="0.2">
      <c r="A833" s="16"/>
      <c r="B833" s="16"/>
      <c r="C833" s="15"/>
      <c r="D833" s="16"/>
      <c r="E833" s="17"/>
      <c r="F833" s="17"/>
      <c r="H833" s="19"/>
      <c r="I833" s="47"/>
      <c r="J833" s="48"/>
      <c r="K833" s="49"/>
    </row>
    <row r="834" spans="1:11" ht="12.75" hidden="1" x14ac:dyDescent="0.2">
      <c r="A834" s="16"/>
      <c r="B834" s="16"/>
      <c r="C834" s="15"/>
      <c r="D834" s="16"/>
      <c r="E834" s="17"/>
      <c r="F834" s="17"/>
      <c r="H834" s="19"/>
      <c r="I834" s="47"/>
      <c r="J834" s="48"/>
      <c r="K834" s="49"/>
    </row>
    <row r="835" spans="1:11" ht="12.75" hidden="1" x14ac:dyDescent="0.2">
      <c r="A835" s="16"/>
      <c r="B835" s="16"/>
      <c r="C835" s="15"/>
      <c r="D835" s="16"/>
      <c r="E835" s="17"/>
      <c r="F835" s="17"/>
      <c r="H835" s="19"/>
      <c r="I835" s="47"/>
      <c r="J835" s="48"/>
      <c r="K835" s="49"/>
    </row>
    <row r="836" spans="1:11" ht="12.75" hidden="1" x14ac:dyDescent="0.2">
      <c r="A836" s="16"/>
      <c r="B836" s="16"/>
      <c r="C836" s="15"/>
      <c r="D836" s="16"/>
      <c r="E836" s="17"/>
      <c r="F836" s="17"/>
      <c r="H836" s="19"/>
      <c r="I836" s="47"/>
      <c r="J836" s="48"/>
      <c r="K836" s="49"/>
    </row>
    <row r="837" spans="1:11" ht="12.75" hidden="1" x14ac:dyDescent="0.2">
      <c r="A837" s="16"/>
      <c r="B837" s="16"/>
      <c r="C837" s="15"/>
      <c r="D837" s="16"/>
      <c r="E837" s="17"/>
      <c r="F837" s="17"/>
      <c r="H837" s="19"/>
      <c r="I837" s="47"/>
      <c r="J837" s="48"/>
      <c r="K837" s="49"/>
    </row>
    <row r="838" spans="1:11" ht="12.75" hidden="1" x14ac:dyDescent="0.2">
      <c r="A838" s="16"/>
      <c r="B838" s="16"/>
      <c r="C838" s="15"/>
      <c r="D838" s="16"/>
      <c r="E838" s="17"/>
      <c r="F838" s="17"/>
      <c r="H838" s="19"/>
      <c r="I838" s="47"/>
      <c r="J838" s="48"/>
      <c r="K838" s="49"/>
    </row>
    <row r="839" spans="1:11" ht="12.75" hidden="1" x14ac:dyDescent="0.2">
      <c r="A839" s="16"/>
      <c r="B839" s="16"/>
      <c r="C839" s="15"/>
      <c r="D839" s="16"/>
      <c r="E839" s="17"/>
      <c r="F839" s="17"/>
      <c r="H839" s="19"/>
      <c r="I839" s="47"/>
      <c r="J839" s="48"/>
      <c r="K839" s="49"/>
    </row>
    <row r="840" spans="1:11" ht="12.75" hidden="1" x14ac:dyDescent="0.2">
      <c r="A840" s="16"/>
      <c r="B840" s="16"/>
      <c r="C840" s="15"/>
      <c r="D840" s="16"/>
      <c r="E840" s="17"/>
      <c r="F840" s="17"/>
      <c r="H840" s="19"/>
      <c r="I840" s="47"/>
      <c r="J840" s="48"/>
      <c r="K840" s="49"/>
    </row>
    <row r="841" spans="1:11" ht="12.75" hidden="1" x14ac:dyDescent="0.2">
      <c r="A841" s="16"/>
      <c r="B841" s="16"/>
      <c r="C841" s="15"/>
      <c r="D841" s="16"/>
      <c r="E841" s="17"/>
      <c r="F841" s="17"/>
      <c r="H841" s="19"/>
      <c r="I841" s="47"/>
      <c r="J841" s="48"/>
      <c r="K841" s="49"/>
    </row>
    <row r="842" spans="1:11" ht="12.75" hidden="1" x14ac:dyDescent="0.2">
      <c r="A842" s="16"/>
      <c r="B842" s="16"/>
      <c r="C842" s="15"/>
      <c r="D842" s="16"/>
      <c r="E842" s="17"/>
      <c r="F842" s="17"/>
      <c r="H842" s="19"/>
      <c r="I842" s="47"/>
      <c r="J842" s="48"/>
      <c r="K842" s="49"/>
    </row>
    <row r="843" spans="1:11" ht="12.75" hidden="1" x14ac:dyDescent="0.2">
      <c r="A843" s="16"/>
      <c r="B843" s="16"/>
      <c r="C843" s="15"/>
      <c r="D843" s="16"/>
      <c r="E843" s="17"/>
      <c r="F843" s="17"/>
      <c r="H843" s="19"/>
      <c r="I843" s="47"/>
      <c r="J843" s="48"/>
      <c r="K843" s="49"/>
    </row>
    <row r="844" spans="1:11" ht="12.75" hidden="1" x14ac:dyDescent="0.2">
      <c r="A844" s="16"/>
      <c r="B844" s="16"/>
      <c r="C844" s="15"/>
      <c r="D844" s="16"/>
      <c r="E844" s="17"/>
      <c r="F844" s="17"/>
      <c r="H844" s="19"/>
      <c r="I844" s="47"/>
      <c r="J844" s="48"/>
      <c r="K844" s="49"/>
    </row>
    <row r="845" spans="1:11" ht="12.75" hidden="1" x14ac:dyDescent="0.2">
      <c r="A845" s="16"/>
      <c r="B845" s="16"/>
      <c r="C845" s="15"/>
      <c r="D845" s="16"/>
      <c r="E845" s="17"/>
      <c r="F845" s="17"/>
      <c r="H845" s="19"/>
      <c r="I845" s="47"/>
      <c r="J845" s="48"/>
      <c r="K845" s="49"/>
    </row>
    <row r="846" spans="1:11" ht="12.75" hidden="1" x14ac:dyDescent="0.2">
      <c r="A846" s="16"/>
      <c r="B846" s="16"/>
      <c r="C846" s="15"/>
      <c r="D846" s="16"/>
      <c r="E846" s="17"/>
      <c r="F846" s="17"/>
      <c r="H846" s="19"/>
      <c r="I846" s="47"/>
      <c r="J846" s="48"/>
      <c r="K846" s="49"/>
    </row>
    <row r="847" spans="1:11" ht="12.75" hidden="1" x14ac:dyDescent="0.2">
      <c r="A847" s="16"/>
      <c r="B847" s="16"/>
      <c r="C847" s="15"/>
      <c r="D847" s="16"/>
      <c r="E847" s="17"/>
      <c r="F847" s="17"/>
      <c r="H847" s="19"/>
      <c r="I847" s="47"/>
      <c r="J847" s="48"/>
      <c r="K847" s="49"/>
    </row>
    <row r="848" spans="1:11" ht="12.75" hidden="1" x14ac:dyDescent="0.2">
      <c r="A848" s="16"/>
      <c r="B848" s="16"/>
      <c r="C848" s="15"/>
      <c r="D848" s="16"/>
      <c r="E848" s="17"/>
      <c r="F848" s="17"/>
      <c r="H848" s="19"/>
      <c r="I848" s="47"/>
      <c r="J848" s="48"/>
      <c r="K848" s="49"/>
    </row>
    <row r="849" spans="1:11" ht="12.75" hidden="1" x14ac:dyDescent="0.2">
      <c r="A849" s="16"/>
      <c r="B849" s="16"/>
      <c r="C849" s="15"/>
      <c r="D849" s="16"/>
      <c r="E849" s="17"/>
      <c r="F849" s="17"/>
      <c r="H849" s="19"/>
      <c r="I849" s="47"/>
      <c r="J849" s="48"/>
      <c r="K849" s="49"/>
    </row>
    <row r="850" spans="1:11" ht="12.75" hidden="1" x14ac:dyDescent="0.2">
      <c r="A850" s="16"/>
      <c r="B850" s="16"/>
      <c r="C850" s="15"/>
      <c r="D850" s="16"/>
      <c r="E850" s="17"/>
      <c r="F850" s="17"/>
      <c r="H850" s="19"/>
      <c r="I850" s="47"/>
      <c r="J850" s="48"/>
      <c r="K850" s="49"/>
    </row>
    <row r="851" spans="1:11" ht="12.75" hidden="1" x14ac:dyDescent="0.2">
      <c r="A851" s="16"/>
      <c r="B851" s="16"/>
      <c r="C851" s="15"/>
      <c r="D851" s="16"/>
      <c r="E851" s="17"/>
      <c r="F851" s="17"/>
      <c r="H851" s="19"/>
      <c r="I851" s="47"/>
      <c r="J851" s="48"/>
      <c r="K851" s="49"/>
    </row>
    <row r="852" spans="1:11" ht="12.75" hidden="1" x14ac:dyDescent="0.2">
      <c r="A852" s="16"/>
      <c r="B852" s="16"/>
      <c r="C852" s="15"/>
      <c r="D852" s="16"/>
      <c r="E852" s="17"/>
      <c r="F852" s="17"/>
      <c r="H852" s="19"/>
      <c r="I852" s="47"/>
      <c r="J852" s="48"/>
      <c r="K852" s="49"/>
    </row>
    <row r="853" spans="1:11" ht="12.75" hidden="1" x14ac:dyDescent="0.2">
      <c r="A853" s="16"/>
      <c r="B853" s="16"/>
      <c r="C853" s="15"/>
      <c r="D853" s="16"/>
      <c r="E853" s="17"/>
      <c r="F853" s="17"/>
      <c r="H853" s="50"/>
      <c r="I853" s="51"/>
      <c r="J853" s="52"/>
      <c r="K853" s="53"/>
    </row>
  </sheetData>
  <autoFilter ref="A6:I215" xr:uid="{00000000-0009-0000-0000-00000B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6:C853">
    <cfRule type="cellIs" dxfId="13" priority="4" operator="lessThan">
      <formula>"92%"</formula>
    </cfRule>
  </conditionalFormatting>
  <conditionalFormatting sqref="C7:C215">
    <cfRule type="cellIs" dxfId="12" priority="1" operator="lessThan">
      <formula>"90%"</formula>
    </cfRule>
    <cfRule type="cellIs" dxfId="11" priority="2" operator="lessThan">
      <formula>"94%"</formula>
    </cfRule>
  </conditionalFormatting>
  <conditionalFormatting sqref="K1:K853">
    <cfRule type="cellIs" dxfId="10" priority="3" operator="lessThan">
      <formula>0</formula>
    </cfRule>
  </conditionalFormatting>
  <dataValidations count="1">
    <dataValidation type="list" allowBlank="1" sqref="E7:E215" xr:uid="{00000000-0002-0000-0B00-000000000000}">
      <formula1>"Weather,Health,Safety,Other"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73763"/>
    <outlinePr summaryBelow="0" summaryRight="0"/>
    <pageSetUpPr fitToPage="1"/>
  </sheetPr>
  <dimension ref="A1:K853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15.85546875" customWidth="1"/>
    <col min="6" max="6" width="16.7109375" customWidth="1"/>
    <col min="7" max="7" width="12.42578125" customWidth="1"/>
    <col min="8" max="10" width="16.28515625" customWidth="1"/>
    <col min="11" max="11" width="17.42578125" customWidth="1"/>
  </cols>
  <sheetData>
    <row r="1" spans="1:11" ht="26.25" x14ac:dyDescent="0.35">
      <c r="A1" s="1"/>
      <c r="B1" s="1"/>
      <c r="C1" s="1"/>
      <c r="D1" s="1"/>
      <c r="E1" s="1"/>
      <c r="F1" s="1"/>
      <c r="G1" s="1"/>
      <c r="H1" s="2"/>
      <c r="I1" s="2"/>
      <c r="J1" s="3"/>
      <c r="K1" s="55">
        <f>SUM(K7:K215)</f>
        <v>-5252.8672499999884</v>
      </c>
    </row>
    <row r="2" spans="1:11" x14ac:dyDescent="0.25">
      <c r="A2" s="122" t="s">
        <v>246</v>
      </c>
      <c r="B2" s="119"/>
      <c r="C2" s="119"/>
      <c r="D2" s="119"/>
      <c r="E2" s="119"/>
      <c r="F2" s="119"/>
      <c r="G2" s="119"/>
      <c r="H2" s="123" t="s">
        <v>0</v>
      </c>
      <c r="I2" s="124"/>
      <c r="J2" s="5" t="s">
        <v>9</v>
      </c>
      <c r="K2" s="125" t="s">
        <v>257</v>
      </c>
    </row>
    <row r="3" spans="1:11" ht="23.25" x14ac:dyDescent="0.3">
      <c r="A3" s="119"/>
      <c r="B3" s="119"/>
      <c r="C3" s="119"/>
      <c r="D3" s="119"/>
      <c r="E3" s="119"/>
      <c r="F3" s="119"/>
      <c r="G3" s="119"/>
      <c r="H3" s="126">
        <f>SUM(I7:I128)</f>
        <v>863403.91775000014</v>
      </c>
      <c r="I3" s="124"/>
      <c r="J3" s="127">
        <v>0.95</v>
      </c>
      <c r="K3" s="124"/>
    </row>
    <row r="4" spans="1:11" ht="12.75" x14ac:dyDescent="0.2">
      <c r="A4" s="119"/>
      <c r="B4" s="119"/>
      <c r="C4" s="119"/>
      <c r="D4" s="119"/>
      <c r="E4" s="119"/>
      <c r="F4" s="119"/>
      <c r="G4" s="119"/>
      <c r="H4" s="129" t="s">
        <v>11</v>
      </c>
      <c r="I4" s="119"/>
      <c r="J4" s="128"/>
      <c r="K4" s="124"/>
    </row>
    <row r="5" spans="1:11" ht="15" x14ac:dyDescent="0.35">
      <c r="A5" s="119"/>
      <c r="B5" s="119"/>
      <c r="C5" s="119"/>
      <c r="D5" s="119"/>
      <c r="E5" s="119"/>
      <c r="F5" s="119"/>
      <c r="G5" s="119"/>
      <c r="H5" s="130">
        <v>55</v>
      </c>
      <c r="I5" s="119"/>
      <c r="J5" s="128"/>
      <c r="K5" s="124"/>
    </row>
    <row r="6" spans="1:11" ht="24" x14ac:dyDescent="0.2">
      <c r="A6" s="6" t="s">
        <v>12</v>
      </c>
      <c r="B6" s="7" t="s">
        <v>13</v>
      </c>
      <c r="C6" s="8" t="s">
        <v>14</v>
      </c>
      <c r="D6" s="7" t="s">
        <v>15</v>
      </c>
      <c r="E6" s="9" t="s">
        <v>16</v>
      </c>
      <c r="F6" s="7" t="s">
        <v>17</v>
      </c>
      <c r="G6" s="7" t="s">
        <v>18</v>
      </c>
      <c r="H6" s="10" t="s">
        <v>19</v>
      </c>
      <c r="I6" s="11" t="s">
        <v>20</v>
      </c>
      <c r="J6" s="12" t="s">
        <v>21</v>
      </c>
      <c r="K6" s="124"/>
    </row>
    <row r="7" spans="1:11" ht="12.75" x14ac:dyDescent="0.2">
      <c r="A7" s="13">
        <v>45516</v>
      </c>
      <c r="B7" s="14" t="s">
        <v>3</v>
      </c>
      <c r="C7" s="15">
        <v>1</v>
      </c>
      <c r="D7" s="16" t="s">
        <v>22</v>
      </c>
      <c r="E7" s="17"/>
      <c r="F7" s="17"/>
      <c r="G7" s="18">
        <v>2360</v>
      </c>
      <c r="H7" s="19">
        <f t="shared" ref="H7:H215" si="0">G7-(C7*G7)</f>
        <v>0</v>
      </c>
      <c r="I7" s="20">
        <f t="shared" ref="I7:I215" si="1">H7*$H$5</f>
        <v>0</v>
      </c>
      <c r="J7" s="21">
        <v>0</v>
      </c>
      <c r="K7" s="22">
        <f t="shared" ref="K7:K215" si="2">J7-H7</f>
        <v>0</v>
      </c>
    </row>
    <row r="8" spans="1:11" ht="12.75" x14ac:dyDescent="0.2">
      <c r="A8" s="13">
        <v>45517</v>
      </c>
      <c r="B8" s="14" t="s">
        <v>4</v>
      </c>
      <c r="C8" s="15">
        <v>0.97960000000000003</v>
      </c>
      <c r="D8" s="16" t="s">
        <v>22</v>
      </c>
      <c r="E8" s="17"/>
      <c r="F8" s="17"/>
      <c r="G8" s="18">
        <v>2447</v>
      </c>
      <c r="H8" s="19">
        <f t="shared" si="0"/>
        <v>49.918799999999919</v>
      </c>
      <c r="I8" s="20">
        <f t="shared" si="1"/>
        <v>2745.5339999999956</v>
      </c>
      <c r="J8" s="21">
        <f t="shared" ref="J8:J215" si="3">G8-(G8*J$3)</f>
        <v>122.34999999999991</v>
      </c>
      <c r="K8" s="22">
        <f t="shared" si="2"/>
        <v>72.43119999999999</v>
      </c>
    </row>
    <row r="9" spans="1:11" ht="12.75" x14ac:dyDescent="0.2">
      <c r="A9" s="13">
        <v>45518</v>
      </c>
      <c r="B9" s="14" t="s">
        <v>5</v>
      </c>
      <c r="C9" s="15">
        <v>0.97260000000000002</v>
      </c>
      <c r="D9" s="16" t="s">
        <v>22</v>
      </c>
      <c r="E9" s="17"/>
      <c r="F9" s="17"/>
      <c r="G9" s="18">
        <v>2520</v>
      </c>
      <c r="H9" s="19">
        <f t="shared" si="0"/>
        <v>69.047999999999774</v>
      </c>
      <c r="I9" s="20">
        <f t="shared" si="1"/>
        <v>3797.6399999999876</v>
      </c>
      <c r="J9" s="21">
        <f t="shared" si="3"/>
        <v>126</v>
      </c>
      <c r="K9" s="22">
        <f t="shared" si="2"/>
        <v>56.952000000000226</v>
      </c>
    </row>
    <row r="10" spans="1:11" ht="12.75" x14ac:dyDescent="0.2">
      <c r="A10" s="13">
        <v>45519</v>
      </c>
      <c r="B10" s="14" t="s">
        <v>6</v>
      </c>
      <c r="C10" s="15">
        <v>0.96760000000000002</v>
      </c>
      <c r="D10" s="16" t="s">
        <v>22</v>
      </c>
      <c r="E10" s="17"/>
      <c r="F10" s="17"/>
      <c r="G10" s="18">
        <v>2529</v>
      </c>
      <c r="H10" s="19">
        <f t="shared" si="0"/>
        <v>81.939600000000155</v>
      </c>
      <c r="I10" s="20">
        <f t="shared" si="1"/>
        <v>4506.678000000009</v>
      </c>
      <c r="J10" s="21">
        <f t="shared" si="3"/>
        <v>126.45000000000027</v>
      </c>
      <c r="K10" s="22">
        <f t="shared" si="2"/>
        <v>44.510400000000118</v>
      </c>
    </row>
    <row r="11" spans="1:11" ht="12.75" x14ac:dyDescent="0.2">
      <c r="A11" s="13">
        <v>45520</v>
      </c>
      <c r="B11" s="14" t="s">
        <v>7</v>
      </c>
      <c r="C11" s="15">
        <v>0.95550000000000002</v>
      </c>
      <c r="D11" s="16" t="s">
        <v>22</v>
      </c>
      <c r="E11" s="17"/>
      <c r="F11" s="17"/>
      <c r="G11" s="18">
        <v>2538</v>
      </c>
      <c r="H11" s="19">
        <f t="shared" si="0"/>
        <v>112.9409999999998</v>
      </c>
      <c r="I11" s="20">
        <f t="shared" si="1"/>
        <v>6211.7549999999892</v>
      </c>
      <c r="J11" s="21">
        <f t="shared" si="3"/>
        <v>126.90000000000009</v>
      </c>
      <c r="K11" s="22">
        <f t="shared" si="2"/>
        <v>13.959000000000287</v>
      </c>
    </row>
    <row r="12" spans="1:11" ht="12.75" x14ac:dyDescent="0.2">
      <c r="A12" s="13">
        <v>45523</v>
      </c>
      <c r="B12" s="14" t="s">
        <v>3</v>
      </c>
      <c r="C12" s="15">
        <v>0.95409999999999995</v>
      </c>
      <c r="D12" s="16" t="s">
        <v>22</v>
      </c>
      <c r="E12" s="17"/>
      <c r="F12" s="17"/>
      <c r="G12" s="18">
        <v>2570</v>
      </c>
      <c r="H12" s="19">
        <f t="shared" si="0"/>
        <v>117.96300000000019</v>
      </c>
      <c r="I12" s="20">
        <f t="shared" si="1"/>
        <v>6487.9650000000111</v>
      </c>
      <c r="J12" s="21">
        <f t="shared" si="3"/>
        <v>128.5</v>
      </c>
      <c r="K12" s="22">
        <f t="shared" si="2"/>
        <v>10.536999999999807</v>
      </c>
    </row>
    <row r="13" spans="1:11" ht="12.75" x14ac:dyDescent="0.2">
      <c r="A13" s="13">
        <v>45524</v>
      </c>
      <c r="B13" s="14" t="s">
        <v>4</v>
      </c>
      <c r="C13" s="15">
        <v>0.95930000000000004</v>
      </c>
      <c r="D13" s="16" t="s">
        <v>22</v>
      </c>
      <c r="E13" s="17"/>
      <c r="F13" s="17"/>
      <c r="G13" s="18">
        <v>2580</v>
      </c>
      <c r="H13" s="19">
        <f t="shared" si="0"/>
        <v>105.00599999999986</v>
      </c>
      <c r="I13" s="20">
        <f t="shared" si="1"/>
        <v>5775.3299999999927</v>
      </c>
      <c r="J13" s="21">
        <f t="shared" si="3"/>
        <v>129</v>
      </c>
      <c r="K13" s="22">
        <f t="shared" si="2"/>
        <v>23.994000000000142</v>
      </c>
    </row>
    <row r="14" spans="1:11" ht="12.75" x14ac:dyDescent="0.2">
      <c r="A14" s="13">
        <v>45525</v>
      </c>
      <c r="B14" s="14" t="s">
        <v>5</v>
      </c>
      <c r="C14" s="15">
        <v>0.96250000000000002</v>
      </c>
      <c r="D14" s="16" t="s">
        <v>22</v>
      </c>
      <c r="E14" s="17"/>
      <c r="F14" s="17"/>
      <c r="G14" s="18">
        <v>2587</v>
      </c>
      <c r="H14" s="19">
        <f t="shared" si="0"/>
        <v>97.012499999999818</v>
      </c>
      <c r="I14" s="20">
        <f t="shared" si="1"/>
        <v>5335.68749999999</v>
      </c>
      <c r="J14" s="21">
        <f t="shared" si="3"/>
        <v>129.34999999999991</v>
      </c>
      <c r="K14" s="22">
        <f t="shared" si="2"/>
        <v>32.337500000000091</v>
      </c>
    </row>
    <row r="15" spans="1:11" ht="12.75" x14ac:dyDescent="0.2">
      <c r="A15" s="13">
        <v>45526</v>
      </c>
      <c r="B15" s="14" t="s">
        <v>6</v>
      </c>
      <c r="C15" s="15">
        <v>0.9526</v>
      </c>
      <c r="D15" s="16" t="s">
        <v>22</v>
      </c>
      <c r="E15" s="17"/>
      <c r="F15" s="17"/>
      <c r="G15" s="18">
        <v>2594</v>
      </c>
      <c r="H15" s="19">
        <f t="shared" si="0"/>
        <v>122.95559999999978</v>
      </c>
      <c r="I15" s="20">
        <f t="shared" si="1"/>
        <v>6762.5579999999882</v>
      </c>
      <c r="J15" s="21">
        <f t="shared" si="3"/>
        <v>129.70000000000027</v>
      </c>
      <c r="K15" s="22">
        <f t="shared" si="2"/>
        <v>6.7444000000004962</v>
      </c>
    </row>
    <row r="16" spans="1:11" ht="12.75" x14ac:dyDescent="0.2">
      <c r="A16" s="13">
        <v>45527</v>
      </c>
      <c r="B16" s="14" t="s">
        <v>7</v>
      </c>
      <c r="C16" s="15">
        <v>0.9415</v>
      </c>
      <c r="D16" s="16" t="s">
        <v>22</v>
      </c>
      <c r="E16" s="17"/>
      <c r="F16" s="17"/>
      <c r="G16" s="18">
        <v>2597</v>
      </c>
      <c r="H16" s="19">
        <f t="shared" si="0"/>
        <v>151.92450000000008</v>
      </c>
      <c r="I16" s="20">
        <f t="shared" si="1"/>
        <v>8355.8475000000035</v>
      </c>
      <c r="J16" s="21">
        <f t="shared" si="3"/>
        <v>129.84999999999991</v>
      </c>
      <c r="K16" s="22">
        <f t="shared" si="2"/>
        <v>-22.074500000000171</v>
      </c>
    </row>
    <row r="17" spans="1:11" ht="12.75" x14ac:dyDescent="0.2">
      <c r="A17" s="13">
        <v>45530</v>
      </c>
      <c r="B17" s="14" t="s">
        <v>3</v>
      </c>
      <c r="C17" s="15">
        <v>0.94510000000000005</v>
      </c>
      <c r="D17" s="16" t="s">
        <v>22</v>
      </c>
      <c r="E17" s="17"/>
      <c r="F17" s="17"/>
      <c r="G17" s="18">
        <v>2606</v>
      </c>
      <c r="H17" s="19">
        <f t="shared" si="0"/>
        <v>143.06939999999986</v>
      </c>
      <c r="I17" s="20">
        <f t="shared" si="1"/>
        <v>7868.8169999999918</v>
      </c>
      <c r="J17" s="21">
        <f t="shared" si="3"/>
        <v>130.30000000000018</v>
      </c>
      <c r="K17" s="22">
        <f t="shared" si="2"/>
        <v>-12.769399999999678</v>
      </c>
    </row>
    <row r="18" spans="1:11" ht="12.75" x14ac:dyDescent="0.2">
      <c r="A18" s="13">
        <v>45531</v>
      </c>
      <c r="B18" s="14" t="s">
        <v>4</v>
      </c>
      <c r="C18" s="15">
        <v>0.94369999999999998</v>
      </c>
      <c r="D18" s="16" t="s">
        <v>22</v>
      </c>
      <c r="E18" s="17"/>
      <c r="F18" s="17"/>
      <c r="G18" s="18">
        <v>2614</v>
      </c>
      <c r="H18" s="19">
        <f t="shared" si="0"/>
        <v>147.16820000000007</v>
      </c>
      <c r="I18" s="20">
        <f t="shared" si="1"/>
        <v>8094.2510000000038</v>
      </c>
      <c r="J18" s="21">
        <f t="shared" si="3"/>
        <v>130.70000000000027</v>
      </c>
      <c r="K18" s="22">
        <f t="shared" si="2"/>
        <v>-16.468199999999797</v>
      </c>
    </row>
    <row r="19" spans="1:11" ht="12.75" x14ac:dyDescent="0.2">
      <c r="A19" s="13">
        <v>45532</v>
      </c>
      <c r="B19" s="14" t="s">
        <v>5</v>
      </c>
      <c r="C19" s="15">
        <v>0.94950000000000001</v>
      </c>
      <c r="D19" s="16" t="s">
        <v>22</v>
      </c>
      <c r="E19" s="17"/>
      <c r="F19" s="23"/>
      <c r="G19" s="18">
        <v>2612</v>
      </c>
      <c r="H19" s="19">
        <f t="shared" si="0"/>
        <v>131.90599999999995</v>
      </c>
      <c r="I19" s="20">
        <f t="shared" si="1"/>
        <v>7254.8299999999972</v>
      </c>
      <c r="J19" s="21">
        <f t="shared" si="3"/>
        <v>130.59999999999991</v>
      </c>
      <c r="K19" s="22">
        <f t="shared" si="2"/>
        <v>-1.30600000000004</v>
      </c>
    </row>
    <row r="20" spans="1:11" ht="12.75" x14ac:dyDescent="0.2">
      <c r="A20" s="13">
        <v>45533</v>
      </c>
      <c r="B20" s="14" t="s">
        <v>6</v>
      </c>
      <c r="C20" s="15">
        <v>0.94850000000000001</v>
      </c>
      <c r="D20" s="16" t="s">
        <v>22</v>
      </c>
      <c r="E20" s="17"/>
      <c r="F20" s="17"/>
      <c r="G20" s="18">
        <v>2619</v>
      </c>
      <c r="H20" s="19">
        <f t="shared" si="0"/>
        <v>134.8784999999998</v>
      </c>
      <c r="I20" s="20">
        <f t="shared" si="1"/>
        <v>7418.3174999999892</v>
      </c>
      <c r="J20" s="21">
        <f t="shared" si="3"/>
        <v>130.95000000000027</v>
      </c>
      <c r="K20" s="22">
        <f t="shared" si="2"/>
        <v>-3.9284999999995307</v>
      </c>
    </row>
    <row r="21" spans="1:11" ht="12.75" x14ac:dyDescent="0.2">
      <c r="A21" s="13">
        <v>45534</v>
      </c>
      <c r="B21" s="14" t="s">
        <v>7</v>
      </c>
      <c r="C21" s="15">
        <v>0.93469999999999998</v>
      </c>
      <c r="D21" s="16" t="s">
        <v>22</v>
      </c>
      <c r="E21" s="17"/>
      <c r="F21" s="17"/>
      <c r="G21" s="18">
        <v>2620</v>
      </c>
      <c r="H21" s="19">
        <f t="shared" si="0"/>
        <v>171.08600000000024</v>
      </c>
      <c r="I21" s="20">
        <f t="shared" si="1"/>
        <v>9409.7300000000141</v>
      </c>
      <c r="J21" s="21">
        <f t="shared" si="3"/>
        <v>131</v>
      </c>
      <c r="K21" s="22">
        <f t="shared" si="2"/>
        <v>-40.08600000000024</v>
      </c>
    </row>
    <row r="22" spans="1:11" ht="12.75" x14ac:dyDescent="0.2">
      <c r="A22" s="24">
        <v>45537</v>
      </c>
      <c r="B22" s="25" t="s">
        <v>3</v>
      </c>
      <c r="C22" s="26"/>
      <c r="D22" s="27"/>
      <c r="E22" s="28"/>
      <c r="F22" s="28"/>
      <c r="G22" s="29"/>
      <c r="H22" s="19">
        <f t="shared" si="0"/>
        <v>0</v>
      </c>
      <c r="I22" s="20">
        <f t="shared" si="1"/>
        <v>0</v>
      </c>
      <c r="J22" s="21">
        <f t="shared" si="3"/>
        <v>0</v>
      </c>
      <c r="K22" s="22">
        <f t="shared" si="2"/>
        <v>0</v>
      </c>
    </row>
    <row r="23" spans="1:11" ht="12.75" x14ac:dyDescent="0.2">
      <c r="A23" s="13">
        <v>45538</v>
      </c>
      <c r="B23" s="14" t="s">
        <v>4</v>
      </c>
      <c r="C23" s="15">
        <v>0.93899999999999995</v>
      </c>
      <c r="D23" s="16" t="s">
        <v>22</v>
      </c>
      <c r="E23" s="17"/>
      <c r="F23" s="17"/>
      <c r="G23" s="18">
        <v>2625</v>
      </c>
      <c r="H23" s="19">
        <f t="shared" si="0"/>
        <v>160.125</v>
      </c>
      <c r="I23" s="20">
        <f t="shared" si="1"/>
        <v>8806.875</v>
      </c>
      <c r="J23" s="21">
        <f t="shared" si="3"/>
        <v>131.25</v>
      </c>
      <c r="K23" s="22">
        <f t="shared" si="2"/>
        <v>-28.875</v>
      </c>
    </row>
    <row r="24" spans="1:11" ht="12.75" x14ac:dyDescent="0.2">
      <c r="A24" s="13">
        <v>45539</v>
      </c>
      <c r="B24" s="14" t="s">
        <v>5</v>
      </c>
      <c r="C24" s="15">
        <v>0.94550000000000001</v>
      </c>
      <c r="D24" s="16" t="s">
        <v>22</v>
      </c>
      <c r="E24" s="17"/>
      <c r="F24" s="17"/>
      <c r="G24" s="18">
        <v>2626</v>
      </c>
      <c r="H24" s="19">
        <f t="shared" si="0"/>
        <v>143.11700000000019</v>
      </c>
      <c r="I24" s="20">
        <f t="shared" si="1"/>
        <v>7871.4350000000104</v>
      </c>
      <c r="J24" s="21">
        <f t="shared" si="3"/>
        <v>131.30000000000018</v>
      </c>
      <c r="K24" s="22">
        <f t="shared" si="2"/>
        <v>-11.817000000000007</v>
      </c>
    </row>
    <row r="25" spans="1:11" ht="12.75" x14ac:dyDescent="0.2">
      <c r="A25" s="13">
        <v>45540</v>
      </c>
      <c r="B25" s="14" t="s">
        <v>6</v>
      </c>
      <c r="C25" s="15">
        <v>0.94410000000000005</v>
      </c>
      <c r="D25" s="16" t="s">
        <v>22</v>
      </c>
      <c r="E25" s="17"/>
      <c r="F25" s="17"/>
      <c r="G25" s="18">
        <v>2632</v>
      </c>
      <c r="H25" s="19">
        <f t="shared" si="0"/>
        <v>147.12879999999996</v>
      </c>
      <c r="I25" s="20">
        <f t="shared" si="1"/>
        <v>8092.0839999999971</v>
      </c>
      <c r="J25" s="21">
        <f t="shared" si="3"/>
        <v>131.59999999999991</v>
      </c>
      <c r="K25" s="22">
        <f t="shared" si="2"/>
        <v>-15.528800000000047</v>
      </c>
    </row>
    <row r="26" spans="1:11" ht="12.75" x14ac:dyDescent="0.2">
      <c r="A26" s="13">
        <v>45541</v>
      </c>
      <c r="B26" s="14" t="s">
        <v>7</v>
      </c>
      <c r="C26" s="15">
        <v>0.91759999999999997</v>
      </c>
      <c r="D26" s="16" t="s">
        <v>22</v>
      </c>
      <c r="E26" s="17"/>
      <c r="F26" s="17"/>
      <c r="G26" s="18">
        <v>2633</v>
      </c>
      <c r="H26" s="19">
        <f t="shared" si="0"/>
        <v>216.95920000000024</v>
      </c>
      <c r="I26" s="20">
        <f t="shared" si="1"/>
        <v>11932.756000000012</v>
      </c>
      <c r="J26" s="21">
        <f t="shared" si="3"/>
        <v>131.65000000000009</v>
      </c>
      <c r="K26" s="22">
        <f t="shared" si="2"/>
        <v>-85.309200000000146</v>
      </c>
    </row>
    <row r="27" spans="1:11" ht="12.75" x14ac:dyDescent="0.2">
      <c r="A27" s="13">
        <v>45544</v>
      </c>
      <c r="B27" s="14" t="s">
        <v>3</v>
      </c>
      <c r="C27" s="15">
        <v>0.94189999999999996</v>
      </c>
      <c r="D27" s="16" t="s">
        <v>22</v>
      </c>
      <c r="E27" s="17"/>
      <c r="F27" s="17"/>
      <c r="G27" s="18">
        <v>2633</v>
      </c>
      <c r="H27" s="19">
        <f t="shared" si="0"/>
        <v>152.97730000000001</v>
      </c>
      <c r="I27" s="20">
        <f t="shared" si="1"/>
        <v>8413.7515000000003</v>
      </c>
      <c r="J27" s="21">
        <f t="shared" si="3"/>
        <v>131.65000000000009</v>
      </c>
      <c r="K27" s="22">
        <f t="shared" si="2"/>
        <v>-21.327299999999923</v>
      </c>
    </row>
    <row r="28" spans="1:11" ht="12.75" x14ac:dyDescent="0.2">
      <c r="A28" s="13">
        <v>45545</v>
      </c>
      <c r="B28" s="14" t="s">
        <v>4</v>
      </c>
      <c r="C28" s="15">
        <v>0.94469999999999998</v>
      </c>
      <c r="D28" s="16" t="s">
        <v>22</v>
      </c>
      <c r="E28" s="17"/>
      <c r="F28" s="17"/>
      <c r="G28" s="18">
        <v>2638</v>
      </c>
      <c r="H28" s="19">
        <f t="shared" si="0"/>
        <v>145.88140000000021</v>
      </c>
      <c r="I28" s="20">
        <f t="shared" si="1"/>
        <v>8023.4770000000117</v>
      </c>
      <c r="J28" s="21">
        <f t="shared" si="3"/>
        <v>131.90000000000009</v>
      </c>
      <c r="K28" s="22">
        <f t="shared" si="2"/>
        <v>-13.981400000000122</v>
      </c>
    </row>
    <row r="29" spans="1:11" ht="12.75" x14ac:dyDescent="0.2">
      <c r="A29" s="13">
        <v>45546</v>
      </c>
      <c r="B29" s="14" t="s">
        <v>5</v>
      </c>
      <c r="C29" s="15">
        <v>0.94159999999999999</v>
      </c>
      <c r="D29" s="16" t="s">
        <v>22</v>
      </c>
      <c r="E29" s="17"/>
      <c r="F29" s="17"/>
      <c r="G29" s="18">
        <v>2638</v>
      </c>
      <c r="H29" s="19">
        <f t="shared" si="0"/>
        <v>154.05920000000015</v>
      </c>
      <c r="I29" s="20">
        <f t="shared" si="1"/>
        <v>8473.2560000000085</v>
      </c>
      <c r="J29" s="21">
        <f t="shared" si="3"/>
        <v>131.90000000000009</v>
      </c>
      <c r="K29" s="22">
        <f t="shared" si="2"/>
        <v>-22.159200000000055</v>
      </c>
    </row>
    <row r="30" spans="1:11" ht="12.75" x14ac:dyDescent="0.2">
      <c r="A30" s="13">
        <v>45547</v>
      </c>
      <c r="B30" s="14" t="s">
        <v>6</v>
      </c>
      <c r="C30" s="15">
        <v>0.95220000000000005</v>
      </c>
      <c r="D30" s="16" t="s">
        <v>22</v>
      </c>
      <c r="E30" s="17"/>
      <c r="F30" s="17"/>
      <c r="G30" s="18">
        <v>2637</v>
      </c>
      <c r="H30" s="19">
        <f t="shared" si="0"/>
        <v>126.04860000000008</v>
      </c>
      <c r="I30" s="20">
        <f t="shared" si="1"/>
        <v>6932.6730000000043</v>
      </c>
      <c r="J30" s="21">
        <f t="shared" si="3"/>
        <v>131.84999999999991</v>
      </c>
      <c r="K30" s="22">
        <f t="shared" si="2"/>
        <v>5.8013999999998305</v>
      </c>
    </row>
    <row r="31" spans="1:11" ht="12.75" x14ac:dyDescent="0.2">
      <c r="A31" s="13">
        <v>45548</v>
      </c>
      <c r="B31" s="14" t="s">
        <v>7</v>
      </c>
      <c r="C31" s="15">
        <v>0.92</v>
      </c>
      <c r="D31" s="16" t="s">
        <v>22</v>
      </c>
      <c r="E31" s="17"/>
      <c r="F31" s="17"/>
      <c r="G31" s="18">
        <v>2636</v>
      </c>
      <c r="H31" s="19">
        <f t="shared" si="0"/>
        <v>210.88000000000011</v>
      </c>
      <c r="I31" s="20">
        <f t="shared" si="1"/>
        <v>11598.400000000005</v>
      </c>
      <c r="J31" s="21">
        <f t="shared" si="3"/>
        <v>131.80000000000018</v>
      </c>
      <c r="K31" s="22">
        <f t="shared" si="2"/>
        <v>-79.079999999999927</v>
      </c>
    </row>
    <row r="32" spans="1:11" ht="12.75" x14ac:dyDescent="0.2">
      <c r="A32" s="30">
        <v>45551</v>
      </c>
      <c r="B32" s="31" t="s">
        <v>3</v>
      </c>
      <c r="C32" s="32"/>
      <c r="D32" s="33"/>
      <c r="E32" s="34"/>
      <c r="F32" s="34"/>
      <c r="G32" s="35"/>
      <c r="H32" s="19">
        <f t="shared" si="0"/>
        <v>0</v>
      </c>
      <c r="I32" s="20">
        <f t="shared" si="1"/>
        <v>0</v>
      </c>
      <c r="J32" s="21">
        <f t="shared" si="3"/>
        <v>0</v>
      </c>
      <c r="K32" s="22">
        <f t="shared" si="2"/>
        <v>0</v>
      </c>
    </row>
    <row r="33" spans="1:11" ht="12.75" x14ac:dyDescent="0.2">
      <c r="A33" s="13">
        <v>45552</v>
      </c>
      <c r="B33" s="14" t="s">
        <v>4</v>
      </c>
      <c r="C33" s="15">
        <v>0.94279999999999997</v>
      </c>
      <c r="D33" s="16" t="s">
        <v>22</v>
      </c>
      <c r="E33" s="17"/>
      <c r="F33" s="17"/>
      <c r="G33" s="18">
        <v>2641</v>
      </c>
      <c r="H33" s="19">
        <f t="shared" si="0"/>
        <v>151.0652</v>
      </c>
      <c r="I33" s="20">
        <f t="shared" si="1"/>
        <v>8308.5859999999993</v>
      </c>
      <c r="J33" s="21">
        <f t="shared" si="3"/>
        <v>132.05000000000018</v>
      </c>
      <c r="K33" s="22">
        <f t="shared" si="2"/>
        <v>-19.015199999999822</v>
      </c>
    </row>
    <row r="34" spans="1:11" ht="12.75" x14ac:dyDescent="0.2">
      <c r="A34" s="13">
        <v>45553</v>
      </c>
      <c r="B34" s="14" t="s">
        <v>5</v>
      </c>
      <c r="C34" s="15">
        <v>0.9375</v>
      </c>
      <c r="D34" s="16" t="s">
        <v>22</v>
      </c>
      <c r="E34" s="17"/>
      <c r="F34" s="17"/>
      <c r="G34" s="18">
        <v>2641</v>
      </c>
      <c r="H34" s="19">
        <f t="shared" si="0"/>
        <v>165.0625</v>
      </c>
      <c r="I34" s="20">
        <f t="shared" si="1"/>
        <v>9078.4375</v>
      </c>
      <c r="J34" s="21">
        <f t="shared" si="3"/>
        <v>132.05000000000018</v>
      </c>
      <c r="K34" s="22">
        <f t="shared" si="2"/>
        <v>-33.012499999999818</v>
      </c>
    </row>
    <row r="35" spans="1:11" ht="12.75" x14ac:dyDescent="0.2">
      <c r="A35" s="13">
        <v>45554</v>
      </c>
      <c r="B35" s="14" t="s">
        <v>6</v>
      </c>
      <c r="C35" s="15">
        <v>0.9375</v>
      </c>
      <c r="D35" s="16" t="s">
        <v>22</v>
      </c>
      <c r="E35" s="17"/>
      <c r="F35" s="17"/>
      <c r="G35" s="18">
        <v>2641</v>
      </c>
      <c r="H35" s="19">
        <f t="shared" si="0"/>
        <v>165.0625</v>
      </c>
      <c r="I35" s="20">
        <f t="shared" si="1"/>
        <v>9078.4375</v>
      </c>
      <c r="J35" s="21">
        <f t="shared" si="3"/>
        <v>132.05000000000018</v>
      </c>
      <c r="K35" s="22">
        <f t="shared" si="2"/>
        <v>-33.012499999999818</v>
      </c>
    </row>
    <row r="36" spans="1:11" ht="12.75" x14ac:dyDescent="0.2">
      <c r="A36" s="13">
        <v>45555</v>
      </c>
      <c r="B36" s="14" t="s">
        <v>7</v>
      </c>
      <c r="C36" s="15">
        <v>0.92010000000000003</v>
      </c>
      <c r="D36" s="16" t="s">
        <v>22</v>
      </c>
      <c r="E36" s="17"/>
      <c r="F36" s="17"/>
      <c r="G36" s="18">
        <v>2641</v>
      </c>
      <c r="H36" s="19">
        <f t="shared" si="0"/>
        <v>211.01589999999987</v>
      </c>
      <c r="I36" s="20">
        <f t="shared" si="1"/>
        <v>11605.874499999993</v>
      </c>
      <c r="J36" s="21">
        <f t="shared" si="3"/>
        <v>132.05000000000018</v>
      </c>
      <c r="K36" s="22">
        <f t="shared" si="2"/>
        <v>-78.965899999999692</v>
      </c>
    </row>
    <row r="37" spans="1:11" ht="12.75" x14ac:dyDescent="0.2">
      <c r="A37" s="13">
        <v>45558</v>
      </c>
      <c r="B37" s="14" t="s">
        <v>3</v>
      </c>
      <c r="C37" s="15">
        <v>0.91910000000000003</v>
      </c>
      <c r="D37" s="16" t="s">
        <v>22</v>
      </c>
      <c r="E37" s="17"/>
      <c r="F37" s="17"/>
      <c r="G37" s="18">
        <v>2644</v>
      </c>
      <c r="H37" s="19">
        <f t="shared" si="0"/>
        <v>213.89959999999974</v>
      </c>
      <c r="I37" s="20">
        <f t="shared" si="1"/>
        <v>11764.477999999985</v>
      </c>
      <c r="J37" s="21">
        <f t="shared" si="3"/>
        <v>132.20000000000027</v>
      </c>
      <c r="K37" s="22">
        <f t="shared" si="2"/>
        <v>-81.699599999999464</v>
      </c>
    </row>
    <row r="38" spans="1:11" ht="12.75" x14ac:dyDescent="0.2">
      <c r="A38" s="13">
        <v>45559</v>
      </c>
      <c r="B38" s="14" t="s">
        <v>4</v>
      </c>
      <c r="C38" s="15">
        <v>0.9335</v>
      </c>
      <c r="D38" s="16" t="s">
        <v>22</v>
      </c>
      <c r="E38" s="17"/>
      <c r="F38" s="17"/>
      <c r="G38" s="18">
        <v>2648</v>
      </c>
      <c r="H38" s="19">
        <f t="shared" si="0"/>
        <v>176.0920000000001</v>
      </c>
      <c r="I38" s="20">
        <f t="shared" si="1"/>
        <v>9685.0600000000049</v>
      </c>
      <c r="J38" s="21">
        <f t="shared" si="3"/>
        <v>132.40000000000009</v>
      </c>
      <c r="K38" s="22">
        <f t="shared" si="2"/>
        <v>-43.692000000000007</v>
      </c>
    </row>
    <row r="39" spans="1:11" ht="12.75" x14ac:dyDescent="0.2">
      <c r="A39" s="13">
        <v>45560</v>
      </c>
      <c r="B39" s="14" t="s">
        <v>5</v>
      </c>
      <c r="C39" s="15">
        <v>0.94779999999999998</v>
      </c>
      <c r="D39" s="16" t="s">
        <v>22</v>
      </c>
      <c r="E39" s="17"/>
      <c r="F39" s="17"/>
      <c r="G39" s="18">
        <v>2646</v>
      </c>
      <c r="H39" s="19">
        <f t="shared" si="0"/>
        <v>138.12120000000004</v>
      </c>
      <c r="I39" s="20">
        <f t="shared" si="1"/>
        <v>7596.6660000000029</v>
      </c>
      <c r="J39" s="21">
        <f t="shared" si="3"/>
        <v>132.30000000000018</v>
      </c>
      <c r="K39" s="22">
        <f t="shared" si="2"/>
        <v>-5.8211999999998625</v>
      </c>
    </row>
    <row r="40" spans="1:11" ht="12.75" x14ac:dyDescent="0.2">
      <c r="A40" s="13">
        <v>45561</v>
      </c>
      <c r="B40" s="14" t="s">
        <v>6</v>
      </c>
      <c r="C40" s="15">
        <v>0.93769999999999998</v>
      </c>
      <c r="D40" s="16" t="s">
        <v>22</v>
      </c>
      <c r="E40" s="17"/>
      <c r="F40" s="17"/>
      <c r="G40" s="18">
        <v>2646</v>
      </c>
      <c r="H40" s="19">
        <f t="shared" si="0"/>
        <v>164.84580000000005</v>
      </c>
      <c r="I40" s="20">
        <f t="shared" si="1"/>
        <v>9066.5190000000039</v>
      </c>
      <c r="J40" s="21">
        <f t="shared" si="3"/>
        <v>132.30000000000018</v>
      </c>
      <c r="K40" s="22">
        <f t="shared" si="2"/>
        <v>-32.545799999999872</v>
      </c>
    </row>
    <row r="41" spans="1:11" ht="12.75" x14ac:dyDescent="0.2">
      <c r="A41" s="13">
        <v>45562</v>
      </c>
      <c r="B41" s="14" t="s">
        <v>7</v>
      </c>
      <c r="C41" s="15">
        <v>0.92530000000000001</v>
      </c>
      <c r="D41" s="16" t="s">
        <v>22</v>
      </c>
      <c r="E41" s="17"/>
      <c r="F41" s="17"/>
      <c r="G41" s="18">
        <v>2650</v>
      </c>
      <c r="H41" s="19">
        <f t="shared" si="0"/>
        <v>197.95499999999993</v>
      </c>
      <c r="I41" s="20">
        <f t="shared" si="1"/>
        <v>10887.524999999996</v>
      </c>
      <c r="J41" s="21">
        <f t="shared" si="3"/>
        <v>132.5</v>
      </c>
      <c r="K41" s="22">
        <f t="shared" si="2"/>
        <v>-65.454999999999927</v>
      </c>
    </row>
    <row r="42" spans="1:11" ht="12.75" x14ac:dyDescent="0.2">
      <c r="A42" s="13">
        <v>45565</v>
      </c>
      <c r="B42" s="14" t="s">
        <v>3</v>
      </c>
      <c r="C42" s="15">
        <v>0.93369999999999997</v>
      </c>
      <c r="D42" s="16" t="s">
        <v>22</v>
      </c>
      <c r="E42" s="17"/>
      <c r="F42" s="17"/>
      <c r="G42" s="18">
        <v>2653</v>
      </c>
      <c r="H42" s="19">
        <f t="shared" si="0"/>
        <v>175.89390000000003</v>
      </c>
      <c r="I42" s="20">
        <f t="shared" si="1"/>
        <v>9674.1645000000026</v>
      </c>
      <c r="J42" s="21">
        <f t="shared" si="3"/>
        <v>132.65000000000009</v>
      </c>
      <c r="K42" s="22">
        <f t="shared" si="2"/>
        <v>-43.24389999999994</v>
      </c>
    </row>
    <row r="43" spans="1:11" ht="12.75" x14ac:dyDescent="0.2">
      <c r="A43" s="13">
        <v>45566</v>
      </c>
      <c r="B43" s="14" t="s">
        <v>4</v>
      </c>
      <c r="C43" s="15">
        <v>0.93969999999999998</v>
      </c>
      <c r="D43" s="16" t="s">
        <v>22</v>
      </c>
      <c r="E43" s="17"/>
      <c r="F43" s="17"/>
      <c r="G43" s="18">
        <v>2652</v>
      </c>
      <c r="H43" s="19">
        <f t="shared" si="0"/>
        <v>159.91560000000027</v>
      </c>
      <c r="I43" s="20">
        <f t="shared" si="1"/>
        <v>8795.3580000000147</v>
      </c>
      <c r="J43" s="21">
        <f t="shared" si="3"/>
        <v>132.59999999999991</v>
      </c>
      <c r="K43" s="22">
        <f t="shared" si="2"/>
        <v>-27.315600000000359</v>
      </c>
    </row>
    <row r="44" spans="1:11" ht="12.75" x14ac:dyDescent="0.2">
      <c r="A44" s="13">
        <v>45567</v>
      </c>
      <c r="B44" s="14" t="s">
        <v>5</v>
      </c>
      <c r="C44" s="15">
        <v>0.93710000000000004</v>
      </c>
      <c r="D44" s="16" t="s">
        <v>22</v>
      </c>
      <c r="E44" s="17"/>
      <c r="F44" s="17"/>
      <c r="G44" s="18">
        <v>2655</v>
      </c>
      <c r="H44" s="19">
        <f t="shared" si="0"/>
        <v>166.9994999999999</v>
      </c>
      <c r="I44" s="20">
        <f t="shared" si="1"/>
        <v>9184.9724999999944</v>
      </c>
      <c r="J44" s="21">
        <f t="shared" si="3"/>
        <v>132.75</v>
      </c>
      <c r="K44" s="22">
        <f t="shared" si="2"/>
        <v>-34.249499999999898</v>
      </c>
    </row>
    <row r="45" spans="1:11" ht="12.75" x14ac:dyDescent="0.2">
      <c r="A45" s="13">
        <v>45568</v>
      </c>
      <c r="B45" s="14" t="s">
        <v>6</v>
      </c>
      <c r="C45" s="15">
        <v>0.94130000000000003</v>
      </c>
      <c r="D45" s="16" t="s">
        <v>22</v>
      </c>
      <c r="E45" s="17"/>
      <c r="F45" s="17"/>
      <c r="G45" s="18">
        <v>2656</v>
      </c>
      <c r="H45" s="19">
        <f t="shared" si="0"/>
        <v>155.9072000000001</v>
      </c>
      <c r="I45" s="20">
        <f t="shared" si="1"/>
        <v>8574.8960000000061</v>
      </c>
      <c r="J45" s="21">
        <f t="shared" si="3"/>
        <v>132.80000000000018</v>
      </c>
      <c r="K45" s="22">
        <f t="shared" si="2"/>
        <v>-23.107199999999921</v>
      </c>
    </row>
    <row r="46" spans="1:11" ht="12.75" x14ac:dyDescent="0.2">
      <c r="A46" s="13">
        <v>45569</v>
      </c>
      <c r="B46" s="14" t="s">
        <v>7</v>
      </c>
      <c r="C46" s="15">
        <v>0.92090000000000005</v>
      </c>
      <c r="D46" s="16" t="s">
        <v>22</v>
      </c>
      <c r="E46" s="17"/>
      <c r="F46" s="17"/>
      <c r="G46" s="18">
        <v>2656</v>
      </c>
      <c r="H46" s="19">
        <f t="shared" si="0"/>
        <v>210.08959999999979</v>
      </c>
      <c r="I46" s="20">
        <f t="shared" si="1"/>
        <v>11554.927999999989</v>
      </c>
      <c r="J46" s="21">
        <f t="shared" si="3"/>
        <v>132.80000000000018</v>
      </c>
      <c r="K46" s="22">
        <f t="shared" si="2"/>
        <v>-77.289599999999609</v>
      </c>
    </row>
    <row r="47" spans="1:11" ht="12.75" x14ac:dyDescent="0.2">
      <c r="A47" s="24">
        <v>45572</v>
      </c>
      <c r="B47" s="25" t="s">
        <v>3</v>
      </c>
      <c r="C47" s="26"/>
      <c r="D47" s="27"/>
      <c r="E47" s="28"/>
      <c r="F47" s="28"/>
      <c r="G47" s="29"/>
      <c r="H47" s="19">
        <f t="shared" si="0"/>
        <v>0</v>
      </c>
      <c r="I47" s="20">
        <f t="shared" si="1"/>
        <v>0</v>
      </c>
      <c r="J47" s="21">
        <f t="shared" si="3"/>
        <v>0</v>
      </c>
      <c r="K47" s="22">
        <f t="shared" si="2"/>
        <v>0</v>
      </c>
    </row>
    <row r="48" spans="1:11" ht="12.75" x14ac:dyDescent="0.2">
      <c r="A48" s="24">
        <v>45573</v>
      </c>
      <c r="B48" s="25" t="s">
        <v>4</v>
      </c>
      <c r="C48" s="26"/>
      <c r="D48" s="27"/>
      <c r="E48" s="28"/>
      <c r="F48" s="28"/>
      <c r="G48" s="29"/>
      <c r="H48" s="19">
        <f t="shared" si="0"/>
        <v>0</v>
      </c>
      <c r="I48" s="20">
        <f t="shared" si="1"/>
        <v>0</v>
      </c>
      <c r="J48" s="21">
        <f t="shared" si="3"/>
        <v>0</v>
      </c>
      <c r="K48" s="22">
        <f t="shared" si="2"/>
        <v>0</v>
      </c>
    </row>
    <row r="49" spans="1:11" ht="12.75" x14ac:dyDescent="0.2">
      <c r="A49" s="24">
        <v>45574</v>
      </c>
      <c r="B49" s="25" t="s">
        <v>5</v>
      </c>
      <c r="C49" s="26"/>
      <c r="D49" s="27"/>
      <c r="E49" s="28"/>
      <c r="F49" s="28"/>
      <c r="G49" s="29"/>
      <c r="H49" s="19">
        <f t="shared" si="0"/>
        <v>0</v>
      </c>
      <c r="I49" s="20">
        <f t="shared" si="1"/>
        <v>0</v>
      </c>
      <c r="J49" s="21">
        <f t="shared" si="3"/>
        <v>0</v>
      </c>
      <c r="K49" s="22">
        <f t="shared" si="2"/>
        <v>0</v>
      </c>
    </row>
    <row r="50" spans="1:11" ht="12.75" x14ac:dyDescent="0.2">
      <c r="A50" s="24">
        <v>45575</v>
      </c>
      <c r="B50" s="25" t="s">
        <v>6</v>
      </c>
      <c r="C50" s="26"/>
      <c r="D50" s="27"/>
      <c r="E50" s="28"/>
      <c r="F50" s="28"/>
      <c r="G50" s="29"/>
      <c r="H50" s="19">
        <f t="shared" si="0"/>
        <v>0</v>
      </c>
      <c r="I50" s="20">
        <f t="shared" si="1"/>
        <v>0</v>
      </c>
      <c r="J50" s="21">
        <f t="shared" si="3"/>
        <v>0</v>
      </c>
      <c r="K50" s="22">
        <f t="shared" si="2"/>
        <v>0</v>
      </c>
    </row>
    <row r="51" spans="1:11" ht="12.75" x14ac:dyDescent="0.2">
      <c r="A51" s="24">
        <v>45576</v>
      </c>
      <c r="B51" s="25" t="s">
        <v>7</v>
      </c>
      <c r="C51" s="26"/>
      <c r="D51" s="27"/>
      <c r="E51" s="28"/>
      <c r="F51" s="28"/>
      <c r="G51" s="29"/>
      <c r="H51" s="19">
        <f t="shared" si="0"/>
        <v>0</v>
      </c>
      <c r="I51" s="20">
        <f t="shared" si="1"/>
        <v>0</v>
      </c>
      <c r="J51" s="21">
        <f t="shared" si="3"/>
        <v>0</v>
      </c>
      <c r="K51" s="22">
        <f t="shared" si="2"/>
        <v>0</v>
      </c>
    </row>
    <row r="52" spans="1:11" ht="12.75" x14ac:dyDescent="0.2">
      <c r="A52" s="13">
        <v>45579</v>
      </c>
      <c r="B52" s="14" t="s">
        <v>3</v>
      </c>
      <c r="C52" s="15">
        <v>0.92520000000000002</v>
      </c>
      <c r="D52" s="16" t="s">
        <v>22</v>
      </c>
      <c r="E52" s="17"/>
      <c r="F52" s="17"/>
      <c r="G52" s="18">
        <v>2646</v>
      </c>
      <c r="H52" s="19">
        <f t="shared" si="0"/>
        <v>197.92079999999987</v>
      </c>
      <c r="I52" s="20">
        <f t="shared" si="1"/>
        <v>10885.643999999993</v>
      </c>
      <c r="J52" s="21">
        <f t="shared" si="3"/>
        <v>132.30000000000018</v>
      </c>
      <c r="K52" s="22">
        <f t="shared" si="2"/>
        <v>-65.62079999999969</v>
      </c>
    </row>
    <row r="53" spans="1:11" ht="12.75" x14ac:dyDescent="0.2">
      <c r="A53" s="13">
        <v>45580</v>
      </c>
      <c r="B53" s="14" t="s">
        <v>4</v>
      </c>
      <c r="C53" s="15">
        <v>0.93940000000000001</v>
      </c>
      <c r="D53" s="16" t="s">
        <v>22</v>
      </c>
      <c r="E53" s="17"/>
      <c r="F53" s="17"/>
      <c r="G53" s="18">
        <v>2642</v>
      </c>
      <c r="H53" s="19">
        <f t="shared" si="0"/>
        <v>160.10519999999997</v>
      </c>
      <c r="I53" s="20">
        <f t="shared" si="1"/>
        <v>8805.7859999999982</v>
      </c>
      <c r="J53" s="21">
        <f t="shared" si="3"/>
        <v>132.09999999999991</v>
      </c>
      <c r="K53" s="22">
        <f t="shared" si="2"/>
        <v>-28.005200000000059</v>
      </c>
    </row>
    <row r="54" spans="1:11" ht="12.75" x14ac:dyDescent="0.2">
      <c r="A54" s="13">
        <v>45581</v>
      </c>
      <c r="B54" s="14" t="s">
        <v>5</v>
      </c>
      <c r="C54" s="36">
        <v>0.9617</v>
      </c>
      <c r="D54" s="16" t="s">
        <v>22</v>
      </c>
      <c r="E54" s="17"/>
      <c r="F54" s="37"/>
      <c r="G54" s="18">
        <v>2640</v>
      </c>
      <c r="H54" s="19">
        <f t="shared" si="0"/>
        <v>101.11200000000008</v>
      </c>
      <c r="I54" s="20">
        <f t="shared" si="1"/>
        <v>5561.1600000000044</v>
      </c>
      <c r="J54" s="21">
        <f t="shared" si="3"/>
        <v>132</v>
      </c>
      <c r="K54" s="22">
        <f t="shared" si="2"/>
        <v>30.88799999999992</v>
      </c>
    </row>
    <row r="55" spans="1:11" ht="12.75" x14ac:dyDescent="0.2">
      <c r="A55" s="13">
        <v>45582</v>
      </c>
      <c r="B55" s="14" t="s">
        <v>6</v>
      </c>
      <c r="C55" s="15">
        <v>0.93869999999999998</v>
      </c>
      <c r="D55" s="16" t="s">
        <v>22</v>
      </c>
      <c r="E55" s="17"/>
      <c r="F55" s="17"/>
      <c r="G55" s="18">
        <v>2641</v>
      </c>
      <c r="H55" s="19">
        <f t="shared" si="0"/>
        <v>161.89330000000018</v>
      </c>
      <c r="I55" s="20">
        <f t="shared" si="1"/>
        <v>8904.1315000000104</v>
      </c>
      <c r="J55" s="21">
        <f t="shared" si="3"/>
        <v>132.05000000000018</v>
      </c>
      <c r="K55" s="22">
        <f t="shared" si="2"/>
        <v>-29.843299999999999</v>
      </c>
    </row>
    <row r="56" spans="1:11" ht="12.75" x14ac:dyDescent="0.2">
      <c r="A56" s="13">
        <v>45583</v>
      </c>
      <c r="B56" s="14" t="s">
        <v>7</v>
      </c>
      <c r="C56" s="15">
        <v>0.92610000000000003</v>
      </c>
      <c r="D56" s="16" t="s">
        <v>22</v>
      </c>
      <c r="E56" s="17"/>
      <c r="F56" s="17"/>
      <c r="G56" s="18">
        <v>2640</v>
      </c>
      <c r="H56" s="19">
        <f t="shared" si="0"/>
        <v>195.096</v>
      </c>
      <c r="I56" s="20">
        <f t="shared" si="1"/>
        <v>10730.28</v>
      </c>
      <c r="J56" s="21">
        <f t="shared" si="3"/>
        <v>132</v>
      </c>
      <c r="K56" s="22">
        <f t="shared" si="2"/>
        <v>-63.096000000000004</v>
      </c>
    </row>
    <row r="57" spans="1:11" ht="12.75" x14ac:dyDescent="0.2">
      <c r="A57" s="13">
        <v>45586</v>
      </c>
      <c r="B57" s="14" t="s">
        <v>3</v>
      </c>
      <c r="C57" s="15">
        <v>0.93410000000000004</v>
      </c>
      <c r="D57" s="16" t="s">
        <v>22</v>
      </c>
      <c r="E57" s="17"/>
      <c r="F57" s="17"/>
      <c r="G57" s="18">
        <v>2639</v>
      </c>
      <c r="H57" s="19">
        <f t="shared" si="0"/>
        <v>173.91010000000006</v>
      </c>
      <c r="I57" s="20">
        <f t="shared" si="1"/>
        <v>9565.0555000000022</v>
      </c>
      <c r="J57" s="21">
        <f t="shared" si="3"/>
        <v>131.95000000000027</v>
      </c>
      <c r="K57" s="22">
        <f t="shared" si="2"/>
        <v>-41.960099999999784</v>
      </c>
    </row>
    <row r="58" spans="1:11" ht="12.75" x14ac:dyDescent="0.2">
      <c r="A58" s="13">
        <v>45587</v>
      </c>
      <c r="B58" s="14" t="s">
        <v>4</v>
      </c>
      <c r="C58" s="15">
        <v>0.94350000000000001</v>
      </c>
      <c r="D58" s="16" t="s">
        <v>22</v>
      </c>
      <c r="E58" s="17"/>
      <c r="F58" s="17"/>
      <c r="G58" s="18">
        <v>2638</v>
      </c>
      <c r="H58" s="19">
        <f t="shared" si="0"/>
        <v>149.04700000000003</v>
      </c>
      <c r="I58" s="20">
        <f t="shared" si="1"/>
        <v>8197.5850000000009</v>
      </c>
      <c r="J58" s="21">
        <f t="shared" si="3"/>
        <v>131.90000000000009</v>
      </c>
      <c r="K58" s="22">
        <f t="shared" si="2"/>
        <v>-17.146999999999935</v>
      </c>
    </row>
    <row r="59" spans="1:11" ht="12.75" x14ac:dyDescent="0.2">
      <c r="A59" s="13">
        <v>45588</v>
      </c>
      <c r="B59" s="14" t="s">
        <v>5</v>
      </c>
      <c r="C59" s="15">
        <v>0.93220000000000003</v>
      </c>
      <c r="D59" s="16" t="s">
        <v>22</v>
      </c>
      <c r="E59" s="17"/>
      <c r="F59" s="17"/>
      <c r="G59" s="18">
        <v>2640</v>
      </c>
      <c r="H59" s="19">
        <f t="shared" si="0"/>
        <v>178.99199999999973</v>
      </c>
      <c r="I59" s="20">
        <f t="shared" si="1"/>
        <v>9844.5599999999849</v>
      </c>
      <c r="J59" s="21">
        <f t="shared" si="3"/>
        <v>132</v>
      </c>
      <c r="K59" s="22">
        <f t="shared" si="2"/>
        <v>-46.991999999999734</v>
      </c>
    </row>
    <row r="60" spans="1:11" ht="12.75" x14ac:dyDescent="0.2">
      <c r="A60" s="13">
        <v>45589</v>
      </c>
      <c r="B60" s="14" t="s">
        <v>6</v>
      </c>
      <c r="C60" s="15">
        <v>0.92720000000000002</v>
      </c>
      <c r="D60" s="16" t="s">
        <v>22</v>
      </c>
      <c r="E60" s="17"/>
      <c r="F60" s="17"/>
      <c r="G60" s="18">
        <v>2639</v>
      </c>
      <c r="H60" s="19">
        <f t="shared" si="0"/>
        <v>192.11920000000009</v>
      </c>
      <c r="I60" s="20">
        <f t="shared" si="1"/>
        <v>10566.556000000004</v>
      </c>
      <c r="J60" s="21">
        <f t="shared" si="3"/>
        <v>131.95000000000027</v>
      </c>
      <c r="K60" s="22">
        <f t="shared" si="2"/>
        <v>-60.169199999999819</v>
      </c>
    </row>
    <row r="61" spans="1:11" ht="12.75" x14ac:dyDescent="0.2">
      <c r="A61" s="13">
        <v>45590</v>
      </c>
      <c r="B61" s="14" t="s">
        <v>7</v>
      </c>
      <c r="C61" s="15">
        <v>0.93030000000000002</v>
      </c>
      <c r="D61" s="16" t="s">
        <v>22</v>
      </c>
      <c r="E61" s="17"/>
      <c r="F61" s="17"/>
      <c r="G61" s="18">
        <v>2639</v>
      </c>
      <c r="H61" s="19">
        <f t="shared" si="0"/>
        <v>183.9382999999998</v>
      </c>
      <c r="I61" s="20">
        <f t="shared" si="1"/>
        <v>10116.606499999989</v>
      </c>
      <c r="J61" s="21">
        <f t="shared" si="3"/>
        <v>131.95000000000027</v>
      </c>
      <c r="K61" s="22">
        <f t="shared" si="2"/>
        <v>-51.988299999999526</v>
      </c>
    </row>
    <row r="62" spans="1:11" ht="12.75" x14ac:dyDescent="0.2">
      <c r="A62" s="13">
        <v>45593</v>
      </c>
      <c r="B62" s="14" t="s">
        <v>3</v>
      </c>
      <c r="C62" s="15">
        <v>0.92569999999999997</v>
      </c>
      <c r="D62" s="16" t="s">
        <v>22</v>
      </c>
      <c r="E62" s="17"/>
      <c r="F62" s="17"/>
      <c r="G62" s="18">
        <v>2639</v>
      </c>
      <c r="H62" s="19">
        <f t="shared" si="0"/>
        <v>196.07770000000028</v>
      </c>
      <c r="I62" s="20">
        <f t="shared" si="1"/>
        <v>10784.273500000016</v>
      </c>
      <c r="J62" s="21">
        <f t="shared" si="3"/>
        <v>131.95000000000027</v>
      </c>
      <c r="K62" s="22">
        <f t="shared" si="2"/>
        <v>-64.127700000000004</v>
      </c>
    </row>
    <row r="63" spans="1:11" ht="12.75" x14ac:dyDescent="0.2">
      <c r="A63" s="13">
        <v>45594</v>
      </c>
      <c r="B63" s="14" t="s">
        <v>4</v>
      </c>
      <c r="C63" s="15">
        <v>0.93710000000000004</v>
      </c>
      <c r="D63" s="16" t="s">
        <v>22</v>
      </c>
      <c r="E63" s="17"/>
      <c r="F63" s="17"/>
      <c r="G63" s="18">
        <v>2639</v>
      </c>
      <c r="H63" s="19">
        <f t="shared" si="0"/>
        <v>165.99309999999969</v>
      </c>
      <c r="I63" s="20">
        <f t="shared" si="1"/>
        <v>9129.6204999999827</v>
      </c>
      <c r="J63" s="21">
        <f t="shared" si="3"/>
        <v>131.95000000000027</v>
      </c>
      <c r="K63" s="22">
        <f t="shared" si="2"/>
        <v>-34.043099999999413</v>
      </c>
    </row>
    <row r="64" spans="1:11" ht="12.75" x14ac:dyDescent="0.2">
      <c r="A64" s="13">
        <v>45595</v>
      </c>
      <c r="B64" s="14" t="s">
        <v>5</v>
      </c>
      <c r="C64" s="15">
        <v>0.9375</v>
      </c>
      <c r="D64" s="16" t="s">
        <v>22</v>
      </c>
      <c r="E64" s="17"/>
      <c r="F64" s="17"/>
      <c r="G64" s="18">
        <v>2638</v>
      </c>
      <c r="H64" s="19">
        <f t="shared" si="0"/>
        <v>164.875</v>
      </c>
      <c r="I64" s="20">
        <f t="shared" si="1"/>
        <v>9068.125</v>
      </c>
      <c r="J64" s="21">
        <f t="shared" si="3"/>
        <v>131.90000000000009</v>
      </c>
      <c r="K64" s="22">
        <f t="shared" si="2"/>
        <v>-32.974999999999909</v>
      </c>
    </row>
    <row r="65" spans="1:11" ht="12.75" x14ac:dyDescent="0.2">
      <c r="A65" s="13">
        <v>45596</v>
      </c>
      <c r="B65" s="14" t="s">
        <v>6</v>
      </c>
      <c r="C65" s="15">
        <v>0.93320000000000003</v>
      </c>
      <c r="D65" s="16" t="s">
        <v>22</v>
      </c>
      <c r="E65" s="17"/>
      <c r="F65" s="17"/>
      <c r="G65" s="18">
        <v>2635</v>
      </c>
      <c r="H65" s="19">
        <f t="shared" si="0"/>
        <v>176.01800000000003</v>
      </c>
      <c r="I65" s="20">
        <f t="shared" si="1"/>
        <v>9680.9900000000016</v>
      </c>
      <c r="J65" s="21">
        <f t="shared" si="3"/>
        <v>131.75</v>
      </c>
      <c r="K65" s="22">
        <f t="shared" si="2"/>
        <v>-44.268000000000029</v>
      </c>
    </row>
    <row r="66" spans="1:11" ht="25.5" x14ac:dyDescent="0.2">
      <c r="A66" s="13">
        <v>45597</v>
      </c>
      <c r="B66" s="14" t="s">
        <v>7</v>
      </c>
      <c r="C66" s="15">
        <v>0.88649999999999995</v>
      </c>
      <c r="D66" s="16" t="s">
        <v>29</v>
      </c>
      <c r="E66" s="17"/>
      <c r="F66" s="17" t="s">
        <v>258</v>
      </c>
      <c r="G66" s="18">
        <v>2635</v>
      </c>
      <c r="H66" s="19">
        <f t="shared" si="0"/>
        <v>299.07250000000022</v>
      </c>
      <c r="I66" s="20">
        <f t="shared" si="1"/>
        <v>16448.98750000001</v>
      </c>
      <c r="J66" s="21">
        <f t="shared" si="3"/>
        <v>131.75</v>
      </c>
      <c r="K66" s="22">
        <f t="shared" si="2"/>
        <v>-167.32250000000022</v>
      </c>
    </row>
    <row r="67" spans="1:11" ht="12.75" x14ac:dyDescent="0.2">
      <c r="A67" s="38">
        <v>45600</v>
      </c>
      <c r="B67" s="39" t="s">
        <v>3</v>
      </c>
      <c r="C67" s="40"/>
      <c r="D67" s="41"/>
      <c r="E67" s="42"/>
      <c r="F67" s="42"/>
      <c r="G67" s="43"/>
      <c r="H67" s="19">
        <f t="shared" si="0"/>
        <v>0</v>
      </c>
      <c r="I67" s="20">
        <f t="shared" si="1"/>
        <v>0</v>
      </c>
      <c r="J67" s="21">
        <f t="shared" si="3"/>
        <v>0</v>
      </c>
      <c r="K67" s="22">
        <f t="shared" si="2"/>
        <v>0</v>
      </c>
    </row>
    <row r="68" spans="1:11" ht="12.75" x14ac:dyDescent="0.2">
      <c r="A68" s="30">
        <v>45601</v>
      </c>
      <c r="B68" s="31" t="s">
        <v>4</v>
      </c>
      <c r="C68" s="32"/>
      <c r="D68" s="33"/>
      <c r="E68" s="34"/>
      <c r="F68" s="34"/>
      <c r="G68" s="35"/>
      <c r="H68" s="19">
        <f t="shared" si="0"/>
        <v>0</v>
      </c>
      <c r="I68" s="20">
        <f t="shared" si="1"/>
        <v>0</v>
      </c>
      <c r="J68" s="21">
        <f t="shared" si="3"/>
        <v>0</v>
      </c>
      <c r="K68" s="22">
        <f t="shared" si="2"/>
        <v>0</v>
      </c>
    </row>
    <row r="69" spans="1:11" ht="12.75" x14ac:dyDescent="0.2">
      <c r="A69" s="13">
        <v>45602</v>
      </c>
      <c r="B69" s="14" t="s">
        <v>5</v>
      </c>
      <c r="C69" s="15">
        <v>0.94079999999999997</v>
      </c>
      <c r="D69" s="16" t="s">
        <v>22</v>
      </c>
      <c r="E69" s="17"/>
      <c r="F69" s="17"/>
      <c r="G69" s="18">
        <v>2634</v>
      </c>
      <c r="H69" s="19">
        <f t="shared" si="0"/>
        <v>155.93280000000004</v>
      </c>
      <c r="I69" s="20">
        <f t="shared" si="1"/>
        <v>8576.3040000000019</v>
      </c>
      <c r="J69" s="21">
        <f t="shared" si="3"/>
        <v>131.70000000000027</v>
      </c>
      <c r="K69" s="22">
        <f t="shared" si="2"/>
        <v>-24.23279999999977</v>
      </c>
    </row>
    <row r="70" spans="1:11" ht="12.75" x14ac:dyDescent="0.2">
      <c r="A70" s="13">
        <v>45603</v>
      </c>
      <c r="B70" s="14" t="s">
        <v>6</v>
      </c>
      <c r="C70" s="15">
        <v>0.91459999999999997</v>
      </c>
      <c r="D70" s="23" t="s">
        <v>22</v>
      </c>
      <c r="E70" s="17"/>
      <c r="F70" s="17"/>
      <c r="G70" s="18">
        <v>2635</v>
      </c>
      <c r="H70" s="19">
        <f t="shared" si="0"/>
        <v>225.029</v>
      </c>
      <c r="I70" s="20">
        <f t="shared" si="1"/>
        <v>12376.594999999999</v>
      </c>
      <c r="J70" s="21">
        <f t="shared" si="3"/>
        <v>131.75</v>
      </c>
      <c r="K70" s="22">
        <f t="shared" si="2"/>
        <v>-93.278999999999996</v>
      </c>
    </row>
    <row r="71" spans="1:11" ht="12.75" x14ac:dyDescent="0.2">
      <c r="A71" s="13">
        <v>45604</v>
      </c>
      <c r="B71" s="14" t="s">
        <v>7</v>
      </c>
      <c r="C71" s="15">
        <v>0.91610000000000003</v>
      </c>
      <c r="D71" s="23" t="s">
        <v>22</v>
      </c>
      <c r="E71" s="17"/>
      <c r="F71" s="17"/>
      <c r="G71" s="18">
        <v>2635</v>
      </c>
      <c r="H71" s="19">
        <f t="shared" si="0"/>
        <v>221.07650000000012</v>
      </c>
      <c r="I71" s="20">
        <f t="shared" si="1"/>
        <v>12159.207500000008</v>
      </c>
      <c r="J71" s="21">
        <f t="shared" si="3"/>
        <v>131.75</v>
      </c>
      <c r="K71" s="22">
        <f t="shared" si="2"/>
        <v>-89.326500000000124</v>
      </c>
    </row>
    <row r="72" spans="1:11" ht="12.75" x14ac:dyDescent="0.2">
      <c r="A72" s="13">
        <v>45607</v>
      </c>
      <c r="B72" s="14" t="s">
        <v>3</v>
      </c>
      <c r="C72" s="15">
        <v>0.93020000000000003</v>
      </c>
      <c r="D72" s="23" t="s">
        <v>22</v>
      </c>
      <c r="E72" s="17"/>
      <c r="F72" s="17"/>
      <c r="G72" s="18">
        <v>2635</v>
      </c>
      <c r="H72" s="19">
        <f t="shared" si="0"/>
        <v>183.92299999999977</v>
      </c>
      <c r="I72" s="20">
        <f t="shared" si="1"/>
        <v>10115.764999999989</v>
      </c>
      <c r="J72" s="21">
        <f t="shared" si="3"/>
        <v>131.75</v>
      </c>
      <c r="K72" s="22">
        <f t="shared" si="2"/>
        <v>-52.172999999999774</v>
      </c>
    </row>
    <row r="73" spans="1:11" ht="12.75" x14ac:dyDescent="0.2">
      <c r="A73" s="13">
        <v>45608</v>
      </c>
      <c r="B73" s="14" t="s">
        <v>4</v>
      </c>
      <c r="C73" s="15">
        <v>0.93210000000000004</v>
      </c>
      <c r="D73" s="16" t="s">
        <v>22</v>
      </c>
      <c r="E73" s="17"/>
      <c r="F73" s="17"/>
      <c r="G73" s="18">
        <v>2635</v>
      </c>
      <c r="H73" s="19">
        <f t="shared" si="0"/>
        <v>178.91649999999981</v>
      </c>
      <c r="I73" s="20">
        <f t="shared" si="1"/>
        <v>9840.4074999999903</v>
      </c>
      <c r="J73" s="21">
        <f t="shared" si="3"/>
        <v>131.75</v>
      </c>
      <c r="K73" s="22">
        <f t="shared" si="2"/>
        <v>-47.166499999999814</v>
      </c>
    </row>
    <row r="74" spans="1:11" ht="12.75" x14ac:dyDescent="0.2">
      <c r="A74" s="13">
        <v>45609</v>
      </c>
      <c r="B74" s="14" t="s">
        <v>5</v>
      </c>
      <c r="C74" s="15">
        <v>0.94420000000000004</v>
      </c>
      <c r="D74" s="16" t="s">
        <v>22</v>
      </c>
      <c r="E74" s="17"/>
      <c r="F74" s="17"/>
      <c r="G74" s="18">
        <v>2634</v>
      </c>
      <c r="H74" s="19">
        <f t="shared" si="0"/>
        <v>146.97719999999981</v>
      </c>
      <c r="I74" s="20">
        <f t="shared" si="1"/>
        <v>8083.7459999999901</v>
      </c>
      <c r="J74" s="21">
        <f t="shared" si="3"/>
        <v>131.70000000000027</v>
      </c>
      <c r="K74" s="22">
        <f t="shared" si="2"/>
        <v>-15.277199999999539</v>
      </c>
    </row>
    <row r="75" spans="1:11" ht="12.75" x14ac:dyDescent="0.2">
      <c r="A75" s="13">
        <v>45610</v>
      </c>
      <c r="B75" s="14" t="s">
        <v>6</v>
      </c>
      <c r="C75" s="15">
        <v>0.93700000000000006</v>
      </c>
      <c r="D75" s="16" t="s">
        <v>22</v>
      </c>
      <c r="E75" s="17"/>
      <c r="F75" s="17"/>
      <c r="G75" s="18">
        <v>2634</v>
      </c>
      <c r="H75" s="19">
        <f t="shared" si="0"/>
        <v>165.94200000000001</v>
      </c>
      <c r="I75" s="20">
        <f t="shared" si="1"/>
        <v>9126.8100000000013</v>
      </c>
      <c r="J75" s="21">
        <f t="shared" si="3"/>
        <v>131.70000000000027</v>
      </c>
      <c r="K75" s="22">
        <f t="shared" si="2"/>
        <v>-34.241999999999734</v>
      </c>
    </row>
    <row r="76" spans="1:11" ht="12.75" x14ac:dyDescent="0.2">
      <c r="A76" s="13">
        <v>45611</v>
      </c>
      <c r="B76" s="14" t="s">
        <v>7</v>
      </c>
      <c r="C76" s="15">
        <v>0.92069999999999996</v>
      </c>
      <c r="D76" s="16" t="s">
        <v>22</v>
      </c>
      <c r="E76" s="17"/>
      <c r="F76" s="17"/>
      <c r="G76" s="18">
        <v>2634</v>
      </c>
      <c r="H76" s="19">
        <f t="shared" si="0"/>
        <v>208.87620000000015</v>
      </c>
      <c r="I76" s="20">
        <f t="shared" si="1"/>
        <v>11488.191000000008</v>
      </c>
      <c r="J76" s="21">
        <f t="shared" si="3"/>
        <v>131.70000000000027</v>
      </c>
      <c r="K76" s="22">
        <f t="shared" si="2"/>
        <v>-77.176199999999881</v>
      </c>
    </row>
    <row r="77" spans="1:11" ht="12.75" x14ac:dyDescent="0.2">
      <c r="A77" s="13">
        <v>45614</v>
      </c>
      <c r="B77" s="14" t="s">
        <v>3</v>
      </c>
      <c r="C77" s="15">
        <v>0.91649999999999998</v>
      </c>
      <c r="D77" s="16" t="s">
        <v>22</v>
      </c>
      <c r="E77" s="17"/>
      <c r="F77" s="17"/>
      <c r="G77" s="18">
        <v>2635</v>
      </c>
      <c r="H77" s="19">
        <f t="shared" si="0"/>
        <v>220.02250000000004</v>
      </c>
      <c r="I77" s="20">
        <f t="shared" si="1"/>
        <v>12101.237500000003</v>
      </c>
      <c r="J77" s="21">
        <f t="shared" si="3"/>
        <v>131.75</v>
      </c>
      <c r="K77" s="22">
        <f t="shared" si="2"/>
        <v>-88.272500000000036</v>
      </c>
    </row>
    <row r="78" spans="1:11" ht="12.75" x14ac:dyDescent="0.2">
      <c r="A78" s="13">
        <v>45615</v>
      </c>
      <c r="B78" s="14" t="s">
        <v>4</v>
      </c>
      <c r="C78" s="15">
        <v>0.92410000000000003</v>
      </c>
      <c r="D78" s="16" t="s">
        <v>22</v>
      </c>
      <c r="E78" s="17"/>
      <c r="F78" s="17"/>
      <c r="G78" s="18">
        <v>2636</v>
      </c>
      <c r="H78" s="19">
        <f t="shared" si="0"/>
        <v>200.07240000000002</v>
      </c>
      <c r="I78" s="20">
        <f t="shared" si="1"/>
        <v>11003.982</v>
      </c>
      <c r="J78" s="21">
        <f t="shared" si="3"/>
        <v>131.80000000000018</v>
      </c>
      <c r="K78" s="22">
        <f t="shared" si="2"/>
        <v>-68.272399999999834</v>
      </c>
    </row>
    <row r="79" spans="1:11" ht="12.75" x14ac:dyDescent="0.2">
      <c r="A79" s="13">
        <v>45616</v>
      </c>
      <c r="B79" s="14" t="s">
        <v>5</v>
      </c>
      <c r="C79" s="15">
        <v>0.93169999999999997</v>
      </c>
      <c r="D79" s="16" t="s">
        <v>22</v>
      </c>
      <c r="E79" s="17"/>
      <c r="F79" s="17"/>
      <c r="G79" s="18">
        <v>2636</v>
      </c>
      <c r="H79" s="19">
        <f t="shared" si="0"/>
        <v>180.03880000000026</v>
      </c>
      <c r="I79" s="20">
        <f t="shared" si="1"/>
        <v>9902.1340000000146</v>
      </c>
      <c r="J79" s="21">
        <f t="shared" si="3"/>
        <v>131.80000000000018</v>
      </c>
      <c r="K79" s="22">
        <f t="shared" si="2"/>
        <v>-48.238800000000083</v>
      </c>
    </row>
    <row r="80" spans="1:11" ht="12.75" x14ac:dyDescent="0.2">
      <c r="A80" s="13">
        <v>45617</v>
      </c>
      <c r="B80" s="14" t="s">
        <v>6</v>
      </c>
      <c r="C80" s="15">
        <v>0.92110000000000003</v>
      </c>
      <c r="D80" s="16" t="s">
        <v>22</v>
      </c>
      <c r="E80" s="17"/>
      <c r="F80" s="17"/>
      <c r="G80" s="18">
        <v>2636</v>
      </c>
      <c r="H80" s="19">
        <f t="shared" si="0"/>
        <v>207.98039999999992</v>
      </c>
      <c r="I80" s="20">
        <f t="shared" si="1"/>
        <v>11438.921999999995</v>
      </c>
      <c r="J80" s="21">
        <f t="shared" si="3"/>
        <v>131.80000000000018</v>
      </c>
      <c r="K80" s="22">
        <f t="shared" si="2"/>
        <v>-76.180399999999736</v>
      </c>
    </row>
    <row r="81" spans="1:11" ht="38.25" x14ac:dyDescent="0.2">
      <c r="A81" s="13">
        <v>45618</v>
      </c>
      <c r="B81" s="14" t="s">
        <v>7</v>
      </c>
      <c r="C81" s="15">
        <v>0.88690000000000002</v>
      </c>
      <c r="D81" s="16" t="s">
        <v>29</v>
      </c>
      <c r="E81" s="17"/>
      <c r="F81" s="17" t="s">
        <v>259</v>
      </c>
      <c r="G81" s="18">
        <v>2636</v>
      </c>
      <c r="H81" s="19">
        <f t="shared" si="0"/>
        <v>298.13160000000016</v>
      </c>
      <c r="I81" s="20">
        <f t="shared" si="1"/>
        <v>16397.238000000008</v>
      </c>
      <c r="J81" s="21">
        <f t="shared" si="3"/>
        <v>131.80000000000018</v>
      </c>
      <c r="K81" s="22">
        <f t="shared" si="2"/>
        <v>-166.33159999999998</v>
      </c>
    </row>
    <row r="82" spans="1:11" ht="12.75" x14ac:dyDescent="0.2">
      <c r="A82" s="30">
        <v>45621</v>
      </c>
      <c r="B82" s="31" t="s">
        <v>3</v>
      </c>
      <c r="C82" s="32"/>
      <c r="D82" s="33"/>
      <c r="E82" s="34"/>
      <c r="F82" s="34"/>
      <c r="G82" s="35"/>
      <c r="H82" s="19">
        <f t="shared" si="0"/>
        <v>0</v>
      </c>
      <c r="I82" s="20">
        <f t="shared" si="1"/>
        <v>0</v>
      </c>
      <c r="J82" s="21">
        <f t="shared" si="3"/>
        <v>0</v>
      </c>
      <c r="K82" s="22">
        <f t="shared" si="2"/>
        <v>0</v>
      </c>
    </row>
    <row r="83" spans="1:11" ht="12.75" x14ac:dyDescent="0.2">
      <c r="A83" s="30">
        <v>45622</v>
      </c>
      <c r="B83" s="31" t="s">
        <v>4</v>
      </c>
      <c r="C83" s="32"/>
      <c r="D83" s="33"/>
      <c r="E83" s="34"/>
      <c r="F83" s="34"/>
      <c r="G83" s="35"/>
      <c r="H83" s="19">
        <f t="shared" si="0"/>
        <v>0</v>
      </c>
      <c r="I83" s="20">
        <f t="shared" si="1"/>
        <v>0</v>
      </c>
      <c r="J83" s="21">
        <f t="shared" si="3"/>
        <v>0</v>
      </c>
      <c r="K83" s="22">
        <f t="shared" si="2"/>
        <v>0</v>
      </c>
    </row>
    <row r="84" spans="1:11" ht="12.75" x14ac:dyDescent="0.2">
      <c r="A84" s="30">
        <v>45623</v>
      </c>
      <c r="B84" s="31" t="s">
        <v>5</v>
      </c>
      <c r="C84" s="32"/>
      <c r="D84" s="33"/>
      <c r="E84" s="34"/>
      <c r="F84" s="34"/>
      <c r="G84" s="35"/>
      <c r="H84" s="19">
        <f t="shared" si="0"/>
        <v>0</v>
      </c>
      <c r="I84" s="20">
        <f t="shared" si="1"/>
        <v>0</v>
      </c>
      <c r="J84" s="21">
        <f t="shared" si="3"/>
        <v>0</v>
      </c>
      <c r="K84" s="22">
        <f t="shared" si="2"/>
        <v>0</v>
      </c>
    </row>
    <row r="85" spans="1:11" ht="12.75" x14ac:dyDescent="0.2">
      <c r="A85" s="30">
        <v>45624</v>
      </c>
      <c r="B85" s="31" t="s">
        <v>6</v>
      </c>
      <c r="C85" s="32"/>
      <c r="D85" s="33"/>
      <c r="E85" s="34"/>
      <c r="F85" s="34"/>
      <c r="G85" s="35"/>
      <c r="H85" s="19">
        <f t="shared" si="0"/>
        <v>0</v>
      </c>
      <c r="I85" s="20">
        <f t="shared" si="1"/>
        <v>0</v>
      </c>
      <c r="J85" s="21">
        <f t="shared" si="3"/>
        <v>0</v>
      </c>
      <c r="K85" s="22">
        <f t="shared" si="2"/>
        <v>0</v>
      </c>
    </row>
    <row r="86" spans="1:11" ht="12.75" x14ac:dyDescent="0.2">
      <c r="A86" s="30">
        <v>45625</v>
      </c>
      <c r="B86" s="31" t="s">
        <v>7</v>
      </c>
      <c r="C86" s="32"/>
      <c r="D86" s="33"/>
      <c r="E86" s="34"/>
      <c r="F86" s="34"/>
      <c r="G86" s="35"/>
      <c r="H86" s="19">
        <f t="shared" si="0"/>
        <v>0</v>
      </c>
      <c r="I86" s="20">
        <f t="shared" si="1"/>
        <v>0</v>
      </c>
      <c r="J86" s="21">
        <f t="shared" si="3"/>
        <v>0</v>
      </c>
      <c r="K86" s="22">
        <f t="shared" si="2"/>
        <v>0</v>
      </c>
    </row>
    <row r="87" spans="1:11" ht="12.75" x14ac:dyDescent="0.2">
      <c r="A87" s="13">
        <v>45628</v>
      </c>
      <c r="B87" s="14" t="s">
        <v>3</v>
      </c>
      <c r="C87" s="15">
        <v>0.91220000000000001</v>
      </c>
      <c r="D87" s="16" t="s">
        <v>22</v>
      </c>
      <c r="E87" s="17"/>
      <c r="F87" s="17"/>
      <c r="G87" s="18">
        <v>2631</v>
      </c>
      <c r="H87" s="19">
        <f t="shared" si="0"/>
        <v>231.0018</v>
      </c>
      <c r="I87" s="20">
        <f t="shared" si="1"/>
        <v>12705.099</v>
      </c>
      <c r="J87" s="21">
        <f t="shared" si="3"/>
        <v>131.55000000000018</v>
      </c>
      <c r="K87" s="22">
        <f t="shared" si="2"/>
        <v>-99.451799999999821</v>
      </c>
    </row>
    <row r="88" spans="1:11" ht="12.75" x14ac:dyDescent="0.2">
      <c r="A88" s="13">
        <v>45629</v>
      </c>
      <c r="B88" s="14" t="s">
        <v>4</v>
      </c>
      <c r="C88" s="15">
        <v>0.93879999999999997</v>
      </c>
      <c r="D88" s="16" t="s">
        <v>22</v>
      </c>
      <c r="E88" s="17"/>
      <c r="F88" s="17"/>
      <c r="G88" s="18">
        <v>2631</v>
      </c>
      <c r="H88" s="19">
        <f t="shared" si="0"/>
        <v>161.01720000000023</v>
      </c>
      <c r="I88" s="20">
        <f t="shared" si="1"/>
        <v>8855.9460000000126</v>
      </c>
      <c r="J88" s="21">
        <f t="shared" si="3"/>
        <v>131.55000000000018</v>
      </c>
      <c r="K88" s="22">
        <f t="shared" si="2"/>
        <v>-29.467200000000048</v>
      </c>
    </row>
    <row r="89" spans="1:11" ht="12.75" x14ac:dyDescent="0.2">
      <c r="A89" s="13">
        <v>45630</v>
      </c>
      <c r="B89" s="14" t="s">
        <v>5</v>
      </c>
      <c r="C89" s="15">
        <v>0.9365</v>
      </c>
      <c r="D89" s="16" t="s">
        <v>22</v>
      </c>
      <c r="E89" s="17"/>
      <c r="F89" s="17"/>
      <c r="G89" s="18">
        <v>2629</v>
      </c>
      <c r="H89" s="19">
        <f t="shared" si="0"/>
        <v>166.94149999999991</v>
      </c>
      <c r="I89" s="20">
        <f t="shared" si="1"/>
        <v>9181.7824999999939</v>
      </c>
      <c r="J89" s="21">
        <f t="shared" si="3"/>
        <v>131.45000000000027</v>
      </c>
      <c r="K89" s="22">
        <f t="shared" si="2"/>
        <v>-35.491499999999633</v>
      </c>
    </row>
    <row r="90" spans="1:11" ht="12.75" x14ac:dyDescent="0.2">
      <c r="A90" s="13">
        <v>45631</v>
      </c>
      <c r="B90" s="14" t="s">
        <v>6</v>
      </c>
      <c r="C90" s="15">
        <v>0.94030000000000002</v>
      </c>
      <c r="D90" s="16" t="s">
        <v>22</v>
      </c>
      <c r="E90" s="17"/>
      <c r="F90" s="17"/>
      <c r="G90" s="18">
        <v>2628</v>
      </c>
      <c r="H90" s="19">
        <f t="shared" si="0"/>
        <v>156.89159999999993</v>
      </c>
      <c r="I90" s="20">
        <f t="shared" si="1"/>
        <v>8629.0379999999968</v>
      </c>
      <c r="J90" s="21">
        <f t="shared" si="3"/>
        <v>131.40000000000009</v>
      </c>
      <c r="K90" s="22">
        <f t="shared" si="2"/>
        <v>-25.491599999999835</v>
      </c>
    </row>
    <row r="91" spans="1:11" ht="12.75" x14ac:dyDescent="0.2">
      <c r="A91" s="13">
        <v>45632</v>
      </c>
      <c r="B91" s="14" t="s">
        <v>7</v>
      </c>
      <c r="C91" s="15">
        <v>0.92759999999999998</v>
      </c>
      <c r="D91" s="16" t="s">
        <v>22</v>
      </c>
      <c r="E91" s="17"/>
      <c r="F91" s="17"/>
      <c r="G91" s="18">
        <v>2626</v>
      </c>
      <c r="H91" s="19">
        <f t="shared" si="0"/>
        <v>190.1224000000002</v>
      </c>
      <c r="I91" s="20">
        <f t="shared" si="1"/>
        <v>10456.732000000011</v>
      </c>
      <c r="J91" s="21">
        <f t="shared" si="3"/>
        <v>131.30000000000018</v>
      </c>
      <c r="K91" s="22">
        <f t="shared" si="2"/>
        <v>-58.822400000000016</v>
      </c>
    </row>
    <row r="92" spans="1:11" ht="12.75" x14ac:dyDescent="0.2">
      <c r="A92" s="13">
        <v>45635</v>
      </c>
      <c r="B92" s="14" t="s">
        <v>3</v>
      </c>
      <c r="C92" s="15">
        <v>0.92610000000000003</v>
      </c>
      <c r="D92" s="16" t="s">
        <v>22</v>
      </c>
      <c r="E92" s="17"/>
      <c r="F92" s="17"/>
      <c r="G92" s="18">
        <v>2626</v>
      </c>
      <c r="H92" s="19">
        <f t="shared" si="0"/>
        <v>194.06140000000005</v>
      </c>
      <c r="I92" s="20">
        <f t="shared" si="1"/>
        <v>10673.377000000002</v>
      </c>
      <c r="J92" s="21">
        <f t="shared" si="3"/>
        <v>131.30000000000018</v>
      </c>
      <c r="K92" s="22">
        <f t="shared" si="2"/>
        <v>-62.761399999999867</v>
      </c>
    </row>
    <row r="93" spans="1:11" ht="12.75" x14ac:dyDescent="0.2">
      <c r="A93" s="13">
        <v>45636</v>
      </c>
      <c r="B93" s="14" t="s">
        <v>4</v>
      </c>
      <c r="C93" s="15">
        <v>0.93679999999999997</v>
      </c>
      <c r="D93" s="16" t="s">
        <v>22</v>
      </c>
      <c r="E93" s="17"/>
      <c r="F93" s="17"/>
      <c r="G93" s="18">
        <v>2628</v>
      </c>
      <c r="H93" s="19">
        <f t="shared" si="0"/>
        <v>166.08960000000025</v>
      </c>
      <c r="I93" s="20">
        <f t="shared" si="1"/>
        <v>9134.9280000000144</v>
      </c>
      <c r="J93" s="21">
        <f t="shared" si="3"/>
        <v>131.40000000000009</v>
      </c>
      <c r="K93" s="22">
        <f t="shared" si="2"/>
        <v>-34.689600000000155</v>
      </c>
    </row>
    <row r="94" spans="1:11" ht="12.75" x14ac:dyDescent="0.2">
      <c r="A94" s="13">
        <v>45637</v>
      </c>
      <c r="B94" s="14" t="s">
        <v>5</v>
      </c>
      <c r="C94" s="15">
        <v>0.93159999999999998</v>
      </c>
      <c r="D94" s="16" t="s">
        <v>22</v>
      </c>
      <c r="E94" s="17"/>
      <c r="F94" s="17"/>
      <c r="G94" s="18">
        <v>2631</v>
      </c>
      <c r="H94" s="19">
        <f t="shared" si="0"/>
        <v>179.96039999999994</v>
      </c>
      <c r="I94" s="20">
        <f t="shared" si="1"/>
        <v>9897.8219999999965</v>
      </c>
      <c r="J94" s="21">
        <f t="shared" si="3"/>
        <v>131.55000000000018</v>
      </c>
      <c r="K94" s="22">
        <f t="shared" si="2"/>
        <v>-48.410399999999754</v>
      </c>
    </row>
    <row r="95" spans="1:11" ht="12.75" x14ac:dyDescent="0.2">
      <c r="A95" s="13">
        <v>45638</v>
      </c>
      <c r="B95" s="14" t="s">
        <v>6</v>
      </c>
      <c r="C95" s="15">
        <v>0.93389999999999995</v>
      </c>
      <c r="D95" s="16" t="s">
        <v>22</v>
      </c>
      <c r="E95" s="17"/>
      <c r="F95" s="17"/>
      <c r="G95" s="18">
        <v>2631</v>
      </c>
      <c r="H95" s="19">
        <f t="shared" si="0"/>
        <v>173.90910000000031</v>
      </c>
      <c r="I95" s="20">
        <f t="shared" si="1"/>
        <v>9565.0005000000165</v>
      </c>
      <c r="J95" s="21">
        <f t="shared" si="3"/>
        <v>131.55000000000018</v>
      </c>
      <c r="K95" s="22">
        <f t="shared" si="2"/>
        <v>-42.359100000000126</v>
      </c>
    </row>
    <row r="96" spans="1:11" ht="12.75" x14ac:dyDescent="0.2">
      <c r="A96" s="13">
        <v>45639</v>
      </c>
      <c r="B96" s="14" t="s">
        <v>7</v>
      </c>
      <c r="C96" s="15">
        <v>0.91900000000000004</v>
      </c>
      <c r="D96" s="16" t="s">
        <v>22</v>
      </c>
      <c r="E96" s="17"/>
      <c r="F96" s="17"/>
      <c r="G96" s="18">
        <v>2631</v>
      </c>
      <c r="H96" s="19">
        <f t="shared" si="0"/>
        <v>213.11099999999988</v>
      </c>
      <c r="I96" s="20">
        <f t="shared" si="1"/>
        <v>11721.104999999992</v>
      </c>
      <c r="J96" s="21">
        <f t="shared" si="3"/>
        <v>131.55000000000018</v>
      </c>
      <c r="K96" s="22">
        <f t="shared" si="2"/>
        <v>-81.560999999999694</v>
      </c>
    </row>
    <row r="97" spans="1:11" ht="12.75" x14ac:dyDescent="0.2">
      <c r="A97" s="13">
        <v>45642</v>
      </c>
      <c r="B97" s="14" t="s">
        <v>3</v>
      </c>
      <c r="C97" s="15">
        <v>0.92169999999999996</v>
      </c>
      <c r="D97" s="16" t="s">
        <v>22</v>
      </c>
      <c r="E97" s="17"/>
      <c r="F97" s="17"/>
      <c r="G97" s="18">
        <v>2632</v>
      </c>
      <c r="H97" s="19">
        <f t="shared" si="0"/>
        <v>206.08559999999989</v>
      </c>
      <c r="I97" s="20">
        <f t="shared" si="1"/>
        <v>11334.707999999993</v>
      </c>
      <c r="J97" s="21">
        <f t="shared" si="3"/>
        <v>131.59999999999991</v>
      </c>
      <c r="K97" s="22">
        <f t="shared" si="2"/>
        <v>-74.485599999999977</v>
      </c>
    </row>
    <row r="98" spans="1:11" ht="12.75" x14ac:dyDescent="0.2">
      <c r="A98" s="13">
        <v>45643</v>
      </c>
      <c r="B98" s="14" t="s">
        <v>4</v>
      </c>
      <c r="C98" s="15">
        <v>0.96730000000000005</v>
      </c>
      <c r="D98" s="16" t="s">
        <v>22</v>
      </c>
      <c r="E98" s="17"/>
      <c r="F98" s="17"/>
      <c r="G98" s="18">
        <v>2630</v>
      </c>
      <c r="H98" s="19">
        <f t="shared" si="0"/>
        <v>86.000999999999749</v>
      </c>
      <c r="I98" s="20">
        <f t="shared" si="1"/>
        <v>4730.0549999999857</v>
      </c>
      <c r="J98" s="21">
        <f t="shared" si="3"/>
        <v>131.5</v>
      </c>
      <c r="K98" s="22">
        <f t="shared" si="2"/>
        <v>45.499000000000251</v>
      </c>
    </row>
    <row r="99" spans="1:11" ht="12.75" x14ac:dyDescent="0.2">
      <c r="A99" s="13">
        <v>45644</v>
      </c>
      <c r="B99" s="14" t="s">
        <v>5</v>
      </c>
      <c r="C99" s="15">
        <v>0.95860000000000001</v>
      </c>
      <c r="D99" s="16" t="s">
        <v>22</v>
      </c>
      <c r="E99" s="17"/>
      <c r="F99" s="17"/>
      <c r="G99" s="18">
        <v>2630</v>
      </c>
      <c r="H99" s="19">
        <f t="shared" si="0"/>
        <v>108.88200000000006</v>
      </c>
      <c r="I99" s="20">
        <f t="shared" si="1"/>
        <v>5988.5100000000039</v>
      </c>
      <c r="J99" s="21">
        <f t="shared" si="3"/>
        <v>131.5</v>
      </c>
      <c r="K99" s="22">
        <f t="shared" si="2"/>
        <v>22.617999999999938</v>
      </c>
    </row>
    <row r="100" spans="1:11" ht="12.75" x14ac:dyDescent="0.2">
      <c r="A100" s="13">
        <v>45645</v>
      </c>
      <c r="B100" s="14" t="s">
        <v>6</v>
      </c>
      <c r="C100" s="15">
        <v>0.95709999999999995</v>
      </c>
      <c r="D100" s="16" t="s">
        <v>22</v>
      </c>
      <c r="E100" s="17"/>
      <c r="F100" s="17"/>
      <c r="G100" s="18">
        <v>2631</v>
      </c>
      <c r="H100" s="19">
        <f t="shared" si="0"/>
        <v>112.86990000000014</v>
      </c>
      <c r="I100" s="20">
        <f t="shared" si="1"/>
        <v>6207.8445000000083</v>
      </c>
      <c r="J100" s="21">
        <f t="shared" si="3"/>
        <v>131.55000000000018</v>
      </c>
      <c r="K100" s="22">
        <f t="shared" si="2"/>
        <v>18.680100000000039</v>
      </c>
    </row>
    <row r="101" spans="1:11" ht="12.75" x14ac:dyDescent="0.2">
      <c r="A101" s="13">
        <v>45646</v>
      </c>
      <c r="B101" s="14" t="s">
        <v>7</v>
      </c>
      <c r="C101" s="15">
        <v>0.92969999999999997</v>
      </c>
      <c r="D101" s="16" t="s">
        <v>22</v>
      </c>
      <c r="E101" s="17"/>
      <c r="F101" s="17"/>
      <c r="G101" s="18">
        <v>2631</v>
      </c>
      <c r="H101" s="19">
        <f t="shared" si="0"/>
        <v>184.95929999999998</v>
      </c>
      <c r="I101" s="20">
        <f t="shared" si="1"/>
        <v>10172.761499999999</v>
      </c>
      <c r="J101" s="21">
        <f t="shared" si="3"/>
        <v>131.55000000000018</v>
      </c>
      <c r="K101" s="22">
        <f t="shared" si="2"/>
        <v>-53.409299999999803</v>
      </c>
    </row>
    <row r="102" spans="1:11" ht="12.75" x14ac:dyDescent="0.2">
      <c r="A102" s="24">
        <v>45649</v>
      </c>
      <c r="B102" s="25" t="s">
        <v>3</v>
      </c>
      <c r="C102" s="26"/>
      <c r="D102" s="27"/>
      <c r="E102" s="28"/>
      <c r="F102" s="28"/>
      <c r="G102" s="29"/>
      <c r="H102" s="19">
        <f t="shared" si="0"/>
        <v>0</v>
      </c>
      <c r="I102" s="20">
        <f t="shared" si="1"/>
        <v>0</v>
      </c>
      <c r="J102" s="21">
        <f t="shared" si="3"/>
        <v>0</v>
      </c>
      <c r="K102" s="22">
        <f t="shared" si="2"/>
        <v>0</v>
      </c>
    </row>
    <row r="103" spans="1:11" ht="12.75" x14ac:dyDescent="0.2">
      <c r="A103" s="24">
        <v>45650</v>
      </c>
      <c r="B103" s="25" t="s">
        <v>4</v>
      </c>
      <c r="C103" s="26"/>
      <c r="D103" s="27"/>
      <c r="E103" s="28"/>
      <c r="F103" s="28"/>
      <c r="G103" s="29"/>
      <c r="H103" s="19">
        <f t="shared" si="0"/>
        <v>0</v>
      </c>
      <c r="I103" s="20">
        <f t="shared" si="1"/>
        <v>0</v>
      </c>
      <c r="J103" s="21">
        <f t="shared" si="3"/>
        <v>0</v>
      </c>
      <c r="K103" s="22">
        <f t="shared" si="2"/>
        <v>0</v>
      </c>
    </row>
    <row r="104" spans="1:11" ht="12.75" x14ac:dyDescent="0.2">
      <c r="A104" s="24">
        <v>45651</v>
      </c>
      <c r="B104" s="25" t="s">
        <v>5</v>
      </c>
      <c r="C104" s="26"/>
      <c r="D104" s="27"/>
      <c r="E104" s="28"/>
      <c r="F104" s="28"/>
      <c r="G104" s="29"/>
      <c r="H104" s="19">
        <f t="shared" si="0"/>
        <v>0</v>
      </c>
      <c r="I104" s="20">
        <f t="shared" si="1"/>
        <v>0</v>
      </c>
      <c r="J104" s="21">
        <f t="shared" si="3"/>
        <v>0</v>
      </c>
      <c r="K104" s="22">
        <f t="shared" si="2"/>
        <v>0</v>
      </c>
    </row>
    <row r="105" spans="1:11" ht="12.75" x14ac:dyDescent="0.2">
      <c r="A105" s="24">
        <v>45652</v>
      </c>
      <c r="B105" s="25" t="s">
        <v>6</v>
      </c>
      <c r="C105" s="26"/>
      <c r="D105" s="27"/>
      <c r="E105" s="28"/>
      <c r="F105" s="28"/>
      <c r="G105" s="29"/>
      <c r="H105" s="19">
        <f t="shared" si="0"/>
        <v>0</v>
      </c>
      <c r="I105" s="20">
        <f t="shared" si="1"/>
        <v>0</v>
      </c>
      <c r="J105" s="21">
        <f t="shared" si="3"/>
        <v>0</v>
      </c>
      <c r="K105" s="22">
        <f t="shared" si="2"/>
        <v>0</v>
      </c>
    </row>
    <row r="106" spans="1:11" ht="12.75" x14ac:dyDescent="0.2">
      <c r="A106" s="24">
        <v>45653</v>
      </c>
      <c r="B106" s="25" t="s">
        <v>7</v>
      </c>
      <c r="C106" s="26"/>
      <c r="D106" s="27"/>
      <c r="E106" s="28"/>
      <c r="F106" s="28"/>
      <c r="G106" s="29"/>
      <c r="H106" s="19">
        <f t="shared" si="0"/>
        <v>0</v>
      </c>
      <c r="I106" s="20">
        <f t="shared" si="1"/>
        <v>0</v>
      </c>
      <c r="J106" s="21">
        <f t="shared" si="3"/>
        <v>0</v>
      </c>
      <c r="K106" s="22">
        <f t="shared" si="2"/>
        <v>0</v>
      </c>
    </row>
    <row r="107" spans="1:11" ht="12.75" x14ac:dyDescent="0.2">
      <c r="A107" s="24">
        <v>45656</v>
      </c>
      <c r="B107" s="25" t="s">
        <v>3</v>
      </c>
      <c r="C107" s="26"/>
      <c r="D107" s="27"/>
      <c r="E107" s="28"/>
      <c r="F107" s="28"/>
      <c r="G107" s="29"/>
      <c r="H107" s="19">
        <f t="shared" si="0"/>
        <v>0</v>
      </c>
      <c r="I107" s="20">
        <f t="shared" si="1"/>
        <v>0</v>
      </c>
      <c r="J107" s="21">
        <f t="shared" si="3"/>
        <v>0</v>
      </c>
      <c r="K107" s="22">
        <f t="shared" si="2"/>
        <v>0</v>
      </c>
    </row>
    <row r="108" spans="1:11" ht="12.75" x14ac:dyDescent="0.2">
      <c r="A108" s="24">
        <v>45657</v>
      </c>
      <c r="B108" s="25" t="s">
        <v>4</v>
      </c>
      <c r="C108" s="26"/>
      <c r="D108" s="27"/>
      <c r="E108" s="28"/>
      <c r="F108" s="28"/>
      <c r="G108" s="29"/>
      <c r="H108" s="19">
        <f t="shared" si="0"/>
        <v>0</v>
      </c>
      <c r="I108" s="20">
        <f t="shared" si="1"/>
        <v>0</v>
      </c>
      <c r="J108" s="21">
        <f t="shared" si="3"/>
        <v>0</v>
      </c>
      <c r="K108" s="22">
        <f t="shared" si="2"/>
        <v>0</v>
      </c>
    </row>
    <row r="109" spans="1:11" ht="12.75" x14ac:dyDescent="0.2">
      <c r="A109" s="24">
        <v>45658</v>
      </c>
      <c r="B109" s="25" t="s">
        <v>5</v>
      </c>
      <c r="C109" s="26"/>
      <c r="D109" s="27"/>
      <c r="E109" s="28"/>
      <c r="F109" s="28"/>
      <c r="G109" s="29"/>
      <c r="H109" s="19">
        <f t="shared" si="0"/>
        <v>0</v>
      </c>
      <c r="I109" s="20">
        <f t="shared" si="1"/>
        <v>0</v>
      </c>
      <c r="J109" s="21">
        <f t="shared" si="3"/>
        <v>0</v>
      </c>
      <c r="K109" s="22">
        <f t="shared" si="2"/>
        <v>0</v>
      </c>
    </row>
    <row r="110" spans="1:11" ht="12.75" x14ac:dyDescent="0.2">
      <c r="A110" s="24">
        <v>45659</v>
      </c>
      <c r="B110" s="25" t="s">
        <v>6</v>
      </c>
      <c r="C110" s="26"/>
      <c r="D110" s="27"/>
      <c r="E110" s="28"/>
      <c r="F110" s="28"/>
      <c r="G110" s="29"/>
      <c r="H110" s="19">
        <f t="shared" si="0"/>
        <v>0</v>
      </c>
      <c r="I110" s="20">
        <f t="shared" si="1"/>
        <v>0</v>
      </c>
      <c r="J110" s="21">
        <f t="shared" si="3"/>
        <v>0</v>
      </c>
      <c r="K110" s="22">
        <f t="shared" si="2"/>
        <v>0</v>
      </c>
    </row>
    <row r="111" spans="1:11" ht="12.75" x14ac:dyDescent="0.2">
      <c r="A111" s="24">
        <v>45660</v>
      </c>
      <c r="B111" s="25" t="s">
        <v>7</v>
      </c>
      <c r="C111" s="26"/>
      <c r="D111" s="27"/>
      <c r="E111" s="28"/>
      <c r="F111" s="28"/>
      <c r="G111" s="29"/>
      <c r="H111" s="19">
        <f t="shared" si="0"/>
        <v>0</v>
      </c>
      <c r="I111" s="20">
        <f t="shared" si="1"/>
        <v>0</v>
      </c>
      <c r="J111" s="21">
        <f t="shared" si="3"/>
        <v>0</v>
      </c>
      <c r="K111" s="22">
        <f t="shared" si="2"/>
        <v>0</v>
      </c>
    </row>
    <row r="112" spans="1:11" ht="12.75" x14ac:dyDescent="0.2">
      <c r="A112" s="30">
        <v>45663</v>
      </c>
      <c r="B112" s="31" t="s">
        <v>3</v>
      </c>
      <c r="C112" s="32"/>
      <c r="D112" s="33"/>
      <c r="E112" s="34"/>
      <c r="F112" s="34"/>
      <c r="G112" s="35"/>
      <c r="H112" s="19">
        <f t="shared" si="0"/>
        <v>0</v>
      </c>
      <c r="I112" s="20">
        <f t="shared" si="1"/>
        <v>0</v>
      </c>
      <c r="J112" s="21">
        <f t="shared" si="3"/>
        <v>0</v>
      </c>
      <c r="K112" s="22">
        <f t="shared" si="2"/>
        <v>0</v>
      </c>
    </row>
    <row r="113" spans="1:11" ht="12.75" x14ac:dyDescent="0.2">
      <c r="A113" s="30">
        <v>45664</v>
      </c>
      <c r="B113" s="31" t="s">
        <v>4</v>
      </c>
      <c r="C113" s="32"/>
      <c r="D113" s="33"/>
      <c r="E113" s="34"/>
      <c r="F113" s="34"/>
      <c r="G113" s="35"/>
      <c r="H113" s="19">
        <f t="shared" si="0"/>
        <v>0</v>
      </c>
      <c r="I113" s="20">
        <f t="shared" si="1"/>
        <v>0</v>
      </c>
      <c r="J113" s="21">
        <f t="shared" si="3"/>
        <v>0</v>
      </c>
      <c r="K113" s="22">
        <f t="shared" si="2"/>
        <v>0</v>
      </c>
    </row>
    <row r="114" spans="1:11" ht="12.75" x14ac:dyDescent="0.2">
      <c r="A114" s="13">
        <v>45665</v>
      </c>
      <c r="B114" s="14" t="s">
        <v>5</v>
      </c>
      <c r="C114" s="15">
        <v>0.91700000000000004</v>
      </c>
      <c r="D114" s="16" t="s">
        <v>22</v>
      </c>
      <c r="E114" s="17" t="s">
        <v>30</v>
      </c>
      <c r="F114" s="17"/>
      <c r="G114" s="18">
        <v>2610</v>
      </c>
      <c r="H114" s="19">
        <f t="shared" si="0"/>
        <v>216.63000000000011</v>
      </c>
      <c r="I114" s="20">
        <f t="shared" si="1"/>
        <v>11914.650000000005</v>
      </c>
      <c r="J114" s="21">
        <f t="shared" si="3"/>
        <v>130.5</v>
      </c>
      <c r="K114" s="22">
        <f t="shared" si="2"/>
        <v>-86.130000000000109</v>
      </c>
    </row>
    <row r="115" spans="1:11" ht="12.75" x14ac:dyDescent="0.2">
      <c r="A115" s="13">
        <v>45666</v>
      </c>
      <c r="B115" s="14" t="s">
        <v>6</v>
      </c>
      <c r="C115" s="15">
        <v>0.90080000000000005</v>
      </c>
      <c r="D115" s="16" t="s">
        <v>22</v>
      </c>
      <c r="E115" s="17" t="s">
        <v>43</v>
      </c>
      <c r="F115" s="17"/>
      <c r="G115" s="18">
        <v>2610</v>
      </c>
      <c r="H115" s="19">
        <f t="shared" si="0"/>
        <v>258.91199999999981</v>
      </c>
      <c r="I115" s="20">
        <f t="shared" si="1"/>
        <v>14240.159999999989</v>
      </c>
      <c r="J115" s="21">
        <f t="shared" si="3"/>
        <v>130.5</v>
      </c>
      <c r="K115" s="22">
        <f t="shared" si="2"/>
        <v>-128.41199999999981</v>
      </c>
    </row>
    <row r="116" spans="1:11" ht="12.75" x14ac:dyDescent="0.2">
      <c r="A116" s="13">
        <v>45667</v>
      </c>
      <c r="B116" s="14" t="s">
        <v>7</v>
      </c>
      <c r="C116" s="15">
        <v>0.88500000000000001</v>
      </c>
      <c r="D116" s="16" t="s">
        <v>29</v>
      </c>
      <c r="E116" s="17" t="s">
        <v>43</v>
      </c>
      <c r="F116" s="17"/>
      <c r="G116" s="18">
        <v>26.09</v>
      </c>
      <c r="H116" s="19">
        <f t="shared" si="0"/>
        <v>3.000350000000001</v>
      </c>
      <c r="I116" s="20">
        <f t="shared" si="1"/>
        <v>165.01925000000006</v>
      </c>
      <c r="J116" s="21">
        <f t="shared" si="3"/>
        <v>1.3045000000000009</v>
      </c>
      <c r="K116" s="22">
        <f t="shared" si="2"/>
        <v>-1.6958500000000001</v>
      </c>
    </row>
    <row r="117" spans="1:11" ht="12.75" x14ac:dyDescent="0.2">
      <c r="A117" s="13">
        <v>45670</v>
      </c>
      <c r="B117" s="14" t="s">
        <v>3</v>
      </c>
      <c r="C117" s="15">
        <v>0.93049999999999999</v>
      </c>
      <c r="D117" s="16" t="s">
        <v>22</v>
      </c>
      <c r="E117" s="17"/>
      <c r="F117" s="17"/>
      <c r="G117" s="18">
        <v>2603</v>
      </c>
      <c r="H117" s="19">
        <f t="shared" si="0"/>
        <v>180.9085</v>
      </c>
      <c r="I117" s="20">
        <f t="shared" si="1"/>
        <v>9949.9675000000007</v>
      </c>
      <c r="J117" s="21">
        <f t="shared" si="3"/>
        <v>130.15000000000009</v>
      </c>
      <c r="K117" s="22">
        <f t="shared" si="2"/>
        <v>-50.758499999999913</v>
      </c>
    </row>
    <row r="118" spans="1:11" ht="12.75" x14ac:dyDescent="0.2">
      <c r="A118" s="13">
        <v>45671</v>
      </c>
      <c r="B118" s="14" t="s">
        <v>4</v>
      </c>
      <c r="C118" s="15">
        <v>0.94010000000000005</v>
      </c>
      <c r="D118" s="16" t="s">
        <v>22</v>
      </c>
      <c r="E118" s="17"/>
      <c r="F118" s="17"/>
      <c r="G118" s="18">
        <v>2603</v>
      </c>
      <c r="H118" s="19">
        <f t="shared" si="0"/>
        <v>155.91969999999992</v>
      </c>
      <c r="I118" s="20">
        <f t="shared" si="1"/>
        <v>8575.5834999999952</v>
      </c>
      <c r="J118" s="21">
        <f t="shared" si="3"/>
        <v>130.15000000000009</v>
      </c>
      <c r="K118" s="22">
        <f t="shared" si="2"/>
        <v>-25.76969999999983</v>
      </c>
    </row>
    <row r="119" spans="1:11" ht="12.75" x14ac:dyDescent="0.2">
      <c r="A119" s="13">
        <v>45672</v>
      </c>
      <c r="B119" s="14" t="s">
        <v>5</v>
      </c>
      <c r="C119" s="15">
        <v>0.93859999999999999</v>
      </c>
      <c r="D119" s="16" t="s">
        <v>22</v>
      </c>
      <c r="E119" s="17"/>
      <c r="F119" s="17"/>
      <c r="G119" s="18">
        <v>2607</v>
      </c>
      <c r="H119" s="19">
        <f t="shared" si="0"/>
        <v>160.06980000000021</v>
      </c>
      <c r="I119" s="20">
        <f t="shared" si="1"/>
        <v>8803.8390000000109</v>
      </c>
      <c r="J119" s="21">
        <f t="shared" si="3"/>
        <v>130.34999999999991</v>
      </c>
      <c r="K119" s="22">
        <f t="shared" si="2"/>
        <v>-29.719800000000305</v>
      </c>
    </row>
    <row r="120" spans="1:11" ht="12.75" x14ac:dyDescent="0.2">
      <c r="A120" s="13">
        <v>45673</v>
      </c>
      <c r="B120" s="14" t="s">
        <v>6</v>
      </c>
      <c r="C120" s="15">
        <v>0.93510000000000004</v>
      </c>
      <c r="D120" s="16" t="s">
        <v>22</v>
      </c>
      <c r="E120" s="17"/>
      <c r="F120" s="17"/>
      <c r="G120" s="18">
        <v>2605</v>
      </c>
      <c r="H120" s="19">
        <f t="shared" si="0"/>
        <v>169.06449999999995</v>
      </c>
      <c r="I120" s="20">
        <f t="shared" si="1"/>
        <v>9298.5474999999969</v>
      </c>
      <c r="J120" s="21">
        <f t="shared" si="3"/>
        <v>130.25</v>
      </c>
      <c r="K120" s="22">
        <f t="shared" si="2"/>
        <v>-38.814499999999953</v>
      </c>
    </row>
    <row r="121" spans="1:11" ht="12.75" x14ac:dyDescent="0.2">
      <c r="A121" s="13">
        <v>45674</v>
      </c>
      <c r="B121" s="14" t="s">
        <v>7</v>
      </c>
      <c r="C121" s="15">
        <v>0.9163</v>
      </c>
      <c r="D121" s="16" t="s">
        <v>22</v>
      </c>
      <c r="E121" s="17"/>
      <c r="F121" s="17"/>
      <c r="G121" s="18">
        <v>2603</v>
      </c>
      <c r="H121" s="19">
        <f t="shared" si="0"/>
        <v>217.87109999999984</v>
      </c>
      <c r="I121" s="20">
        <f t="shared" si="1"/>
        <v>11982.910499999991</v>
      </c>
      <c r="J121" s="21">
        <f t="shared" si="3"/>
        <v>130.15000000000009</v>
      </c>
      <c r="K121" s="22">
        <f t="shared" si="2"/>
        <v>-87.721099999999751</v>
      </c>
    </row>
    <row r="122" spans="1:11" ht="12.75" x14ac:dyDescent="0.2">
      <c r="A122" s="24">
        <v>45677</v>
      </c>
      <c r="B122" s="25" t="s">
        <v>3</v>
      </c>
      <c r="C122" s="26"/>
      <c r="D122" s="27"/>
      <c r="E122" s="28"/>
      <c r="F122" s="28"/>
      <c r="G122" s="29"/>
      <c r="H122" s="19">
        <f t="shared" si="0"/>
        <v>0</v>
      </c>
      <c r="I122" s="20">
        <f t="shared" si="1"/>
        <v>0</v>
      </c>
      <c r="J122" s="21">
        <f t="shared" si="3"/>
        <v>0</v>
      </c>
      <c r="K122" s="22">
        <f t="shared" si="2"/>
        <v>0</v>
      </c>
    </row>
    <row r="123" spans="1:11" ht="12.75" x14ac:dyDescent="0.2">
      <c r="A123" s="13">
        <v>45678</v>
      </c>
      <c r="B123" s="14" t="s">
        <v>4</v>
      </c>
      <c r="C123" s="15"/>
      <c r="D123" s="16"/>
      <c r="E123" s="17"/>
      <c r="F123" s="17" t="s">
        <v>260</v>
      </c>
      <c r="H123" s="19">
        <f t="shared" si="0"/>
        <v>0</v>
      </c>
      <c r="I123" s="20">
        <f t="shared" si="1"/>
        <v>0</v>
      </c>
      <c r="J123" s="21">
        <f t="shared" si="3"/>
        <v>0</v>
      </c>
      <c r="K123" s="22">
        <f t="shared" si="2"/>
        <v>0</v>
      </c>
    </row>
    <row r="124" spans="1:11" ht="12.75" x14ac:dyDescent="0.2">
      <c r="A124" s="13">
        <v>45679</v>
      </c>
      <c r="B124" s="14" t="s">
        <v>5</v>
      </c>
      <c r="C124" s="15"/>
      <c r="D124" s="16"/>
      <c r="E124" s="17"/>
      <c r="F124" s="17" t="s">
        <v>260</v>
      </c>
      <c r="H124" s="19">
        <f t="shared" si="0"/>
        <v>0</v>
      </c>
      <c r="I124" s="20">
        <f t="shared" si="1"/>
        <v>0</v>
      </c>
      <c r="J124" s="21">
        <f t="shared" si="3"/>
        <v>0</v>
      </c>
      <c r="K124" s="22">
        <f t="shared" si="2"/>
        <v>0</v>
      </c>
    </row>
    <row r="125" spans="1:11" ht="12.75" x14ac:dyDescent="0.2">
      <c r="A125" s="13">
        <v>45680</v>
      </c>
      <c r="B125" s="14" t="s">
        <v>6</v>
      </c>
      <c r="C125" s="15">
        <v>0.86509999999999998</v>
      </c>
      <c r="D125" s="16" t="s">
        <v>29</v>
      </c>
      <c r="E125" s="17"/>
      <c r="F125" s="17" t="s">
        <v>261</v>
      </c>
      <c r="G125" s="18">
        <v>2601</v>
      </c>
      <c r="H125" s="19">
        <f t="shared" si="0"/>
        <v>350.87490000000025</v>
      </c>
      <c r="I125" s="20">
        <f t="shared" si="1"/>
        <v>19298.119500000015</v>
      </c>
      <c r="J125" s="21">
        <f t="shared" si="3"/>
        <v>130.05000000000018</v>
      </c>
      <c r="K125" s="22">
        <f t="shared" si="2"/>
        <v>-220.82490000000007</v>
      </c>
    </row>
    <row r="126" spans="1:11" ht="12.75" x14ac:dyDescent="0.2">
      <c r="A126" s="13">
        <v>45681</v>
      </c>
      <c r="B126" s="14" t="s">
        <v>7</v>
      </c>
      <c r="C126" s="15">
        <v>0.90739999999999998</v>
      </c>
      <c r="D126" s="16" t="s">
        <v>22</v>
      </c>
      <c r="E126" s="17"/>
      <c r="F126" s="17"/>
      <c r="G126" s="18">
        <v>2602</v>
      </c>
      <c r="H126" s="19">
        <f t="shared" si="0"/>
        <v>240.94520000000011</v>
      </c>
      <c r="I126" s="20">
        <f t="shared" si="1"/>
        <v>13251.986000000006</v>
      </c>
      <c r="J126" s="21">
        <f t="shared" si="3"/>
        <v>130.09999999999991</v>
      </c>
      <c r="K126" s="22">
        <f t="shared" si="2"/>
        <v>-110.8452000000002</v>
      </c>
    </row>
    <row r="127" spans="1:11" ht="12.75" x14ac:dyDescent="0.2">
      <c r="A127" s="13">
        <v>45684</v>
      </c>
      <c r="B127" s="14" t="s">
        <v>3</v>
      </c>
      <c r="C127" s="15">
        <v>0.92269999999999996</v>
      </c>
      <c r="D127" s="16" t="s">
        <v>22</v>
      </c>
      <c r="E127" s="17"/>
      <c r="F127" s="17"/>
      <c r="G127" s="18">
        <v>2601</v>
      </c>
      <c r="H127" s="19">
        <f t="shared" si="0"/>
        <v>201.05729999999994</v>
      </c>
      <c r="I127" s="20">
        <f t="shared" si="1"/>
        <v>11058.151499999996</v>
      </c>
      <c r="J127" s="21">
        <f t="shared" si="3"/>
        <v>130.05000000000018</v>
      </c>
      <c r="K127" s="22">
        <f t="shared" si="2"/>
        <v>-71.007299999999759</v>
      </c>
    </row>
    <row r="128" spans="1:11" ht="12.75" x14ac:dyDescent="0.2">
      <c r="A128" s="13">
        <v>45685</v>
      </c>
      <c r="B128" s="14" t="s">
        <v>4</v>
      </c>
      <c r="C128" s="15">
        <v>0.93230000000000002</v>
      </c>
      <c r="D128" s="16" t="s">
        <v>22</v>
      </c>
      <c r="E128" s="17"/>
      <c r="F128" s="17"/>
      <c r="G128" s="18">
        <v>2601</v>
      </c>
      <c r="H128" s="19">
        <f t="shared" si="0"/>
        <v>176.08770000000004</v>
      </c>
      <c r="I128" s="20">
        <f t="shared" si="1"/>
        <v>9684.8235000000022</v>
      </c>
      <c r="J128" s="21">
        <f t="shared" si="3"/>
        <v>130.05000000000018</v>
      </c>
      <c r="K128" s="22">
        <f t="shared" si="2"/>
        <v>-46.037699999999859</v>
      </c>
    </row>
    <row r="129" spans="1:11" ht="12.75" x14ac:dyDescent="0.2">
      <c r="A129" s="13">
        <v>45686</v>
      </c>
      <c r="B129" s="14" t="s">
        <v>5</v>
      </c>
      <c r="C129" s="15">
        <v>0.9254</v>
      </c>
      <c r="D129" s="16" t="s">
        <v>22</v>
      </c>
      <c r="E129" s="17"/>
      <c r="F129" s="17"/>
      <c r="G129" s="18">
        <v>2600</v>
      </c>
      <c r="H129" s="19">
        <f t="shared" si="0"/>
        <v>193.96000000000004</v>
      </c>
      <c r="I129" s="20">
        <f t="shared" si="1"/>
        <v>10667.800000000003</v>
      </c>
      <c r="J129" s="21">
        <f t="shared" si="3"/>
        <v>130</v>
      </c>
      <c r="K129" s="22">
        <f t="shared" si="2"/>
        <v>-63.960000000000036</v>
      </c>
    </row>
    <row r="130" spans="1:11" ht="12.75" x14ac:dyDescent="0.2">
      <c r="A130" s="13">
        <v>45687</v>
      </c>
      <c r="B130" s="14" t="s">
        <v>6</v>
      </c>
      <c r="C130" s="15">
        <v>0.92810000000000004</v>
      </c>
      <c r="D130" s="16" t="s">
        <v>22</v>
      </c>
      <c r="E130" s="17"/>
      <c r="F130" s="17"/>
      <c r="G130" s="18">
        <v>8602</v>
      </c>
      <c r="H130" s="19">
        <f t="shared" si="0"/>
        <v>618.48379999999997</v>
      </c>
      <c r="I130" s="20">
        <f t="shared" si="1"/>
        <v>34016.608999999997</v>
      </c>
      <c r="J130" s="21">
        <f t="shared" si="3"/>
        <v>430.10000000000036</v>
      </c>
      <c r="K130" s="22">
        <f t="shared" si="2"/>
        <v>-188.38379999999961</v>
      </c>
    </row>
    <row r="131" spans="1:11" ht="12.75" x14ac:dyDescent="0.2">
      <c r="A131" s="13">
        <v>45688</v>
      </c>
      <c r="B131" s="14" t="s">
        <v>7</v>
      </c>
      <c r="C131" s="15">
        <v>0.91810000000000003</v>
      </c>
      <c r="D131" s="16" t="s">
        <v>22</v>
      </c>
      <c r="E131" s="17"/>
      <c r="F131" s="17"/>
      <c r="G131" s="18">
        <v>2602</v>
      </c>
      <c r="H131" s="19">
        <f t="shared" si="0"/>
        <v>213.10379999999986</v>
      </c>
      <c r="I131" s="20">
        <f t="shared" si="1"/>
        <v>11720.708999999992</v>
      </c>
      <c r="J131" s="21">
        <f t="shared" si="3"/>
        <v>130.09999999999991</v>
      </c>
      <c r="K131" s="22">
        <f t="shared" si="2"/>
        <v>-83.003799999999956</v>
      </c>
    </row>
    <row r="132" spans="1:11" ht="25.5" x14ac:dyDescent="0.2">
      <c r="A132" s="13">
        <v>45691</v>
      </c>
      <c r="B132" s="14" t="s">
        <v>3</v>
      </c>
      <c r="C132" s="15">
        <v>0.7984</v>
      </c>
      <c r="D132" s="16" t="s">
        <v>29</v>
      </c>
      <c r="E132" s="17" t="s">
        <v>30</v>
      </c>
      <c r="F132" s="17" t="s">
        <v>88</v>
      </c>
      <c r="G132" s="18">
        <v>2601</v>
      </c>
      <c r="H132" s="19">
        <f t="shared" si="0"/>
        <v>524.36160000000018</v>
      </c>
      <c r="I132" s="20">
        <f t="shared" si="1"/>
        <v>28839.88800000001</v>
      </c>
      <c r="J132" s="21">
        <f t="shared" si="3"/>
        <v>130.05000000000018</v>
      </c>
      <c r="K132" s="22">
        <f t="shared" si="2"/>
        <v>-394.3116</v>
      </c>
    </row>
    <row r="133" spans="1:11" ht="12.75" x14ac:dyDescent="0.2">
      <c r="A133" s="13">
        <v>45692</v>
      </c>
      <c r="B133" s="14" t="s">
        <v>4</v>
      </c>
      <c r="C133" s="15">
        <v>0.94189999999999996</v>
      </c>
      <c r="D133" s="16" t="s">
        <v>22</v>
      </c>
      <c r="E133" s="17"/>
      <c r="F133" s="17"/>
      <c r="G133" s="18">
        <v>2597</v>
      </c>
      <c r="H133" s="19">
        <f t="shared" si="0"/>
        <v>150.88570000000027</v>
      </c>
      <c r="I133" s="20">
        <f t="shared" si="1"/>
        <v>8298.7135000000144</v>
      </c>
      <c r="J133" s="21">
        <f t="shared" si="3"/>
        <v>129.84999999999991</v>
      </c>
      <c r="K133" s="22">
        <f t="shared" si="2"/>
        <v>-21.035700000000361</v>
      </c>
    </row>
    <row r="134" spans="1:11" ht="12.75" x14ac:dyDescent="0.2">
      <c r="A134" s="13">
        <v>45693</v>
      </c>
      <c r="B134" s="14" t="s">
        <v>5</v>
      </c>
      <c r="C134" s="15">
        <v>0.94720000000000004</v>
      </c>
      <c r="D134" s="16" t="s">
        <v>22</v>
      </c>
      <c r="E134" s="17"/>
      <c r="F134" s="17"/>
      <c r="G134" s="18">
        <v>2594</v>
      </c>
      <c r="H134" s="19">
        <f t="shared" si="0"/>
        <v>136.96319999999969</v>
      </c>
      <c r="I134" s="20">
        <f t="shared" si="1"/>
        <v>7532.9759999999824</v>
      </c>
      <c r="J134" s="21">
        <f t="shared" si="3"/>
        <v>129.70000000000027</v>
      </c>
      <c r="K134" s="22">
        <f t="shared" si="2"/>
        <v>-7.263199999999415</v>
      </c>
    </row>
    <row r="135" spans="1:11" ht="12.75" x14ac:dyDescent="0.2">
      <c r="A135" s="13">
        <v>45694</v>
      </c>
      <c r="B135" s="14" t="s">
        <v>6</v>
      </c>
      <c r="C135" s="15">
        <v>0.94330000000000003</v>
      </c>
      <c r="D135" s="16" t="s">
        <v>22</v>
      </c>
      <c r="E135" s="17"/>
      <c r="F135" s="17"/>
      <c r="G135" s="18">
        <v>2594</v>
      </c>
      <c r="H135" s="19">
        <f t="shared" si="0"/>
        <v>147.07979999999998</v>
      </c>
      <c r="I135" s="20">
        <f t="shared" si="1"/>
        <v>8089.3889999999992</v>
      </c>
      <c r="J135" s="21">
        <f t="shared" si="3"/>
        <v>129.70000000000027</v>
      </c>
      <c r="K135" s="22">
        <f t="shared" si="2"/>
        <v>-17.379799999999705</v>
      </c>
    </row>
    <row r="136" spans="1:11" ht="12.75" x14ac:dyDescent="0.2">
      <c r="A136" s="13">
        <v>45695</v>
      </c>
      <c r="B136" s="14" t="s">
        <v>7</v>
      </c>
      <c r="C136" s="15">
        <v>0.9355</v>
      </c>
      <c r="D136" s="16" t="s">
        <v>22</v>
      </c>
      <c r="E136" s="17"/>
      <c r="F136" s="17"/>
      <c r="G136" s="18">
        <v>2591</v>
      </c>
      <c r="H136" s="19">
        <f t="shared" si="0"/>
        <v>167.11949999999979</v>
      </c>
      <c r="I136" s="20">
        <f t="shared" si="1"/>
        <v>9191.5724999999875</v>
      </c>
      <c r="J136" s="21">
        <f t="shared" si="3"/>
        <v>129.55000000000018</v>
      </c>
      <c r="K136" s="22">
        <f t="shared" si="2"/>
        <v>-37.569499999999607</v>
      </c>
    </row>
    <row r="137" spans="1:11" ht="12.75" x14ac:dyDescent="0.2">
      <c r="A137" s="30">
        <v>45698</v>
      </c>
      <c r="B137" s="31" t="s">
        <v>3</v>
      </c>
      <c r="C137" s="32"/>
      <c r="D137" s="33"/>
      <c r="E137" s="34"/>
      <c r="F137" s="34"/>
      <c r="G137" s="35"/>
      <c r="H137" s="19">
        <f t="shared" si="0"/>
        <v>0</v>
      </c>
      <c r="I137" s="20">
        <f t="shared" si="1"/>
        <v>0</v>
      </c>
      <c r="J137" s="21">
        <f t="shared" si="3"/>
        <v>0</v>
      </c>
      <c r="K137" s="22">
        <f t="shared" si="2"/>
        <v>0</v>
      </c>
    </row>
    <row r="138" spans="1:11" ht="12.75" x14ac:dyDescent="0.2">
      <c r="A138" s="30">
        <v>45699</v>
      </c>
      <c r="B138" s="31" t="s">
        <v>4</v>
      </c>
      <c r="C138" s="32"/>
      <c r="D138" s="33"/>
      <c r="E138" s="34"/>
      <c r="F138" s="34"/>
      <c r="G138" s="35"/>
      <c r="H138" s="19">
        <f t="shared" si="0"/>
        <v>0</v>
      </c>
      <c r="I138" s="20">
        <f t="shared" si="1"/>
        <v>0</v>
      </c>
      <c r="J138" s="21">
        <f t="shared" si="3"/>
        <v>0</v>
      </c>
      <c r="K138" s="22">
        <f t="shared" si="2"/>
        <v>0</v>
      </c>
    </row>
    <row r="139" spans="1:11" ht="12.75" x14ac:dyDescent="0.2">
      <c r="A139" s="13">
        <v>45700</v>
      </c>
      <c r="B139" s="14" t="s">
        <v>5</v>
      </c>
      <c r="C139" s="15">
        <v>0.9325</v>
      </c>
      <c r="D139" s="16" t="s">
        <v>22</v>
      </c>
      <c r="E139" s="17"/>
      <c r="F139" s="17"/>
      <c r="G139" s="18">
        <v>2592</v>
      </c>
      <c r="H139" s="19">
        <f t="shared" si="0"/>
        <v>174.96000000000004</v>
      </c>
      <c r="I139" s="20">
        <f t="shared" si="1"/>
        <v>9622.8000000000029</v>
      </c>
      <c r="J139" s="21">
        <f t="shared" si="3"/>
        <v>129.59999999999991</v>
      </c>
      <c r="K139" s="22">
        <f t="shared" si="2"/>
        <v>-45.360000000000127</v>
      </c>
    </row>
    <row r="140" spans="1:11" ht="12.75" x14ac:dyDescent="0.2">
      <c r="A140" s="13">
        <v>45701</v>
      </c>
      <c r="B140" s="14" t="s">
        <v>6</v>
      </c>
      <c r="C140" s="15">
        <v>0.94140000000000001</v>
      </c>
      <c r="D140" s="16" t="s">
        <v>22</v>
      </c>
      <c r="E140" s="17"/>
      <c r="F140" s="17"/>
      <c r="G140" s="18">
        <v>2592</v>
      </c>
      <c r="H140" s="19">
        <f t="shared" si="0"/>
        <v>151.89120000000003</v>
      </c>
      <c r="I140" s="20">
        <f t="shared" si="1"/>
        <v>8354.0160000000014</v>
      </c>
      <c r="J140" s="21">
        <f t="shared" si="3"/>
        <v>129.59999999999991</v>
      </c>
      <c r="K140" s="22">
        <f t="shared" si="2"/>
        <v>-22.291200000000117</v>
      </c>
    </row>
    <row r="141" spans="1:11" ht="12.75" x14ac:dyDescent="0.2">
      <c r="A141" s="13">
        <v>45702</v>
      </c>
      <c r="B141" s="14" t="s">
        <v>7</v>
      </c>
      <c r="C141" s="15">
        <v>0.92749999999999999</v>
      </c>
      <c r="D141" s="16" t="s">
        <v>22</v>
      </c>
      <c r="E141" s="17"/>
      <c r="F141" s="17"/>
      <c r="G141" s="18">
        <v>2592</v>
      </c>
      <c r="H141" s="19">
        <f t="shared" si="0"/>
        <v>187.92000000000007</v>
      </c>
      <c r="I141" s="20">
        <f t="shared" si="1"/>
        <v>10335.600000000004</v>
      </c>
      <c r="J141" s="21">
        <f t="shared" si="3"/>
        <v>129.59999999999991</v>
      </c>
      <c r="K141" s="22">
        <f t="shared" si="2"/>
        <v>-58.320000000000164</v>
      </c>
    </row>
    <row r="142" spans="1:11" ht="12.75" x14ac:dyDescent="0.2">
      <c r="A142" s="38">
        <v>45705</v>
      </c>
      <c r="B142" s="39" t="s">
        <v>3</v>
      </c>
      <c r="C142" s="40"/>
      <c r="D142" s="41"/>
      <c r="E142" s="42"/>
      <c r="F142" s="42"/>
      <c r="G142" s="43"/>
      <c r="H142" s="19">
        <f t="shared" si="0"/>
        <v>0</v>
      </c>
      <c r="I142" s="20">
        <f t="shared" si="1"/>
        <v>0</v>
      </c>
      <c r="J142" s="21">
        <f t="shared" si="3"/>
        <v>0</v>
      </c>
      <c r="K142" s="22">
        <f t="shared" si="2"/>
        <v>0</v>
      </c>
    </row>
    <row r="143" spans="1:11" ht="12.75" x14ac:dyDescent="0.2">
      <c r="A143" s="13">
        <v>45706</v>
      </c>
      <c r="B143" s="14" t="s">
        <v>4</v>
      </c>
      <c r="C143" s="15">
        <v>0.94679999999999997</v>
      </c>
      <c r="D143" s="16" t="s">
        <v>22</v>
      </c>
      <c r="E143" s="17"/>
      <c r="F143" s="17"/>
      <c r="G143" s="18">
        <v>2594</v>
      </c>
      <c r="H143" s="19">
        <f t="shared" si="0"/>
        <v>138.00080000000025</v>
      </c>
      <c r="I143" s="20">
        <f t="shared" si="1"/>
        <v>7590.0440000000144</v>
      </c>
      <c r="J143" s="21">
        <f t="shared" si="3"/>
        <v>129.70000000000027</v>
      </c>
      <c r="K143" s="22">
        <f t="shared" si="2"/>
        <v>-8.3007999999999811</v>
      </c>
    </row>
    <row r="144" spans="1:11" ht="12.75" x14ac:dyDescent="0.2">
      <c r="A144" s="13">
        <v>45707</v>
      </c>
      <c r="B144" s="14" t="s">
        <v>5</v>
      </c>
      <c r="C144" s="15">
        <v>0.94830000000000003</v>
      </c>
      <c r="D144" s="16" t="s">
        <v>22</v>
      </c>
      <c r="E144" s="17"/>
      <c r="F144" s="17"/>
      <c r="G144" s="18">
        <v>2590</v>
      </c>
      <c r="H144" s="19">
        <f t="shared" si="0"/>
        <v>133.90299999999979</v>
      </c>
      <c r="I144" s="20">
        <f t="shared" si="1"/>
        <v>7364.6649999999881</v>
      </c>
      <c r="J144" s="21">
        <f t="shared" si="3"/>
        <v>129.5</v>
      </c>
      <c r="K144" s="22">
        <f t="shared" si="2"/>
        <v>-4.4029999999997926</v>
      </c>
    </row>
    <row r="145" spans="1:11" ht="12.75" x14ac:dyDescent="0.2">
      <c r="A145" s="13">
        <v>45708</v>
      </c>
      <c r="B145" s="14" t="s">
        <v>6</v>
      </c>
      <c r="C145" s="15">
        <v>0.91900000000000004</v>
      </c>
      <c r="D145" s="16" t="s">
        <v>22</v>
      </c>
      <c r="E145" s="17"/>
      <c r="F145" s="17" t="s">
        <v>262</v>
      </c>
      <c r="G145" s="18">
        <v>2594</v>
      </c>
      <c r="H145" s="19">
        <f t="shared" si="0"/>
        <v>210.11400000000003</v>
      </c>
      <c r="I145" s="20">
        <f t="shared" si="1"/>
        <v>11556.270000000002</v>
      </c>
      <c r="J145" s="21">
        <f t="shared" si="3"/>
        <v>129.70000000000027</v>
      </c>
      <c r="K145" s="22">
        <f t="shared" si="2"/>
        <v>-80.41399999999976</v>
      </c>
    </row>
    <row r="146" spans="1:11" ht="12.75" x14ac:dyDescent="0.2">
      <c r="A146" s="13">
        <v>45709</v>
      </c>
      <c r="B146" s="14" t="s">
        <v>7</v>
      </c>
      <c r="C146" s="15">
        <v>0.94679999999999997</v>
      </c>
      <c r="D146" s="16" t="s">
        <v>22</v>
      </c>
      <c r="E146" s="17" t="s">
        <v>30</v>
      </c>
      <c r="F146" s="17" t="s">
        <v>263</v>
      </c>
      <c r="G146" s="18">
        <v>2593</v>
      </c>
      <c r="H146" s="19">
        <f t="shared" si="0"/>
        <v>137.94759999999997</v>
      </c>
      <c r="I146" s="20">
        <f t="shared" si="1"/>
        <v>7587.1179999999986</v>
      </c>
      <c r="J146" s="21">
        <f t="shared" si="3"/>
        <v>129.65000000000009</v>
      </c>
      <c r="K146" s="22">
        <f t="shared" si="2"/>
        <v>-8.2975999999998749</v>
      </c>
    </row>
    <row r="147" spans="1:11" ht="12.75" x14ac:dyDescent="0.2">
      <c r="A147" s="13">
        <v>45712</v>
      </c>
      <c r="B147" s="14" t="s">
        <v>3</v>
      </c>
      <c r="C147" s="15">
        <v>0.93269999999999997</v>
      </c>
      <c r="D147" s="16" t="s">
        <v>22</v>
      </c>
      <c r="E147" s="17"/>
      <c r="F147" s="17"/>
      <c r="G147" s="18">
        <v>2599</v>
      </c>
      <c r="H147" s="19">
        <f t="shared" si="0"/>
        <v>174.91269999999986</v>
      </c>
      <c r="I147" s="20">
        <f t="shared" si="1"/>
        <v>9620.1984999999913</v>
      </c>
      <c r="J147" s="21">
        <f t="shared" si="3"/>
        <v>129.95000000000027</v>
      </c>
      <c r="K147" s="22">
        <f t="shared" si="2"/>
        <v>-44.962699999999586</v>
      </c>
    </row>
    <row r="148" spans="1:11" ht="12.75" x14ac:dyDescent="0.2">
      <c r="A148" s="13">
        <v>45713</v>
      </c>
      <c r="B148" s="14" t="s">
        <v>4</v>
      </c>
      <c r="C148" s="15">
        <v>0.95879999999999999</v>
      </c>
      <c r="D148" s="16" t="s">
        <v>22</v>
      </c>
      <c r="E148" s="17"/>
      <c r="F148" s="17" t="s">
        <v>264</v>
      </c>
      <c r="G148" s="18">
        <v>2600</v>
      </c>
      <c r="H148" s="19">
        <f t="shared" si="0"/>
        <v>107.11999999999989</v>
      </c>
      <c r="I148" s="20">
        <f t="shared" si="1"/>
        <v>5891.599999999994</v>
      </c>
      <c r="J148" s="21">
        <f t="shared" si="3"/>
        <v>130</v>
      </c>
      <c r="K148" s="22">
        <f t="shared" si="2"/>
        <v>22.880000000000109</v>
      </c>
    </row>
    <row r="149" spans="1:11" ht="12.75" x14ac:dyDescent="0.2">
      <c r="A149" s="13">
        <v>45714</v>
      </c>
      <c r="B149" s="14" t="s">
        <v>5</v>
      </c>
      <c r="C149" s="15">
        <v>0.9546</v>
      </c>
      <c r="D149" s="16" t="s">
        <v>22</v>
      </c>
      <c r="E149" s="17"/>
      <c r="F149" s="17"/>
      <c r="G149" s="18">
        <v>2597</v>
      </c>
      <c r="H149" s="19">
        <f t="shared" si="0"/>
        <v>117.90380000000005</v>
      </c>
      <c r="I149" s="20">
        <f t="shared" si="1"/>
        <v>6484.7090000000026</v>
      </c>
      <c r="J149" s="21">
        <f t="shared" si="3"/>
        <v>129.84999999999991</v>
      </c>
      <c r="K149" s="22">
        <f t="shared" si="2"/>
        <v>11.946199999999862</v>
      </c>
    </row>
    <row r="150" spans="1:11" ht="12.75" x14ac:dyDescent="0.2">
      <c r="A150" s="13">
        <v>45715</v>
      </c>
      <c r="B150" s="14" t="s">
        <v>6</v>
      </c>
      <c r="C150" s="15">
        <v>0.94650000000000001</v>
      </c>
      <c r="D150" s="16" t="s">
        <v>22</v>
      </c>
      <c r="E150" s="17"/>
      <c r="F150" s="17"/>
      <c r="G150" s="18">
        <v>2597</v>
      </c>
      <c r="H150" s="19">
        <f t="shared" si="0"/>
        <v>138.93949999999995</v>
      </c>
      <c r="I150" s="20">
        <f t="shared" si="1"/>
        <v>7641.6724999999969</v>
      </c>
      <c r="J150" s="21">
        <f t="shared" si="3"/>
        <v>129.84999999999991</v>
      </c>
      <c r="K150" s="22">
        <f t="shared" si="2"/>
        <v>-9.0895000000000437</v>
      </c>
    </row>
    <row r="151" spans="1:11" ht="12.75" x14ac:dyDescent="0.2">
      <c r="A151" s="13">
        <v>45716</v>
      </c>
      <c r="B151" s="14" t="s">
        <v>7</v>
      </c>
      <c r="C151" s="15">
        <v>0.93530000000000002</v>
      </c>
      <c r="D151" s="16" t="s">
        <v>22</v>
      </c>
      <c r="E151" s="17"/>
      <c r="F151" s="17"/>
      <c r="G151" s="18">
        <v>2597</v>
      </c>
      <c r="H151" s="19">
        <f t="shared" si="0"/>
        <v>168.02590000000009</v>
      </c>
      <c r="I151" s="20">
        <f t="shared" si="1"/>
        <v>9241.4245000000046</v>
      </c>
      <c r="J151" s="21">
        <f t="shared" si="3"/>
        <v>129.84999999999991</v>
      </c>
      <c r="K151" s="22">
        <f t="shared" si="2"/>
        <v>-38.175900000000183</v>
      </c>
    </row>
    <row r="152" spans="1:11" ht="12.75" x14ac:dyDescent="0.2">
      <c r="A152" s="13">
        <v>45719</v>
      </c>
      <c r="B152" s="14" t="s">
        <v>3</v>
      </c>
      <c r="C152" s="15">
        <v>0.9214</v>
      </c>
      <c r="D152" s="16" t="s">
        <v>22</v>
      </c>
      <c r="E152" s="17"/>
      <c r="F152" s="17"/>
      <c r="G152" s="18">
        <v>2596</v>
      </c>
      <c r="H152" s="19">
        <f t="shared" si="0"/>
        <v>204.04559999999992</v>
      </c>
      <c r="I152" s="20">
        <f t="shared" si="1"/>
        <v>11222.507999999996</v>
      </c>
      <c r="J152" s="21">
        <f t="shared" si="3"/>
        <v>129.80000000000018</v>
      </c>
      <c r="K152" s="22">
        <f t="shared" si="2"/>
        <v>-74.24559999999974</v>
      </c>
    </row>
    <row r="153" spans="1:11" ht="12.75" x14ac:dyDescent="0.2">
      <c r="A153" s="13">
        <v>45720</v>
      </c>
      <c r="B153" s="14" t="s">
        <v>4</v>
      </c>
      <c r="C153" s="15">
        <v>0.93479999999999996</v>
      </c>
      <c r="D153" s="16" t="s">
        <v>22</v>
      </c>
      <c r="E153" s="17"/>
      <c r="F153" s="17"/>
      <c r="G153" s="18">
        <v>2594</v>
      </c>
      <c r="H153" s="19">
        <f t="shared" si="0"/>
        <v>169.12879999999996</v>
      </c>
      <c r="I153" s="20">
        <f t="shared" si="1"/>
        <v>9302.0839999999971</v>
      </c>
      <c r="J153" s="21">
        <f t="shared" si="3"/>
        <v>129.70000000000027</v>
      </c>
      <c r="K153" s="22">
        <f t="shared" si="2"/>
        <v>-39.428799999999683</v>
      </c>
    </row>
    <row r="154" spans="1:11" ht="12.75" x14ac:dyDescent="0.2">
      <c r="A154" s="13">
        <v>45721</v>
      </c>
      <c r="B154" s="14" t="s">
        <v>5</v>
      </c>
      <c r="C154" s="15">
        <v>0.94640000000000002</v>
      </c>
      <c r="D154" s="16" t="s">
        <v>22</v>
      </c>
      <c r="E154" s="17"/>
      <c r="F154" s="17"/>
      <c r="G154" s="18">
        <v>2592</v>
      </c>
      <c r="H154" s="19">
        <f t="shared" si="0"/>
        <v>138.93119999999999</v>
      </c>
      <c r="I154" s="20">
        <f t="shared" si="1"/>
        <v>7641.2159999999994</v>
      </c>
      <c r="J154" s="21">
        <f t="shared" si="3"/>
        <v>129.59999999999991</v>
      </c>
      <c r="K154" s="22">
        <f t="shared" si="2"/>
        <v>-9.3312000000000808</v>
      </c>
    </row>
    <row r="155" spans="1:11" ht="12.75" x14ac:dyDescent="0.2">
      <c r="A155" s="13">
        <v>45722</v>
      </c>
      <c r="B155" s="14" t="s">
        <v>6</v>
      </c>
      <c r="C155" s="15">
        <v>0.96760000000000002</v>
      </c>
      <c r="D155" s="16" t="s">
        <v>22</v>
      </c>
      <c r="E155" s="17"/>
      <c r="F155" s="17"/>
      <c r="G155" s="18">
        <v>2589</v>
      </c>
      <c r="H155" s="19">
        <f t="shared" si="0"/>
        <v>83.883600000000115</v>
      </c>
      <c r="I155" s="20">
        <f t="shared" si="1"/>
        <v>4613.5980000000063</v>
      </c>
      <c r="J155" s="21">
        <f t="shared" si="3"/>
        <v>129.45000000000027</v>
      </c>
      <c r="K155" s="22">
        <f t="shared" si="2"/>
        <v>45.566400000000158</v>
      </c>
    </row>
    <row r="156" spans="1:11" ht="12.75" x14ac:dyDescent="0.2">
      <c r="A156" s="13">
        <v>45723</v>
      </c>
      <c r="B156" s="14" t="s">
        <v>7</v>
      </c>
      <c r="C156" s="15">
        <v>0.82720000000000005</v>
      </c>
      <c r="D156" s="16" t="s">
        <v>29</v>
      </c>
      <c r="E156" s="17"/>
      <c r="F156" s="17" t="s">
        <v>265</v>
      </c>
      <c r="G156" s="18">
        <v>2587</v>
      </c>
      <c r="H156" s="19">
        <f t="shared" si="0"/>
        <v>447.03359999999975</v>
      </c>
      <c r="I156" s="20">
        <f t="shared" si="1"/>
        <v>24586.847999999987</v>
      </c>
      <c r="J156" s="21">
        <f t="shared" si="3"/>
        <v>129.34999999999991</v>
      </c>
      <c r="K156" s="22">
        <f t="shared" si="2"/>
        <v>-317.68359999999984</v>
      </c>
    </row>
    <row r="157" spans="1:11" ht="12.75" x14ac:dyDescent="0.2">
      <c r="A157" s="44">
        <v>45726</v>
      </c>
      <c r="B157" s="45" t="s">
        <v>3</v>
      </c>
      <c r="C157" s="15"/>
      <c r="D157" s="16"/>
      <c r="E157" s="17"/>
      <c r="F157" s="17"/>
      <c r="H157" s="19">
        <f t="shared" si="0"/>
        <v>0</v>
      </c>
      <c r="I157" s="20">
        <f t="shared" si="1"/>
        <v>0</v>
      </c>
      <c r="J157" s="21">
        <f t="shared" si="3"/>
        <v>0</v>
      </c>
      <c r="K157" s="22">
        <f t="shared" si="2"/>
        <v>0</v>
      </c>
    </row>
    <row r="158" spans="1:11" ht="12.75" x14ac:dyDescent="0.2">
      <c r="A158" s="44">
        <v>45727</v>
      </c>
      <c r="B158" s="45" t="s">
        <v>4</v>
      </c>
      <c r="C158" s="15"/>
      <c r="D158" s="16"/>
      <c r="E158" s="17"/>
      <c r="F158" s="17"/>
      <c r="H158" s="19">
        <f t="shared" si="0"/>
        <v>0</v>
      </c>
      <c r="I158" s="20">
        <f t="shared" si="1"/>
        <v>0</v>
      </c>
      <c r="J158" s="21">
        <f t="shared" si="3"/>
        <v>0</v>
      </c>
      <c r="K158" s="22">
        <f t="shared" si="2"/>
        <v>0</v>
      </c>
    </row>
    <row r="159" spans="1:11" ht="12.75" x14ac:dyDescent="0.2">
      <c r="A159" s="44">
        <v>45728</v>
      </c>
      <c r="B159" s="45" t="s">
        <v>5</v>
      </c>
      <c r="C159" s="15"/>
      <c r="D159" s="16"/>
      <c r="E159" s="17"/>
      <c r="F159" s="17"/>
      <c r="H159" s="19">
        <f t="shared" si="0"/>
        <v>0</v>
      </c>
      <c r="I159" s="20">
        <f t="shared" si="1"/>
        <v>0</v>
      </c>
      <c r="J159" s="21">
        <f t="shared" si="3"/>
        <v>0</v>
      </c>
      <c r="K159" s="22">
        <f t="shared" si="2"/>
        <v>0</v>
      </c>
    </row>
    <row r="160" spans="1:11" ht="12.75" x14ac:dyDescent="0.2">
      <c r="A160" s="44">
        <v>45729</v>
      </c>
      <c r="B160" s="45" t="s">
        <v>6</v>
      </c>
      <c r="C160" s="15"/>
      <c r="D160" s="16"/>
      <c r="E160" s="17"/>
      <c r="F160" s="17"/>
      <c r="H160" s="19">
        <f t="shared" si="0"/>
        <v>0</v>
      </c>
      <c r="I160" s="20">
        <f t="shared" si="1"/>
        <v>0</v>
      </c>
      <c r="J160" s="21">
        <f t="shared" si="3"/>
        <v>0</v>
      </c>
      <c r="K160" s="22">
        <f t="shared" si="2"/>
        <v>0</v>
      </c>
    </row>
    <row r="161" spans="1:11" ht="12.75" x14ac:dyDescent="0.2">
      <c r="A161" s="44">
        <v>45730</v>
      </c>
      <c r="B161" s="45" t="s">
        <v>7</v>
      </c>
      <c r="C161" s="15"/>
      <c r="D161" s="16"/>
      <c r="E161" s="17"/>
      <c r="F161" s="17"/>
      <c r="H161" s="19">
        <f t="shared" si="0"/>
        <v>0</v>
      </c>
      <c r="I161" s="20">
        <f t="shared" si="1"/>
        <v>0</v>
      </c>
      <c r="J161" s="21">
        <f t="shared" si="3"/>
        <v>0</v>
      </c>
      <c r="K161" s="22">
        <f t="shared" si="2"/>
        <v>0</v>
      </c>
    </row>
    <row r="162" spans="1:11" ht="12.75" x14ac:dyDescent="0.2">
      <c r="A162" s="24">
        <v>45733</v>
      </c>
      <c r="B162" s="25" t="s">
        <v>3</v>
      </c>
      <c r="C162" s="26"/>
      <c r="D162" s="27"/>
      <c r="E162" s="28"/>
      <c r="F162" s="28"/>
      <c r="G162" s="29"/>
      <c r="H162" s="19">
        <f t="shared" si="0"/>
        <v>0</v>
      </c>
      <c r="I162" s="20">
        <f t="shared" si="1"/>
        <v>0</v>
      </c>
      <c r="J162" s="21">
        <f t="shared" si="3"/>
        <v>0</v>
      </c>
      <c r="K162" s="22">
        <f t="shared" si="2"/>
        <v>0</v>
      </c>
    </row>
    <row r="163" spans="1:11" ht="12.75" x14ac:dyDescent="0.2">
      <c r="A163" s="24">
        <v>45734</v>
      </c>
      <c r="B163" s="25" t="s">
        <v>4</v>
      </c>
      <c r="C163" s="26"/>
      <c r="D163" s="27"/>
      <c r="E163" s="28"/>
      <c r="F163" s="28"/>
      <c r="G163" s="29"/>
      <c r="H163" s="19">
        <f t="shared" si="0"/>
        <v>0</v>
      </c>
      <c r="I163" s="20">
        <f t="shared" si="1"/>
        <v>0</v>
      </c>
      <c r="J163" s="21">
        <f t="shared" si="3"/>
        <v>0</v>
      </c>
      <c r="K163" s="22">
        <f t="shared" si="2"/>
        <v>0</v>
      </c>
    </row>
    <row r="164" spans="1:11" ht="12.75" x14ac:dyDescent="0.2">
      <c r="A164" s="24">
        <v>45735</v>
      </c>
      <c r="B164" s="25" t="s">
        <v>5</v>
      </c>
      <c r="C164" s="26"/>
      <c r="D164" s="27"/>
      <c r="E164" s="28"/>
      <c r="F164" s="28"/>
      <c r="G164" s="29"/>
      <c r="H164" s="19">
        <f t="shared" si="0"/>
        <v>0</v>
      </c>
      <c r="I164" s="20">
        <f t="shared" si="1"/>
        <v>0</v>
      </c>
      <c r="J164" s="21">
        <f t="shared" si="3"/>
        <v>0</v>
      </c>
      <c r="K164" s="22">
        <f t="shared" si="2"/>
        <v>0</v>
      </c>
    </row>
    <row r="165" spans="1:11" ht="12.75" x14ac:dyDescent="0.2">
      <c r="A165" s="24">
        <v>45736</v>
      </c>
      <c r="B165" s="25" t="s">
        <v>6</v>
      </c>
      <c r="C165" s="26"/>
      <c r="D165" s="27"/>
      <c r="E165" s="28"/>
      <c r="F165" s="28"/>
      <c r="G165" s="29"/>
      <c r="H165" s="19">
        <f t="shared" si="0"/>
        <v>0</v>
      </c>
      <c r="I165" s="20">
        <f t="shared" si="1"/>
        <v>0</v>
      </c>
      <c r="J165" s="21">
        <f t="shared" si="3"/>
        <v>0</v>
      </c>
      <c r="K165" s="22">
        <f t="shared" si="2"/>
        <v>0</v>
      </c>
    </row>
    <row r="166" spans="1:11" ht="12.75" x14ac:dyDescent="0.2">
      <c r="A166" s="24">
        <v>45737</v>
      </c>
      <c r="B166" s="25" t="s">
        <v>7</v>
      </c>
      <c r="C166" s="26"/>
      <c r="D166" s="27"/>
      <c r="E166" s="28"/>
      <c r="F166" s="28"/>
      <c r="G166" s="29"/>
      <c r="H166" s="19">
        <f t="shared" si="0"/>
        <v>0</v>
      </c>
      <c r="I166" s="20">
        <f t="shared" si="1"/>
        <v>0</v>
      </c>
      <c r="J166" s="21">
        <f t="shared" si="3"/>
        <v>0</v>
      </c>
      <c r="K166" s="22">
        <f t="shared" si="2"/>
        <v>0</v>
      </c>
    </row>
    <row r="167" spans="1:11" ht="12.75" x14ac:dyDescent="0.2">
      <c r="A167" s="13">
        <v>45740</v>
      </c>
      <c r="B167" s="14" t="s">
        <v>3</v>
      </c>
      <c r="C167" s="15"/>
      <c r="D167" s="16"/>
      <c r="E167" s="17"/>
      <c r="F167" s="17"/>
      <c r="H167" s="19">
        <f t="shared" si="0"/>
        <v>0</v>
      </c>
      <c r="I167" s="20">
        <f t="shared" si="1"/>
        <v>0</v>
      </c>
      <c r="J167" s="21">
        <f t="shared" si="3"/>
        <v>0</v>
      </c>
      <c r="K167" s="22">
        <f t="shared" si="2"/>
        <v>0</v>
      </c>
    </row>
    <row r="168" spans="1:11" ht="12.75" x14ac:dyDescent="0.2">
      <c r="A168" s="13">
        <v>45741</v>
      </c>
      <c r="B168" s="14" t="s">
        <v>4</v>
      </c>
      <c r="C168" s="15"/>
      <c r="D168" s="16"/>
      <c r="E168" s="17"/>
      <c r="F168" s="17"/>
      <c r="H168" s="19">
        <f t="shared" si="0"/>
        <v>0</v>
      </c>
      <c r="I168" s="20">
        <f t="shared" si="1"/>
        <v>0</v>
      </c>
      <c r="J168" s="21">
        <f t="shared" si="3"/>
        <v>0</v>
      </c>
      <c r="K168" s="22">
        <f t="shared" si="2"/>
        <v>0</v>
      </c>
    </row>
    <row r="169" spans="1:11" ht="12.75" x14ac:dyDescent="0.2">
      <c r="A169" s="13">
        <v>45742</v>
      </c>
      <c r="B169" s="14" t="s">
        <v>5</v>
      </c>
      <c r="C169" s="15"/>
      <c r="D169" s="16"/>
      <c r="E169" s="17"/>
      <c r="F169" s="17"/>
      <c r="H169" s="19">
        <f t="shared" si="0"/>
        <v>0</v>
      </c>
      <c r="I169" s="20">
        <f t="shared" si="1"/>
        <v>0</v>
      </c>
      <c r="J169" s="21">
        <f t="shared" si="3"/>
        <v>0</v>
      </c>
      <c r="K169" s="22">
        <f t="shared" si="2"/>
        <v>0</v>
      </c>
    </row>
    <row r="170" spans="1:11" ht="12.75" x14ac:dyDescent="0.2">
      <c r="A170" s="13">
        <v>45743</v>
      </c>
      <c r="B170" s="14" t="s">
        <v>6</v>
      </c>
      <c r="C170" s="15"/>
      <c r="D170" s="16"/>
      <c r="E170" s="17"/>
      <c r="F170" s="17"/>
      <c r="H170" s="19">
        <f t="shared" si="0"/>
        <v>0</v>
      </c>
      <c r="I170" s="20">
        <f t="shared" si="1"/>
        <v>0</v>
      </c>
      <c r="J170" s="21">
        <f t="shared" si="3"/>
        <v>0</v>
      </c>
      <c r="K170" s="22">
        <f t="shared" si="2"/>
        <v>0</v>
      </c>
    </row>
    <row r="171" spans="1:11" ht="12.75" x14ac:dyDescent="0.2">
      <c r="A171" s="13">
        <v>45744</v>
      </c>
      <c r="B171" s="14" t="s">
        <v>7</v>
      </c>
      <c r="C171" s="15"/>
      <c r="D171" s="16"/>
      <c r="E171" s="17"/>
      <c r="F171" s="17"/>
      <c r="H171" s="19">
        <f t="shared" si="0"/>
        <v>0</v>
      </c>
      <c r="I171" s="20">
        <f t="shared" si="1"/>
        <v>0</v>
      </c>
      <c r="J171" s="21">
        <f t="shared" si="3"/>
        <v>0</v>
      </c>
      <c r="K171" s="22">
        <f t="shared" si="2"/>
        <v>0</v>
      </c>
    </row>
    <row r="172" spans="1:11" ht="12.75" x14ac:dyDescent="0.2">
      <c r="A172" s="13">
        <v>45747</v>
      </c>
      <c r="B172" s="14" t="s">
        <v>3</v>
      </c>
      <c r="C172" s="15"/>
      <c r="D172" s="16"/>
      <c r="E172" s="17"/>
      <c r="F172" s="17"/>
      <c r="H172" s="19">
        <f t="shared" si="0"/>
        <v>0</v>
      </c>
      <c r="I172" s="20">
        <f t="shared" si="1"/>
        <v>0</v>
      </c>
      <c r="J172" s="21">
        <f t="shared" si="3"/>
        <v>0</v>
      </c>
      <c r="K172" s="22">
        <f t="shared" si="2"/>
        <v>0</v>
      </c>
    </row>
    <row r="173" spans="1:11" ht="12.75" x14ac:dyDescent="0.2">
      <c r="A173" s="13">
        <v>45748</v>
      </c>
      <c r="B173" s="14" t="s">
        <v>4</v>
      </c>
      <c r="C173" s="15"/>
      <c r="D173" s="16"/>
      <c r="E173" s="17"/>
      <c r="F173" s="17"/>
      <c r="H173" s="19">
        <f t="shared" si="0"/>
        <v>0</v>
      </c>
      <c r="I173" s="20">
        <f t="shared" si="1"/>
        <v>0</v>
      </c>
      <c r="J173" s="21">
        <f t="shared" si="3"/>
        <v>0</v>
      </c>
      <c r="K173" s="22">
        <f t="shared" si="2"/>
        <v>0</v>
      </c>
    </row>
    <row r="174" spans="1:11" ht="12.75" x14ac:dyDescent="0.2">
      <c r="A174" s="13">
        <v>45749</v>
      </c>
      <c r="B174" s="14" t="s">
        <v>5</v>
      </c>
      <c r="C174" s="15"/>
      <c r="D174" s="16"/>
      <c r="E174" s="17"/>
      <c r="F174" s="17"/>
      <c r="H174" s="19">
        <f t="shared" si="0"/>
        <v>0</v>
      </c>
      <c r="I174" s="20">
        <f t="shared" si="1"/>
        <v>0</v>
      </c>
      <c r="J174" s="21">
        <f t="shared" si="3"/>
        <v>0</v>
      </c>
      <c r="K174" s="22">
        <f t="shared" si="2"/>
        <v>0</v>
      </c>
    </row>
    <row r="175" spans="1:11" ht="12.75" x14ac:dyDescent="0.2">
      <c r="A175" s="13">
        <v>45750</v>
      </c>
      <c r="B175" s="14" t="s">
        <v>6</v>
      </c>
      <c r="C175" s="15"/>
      <c r="D175" s="16"/>
      <c r="E175" s="17"/>
      <c r="F175" s="17"/>
      <c r="H175" s="19">
        <f t="shared" si="0"/>
        <v>0</v>
      </c>
      <c r="I175" s="20">
        <f t="shared" si="1"/>
        <v>0</v>
      </c>
      <c r="J175" s="21">
        <f t="shared" si="3"/>
        <v>0</v>
      </c>
      <c r="K175" s="22">
        <f t="shared" si="2"/>
        <v>0</v>
      </c>
    </row>
    <row r="176" spans="1:11" ht="12.75" x14ac:dyDescent="0.2">
      <c r="A176" s="13">
        <v>45751</v>
      </c>
      <c r="B176" s="14" t="s">
        <v>7</v>
      </c>
      <c r="C176" s="15"/>
      <c r="D176" s="16"/>
      <c r="E176" s="17"/>
      <c r="F176" s="17"/>
      <c r="H176" s="19">
        <f t="shared" si="0"/>
        <v>0</v>
      </c>
      <c r="I176" s="20">
        <f t="shared" si="1"/>
        <v>0</v>
      </c>
      <c r="J176" s="21">
        <f t="shared" si="3"/>
        <v>0</v>
      </c>
      <c r="K176" s="22">
        <f t="shared" si="2"/>
        <v>0</v>
      </c>
    </row>
    <row r="177" spans="1:11" ht="12.75" x14ac:dyDescent="0.2">
      <c r="A177" s="13">
        <v>45754</v>
      </c>
      <c r="B177" s="14" t="s">
        <v>3</v>
      </c>
      <c r="C177" s="15"/>
      <c r="D177" s="16"/>
      <c r="E177" s="17"/>
      <c r="F177" s="17"/>
      <c r="H177" s="19">
        <f t="shared" si="0"/>
        <v>0</v>
      </c>
      <c r="I177" s="20">
        <f t="shared" si="1"/>
        <v>0</v>
      </c>
      <c r="J177" s="21">
        <f t="shared" si="3"/>
        <v>0</v>
      </c>
      <c r="K177" s="22">
        <f t="shared" si="2"/>
        <v>0</v>
      </c>
    </row>
    <row r="178" spans="1:11" ht="12.75" x14ac:dyDescent="0.2">
      <c r="A178" s="13">
        <v>45755</v>
      </c>
      <c r="B178" s="14" t="s">
        <v>4</v>
      </c>
      <c r="C178" s="15"/>
      <c r="D178" s="16"/>
      <c r="E178" s="17"/>
      <c r="F178" s="17"/>
      <c r="H178" s="19">
        <f t="shared" si="0"/>
        <v>0</v>
      </c>
      <c r="I178" s="20">
        <f t="shared" si="1"/>
        <v>0</v>
      </c>
      <c r="J178" s="21">
        <f t="shared" si="3"/>
        <v>0</v>
      </c>
      <c r="K178" s="22">
        <f t="shared" si="2"/>
        <v>0</v>
      </c>
    </row>
    <row r="179" spans="1:11" ht="12.75" x14ac:dyDescent="0.2">
      <c r="A179" s="13">
        <v>45756</v>
      </c>
      <c r="B179" s="14" t="s">
        <v>5</v>
      </c>
      <c r="C179" s="15"/>
      <c r="D179" s="16"/>
      <c r="E179" s="17"/>
      <c r="F179" s="17"/>
      <c r="H179" s="19">
        <f t="shared" si="0"/>
        <v>0</v>
      </c>
      <c r="I179" s="20">
        <f t="shared" si="1"/>
        <v>0</v>
      </c>
      <c r="J179" s="21">
        <f t="shared" si="3"/>
        <v>0</v>
      </c>
      <c r="K179" s="22">
        <f t="shared" si="2"/>
        <v>0</v>
      </c>
    </row>
    <row r="180" spans="1:11" ht="12.75" x14ac:dyDescent="0.2">
      <c r="A180" s="13">
        <v>45757</v>
      </c>
      <c r="B180" s="14" t="s">
        <v>6</v>
      </c>
      <c r="C180" s="15"/>
      <c r="D180" s="16"/>
      <c r="E180" s="17"/>
      <c r="F180" s="17"/>
      <c r="H180" s="19">
        <f t="shared" si="0"/>
        <v>0</v>
      </c>
      <c r="I180" s="20">
        <f t="shared" si="1"/>
        <v>0</v>
      </c>
      <c r="J180" s="21">
        <f t="shared" si="3"/>
        <v>0</v>
      </c>
      <c r="K180" s="22">
        <f t="shared" si="2"/>
        <v>0</v>
      </c>
    </row>
    <row r="181" spans="1:11" ht="12.75" x14ac:dyDescent="0.2">
      <c r="A181" s="13">
        <v>45758</v>
      </c>
      <c r="B181" s="14" t="s">
        <v>7</v>
      </c>
      <c r="C181" s="15"/>
      <c r="D181" s="16"/>
      <c r="E181" s="17"/>
      <c r="F181" s="17"/>
      <c r="H181" s="19">
        <f t="shared" si="0"/>
        <v>0</v>
      </c>
      <c r="I181" s="20">
        <f t="shared" si="1"/>
        <v>0</v>
      </c>
      <c r="J181" s="21">
        <f t="shared" si="3"/>
        <v>0</v>
      </c>
      <c r="K181" s="22">
        <f t="shared" si="2"/>
        <v>0</v>
      </c>
    </row>
    <row r="182" spans="1:11" ht="12.75" x14ac:dyDescent="0.2">
      <c r="A182" s="13">
        <v>45761</v>
      </c>
      <c r="B182" s="14" t="s">
        <v>3</v>
      </c>
      <c r="C182" s="15"/>
      <c r="D182" s="16"/>
      <c r="E182" s="17"/>
      <c r="F182" s="17"/>
      <c r="H182" s="19">
        <f t="shared" si="0"/>
        <v>0</v>
      </c>
      <c r="I182" s="20">
        <f t="shared" si="1"/>
        <v>0</v>
      </c>
      <c r="J182" s="21">
        <f t="shared" si="3"/>
        <v>0</v>
      </c>
      <c r="K182" s="22">
        <f t="shared" si="2"/>
        <v>0</v>
      </c>
    </row>
    <row r="183" spans="1:11" ht="12.75" x14ac:dyDescent="0.2">
      <c r="A183" s="13">
        <v>45762</v>
      </c>
      <c r="B183" s="14" t="s">
        <v>4</v>
      </c>
      <c r="C183" s="15"/>
      <c r="D183" s="16"/>
      <c r="E183" s="17"/>
      <c r="F183" s="17"/>
      <c r="H183" s="19">
        <f t="shared" si="0"/>
        <v>0</v>
      </c>
      <c r="I183" s="20">
        <f t="shared" si="1"/>
        <v>0</v>
      </c>
      <c r="J183" s="21">
        <f t="shared" si="3"/>
        <v>0</v>
      </c>
      <c r="K183" s="22">
        <f t="shared" si="2"/>
        <v>0</v>
      </c>
    </row>
    <row r="184" spans="1:11" ht="12.75" x14ac:dyDescent="0.2">
      <c r="A184" s="13">
        <v>45763</v>
      </c>
      <c r="B184" s="14" t="s">
        <v>5</v>
      </c>
      <c r="C184" s="15"/>
      <c r="D184" s="16"/>
      <c r="E184" s="17"/>
      <c r="F184" s="17"/>
      <c r="H184" s="19">
        <f t="shared" si="0"/>
        <v>0</v>
      </c>
      <c r="I184" s="20">
        <f t="shared" si="1"/>
        <v>0</v>
      </c>
      <c r="J184" s="21">
        <f t="shared" si="3"/>
        <v>0</v>
      </c>
      <c r="K184" s="22">
        <f t="shared" si="2"/>
        <v>0</v>
      </c>
    </row>
    <row r="185" spans="1:11" ht="12.75" x14ac:dyDescent="0.2">
      <c r="A185" s="13">
        <v>45764</v>
      </c>
      <c r="B185" s="14" t="s">
        <v>6</v>
      </c>
      <c r="C185" s="15"/>
      <c r="D185" s="16"/>
      <c r="E185" s="17"/>
      <c r="F185" s="17"/>
      <c r="H185" s="19">
        <f t="shared" si="0"/>
        <v>0</v>
      </c>
      <c r="I185" s="20">
        <f t="shared" si="1"/>
        <v>0</v>
      </c>
      <c r="J185" s="21">
        <f t="shared" si="3"/>
        <v>0</v>
      </c>
      <c r="K185" s="22">
        <f t="shared" si="2"/>
        <v>0</v>
      </c>
    </row>
    <row r="186" spans="1:11" ht="12.75" x14ac:dyDescent="0.2">
      <c r="A186" s="24">
        <v>45765</v>
      </c>
      <c r="B186" s="25" t="s">
        <v>7</v>
      </c>
      <c r="C186" s="26"/>
      <c r="D186" s="27"/>
      <c r="E186" s="28"/>
      <c r="F186" s="28"/>
      <c r="G186" s="29"/>
      <c r="H186" s="19">
        <f t="shared" si="0"/>
        <v>0</v>
      </c>
      <c r="I186" s="20">
        <f t="shared" si="1"/>
        <v>0</v>
      </c>
      <c r="J186" s="21">
        <f t="shared" si="3"/>
        <v>0</v>
      </c>
      <c r="K186" s="22">
        <f t="shared" si="2"/>
        <v>0</v>
      </c>
    </row>
    <row r="187" spans="1:11" ht="12.75" x14ac:dyDescent="0.2">
      <c r="A187" s="24">
        <v>45768</v>
      </c>
      <c r="B187" s="25" t="s">
        <v>3</v>
      </c>
      <c r="C187" s="26"/>
      <c r="D187" s="27"/>
      <c r="E187" s="28"/>
      <c r="F187" s="28"/>
      <c r="G187" s="29"/>
      <c r="H187" s="19">
        <f t="shared" si="0"/>
        <v>0</v>
      </c>
      <c r="I187" s="20">
        <f t="shared" si="1"/>
        <v>0</v>
      </c>
      <c r="J187" s="21">
        <f t="shared" si="3"/>
        <v>0</v>
      </c>
      <c r="K187" s="22">
        <f t="shared" si="2"/>
        <v>0</v>
      </c>
    </row>
    <row r="188" spans="1:11" ht="12.75" x14ac:dyDescent="0.2">
      <c r="A188" s="13">
        <v>45769</v>
      </c>
      <c r="B188" s="14" t="s">
        <v>4</v>
      </c>
      <c r="C188" s="15"/>
      <c r="D188" s="16"/>
      <c r="E188" s="17"/>
      <c r="F188" s="17"/>
      <c r="H188" s="19">
        <f t="shared" si="0"/>
        <v>0</v>
      </c>
      <c r="I188" s="20">
        <f t="shared" si="1"/>
        <v>0</v>
      </c>
      <c r="J188" s="21">
        <f t="shared" si="3"/>
        <v>0</v>
      </c>
      <c r="K188" s="22">
        <f t="shared" si="2"/>
        <v>0</v>
      </c>
    </row>
    <row r="189" spans="1:11" ht="12.75" x14ac:dyDescent="0.2">
      <c r="A189" s="13">
        <v>45770</v>
      </c>
      <c r="B189" s="14" t="s">
        <v>5</v>
      </c>
      <c r="C189" s="15"/>
      <c r="D189" s="16"/>
      <c r="E189" s="17"/>
      <c r="F189" s="17"/>
      <c r="H189" s="19">
        <f t="shared" si="0"/>
        <v>0</v>
      </c>
      <c r="I189" s="20">
        <f t="shared" si="1"/>
        <v>0</v>
      </c>
      <c r="J189" s="21">
        <f t="shared" si="3"/>
        <v>0</v>
      </c>
      <c r="K189" s="22">
        <f t="shared" si="2"/>
        <v>0</v>
      </c>
    </row>
    <row r="190" spans="1:11" ht="12.75" x14ac:dyDescent="0.2">
      <c r="A190" s="13">
        <v>45771</v>
      </c>
      <c r="B190" s="14" t="s">
        <v>6</v>
      </c>
      <c r="C190" s="15"/>
      <c r="D190" s="16"/>
      <c r="E190" s="17"/>
      <c r="F190" s="17"/>
      <c r="H190" s="19">
        <f t="shared" si="0"/>
        <v>0</v>
      </c>
      <c r="I190" s="20">
        <f t="shared" si="1"/>
        <v>0</v>
      </c>
      <c r="J190" s="21">
        <f t="shared" si="3"/>
        <v>0</v>
      </c>
      <c r="K190" s="22">
        <f t="shared" si="2"/>
        <v>0</v>
      </c>
    </row>
    <row r="191" spans="1:11" ht="12.75" x14ac:dyDescent="0.2">
      <c r="A191" s="13">
        <v>45772</v>
      </c>
      <c r="B191" s="14" t="s">
        <v>7</v>
      </c>
      <c r="C191" s="15"/>
      <c r="D191" s="16"/>
      <c r="E191" s="17"/>
      <c r="F191" s="17"/>
      <c r="H191" s="19">
        <f t="shared" si="0"/>
        <v>0</v>
      </c>
      <c r="I191" s="20">
        <f t="shared" si="1"/>
        <v>0</v>
      </c>
      <c r="J191" s="21">
        <f t="shared" si="3"/>
        <v>0</v>
      </c>
      <c r="K191" s="22">
        <f t="shared" si="2"/>
        <v>0</v>
      </c>
    </row>
    <row r="192" spans="1:11" ht="12.75" x14ac:dyDescent="0.2">
      <c r="A192" s="13">
        <v>45775</v>
      </c>
      <c r="B192" s="14" t="s">
        <v>3</v>
      </c>
      <c r="C192" s="15"/>
      <c r="D192" s="16"/>
      <c r="E192" s="17"/>
      <c r="F192" s="17"/>
      <c r="H192" s="19">
        <f t="shared" si="0"/>
        <v>0</v>
      </c>
      <c r="I192" s="20">
        <f t="shared" si="1"/>
        <v>0</v>
      </c>
      <c r="J192" s="21">
        <f t="shared" si="3"/>
        <v>0</v>
      </c>
      <c r="K192" s="22">
        <f t="shared" si="2"/>
        <v>0</v>
      </c>
    </row>
    <row r="193" spans="1:11" ht="12.75" x14ac:dyDescent="0.2">
      <c r="A193" s="13">
        <v>45776</v>
      </c>
      <c r="B193" s="14" t="s">
        <v>4</v>
      </c>
      <c r="C193" s="15"/>
      <c r="D193" s="16"/>
      <c r="E193" s="17"/>
      <c r="F193" s="17"/>
      <c r="H193" s="19">
        <f t="shared" si="0"/>
        <v>0</v>
      </c>
      <c r="I193" s="20">
        <f t="shared" si="1"/>
        <v>0</v>
      </c>
      <c r="J193" s="21">
        <f t="shared" si="3"/>
        <v>0</v>
      </c>
      <c r="K193" s="22">
        <f t="shared" si="2"/>
        <v>0</v>
      </c>
    </row>
    <row r="194" spans="1:11" ht="12.75" x14ac:dyDescent="0.2">
      <c r="A194" s="13">
        <v>45777</v>
      </c>
      <c r="B194" s="14" t="s">
        <v>5</v>
      </c>
      <c r="C194" s="15"/>
      <c r="D194" s="16"/>
      <c r="E194" s="17"/>
      <c r="F194" s="17"/>
      <c r="H194" s="19">
        <f t="shared" si="0"/>
        <v>0</v>
      </c>
      <c r="I194" s="20">
        <f t="shared" si="1"/>
        <v>0</v>
      </c>
      <c r="J194" s="21">
        <f t="shared" si="3"/>
        <v>0</v>
      </c>
      <c r="K194" s="22">
        <f t="shared" si="2"/>
        <v>0</v>
      </c>
    </row>
    <row r="195" spans="1:11" ht="12.75" x14ac:dyDescent="0.2">
      <c r="A195" s="13">
        <v>45778</v>
      </c>
      <c r="B195" s="14" t="s">
        <v>6</v>
      </c>
      <c r="C195" s="15"/>
      <c r="D195" s="16"/>
      <c r="E195" s="17"/>
      <c r="F195" s="17"/>
      <c r="H195" s="19">
        <f t="shared" si="0"/>
        <v>0</v>
      </c>
      <c r="I195" s="20">
        <f t="shared" si="1"/>
        <v>0</v>
      </c>
      <c r="J195" s="21">
        <f t="shared" si="3"/>
        <v>0</v>
      </c>
      <c r="K195" s="22">
        <f t="shared" si="2"/>
        <v>0</v>
      </c>
    </row>
    <row r="196" spans="1:11" ht="12.75" x14ac:dyDescent="0.2">
      <c r="A196" s="13">
        <v>45779</v>
      </c>
      <c r="B196" s="14" t="s">
        <v>7</v>
      </c>
      <c r="C196" s="15"/>
      <c r="D196" s="16"/>
      <c r="E196" s="17"/>
      <c r="F196" s="17"/>
      <c r="H196" s="19">
        <f t="shared" si="0"/>
        <v>0</v>
      </c>
      <c r="I196" s="20">
        <f t="shared" si="1"/>
        <v>0</v>
      </c>
      <c r="J196" s="21">
        <f t="shared" si="3"/>
        <v>0</v>
      </c>
      <c r="K196" s="22">
        <f t="shared" si="2"/>
        <v>0</v>
      </c>
    </row>
    <row r="197" spans="1:11" ht="12.75" x14ac:dyDescent="0.2">
      <c r="A197" s="13">
        <v>45782</v>
      </c>
      <c r="B197" s="14" t="s">
        <v>3</v>
      </c>
      <c r="C197" s="15"/>
      <c r="D197" s="16"/>
      <c r="E197" s="17"/>
      <c r="F197" s="17"/>
      <c r="H197" s="19">
        <f t="shared" si="0"/>
        <v>0</v>
      </c>
      <c r="I197" s="20">
        <f t="shared" si="1"/>
        <v>0</v>
      </c>
      <c r="J197" s="21">
        <f t="shared" si="3"/>
        <v>0</v>
      </c>
      <c r="K197" s="22">
        <f t="shared" si="2"/>
        <v>0</v>
      </c>
    </row>
    <row r="198" spans="1:11" ht="12.75" x14ac:dyDescent="0.2">
      <c r="A198" s="13">
        <v>45783</v>
      </c>
      <c r="B198" s="14" t="s">
        <v>4</v>
      </c>
      <c r="C198" s="15"/>
      <c r="D198" s="16"/>
      <c r="E198" s="17"/>
      <c r="F198" s="17"/>
      <c r="H198" s="19">
        <f t="shared" si="0"/>
        <v>0</v>
      </c>
      <c r="I198" s="20">
        <f t="shared" si="1"/>
        <v>0</v>
      </c>
      <c r="J198" s="21">
        <f t="shared" si="3"/>
        <v>0</v>
      </c>
      <c r="K198" s="22">
        <f t="shared" si="2"/>
        <v>0</v>
      </c>
    </row>
    <row r="199" spans="1:11" ht="12.75" x14ac:dyDescent="0.2">
      <c r="A199" s="13">
        <v>45784</v>
      </c>
      <c r="B199" s="14" t="s">
        <v>5</v>
      </c>
      <c r="C199" s="15"/>
      <c r="D199" s="16"/>
      <c r="E199" s="17"/>
      <c r="F199" s="17"/>
      <c r="H199" s="19">
        <f t="shared" si="0"/>
        <v>0</v>
      </c>
      <c r="I199" s="20">
        <f t="shared" si="1"/>
        <v>0</v>
      </c>
      <c r="J199" s="21">
        <f t="shared" si="3"/>
        <v>0</v>
      </c>
      <c r="K199" s="22">
        <f t="shared" si="2"/>
        <v>0</v>
      </c>
    </row>
    <row r="200" spans="1:11" ht="12.75" x14ac:dyDescent="0.2">
      <c r="A200" s="13">
        <v>45785</v>
      </c>
      <c r="B200" s="14" t="s">
        <v>6</v>
      </c>
      <c r="C200" s="15"/>
      <c r="D200" s="16"/>
      <c r="E200" s="17"/>
      <c r="F200" s="17"/>
      <c r="H200" s="19">
        <f t="shared" si="0"/>
        <v>0</v>
      </c>
      <c r="I200" s="20">
        <f t="shared" si="1"/>
        <v>0</v>
      </c>
      <c r="J200" s="21">
        <f t="shared" si="3"/>
        <v>0</v>
      </c>
      <c r="K200" s="22">
        <f t="shared" si="2"/>
        <v>0</v>
      </c>
    </row>
    <row r="201" spans="1:11" ht="12.75" x14ac:dyDescent="0.2">
      <c r="A201" s="13">
        <v>45786</v>
      </c>
      <c r="B201" s="14" t="s">
        <v>7</v>
      </c>
      <c r="C201" s="15"/>
      <c r="D201" s="16"/>
      <c r="E201" s="17"/>
      <c r="F201" s="17"/>
      <c r="H201" s="19">
        <f t="shared" si="0"/>
        <v>0</v>
      </c>
      <c r="I201" s="20">
        <f t="shared" si="1"/>
        <v>0</v>
      </c>
      <c r="J201" s="21">
        <f t="shared" si="3"/>
        <v>0</v>
      </c>
      <c r="K201" s="22">
        <f t="shared" si="2"/>
        <v>0</v>
      </c>
    </row>
    <row r="202" spans="1:11" ht="12.75" x14ac:dyDescent="0.2">
      <c r="A202" s="13">
        <v>45789</v>
      </c>
      <c r="B202" s="14" t="s">
        <v>3</v>
      </c>
      <c r="C202" s="15"/>
      <c r="D202" s="16"/>
      <c r="E202" s="17"/>
      <c r="F202" s="17"/>
      <c r="H202" s="19">
        <f t="shared" si="0"/>
        <v>0</v>
      </c>
      <c r="I202" s="20">
        <f t="shared" si="1"/>
        <v>0</v>
      </c>
      <c r="J202" s="21">
        <f t="shared" si="3"/>
        <v>0</v>
      </c>
      <c r="K202" s="22">
        <f t="shared" si="2"/>
        <v>0</v>
      </c>
    </row>
    <row r="203" spans="1:11" ht="12.75" x14ac:dyDescent="0.2">
      <c r="A203" s="13">
        <v>45790</v>
      </c>
      <c r="B203" s="14" t="s">
        <v>4</v>
      </c>
      <c r="C203" s="15"/>
      <c r="D203" s="16"/>
      <c r="E203" s="17"/>
      <c r="F203" s="17"/>
      <c r="H203" s="19">
        <f t="shared" si="0"/>
        <v>0</v>
      </c>
      <c r="I203" s="20">
        <f t="shared" si="1"/>
        <v>0</v>
      </c>
      <c r="J203" s="21">
        <f t="shared" si="3"/>
        <v>0</v>
      </c>
      <c r="K203" s="22">
        <f t="shared" si="2"/>
        <v>0</v>
      </c>
    </row>
    <row r="204" spans="1:11" ht="12.75" x14ac:dyDescent="0.2">
      <c r="A204" s="13">
        <v>45791</v>
      </c>
      <c r="B204" s="14" t="s">
        <v>5</v>
      </c>
      <c r="C204" s="15"/>
      <c r="D204" s="16"/>
      <c r="E204" s="17"/>
      <c r="F204" s="17"/>
      <c r="H204" s="19">
        <f t="shared" si="0"/>
        <v>0</v>
      </c>
      <c r="I204" s="20">
        <f t="shared" si="1"/>
        <v>0</v>
      </c>
      <c r="J204" s="21">
        <f t="shared" si="3"/>
        <v>0</v>
      </c>
      <c r="K204" s="22">
        <f t="shared" si="2"/>
        <v>0</v>
      </c>
    </row>
    <row r="205" spans="1:11" ht="12.75" x14ac:dyDescent="0.2">
      <c r="A205" s="13">
        <v>45792</v>
      </c>
      <c r="B205" s="14" t="s">
        <v>6</v>
      </c>
      <c r="C205" s="15"/>
      <c r="D205" s="16"/>
      <c r="E205" s="17"/>
      <c r="F205" s="17"/>
      <c r="H205" s="19">
        <f t="shared" si="0"/>
        <v>0</v>
      </c>
      <c r="I205" s="20">
        <f t="shared" si="1"/>
        <v>0</v>
      </c>
      <c r="J205" s="21">
        <f t="shared" si="3"/>
        <v>0</v>
      </c>
      <c r="K205" s="22">
        <f t="shared" si="2"/>
        <v>0</v>
      </c>
    </row>
    <row r="206" spans="1:11" ht="12.75" x14ac:dyDescent="0.2">
      <c r="A206" s="13">
        <v>45793</v>
      </c>
      <c r="B206" s="14" t="s">
        <v>7</v>
      </c>
      <c r="C206" s="15"/>
      <c r="D206" s="16"/>
      <c r="E206" s="17"/>
      <c r="F206" s="17"/>
      <c r="H206" s="19">
        <f t="shared" si="0"/>
        <v>0</v>
      </c>
      <c r="I206" s="20">
        <f t="shared" si="1"/>
        <v>0</v>
      </c>
      <c r="J206" s="21">
        <f t="shared" si="3"/>
        <v>0</v>
      </c>
      <c r="K206" s="22">
        <f t="shared" si="2"/>
        <v>0</v>
      </c>
    </row>
    <row r="207" spans="1:11" ht="12.75" x14ac:dyDescent="0.2">
      <c r="A207" s="13">
        <v>45796</v>
      </c>
      <c r="B207" s="14" t="s">
        <v>3</v>
      </c>
      <c r="C207" s="15"/>
      <c r="D207" s="16"/>
      <c r="E207" s="17"/>
      <c r="F207" s="17"/>
      <c r="H207" s="19">
        <f t="shared" si="0"/>
        <v>0</v>
      </c>
      <c r="I207" s="20">
        <f t="shared" si="1"/>
        <v>0</v>
      </c>
      <c r="J207" s="21">
        <f t="shared" si="3"/>
        <v>0</v>
      </c>
      <c r="K207" s="22">
        <f t="shared" si="2"/>
        <v>0</v>
      </c>
    </row>
    <row r="208" spans="1:11" ht="12.75" x14ac:dyDescent="0.2">
      <c r="A208" s="13">
        <v>45797</v>
      </c>
      <c r="B208" s="14" t="s">
        <v>4</v>
      </c>
      <c r="C208" s="15"/>
      <c r="D208" s="16"/>
      <c r="E208" s="17"/>
      <c r="F208" s="17"/>
      <c r="H208" s="19">
        <f t="shared" si="0"/>
        <v>0</v>
      </c>
      <c r="I208" s="20">
        <f t="shared" si="1"/>
        <v>0</v>
      </c>
      <c r="J208" s="21">
        <f t="shared" si="3"/>
        <v>0</v>
      </c>
      <c r="K208" s="22">
        <f t="shared" si="2"/>
        <v>0</v>
      </c>
    </row>
    <row r="209" spans="1:11" ht="12.75" x14ac:dyDescent="0.2">
      <c r="A209" s="13">
        <v>45798</v>
      </c>
      <c r="B209" s="14" t="s">
        <v>5</v>
      </c>
      <c r="C209" s="15"/>
      <c r="D209" s="16"/>
      <c r="E209" s="17"/>
      <c r="F209" s="17"/>
      <c r="H209" s="19">
        <f t="shared" si="0"/>
        <v>0</v>
      </c>
      <c r="I209" s="20">
        <f t="shared" si="1"/>
        <v>0</v>
      </c>
      <c r="J209" s="21">
        <f t="shared" si="3"/>
        <v>0</v>
      </c>
      <c r="K209" s="22">
        <f t="shared" si="2"/>
        <v>0</v>
      </c>
    </row>
    <row r="210" spans="1:11" ht="12.75" x14ac:dyDescent="0.2">
      <c r="A210" s="13">
        <v>45799</v>
      </c>
      <c r="B210" s="14" t="s">
        <v>6</v>
      </c>
      <c r="C210" s="15"/>
      <c r="D210" s="16"/>
      <c r="E210" s="17"/>
      <c r="F210" s="17"/>
      <c r="H210" s="19">
        <f t="shared" si="0"/>
        <v>0</v>
      </c>
      <c r="I210" s="20">
        <f t="shared" si="1"/>
        <v>0</v>
      </c>
      <c r="J210" s="21">
        <f t="shared" si="3"/>
        <v>0</v>
      </c>
      <c r="K210" s="22">
        <f t="shared" si="2"/>
        <v>0</v>
      </c>
    </row>
    <row r="211" spans="1:11" ht="12.75" x14ac:dyDescent="0.2">
      <c r="A211" s="13">
        <v>45800</v>
      </c>
      <c r="B211" s="14" t="s">
        <v>7</v>
      </c>
      <c r="C211" s="15"/>
      <c r="D211" s="16"/>
      <c r="E211" s="17"/>
      <c r="F211" s="17"/>
      <c r="H211" s="19">
        <f t="shared" si="0"/>
        <v>0</v>
      </c>
      <c r="I211" s="20">
        <f t="shared" si="1"/>
        <v>0</v>
      </c>
      <c r="J211" s="21">
        <f t="shared" si="3"/>
        <v>0</v>
      </c>
      <c r="K211" s="22">
        <f t="shared" si="2"/>
        <v>0</v>
      </c>
    </row>
    <row r="212" spans="1:11" ht="12.75" x14ac:dyDescent="0.2">
      <c r="A212" s="24">
        <v>45803</v>
      </c>
      <c r="B212" s="25" t="s">
        <v>3</v>
      </c>
      <c r="C212" s="26"/>
      <c r="D212" s="27"/>
      <c r="E212" s="28"/>
      <c r="F212" s="28"/>
      <c r="G212" s="29"/>
      <c r="H212" s="19">
        <f t="shared" si="0"/>
        <v>0</v>
      </c>
      <c r="I212" s="20">
        <f t="shared" si="1"/>
        <v>0</v>
      </c>
      <c r="J212" s="21">
        <f t="shared" si="3"/>
        <v>0</v>
      </c>
      <c r="K212" s="22">
        <f t="shared" si="2"/>
        <v>0</v>
      </c>
    </row>
    <row r="213" spans="1:11" ht="12.75" x14ac:dyDescent="0.2">
      <c r="A213" s="13">
        <v>45804</v>
      </c>
      <c r="B213" s="14" t="s">
        <v>4</v>
      </c>
      <c r="C213" s="15"/>
      <c r="D213" s="16"/>
      <c r="E213" s="17"/>
      <c r="F213" s="17"/>
      <c r="H213" s="19">
        <f t="shared" si="0"/>
        <v>0</v>
      </c>
      <c r="I213" s="20">
        <f t="shared" si="1"/>
        <v>0</v>
      </c>
      <c r="J213" s="21">
        <f t="shared" si="3"/>
        <v>0</v>
      </c>
      <c r="K213" s="22">
        <f t="shared" si="2"/>
        <v>0</v>
      </c>
    </row>
    <row r="214" spans="1:11" ht="12.75" x14ac:dyDescent="0.2">
      <c r="A214" s="13">
        <v>45805</v>
      </c>
      <c r="B214" s="14" t="s">
        <v>5</v>
      </c>
      <c r="C214" s="15"/>
      <c r="D214" s="16"/>
      <c r="E214" s="17"/>
      <c r="F214" s="17"/>
      <c r="H214" s="19">
        <f t="shared" si="0"/>
        <v>0</v>
      </c>
      <c r="I214" s="20">
        <f t="shared" si="1"/>
        <v>0</v>
      </c>
      <c r="J214" s="21">
        <f t="shared" si="3"/>
        <v>0</v>
      </c>
      <c r="K214" s="22">
        <f t="shared" si="2"/>
        <v>0</v>
      </c>
    </row>
    <row r="215" spans="1:11" ht="12.75" x14ac:dyDescent="0.2">
      <c r="A215" s="13">
        <v>45806</v>
      </c>
      <c r="B215" s="46" t="s">
        <v>6</v>
      </c>
      <c r="C215" s="15"/>
      <c r="D215" s="16"/>
      <c r="E215" s="17"/>
      <c r="F215" s="17"/>
      <c r="H215" s="19">
        <f t="shared" si="0"/>
        <v>0</v>
      </c>
      <c r="I215" s="20">
        <f t="shared" si="1"/>
        <v>0</v>
      </c>
      <c r="J215" s="21">
        <f t="shared" si="3"/>
        <v>0</v>
      </c>
      <c r="K215" s="22">
        <f t="shared" si="2"/>
        <v>0</v>
      </c>
    </row>
    <row r="216" spans="1:11" ht="12.75" hidden="1" x14ac:dyDescent="0.2">
      <c r="A216" s="16"/>
      <c r="B216" s="16"/>
      <c r="C216" s="15"/>
      <c r="D216" s="16"/>
      <c r="E216" s="17"/>
      <c r="F216" s="17"/>
      <c r="H216" s="19"/>
      <c r="I216" s="47"/>
      <c r="J216" s="48"/>
      <c r="K216" s="49"/>
    </row>
    <row r="217" spans="1:11" ht="12.75" hidden="1" x14ac:dyDescent="0.2">
      <c r="A217" s="16"/>
      <c r="B217" s="16"/>
      <c r="C217" s="15"/>
      <c r="D217" s="16"/>
      <c r="E217" s="17"/>
      <c r="F217" s="17"/>
      <c r="H217" s="19"/>
      <c r="I217" s="47"/>
      <c r="J217" s="48"/>
      <c r="K217" s="49"/>
    </row>
    <row r="218" spans="1:11" ht="12.75" hidden="1" x14ac:dyDescent="0.2">
      <c r="A218" s="16"/>
      <c r="B218" s="16"/>
      <c r="C218" s="15"/>
      <c r="D218" s="16"/>
      <c r="E218" s="17"/>
      <c r="F218" s="17"/>
      <c r="H218" s="19"/>
      <c r="I218" s="47"/>
      <c r="J218" s="48"/>
      <c r="K218" s="49"/>
    </row>
    <row r="219" spans="1:11" ht="12.75" hidden="1" x14ac:dyDescent="0.2">
      <c r="A219" s="16"/>
      <c r="B219" s="16"/>
      <c r="C219" s="15"/>
      <c r="D219" s="16"/>
      <c r="E219" s="17"/>
      <c r="F219" s="17"/>
      <c r="H219" s="19"/>
      <c r="I219" s="47"/>
      <c r="J219" s="48"/>
      <c r="K219" s="49"/>
    </row>
    <row r="220" spans="1:11" ht="12.75" hidden="1" x14ac:dyDescent="0.2">
      <c r="A220" s="16"/>
      <c r="B220" s="16"/>
      <c r="C220" s="15"/>
      <c r="D220" s="16"/>
      <c r="E220" s="17"/>
      <c r="F220" s="17"/>
      <c r="H220" s="19"/>
      <c r="I220" s="47"/>
      <c r="J220" s="48"/>
      <c r="K220" s="49"/>
    </row>
    <row r="221" spans="1:11" ht="12.75" hidden="1" x14ac:dyDescent="0.2">
      <c r="A221" s="16"/>
      <c r="B221" s="16"/>
      <c r="C221" s="15"/>
      <c r="D221" s="16"/>
      <c r="E221" s="17"/>
      <c r="F221" s="17"/>
      <c r="H221" s="19"/>
      <c r="I221" s="47"/>
      <c r="J221" s="48"/>
      <c r="K221" s="49"/>
    </row>
    <row r="222" spans="1:11" ht="12.75" hidden="1" x14ac:dyDescent="0.2">
      <c r="A222" s="16"/>
      <c r="B222" s="16"/>
      <c r="C222" s="15"/>
      <c r="D222" s="16"/>
      <c r="E222" s="17"/>
      <c r="F222" s="17"/>
      <c r="H222" s="19"/>
      <c r="I222" s="47"/>
      <c r="J222" s="48"/>
      <c r="K222" s="49"/>
    </row>
    <row r="223" spans="1:11" ht="12.75" hidden="1" x14ac:dyDescent="0.2">
      <c r="A223" s="16"/>
      <c r="B223" s="16"/>
      <c r="C223" s="15"/>
      <c r="D223" s="16"/>
      <c r="E223" s="17"/>
      <c r="F223" s="17"/>
      <c r="H223" s="19"/>
      <c r="I223" s="47"/>
      <c r="J223" s="48"/>
      <c r="K223" s="49"/>
    </row>
    <row r="224" spans="1:11" ht="12.75" hidden="1" x14ac:dyDescent="0.2">
      <c r="A224" s="16"/>
      <c r="B224" s="16"/>
      <c r="C224" s="15"/>
      <c r="D224" s="16"/>
      <c r="E224" s="17"/>
      <c r="F224" s="17"/>
      <c r="H224" s="19"/>
      <c r="I224" s="47"/>
      <c r="J224" s="48"/>
      <c r="K224" s="49"/>
    </row>
    <row r="225" spans="1:11" ht="12.75" hidden="1" x14ac:dyDescent="0.2">
      <c r="A225" s="16"/>
      <c r="B225" s="16"/>
      <c r="C225" s="15"/>
      <c r="D225" s="16"/>
      <c r="E225" s="17"/>
      <c r="F225" s="17"/>
      <c r="H225" s="19"/>
      <c r="I225" s="47"/>
      <c r="J225" s="48"/>
      <c r="K225" s="49"/>
    </row>
    <row r="226" spans="1:11" ht="12.75" hidden="1" x14ac:dyDescent="0.2">
      <c r="A226" s="16"/>
      <c r="B226" s="16"/>
      <c r="C226" s="15"/>
      <c r="D226" s="16"/>
      <c r="E226" s="17"/>
      <c r="F226" s="17"/>
      <c r="H226" s="19"/>
      <c r="I226" s="47"/>
      <c r="J226" s="48"/>
      <c r="K226" s="49"/>
    </row>
    <row r="227" spans="1:11" ht="12.75" hidden="1" x14ac:dyDescent="0.2">
      <c r="A227" s="16"/>
      <c r="B227" s="16"/>
      <c r="C227" s="15"/>
      <c r="D227" s="16"/>
      <c r="E227" s="17"/>
      <c r="F227" s="17"/>
      <c r="H227" s="19"/>
      <c r="I227" s="47"/>
      <c r="J227" s="48"/>
      <c r="K227" s="49"/>
    </row>
    <row r="228" spans="1:11" ht="12.75" hidden="1" x14ac:dyDescent="0.2">
      <c r="A228" s="16"/>
      <c r="B228" s="16"/>
      <c r="C228" s="15"/>
      <c r="D228" s="16"/>
      <c r="E228" s="17"/>
      <c r="F228" s="17"/>
      <c r="H228" s="19"/>
      <c r="I228" s="47"/>
      <c r="J228" s="48"/>
      <c r="K228" s="49"/>
    </row>
    <row r="229" spans="1:11" ht="12.75" hidden="1" x14ac:dyDescent="0.2">
      <c r="A229" s="16"/>
      <c r="B229" s="16"/>
      <c r="C229" s="15"/>
      <c r="D229" s="16"/>
      <c r="E229" s="17"/>
      <c r="F229" s="17"/>
      <c r="H229" s="19"/>
      <c r="I229" s="47"/>
      <c r="J229" s="48"/>
      <c r="K229" s="49"/>
    </row>
    <row r="230" spans="1:11" ht="12.75" hidden="1" x14ac:dyDescent="0.2">
      <c r="A230" s="16"/>
      <c r="B230" s="16"/>
      <c r="C230" s="15"/>
      <c r="D230" s="16"/>
      <c r="E230" s="17"/>
      <c r="F230" s="17"/>
      <c r="H230" s="19"/>
      <c r="I230" s="47"/>
      <c r="J230" s="48"/>
      <c r="K230" s="49"/>
    </row>
    <row r="231" spans="1:11" ht="12.75" hidden="1" x14ac:dyDescent="0.2">
      <c r="A231" s="16"/>
      <c r="B231" s="16"/>
      <c r="C231" s="15"/>
      <c r="D231" s="16"/>
      <c r="E231" s="17"/>
      <c r="F231" s="17"/>
      <c r="H231" s="19"/>
      <c r="I231" s="47"/>
      <c r="J231" s="48"/>
      <c r="K231" s="49"/>
    </row>
    <row r="232" spans="1:11" ht="12.75" hidden="1" x14ac:dyDescent="0.2">
      <c r="A232" s="16"/>
      <c r="B232" s="16"/>
      <c r="C232" s="15"/>
      <c r="D232" s="16"/>
      <c r="E232" s="17"/>
      <c r="F232" s="17"/>
      <c r="H232" s="19"/>
      <c r="I232" s="47"/>
      <c r="J232" s="48"/>
      <c r="K232" s="49"/>
    </row>
    <row r="233" spans="1:11" ht="12.75" hidden="1" x14ac:dyDescent="0.2">
      <c r="A233" s="16"/>
      <c r="B233" s="16"/>
      <c r="C233" s="15"/>
      <c r="D233" s="16"/>
      <c r="E233" s="17"/>
      <c r="F233" s="17"/>
      <c r="H233" s="19"/>
      <c r="I233" s="47"/>
      <c r="J233" s="48"/>
      <c r="K233" s="49"/>
    </row>
    <row r="234" spans="1:11" ht="12.75" hidden="1" x14ac:dyDescent="0.2">
      <c r="A234" s="16"/>
      <c r="B234" s="16"/>
      <c r="C234" s="15"/>
      <c r="D234" s="16"/>
      <c r="E234" s="17"/>
      <c r="F234" s="17"/>
      <c r="H234" s="19"/>
      <c r="I234" s="47"/>
      <c r="J234" s="48"/>
      <c r="K234" s="49"/>
    </row>
    <row r="235" spans="1:11" ht="12.75" hidden="1" x14ac:dyDescent="0.2">
      <c r="A235" s="16"/>
      <c r="B235" s="16"/>
      <c r="C235" s="15"/>
      <c r="D235" s="16"/>
      <c r="E235" s="17"/>
      <c r="F235" s="17"/>
      <c r="H235" s="19"/>
      <c r="I235" s="47"/>
      <c r="J235" s="48"/>
      <c r="K235" s="49"/>
    </row>
    <row r="236" spans="1:11" ht="12.75" hidden="1" x14ac:dyDescent="0.2">
      <c r="A236" s="16"/>
      <c r="B236" s="16"/>
      <c r="C236" s="15"/>
      <c r="D236" s="16"/>
      <c r="E236" s="17"/>
      <c r="F236" s="17"/>
      <c r="H236" s="19"/>
      <c r="I236" s="47"/>
      <c r="J236" s="48"/>
      <c r="K236" s="49"/>
    </row>
    <row r="237" spans="1:11" ht="12.75" hidden="1" x14ac:dyDescent="0.2">
      <c r="A237" s="16"/>
      <c r="B237" s="16"/>
      <c r="C237" s="15"/>
      <c r="D237" s="16"/>
      <c r="E237" s="17"/>
      <c r="F237" s="17"/>
      <c r="H237" s="19"/>
      <c r="I237" s="47"/>
      <c r="J237" s="48"/>
      <c r="K237" s="49"/>
    </row>
    <row r="238" spans="1:11" ht="12.75" hidden="1" x14ac:dyDescent="0.2">
      <c r="A238" s="16"/>
      <c r="B238" s="16"/>
      <c r="C238" s="15"/>
      <c r="D238" s="16"/>
      <c r="E238" s="17"/>
      <c r="F238" s="17"/>
      <c r="H238" s="19"/>
      <c r="I238" s="47"/>
      <c r="J238" s="48"/>
      <c r="K238" s="49"/>
    </row>
    <row r="239" spans="1:11" ht="12.75" hidden="1" x14ac:dyDescent="0.2">
      <c r="A239" s="16"/>
      <c r="B239" s="16"/>
      <c r="C239" s="15"/>
      <c r="D239" s="16"/>
      <c r="E239" s="17"/>
      <c r="F239" s="17"/>
      <c r="H239" s="19"/>
      <c r="I239" s="47"/>
      <c r="J239" s="48"/>
      <c r="K239" s="49"/>
    </row>
    <row r="240" spans="1:11" ht="12.75" hidden="1" x14ac:dyDescent="0.2">
      <c r="A240" s="16"/>
      <c r="B240" s="16"/>
      <c r="C240" s="15"/>
      <c r="D240" s="16"/>
      <c r="E240" s="17"/>
      <c r="F240" s="17"/>
      <c r="H240" s="19"/>
      <c r="I240" s="47"/>
      <c r="J240" s="48"/>
      <c r="K240" s="49"/>
    </row>
    <row r="241" spans="1:11" ht="12.75" hidden="1" x14ac:dyDescent="0.2">
      <c r="A241" s="16"/>
      <c r="B241" s="16"/>
      <c r="C241" s="15"/>
      <c r="D241" s="16"/>
      <c r="E241" s="17"/>
      <c r="F241" s="17"/>
      <c r="H241" s="19"/>
      <c r="I241" s="47"/>
      <c r="J241" s="48"/>
      <c r="K241" s="49"/>
    </row>
    <row r="242" spans="1:11" ht="12.75" hidden="1" x14ac:dyDescent="0.2">
      <c r="A242" s="16"/>
      <c r="B242" s="16"/>
      <c r="C242" s="15"/>
      <c r="D242" s="16"/>
      <c r="E242" s="17"/>
      <c r="F242" s="17"/>
      <c r="H242" s="19"/>
      <c r="I242" s="47"/>
      <c r="J242" s="48"/>
      <c r="K242" s="49"/>
    </row>
    <row r="243" spans="1:11" ht="12.75" hidden="1" x14ac:dyDescent="0.2">
      <c r="A243" s="16"/>
      <c r="B243" s="16"/>
      <c r="C243" s="15"/>
      <c r="D243" s="16"/>
      <c r="E243" s="17"/>
      <c r="F243" s="17"/>
      <c r="H243" s="19"/>
      <c r="I243" s="47"/>
      <c r="J243" s="48"/>
      <c r="K243" s="49"/>
    </row>
    <row r="244" spans="1:11" ht="12.75" hidden="1" x14ac:dyDescent="0.2">
      <c r="A244" s="16"/>
      <c r="B244" s="16"/>
      <c r="C244" s="15"/>
      <c r="D244" s="16"/>
      <c r="E244" s="17"/>
      <c r="F244" s="17"/>
      <c r="H244" s="19"/>
      <c r="I244" s="47"/>
      <c r="J244" s="48"/>
      <c r="K244" s="49"/>
    </row>
    <row r="245" spans="1:11" ht="12.75" hidden="1" x14ac:dyDescent="0.2">
      <c r="A245" s="16"/>
      <c r="B245" s="16"/>
      <c r="C245" s="15"/>
      <c r="D245" s="16"/>
      <c r="E245" s="17"/>
      <c r="F245" s="17"/>
      <c r="H245" s="19"/>
      <c r="I245" s="47"/>
      <c r="J245" s="48"/>
      <c r="K245" s="49"/>
    </row>
    <row r="246" spans="1:11" ht="12.75" hidden="1" x14ac:dyDescent="0.2">
      <c r="A246" s="16"/>
      <c r="B246" s="16"/>
      <c r="C246" s="15"/>
      <c r="D246" s="16"/>
      <c r="E246" s="17"/>
      <c r="F246" s="17"/>
      <c r="H246" s="19"/>
      <c r="I246" s="47"/>
      <c r="J246" s="48"/>
      <c r="K246" s="49"/>
    </row>
    <row r="247" spans="1:11" ht="12.75" hidden="1" x14ac:dyDescent="0.2">
      <c r="A247" s="16"/>
      <c r="B247" s="16"/>
      <c r="C247" s="15"/>
      <c r="D247" s="16"/>
      <c r="E247" s="17"/>
      <c r="F247" s="17"/>
      <c r="H247" s="19"/>
      <c r="I247" s="47"/>
      <c r="J247" s="48"/>
      <c r="K247" s="49"/>
    </row>
    <row r="248" spans="1:11" ht="12.75" hidden="1" x14ac:dyDescent="0.2">
      <c r="A248" s="16"/>
      <c r="B248" s="16"/>
      <c r="C248" s="15"/>
      <c r="D248" s="16"/>
      <c r="E248" s="17"/>
      <c r="F248" s="17"/>
      <c r="H248" s="19"/>
      <c r="I248" s="47"/>
      <c r="J248" s="48"/>
      <c r="K248" s="49"/>
    </row>
    <row r="249" spans="1:11" ht="12.75" hidden="1" x14ac:dyDescent="0.2">
      <c r="A249" s="16"/>
      <c r="B249" s="16"/>
      <c r="C249" s="15"/>
      <c r="D249" s="16"/>
      <c r="E249" s="17"/>
      <c r="F249" s="17"/>
      <c r="H249" s="19"/>
      <c r="I249" s="47"/>
      <c r="J249" s="48"/>
      <c r="K249" s="49"/>
    </row>
    <row r="250" spans="1:11" ht="12.75" hidden="1" x14ac:dyDescent="0.2">
      <c r="A250" s="16"/>
      <c r="B250" s="16"/>
      <c r="C250" s="15"/>
      <c r="D250" s="16"/>
      <c r="E250" s="17"/>
      <c r="F250" s="17"/>
      <c r="H250" s="19"/>
      <c r="I250" s="47"/>
      <c r="J250" s="48"/>
      <c r="K250" s="49"/>
    </row>
    <row r="251" spans="1:11" ht="12.75" hidden="1" x14ac:dyDescent="0.2">
      <c r="A251" s="16"/>
      <c r="B251" s="16"/>
      <c r="C251" s="15"/>
      <c r="D251" s="16"/>
      <c r="E251" s="17"/>
      <c r="F251" s="17"/>
      <c r="H251" s="19"/>
      <c r="I251" s="47"/>
      <c r="J251" s="48"/>
      <c r="K251" s="49"/>
    </row>
    <row r="252" spans="1:11" ht="12.75" hidden="1" x14ac:dyDescent="0.2">
      <c r="A252" s="16"/>
      <c r="B252" s="16"/>
      <c r="C252" s="15"/>
      <c r="D252" s="16"/>
      <c r="E252" s="17"/>
      <c r="F252" s="17"/>
      <c r="H252" s="19"/>
      <c r="I252" s="47"/>
      <c r="J252" s="48"/>
      <c r="K252" s="49"/>
    </row>
    <row r="253" spans="1:11" ht="12.75" hidden="1" x14ac:dyDescent="0.2">
      <c r="A253" s="16"/>
      <c r="B253" s="16"/>
      <c r="C253" s="15"/>
      <c r="D253" s="16"/>
      <c r="E253" s="17"/>
      <c r="F253" s="17"/>
      <c r="H253" s="19"/>
      <c r="I253" s="47"/>
      <c r="J253" s="48"/>
      <c r="K253" s="49"/>
    </row>
    <row r="254" spans="1:11" ht="12.75" hidden="1" x14ac:dyDescent="0.2">
      <c r="A254" s="16"/>
      <c r="B254" s="16"/>
      <c r="C254" s="15"/>
      <c r="D254" s="16"/>
      <c r="E254" s="17"/>
      <c r="F254" s="17"/>
      <c r="H254" s="19"/>
      <c r="I254" s="47"/>
      <c r="J254" s="48"/>
      <c r="K254" s="49"/>
    </row>
    <row r="255" spans="1:11" ht="12.75" hidden="1" x14ac:dyDescent="0.2">
      <c r="A255" s="16"/>
      <c r="B255" s="16"/>
      <c r="C255" s="15"/>
      <c r="D255" s="16"/>
      <c r="E255" s="17"/>
      <c r="F255" s="17"/>
      <c r="H255" s="19"/>
      <c r="I255" s="47"/>
      <c r="J255" s="48"/>
      <c r="K255" s="49"/>
    </row>
    <row r="256" spans="1:11" ht="12.75" hidden="1" x14ac:dyDescent="0.2">
      <c r="A256" s="16"/>
      <c r="B256" s="16"/>
      <c r="C256" s="15"/>
      <c r="D256" s="16"/>
      <c r="E256" s="17"/>
      <c r="F256" s="17"/>
      <c r="H256" s="19"/>
      <c r="I256" s="47"/>
      <c r="J256" s="48"/>
      <c r="K256" s="49"/>
    </row>
    <row r="257" spans="1:11" ht="12.75" hidden="1" x14ac:dyDescent="0.2">
      <c r="A257" s="16"/>
      <c r="B257" s="16"/>
      <c r="C257" s="15"/>
      <c r="D257" s="16"/>
      <c r="E257" s="17"/>
      <c r="F257" s="17"/>
      <c r="H257" s="19"/>
      <c r="I257" s="47"/>
      <c r="J257" s="48"/>
      <c r="K257" s="49"/>
    </row>
    <row r="258" spans="1:11" ht="12.75" hidden="1" x14ac:dyDescent="0.2">
      <c r="A258" s="16"/>
      <c r="B258" s="16"/>
      <c r="C258" s="15"/>
      <c r="D258" s="16"/>
      <c r="E258" s="17"/>
      <c r="F258" s="17"/>
      <c r="H258" s="19"/>
      <c r="I258" s="47"/>
      <c r="J258" s="48"/>
      <c r="K258" s="49"/>
    </row>
    <row r="259" spans="1:11" ht="12.75" hidden="1" x14ac:dyDescent="0.2">
      <c r="A259" s="16"/>
      <c r="B259" s="16"/>
      <c r="C259" s="15"/>
      <c r="D259" s="16"/>
      <c r="E259" s="17"/>
      <c r="F259" s="17"/>
      <c r="H259" s="19"/>
      <c r="I259" s="47"/>
      <c r="J259" s="48"/>
      <c r="K259" s="49"/>
    </row>
    <row r="260" spans="1:11" ht="12.75" hidden="1" x14ac:dyDescent="0.2">
      <c r="A260" s="16"/>
      <c r="B260" s="16"/>
      <c r="C260" s="15"/>
      <c r="D260" s="16"/>
      <c r="E260" s="17"/>
      <c r="F260" s="17"/>
      <c r="H260" s="19"/>
      <c r="I260" s="47"/>
      <c r="J260" s="48"/>
      <c r="K260" s="49"/>
    </row>
    <row r="261" spans="1:11" ht="12.75" hidden="1" x14ac:dyDescent="0.2">
      <c r="A261" s="16"/>
      <c r="B261" s="16"/>
      <c r="C261" s="15"/>
      <c r="D261" s="16"/>
      <c r="E261" s="17"/>
      <c r="F261" s="17"/>
      <c r="H261" s="19"/>
      <c r="I261" s="47"/>
      <c r="J261" s="48"/>
      <c r="K261" s="49"/>
    </row>
    <row r="262" spans="1:11" ht="12.75" hidden="1" x14ac:dyDescent="0.2">
      <c r="A262" s="16"/>
      <c r="B262" s="16"/>
      <c r="C262" s="15"/>
      <c r="D262" s="16"/>
      <c r="E262" s="17"/>
      <c r="F262" s="17"/>
      <c r="H262" s="19"/>
      <c r="I262" s="47"/>
      <c r="J262" s="48"/>
      <c r="K262" s="49"/>
    </row>
    <row r="263" spans="1:11" ht="12.75" hidden="1" x14ac:dyDescent="0.2">
      <c r="A263" s="16"/>
      <c r="B263" s="16"/>
      <c r="C263" s="15"/>
      <c r="D263" s="16"/>
      <c r="E263" s="17"/>
      <c r="F263" s="17"/>
      <c r="H263" s="19"/>
      <c r="I263" s="47"/>
      <c r="J263" s="48"/>
      <c r="K263" s="49"/>
    </row>
    <row r="264" spans="1:11" ht="12.75" hidden="1" x14ac:dyDescent="0.2">
      <c r="A264" s="16"/>
      <c r="B264" s="16"/>
      <c r="C264" s="15"/>
      <c r="D264" s="16"/>
      <c r="E264" s="17"/>
      <c r="F264" s="17"/>
      <c r="H264" s="19"/>
      <c r="I264" s="47"/>
      <c r="J264" s="48"/>
      <c r="K264" s="49"/>
    </row>
    <row r="265" spans="1:11" ht="12.75" hidden="1" x14ac:dyDescent="0.2">
      <c r="A265" s="16"/>
      <c r="B265" s="16"/>
      <c r="C265" s="15"/>
      <c r="D265" s="16"/>
      <c r="E265" s="17"/>
      <c r="F265" s="17"/>
      <c r="H265" s="19"/>
      <c r="I265" s="47"/>
      <c r="J265" s="48"/>
      <c r="K265" s="49"/>
    </row>
    <row r="266" spans="1:11" ht="12.75" hidden="1" x14ac:dyDescent="0.2">
      <c r="A266" s="16"/>
      <c r="B266" s="16"/>
      <c r="C266" s="15"/>
      <c r="D266" s="16"/>
      <c r="E266" s="17"/>
      <c r="F266" s="17"/>
      <c r="H266" s="19"/>
      <c r="I266" s="47"/>
      <c r="J266" s="48"/>
      <c r="K266" s="49"/>
    </row>
    <row r="267" spans="1:11" ht="12.75" hidden="1" x14ac:dyDescent="0.2">
      <c r="A267" s="16"/>
      <c r="B267" s="16"/>
      <c r="C267" s="15"/>
      <c r="D267" s="16"/>
      <c r="E267" s="17"/>
      <c r="F267" s="17"/>
      <c r="H267" s="19"/>
      <c r="I267" s="47"/>
      <c r="J267" s="48"/>
      <c r="K267" s="49"/>
    </row>
    <row r="268" spans="1:11" ht="12.75" hidden="1" x14ac:dyDescent="0.2">
      <c r="A268" s="16"/>
      <c r="B268" s="16"/>
      <c r="C268" s="15"/>
      <c r="D268" s="16"/>
      <c r="E268" s="17"/>
      <c r="F268" s="17"/>
      <c r="H268" s="19"/>
      <c r="I268" s="47"/>
      <c r="J268" s="48"/>
      <c r="K268" s="49"/>
    </row>
    <row r="269" spans="1:11" ht="12.75" hidden="1" x14ac:dyDescent="0.2">
      <c r="A269" s="16"/>
      <c r="B269" s="16"/>
      <c r="C269" s="15"/>
      <c r="D269" s="16"/>
      <c r="E269" s="17"/>
      <c r="F269" s="17"/>
      <c r="H269" s="19"/>
      <c r="I269" s="47"/>
      <c r="J269" s="48"/>
      <c r="K269" s="49"/>
    </row>
    <row r="270" spans="1:11" ht="12.75" hidden="1" x14ac:dyDescent="0.2">
      <c r="A270" s="16"/>
      <c r="B270" s="16"/>
      <c r="C270" s="15"/>
      <c r="D270" s="16"/>
      <c r="E270" s="17"/>
      <c r="F270" s="17"/>
      <c r="H270" s="19"/>
      <c r="I270" s="47"/>
      <c r="J270" s="48"/>
      <c r="K270" s="49"/>
    </row>
    <row r="271" spans="1:11" ht="12.75" hidden="1" x14ac:dyDescent="0.2">
      <c r="A271" s="16"/>
      <c r="B271" s="16"/>
      <c r="C271" s="15"/>
      <c r="D271" s="16"/>
      <c r="E271" s="17"/>
      <c r="F271" s="17"/>
      <c r="H271" s="19"/>
      <c r="I271" s="47"/>
      <c r="J271" s="48"/>
      <c r="K271" s="49"/>
    </row>
    <row r="272" spans="1:11" ht="12.75" hidden="1" x14ac:dyDescent="0.2">
      <c r="A272" s="16"/>
      <c r="B272" s="16"/>
      <c r="C272" s="15"/>
      <c r="D272" s="16"/>
      <c r="E272" s="17"/>
      <c r="F272" s="17"/>
      <c r="H272" s="19"/>
      <c r="I272" s="47"/>
      <c r="J272" s="48"/>
      <c r="K272" s="49"/>
    </row>
    <row r="273" spans="1:11" ht="12.75" hidden="1" x14ac:dyDescent="0.2">
      <c r="A273" s="16"/>
      <c r="B273" s="16"/>
      <c r="C273" s="15"/>
      <c r="D273" s="16"/>
      <c r="E273" s="17"/>
      <c r="F273" s="17"/>
      <c r="H273" s="19"/>
      <c r="I273" s="47"/>
      <c r="J273" s="48"/>
      <c r="K273" s="49"/>
    </row>
    <row r="274" spans="1:11" ht="12.75" hidden="1" x14ac:dyDescent="0.2">
      <c r="A274" s="16"/>
      <c r="B274" s="16"/>
      <c r="C274" s="15"/>
      <c r="D274" s="16"/>
      <c r="E274" s="17"/>
      <c r="F274" s="17"/>
      <c r="H274" s="19"/>
      <c r="I274" s="47"/>
      <c r="J274" s="48"/>
      <c r="K274" s="49"/>
    </row>
    <row r="275" spans="1:11" ht="12.75" hidden="1" x14ac:dyDescent="0.2">
      <c r="A275" s="16"/>
      <c r="B275" s="16"/>
      <c r="C275" s="15"/>
      <c r="D275" s="16"/>
      <c r="E275" s="17"/>
      <c r="F275" s="17"/>
      <c r="H275" s="19"/>
      <c r="I275" s="47"/>
      <c r="J275" s="48"/>
      <c r="K275" s="49"/>
    </row>
    <row r="276" spans="1:11" ht="12.75" hidden="1" x14ac:dyDescent="0.2">
      <c r="A276" s="16"/>
      <c r="B276" s="16"/>
      <c r="C276" s="15"/>
      <c r="D276" s="16"/>
      <c r="E276" s="17"/>
      <c r="F276" s="17"/>
      <c r="H276" s="19"/>
      <c r="I276" s="47"/>
      <c r="J276" s="48"/>
      <c r="K276" s="49"/>
    </row>
    <row r="277" spans="1:11" ht="12.75" hidden="1" x14ac:dyDescent="0.2">
      <c r="A277" s="16"/>
      <c r="B277" s="16"/>
      <c r="C277" s="15"/>
      <c r="D277" s="16"/>
      <c r="E277" s="17"/>
      <c r="F277" s="17"/>
      <c r="H277" s="19"/>
      <c r="I277" s="47"/>
      <c r="J277" s="48"/>
      <c r="K277" s="49"/>
    </row>
    <row r="278" spans="1:11" ht="12.75" hidden="1" x14ac:dyDescent="0.2">
      <c r="A278" s="16"/>
      <c r="B278" s="16"/>
      <c r="C278" s="15"/>
      <c r="D278" s="16"/>
      <c r="E278" s="17"/>
      <c r="F278" s="17"/>
      <c r="H278" s="19"/>
      <c r="I278" s="47"/>
      <c r="J278" s="48"/>
      <c r="K278" s="49"/>
    </row>
    <row r="279" spans="1:11" ht="12.75" hidden="1" x14ac:dyDescent="0.2">
      <c r="A279" s="16"/>
      <c r="B279" s="16"/>
      <c r="C279" s="15"/>
      <c r="D279" s="16"/>
      <c r="E279" s="17"/>
      <c r="F279" s="17"/>
      <c r="H279" s="19"/>
      <c r="I279" s="47"/>
      <c r="J279" s="48"/>
      <c r="K279" s="49"/>
    </row>
    <row r="280" spans="1:11" ht="12.75" hidden="1" x14ac:dyDescent="0.2">
      <c r="A280" s="16"/>
      <c r="B280" s="16"/>
      <c r="C280" s="15"/>
      <c r="D280" s="16"/>
      <c r="E280" s="17"/>
      <c r="F280" s="17"/>
      <c r="H280" s="19"/>
      <c r="I280" s="47"/>
      <c r="J280" s="48"/>
      <c r="K280" s="49"/>
    </row>
    <row r="281" spans="1:11" ht="12.75" hidden="1" x14ac:dyDescent="0.2">
      <c r="A281" s="16"/>
      <c r="B281" s="16"/>
      <c r="C281" s="15"/>
      <c r="D281" s="16"/>
      <c r="E281" s="17"/>
      <c r="F281" s="17"/>
      <c r="H281" s="19"/>
      <c r="I281" s="47"/>
      <c r="J281" s="48"/>
      <c r="K281" s="49"/>
    </row>
    <row r="282" spans="1:11" ht="12.75" hidden="1" x14ac:dyDescent="0.2">
      <c r="A282" s="16"/>
      <c r="B282" s="16"/>
      <c r="C282" s="15"/>
      <c r="D282" s="16"/>
      <c r="E282" s="17"/>
      <c r="F282" s="17"/>
      <c r="H282" s="19"/>
      <c r="I282" s="47"/>
      <c r="J282" s="48"/>
      <c r="K282" s="49"/>
    </row>
    <row r="283" spans="1:11" ht="12.75" hidden="1" x14ac:dyDescent="0.2">
      <c r="A283" s="16"/>
      <c r="B283" s="16"/>
      <c r="C283" s="15"/>
      <c r="D283" s="16"/>
      <c r="E283" s="17"/>
      <c r="F283" s="17"/>
      <c r="H283" s="19"/>
      <c r="I283" s="47"/>
      <c r="J283" s="48"/>
      <c r="K283" s="49"/>
    </row>
    <row r="284" spans="1:11" ht="12.75" hidden="1" x14ac:dyDescent="0.2">
      <c r="A284" s="16"/>
      <c r="B284" s="16"/>
      <c r="C284" s="15"/>
      <c r="D284" s="16"/>
      <c r="E284" s="17"/>
      <c r="F284" s="17"/>
      <c r="H284" s="19"/>
      <c r="I284" s="47"/>
      <c r="J284" s="48"/>
      <c r="K284" s="49"/>
    </row>
    <row r="285" spans="1:11" ht="12.75" hidden="1" x14ac:dyDescent="0.2">
      <c r="A285" s="16"/>
      <c r="B285" s="16"/>
      <c r="C285" s="15"/>
      <c r="D285" s="16"/>
      <c r="E285" s="17"/>
      <c r="F285" s="17"/>
      <c r="H285" s="19"/>
      <c r="I285" s="47"/>
      <c r="J285" s="48"/>
      <c r="K285" s="49"/>
    </row>
    <row r="286" spans="1:11" ht="12.75" hidden="1" x14ac:dyDescent="0.2">
      <c r="A286" s="16"/>
      <c r="B286" s="16"/>
      <c r="C286" s="15"/>
      <c r="D286" s="16"/>
      <c r="E286" s="17"/>
      <c r="F286" s="17"/>
      <c r="H286" s="19"/>
      <c r="I286" s="47"/>
      <c r="J286" s="48"/>
      <c r="K286" s="49"/>
    </row>
    <row r="287" spans="1:11" ht="12.75" hidden="1" x14ac:dyDescent="0.2">
      <c r="A287" s="16"/>
      <c r="B287" s="16"/>
      <c r="C287" s="15"/>
      <c r="D287" s="16"/>
      <c r="E287" s="17"/>
      <c r="F287" s="17"/>
      <c r="H287" s="19"/>
      <c r="I287" s="47"/>
      <c r="J287" s="48"/>
      <c r="K287" s="49"/>
    </row>
    <row r="288" spans="1:11" ht="12.75" hidden="1" x14ac:dyDescent="0.2">
      <c r="A288" s="16"/>
      <c r="B288" s="16"/>
      <c r="C288" s="15"/>
      <c r="D288" s="16"/>
      <c r="E288" s="17"/>
      <c r="F288" s="17"/>
      <c r="H288" s="19"/>
      <c r="I288" s="47"/>
      <c r="J288" s="48"/>
      <c r="K288" s="49"/>
    </row>
    <row r="289" spans="1:11" ht="12.75" hidden="1" x14ac:dyDescent="0.2">
      <c r="A289" s="16"/>
      <c r="B289" s="16"/>
      <c r="C289" s="15"/>
      <c r="D289" s="16"/>
      <c r="E289" s="17"/>
      <c r="F289" s="17"/>
      <c r="H289" s="19"/>
      <c r="I289" s="47"/>
      <c r="J289" s="48"/>
      <c r="K289" s="49"/>
    </row>
    <row r="290" spans="1:11" ht="12.75" hidden="1" x14ac:dyDescent="0.2">
      <c r="A290" s="16"/>
      <c r="B290" s="16"/>
      <c r="C290" s="15"/>
      <c r="D290" s="16"/>
      <c r="E290" s="17"/>
      <c r="F290" s="17"/>
      <c r="H290" s="19"/>
      <c r="I290" s="47"/>
      <c r="J290" s="48"/>
      <c r="K290" s="49"/>
    </row>
    <row r="291" spans="1:11" ht="12.75" hidden="1" x14ac:dyDescent="0.2">
      <c r="A291" s="16"/>
      <c r="B291" s="16"/>
      <c r="C291" s="15"/>
      <c r="D291" s="16"/>
      <c r="E291" s="17"/>
      <c r="F291" s="17"/>
      <c r="H291" s="19"/>
      <c r="I291" s="47"/>
      <c r="J291" s="48"/>
      <c r="K291" s="49"/>
    </row>
    <row r="292" spans="1:11" ht="12.75" hidden="1" x14ac:dyDescent="0.2">
      <c r="A292" s="16"/>
      <c r="B292" s="16"/>
      <c r="C292" s="15"/>
      <c r="D292" s="16"/>
      <c r="E292" s="17"/>
      <c r="F292" s="17"/>
      <c r="H292" s="19"/>
      <c r="I292" s="47"/>
      <c r="J292" s="48"/>
      <c r="K292" s="49"/>
    </row>
    <row r="293" spans="1:11" ht="12.75" hidden="1" x14ac:dyDescent="0.2">
      <c r="A293" s="16"/>
      <c r="B293" s="16"/>
      <c r="C293" s="15"/>
      <c r="D293" s="16"/>
      <c r="E293" s="17"/>
      <c r="F293" s="17"/>
      <c r="H293" s="19"/>
      <c r="I293" s="47"/>
      <c r="J293" s="48"/>
      <c r="K293" s="49"/>
    </row>
    <row r="294" spans="1:11" ht="12.75" hidden="1" x14ac:dyDescent="0.2">
      <c r="A294" s="16"/>
      <c r="B294" s="16"/>
      <c r="C294" s="15"/>
      <c r="D294" s="16"/>
      <c r="E294" s="17"/>
      <c r="F294" s="17"/>
      <c r="H294" s="19"/>
      <c r="I294" s="47"/>
      <c r="J294" s="48"/>
      <c r="K294" s="49"/>
    </row>
    <row r="295" spans="1:11" ht="12.75" hidden="1" x14ac:dyDescent="0.2">
      <c r="A295" s="16"/>
      <c r="B295" s="16"/>
      <c r="C295" s="15"/>
      <c r="D295" s="16"/>
      <c r="E295" s="17"/>
      <c r="F295" s="17"/>
      <c r="H295" s="19"/>
      <c r="I295" s="47"/>
      <c r="J295" s="48"/>
      <c r="K295" s="49"/>
    </row>
    <row r="296" spans="1:11" ht="12.75" hidden="1" x14ac:dyDescent="0.2">
      <c r="A296" s="16"/>
      <c r="B296" s="16"/>
      <c r="C296" s="15"/>
      <c r="D296" s="16"/>
      <c r="E296" s="17"/>
      <c r="F296" s="17"/>
      <c r="H296" s="19"/>
      <c r="I296" s="47"/>
      <c r="J296" s="48"/>
      <c r="K296" s="49"/>
    </row>
    <row r="297" spans="1:11" ht="12.75" hidden="1" x14ac:dyDescent="0.2">
      <c r="A297" s="16"/>
      <c r="B297" s="16"/>
      <c r="C297" s="15"/>
      <c r="D297" s="16"/>
      <c r="E297" s="17"/>
      <c r="F297" s="17"/>
      <c r="H297" s="19"/>
      <c r="I297" s="47"/>
      <c r="J297" s="48"/>
      <c r="K297" s="49"/>
    </row>
    <row r="298" spans="1:11" ht="12.75" hidden="1" x14ac:dyDescent="0.2">
      <c r="A298" s="16"/>
      <c r="B298" s="16"/>
      <c r="C298" s="15"/>
      <c r="D298" s="16"/>
      <c r="E298" s="17"/>
      <c r="F298" s="17"/>
      <c r="H298" s="19"/>
      <c r="I298" s="47"/>
      <c r="J298" s="48"/>
      <c r="K298" s="49"/>
    </row>
    <row r="299" spans="1:11" ht="12.75" hidden="1" x14ac:dyDescent="0.2">
      <c r="A299" s="16"/>
      <c r="B299" s="16"/>
      <c r="C299" s="15"/>
      <c r="D299" s="16"/>
      <c r="E299" s="17"/>
      <c r="F299" s="17"/>
      <c r="H299" s="19"/>
      <c r="I299" s="47"/>
      <c r="J299" s="48"/>
      <c r="K299" s="49"/>
    </row>
    <row r="300" spans="1:11" ht="12.75" hidden="1" x14ac:dyDescent="0.2">
      <c r="A300" s="16"/>
      <c r="B300" s="16"/>
      <c r="C300" s="15"/>
      <c r="D300" s="16"/>
      <c r="E300" s="17"/>
      <c r="F300" s="17"/>
      <c r="H300" s="19"/>
      <c r="I300" s="47"/>
      <c r="J300" s="48"/>
      <c r="K300" s="49"/>
    </row>
    <row r="301" spans="1:11" ht="12.75" hidden="1" x14ac:dyDescent="0.2">
      <c r="A301" s="16"/>
      <c r="B301" s="16"/>
      <c r="C301" s="15"/>
      <c r="D301" s="16"/>
      <c r="E301" s="17"/>
      <c r="F301" s="17"/>
      <c r="H301" s="19"/>
      <c r="I301" s="47"/>
      <c r="J301" s="48"/>
      <c r="K301" s="49"/>
    </row>
    <row r="302" spans="1:11" ht="12.75" hidden="1" x14ac:dyDescent="0.2">
      <c r="A302" s="16"/>
      <c r="B302" s="16"/>
      <c r="C302" s="15"/>
      <c r="D302" s="16"/>
      <c r="E302" s="17"/>
      <c r="F302" s="17"/>
      <c r="H302" s="19"/>
      <c r="I302" s="47"/>
      <c r="J302" s="48"/>
      <c r="K302" s="49"/>
    </row>
    <row r="303" spans="1:11" ht="12.75" hidden="1" x14ac:dyDescent="0.2">
      <c r="A303" s="16"/>
      <c r="B303" s="16"/>
      <c r="C303" s="15"/>
      <c r="D303" s="16"/>
      <c r="E303" s="17"/>
      <c r="F303" s="17"/>
      <c r="H303" s="19"/>
      <c r="I303" s="47"/>
      <c r="J303" s="48"/>
      <c r="K303" s="49"/>
    </row>
    <row r="304" spans="1:11" ht="12.75" hidden="1" x14ac:dyDescent="0.2">
      <c r="A304" s="16"/>
      <c r="B304" s="16"/>
      <c r="C304" s="15"/>
      <c r="D304" s="16"/>
      <c r="E304" s="17"/>
      <c r="F304" s="17"/>
      <c r="H304" s="19"/>
      <c r="I304" s="47"/>
      <c r="J304" s="48"/>
      <c r="K304" s="49"/>
    </row>
    <row r="305" spans="1:11" ht="12.75" hidden="1" x14ac:dyDescent="0.2">
      <c r="A305" s="16"/>
      <c r="B305" s="16"/>
      <c r="C305" s="15"/>
      <c r="D305" s="16"/>
      <c r="E305" s="17"/>
      <c r="F305" s="17"/>
      <c r="H305" s="19"/>
      <c r="I305" s="47"/>
      <c r="J305" s="48"/>
      <c r="K305" s="49"/>
    </row>
    <row r="306" spans="1:11" ht="12.75" hidden="1" x14ac:dyDescent="0.2">
      <c r="A306" s="16"/>
      <c r="B306" s="16"/>
      <c r="C306" s="15"/>
      <c r="D306" s="16"/>
      <c r="E306" s="17"/>
      <c r="F306" s="17"/>
      <c r="H306" s="19"/>
      <c r="I306" s="47"/>
      <c r="J306" s="48"/>
      <c r="K306" s="49"/>
    </row>
    <row r="307" spans="1:11" ht="12.75" hidden="1" x14ac:dyDescent="0.2">
      <c r="A307" s="16"/>
      <c r="B307" s="16"/>
      <c r="C307" s="15"/>
      <c r="D307" s="16"/>
      <c r="E307" s="17"/>
      <c r="F307" s="17"/>
      <c r="H307" s="19"/>
      <c r="I307" s="47"/>
      <c r="J307" s="48"/>
      <c r="K307" s="49"/>
    </row>
    <row r="308" spans="1:11" ht="12.75" hidden="1" x14ac:dyDescent="0.2">
      <c r="A308" s="16"/>
      <c r="B308" s="16"/>
      <c r="C308" s="15"/>
      <c r="D308" s="16"/>
      <c r="E308" s="17"/>
      <c r="F308" s="17"/>
      <c r="H308" s="19"/>
      <c r="I308" s="47"/>
      <c r="J308" s="48"/>
      <c r="K308" s="49"/>
    </row>
    <row r="309" spans="1:11" ht="12.75" hidden="1" x14ac:dyDescent="0.2">
      <c r="A309" s="16"/>
      <c r="B309" s="16"/>
      <c r="C309" s="15"/>
      <c r="D309" s="16"/>
      <c r="E309" s="17"/>
      <c r="F309" s="17"/>
      <c r="H309" s="19"/>
      <c r="I309" s="47"/>
      <c r="J309" s="48"/>
      <c r="K309" s="49"/>
    </row>
    <row r="310" spans="1:11" ht="12.75" hidden="1" x14ac:dyDescent="0.2">
      <c r="A310" s="16"/>
      <c r="B310" s="16"/>
      <c r="C310" s="15"/>
      <c r="D310" s="16"/>
      <c r="E310" s="17"/>
      <c r="F310" s="17"/>
      <c r="H310" s="19"/>
      <c r="I310" s="47"/>
      <c r="J310" s="48"/>
      <c r="K310" s="49"/>
    </row>
    <row r="311" spans="1:11" ht="12.75" hidden="1" x14ac:dyDescent="0.2">
      <c r="A311" s="16"/>
      <c r="B311" s="16"/>
      <c r="C311" s="15"/>
      <c r="D311" s="16"/>
      <c r="E311" s="17"/>
      <c r="F311" s="17"/>
      <c r="H311" s="19"/>
      <c r="I311" s="47"/>
      <c r="J311" s="48"/>
      <c r="K311" s="49"/>
    </row>
    <row r="312" spans="1:11" ht="12.75" hidden="1" x14ac:dyDescent="0.2">
      <c r="A312" s="16"/>
      <c r="B312" s="16"/>
      <c r="C312" s="15"/>
      <c r="D312" s="16"/>
      <c r="E312" s="17"/>
      <c r="F312" s="17"/>
      <c r="H312" s="19"/>
      <c r="I312" s="47"/>
      <c r="J312" s="48"/>
      <c r="K312" s="49"/>
    </row>
    <row r="313" spans="1:11" ht="12.75" hidden="1" x14ac:dyDescent="0.2">
      <c r="A313" s="16"/>
      <c r="B313" s="16"/>
      <c r="C313" s="15"/>
      <c r="D313" s="16"/>
      <c r="E313" s="17"/>
      <c r="F313" s="17"/>
      <c r="H313" s="19"/>
      <c r="I313" s="47"/>
      <c r="J313" s="48"/>
      <c r="K313" s="49"/>
    </row>
    <row r="314" spans="1:11" ht="12.75" hidden="1" x14ac:dyDescent="0.2">
      <c r="A314" s="16"/>
      <c r="B314" s="16"/>
      <c r="C314" s="15"/>
      <c r="D314" s="16"/>
      <c r="E314" s="17"/>
      <c r="F314" s="17"/>
      <c r="H314" s="19"/>
      <c r="I314" s="47"/>
      <c r="J314" s="48"/>
      <c r="K314" s="49"/>
    </row>
    <row r="315" spans="1:11" ht="12.75" hidden="1" x14ac:dyDescent="0.2">
      <c r="A315" s="16"/>
      <c r="B315" s="16"/>
      <c r="C315" s="15"/>
      <c r="D315" s="16"/>
      <c r="E315" s="17"/>
      <c r="F315" s="17"/>
      <c r="H315" s="19"/>
      <c r="I315" s="47"/>
      <c r="J315" s="48"/>
      <c r="K315" s="49"/>
    </row>
    <row r="316" spans="1:11" ht="12.75" hidden="1" x14ac:dyDescent="0.2">
      <c r="A316" s="16"/>
      <c r="B316" s="16"/>
      <c r="C316" s="15"/>
      <c r="D316" s="16"/>
      <c r="E316" s="17"/>
      <c r="F316" s="17"/>
      <c r="H316" s="19"/>
      <c r="I316" s="47"/>
      <c r="J316" s="48"/>
      <c r="K316" s="49"/>
    </row>
    <row r="317" spans="1:11" ht="12.75" hidden="1" x14ac:dyDescent="0.2">
      <c r="A317" s="16"/>
      <c r="B317" s="16"/>
      <c r="C317" s="15"/>
      <c r="D317" s="16"/>
      <c r="E317" s="17"/>
      <c r="F317" s="17"/>
      <c r="H317" s="19"/>
      <c r="I317" s="47"/>
      <c r="J317" s="48"/>
      <c r="K317" s="49"/>
    </row>
    <row r="318" spans="1:11" ht="12.75" hidden="1" x14ac:dyDescent="0.2">
      <c r="A318" s="16"/>
      <c r="B318" s="16"/>
      <c r="C318" s="15"/>
      <c r="D318" s="16"/>
      <c r="E318" s="17"/>
      <c r="F318" s="17"/>
      <c r="H318" s="19"/>
      <c r="I318" s="47"/>
      <c r="J318" s="48"/>
      <c r="K318" s="49"/>
    </row>
    <row r="319" spans="1:11" ht="12.75" hidden="1" x14ac:dyDescent="0.2">
      <c r="A319" s="16"/>
      <c r="B319" s="16"/>
      <c r="C319" s="15"/>
      <c r="D319" s="16"/>
      <c r="E319" s="17"/>
      <c r="F319" s="17"/>
      <c r="H319" s="19"/>
      <c r="I319" s="47"/>
      <c r="J319" s="48"/>
      <c r="K319" s="49"/>
    </row>
    <row r="320" spans="1:11" ht="12.75" hidden="1" x14ac:dyDescent="0.2">
      <c r="A320" s="16"/>
      <c r="B320" s="16"/>
      <c r="C320" s="15"/>
      <c r="D320" s="16"/>
      <c r="E320" s="17"/>
      <c r="F320" s="17"/>
      <c r="H320" s="19"/>
      <c r="I320" s="47"/>
      <c r="J320" s="48"/>
      <c r="K320" s="49"/>
    </row>
    <row r="321" spans="1:11" ht="12.75" hidden="1" x14ac:dyDescent="0.2">
      <c r="A321" s="16"/>
      <c r="B321" s="16"/>
      <c r="C321" s="15"/>
      <c r="D321" s="16"/>
      <c r="E321" s="17"/>
      <c r="F321" s="17"/>
      <c r="H321" s="19"/>
      <c r="I321" s="47"/>
      <c r="J321" s="48"/>
      <c r="K321" s="49"/>
    </row>
    <row r="322" spans="1:11" ht="12.75" hidden="1" x14ac:dyDescent="0.2">
      <c r="A322" s="16"/>
      <c r="B322" s="16"/>
      <c r="C322" s="15"/>
      <c r="D322" s="16"/>
      <c r="E322" s="17"/>
      <c r="F322" s="17"/>
      <c r="H322" s="19"/>
      <c r="I322" s="47"/>
      <c r="J322" s="48"/>
      <c r="K322" s="49"/>
    </row>
    <row r="323" spans="1:11" ht="12.75" hidden="1" x14ac:dyDescent="0.2">
      <c r="A323" s="16"/>
      <c r="B323" s="16"/>
      <c r="C323" s="15"/>
      <c r="D323" s="16"/>
      <c r="E323" s="17"/>
      <c r="F323" s="17"/>
      <c r="H323" s="19"/>
      <c r="I323" s="47"/>
      <c r="J323" s="48"/>
      <c r="K323" s="49"/>
    </row>
    <row r="324" spans="1:11" ht="12.75" hidden="1" x14ac:dyDescent="0.2">
      <c r="A324" s="16"/>
      <c r="B324" s="16"/>
      <c r="C324" s="15"/>
      <c r="D324" s="16"/>
      <c r="E324" s="17"/>
      <c r="F324" s="17"/>
      <c r="H324" s="19"/>
      <c r="I324" s="47"/>
      <c r="J324" s="48"/>
      <c r="K324" s="49"/>
    </row>
    <row r="325" spans="1:11" ht="12.75" hidden="1" x14ac:dyDescent="0.2">
      <c r="A325" s="16"/>
      <c r="B325" s="16"/>
      <c r="C325" s="15"/>
      <c r="D325" s="16"/>
      <c r="E325" s="17"/>
      <c r="F325" s="17"/>
      <c r="H325" s="19"/>
      <c r="I325" s="47"/>
      <c r="J325" s="48"/>
      <c r="K325" s="49"/>
    </row>
    <row r="326" spans="1:11" ht="12.75" hidden="1" x14ac:dyDescent="0.2">
      <c r="A326" s="16"/>
      <c r="B326" s="16"/>
      <c r="C326" s="15"/>
      <c r="D326" s="16"/>
      <c r="E326" s="17"/>
      <c r="F326" s="17"/>
      <c r="H326" s="19"/>
      <c r="I326" s="47"/>
      <c r="J326" s="48"/>
      <c r="K326" s="49"/>
    </row>
    <row r="327" spans="1:11" ht="12.75" hidden="1" x14ac:dyDescent="0.2">
      <c r="A327" s="16"/>
      <c r="B327" s="16"/>
      <c r="C327" s="15"/>
      <c r="D327" s="16"/>
      <c r="E327" s="17"/>
      <c r="F327" s="17"/>
      <c r="H327" s="19"/>
      <c r="I327" s="47"/>
      <c r="J327" s="48"/>
      <c r="K327" s="49"/>
    </row>
    <row r="328" spans="1:11" ht="12.75" hidden="1" x14ac:dyDescent="0.2">
      <c r="A328" s="16"/>
      <c r="B328" s="16"/>
      <c r="C328" s="15"/>
      <c r="D328" s="16"/>
      <c r="E328" s="17"/>
      <c r="F328" s="17"/>
      <c r="H328" s="19"/>
      <c r="I328" s="47"/>
      <c r="J328" s="48"/>
      <c r="K328" s="49"/>
    </row>
    <row r="329" spans="1:11" ht="12.75" hidden="1" x14ac:dyDescent="0.2">
      <c r="A329" s="16"/>
      <c r="B329" s="16"/>
      <c r="C329" s="15"/>
      <c r="D329" s="16"/>
      <c r="E329" s="17"/>
      <c r="F329" s="17"/>
      <c r="H329" s="19"/>
      <c r="I329" s="47"/>
      <c r="J329" s="48"/>
      <c r="K329" s="49"/>
    </row>
    <row r="330" spans="1:11" ht="12.75" hidden="1" x14ac:dyDescent="0.2">
      <c r="A330" s="16"/>
      <c r="B330" s="16"/>
      <c r="C330" s="15"/>
      <c r="D330" s="16"/>
      <c r="E330" s="17"/>
      <c r="F330" s="17"/>
      <c r="H330" s="19"/>
      <c r="I330" s="47"/>
      <c r="J330" s="48"/>
      <c r="K330" s="49"/>
    </row>
    <row r="331" spans="1:11" ht="12.75" hidden="1" x14ac:dyDescent="0.2">
      <c r="A331" s="16"/>
      <c r="B331" s="16"/>
      <c r="C331" s="15"/>
      <c r="D331" s="16"/>
      <c r="E331" s="17"/>
      <c r="F331" s="17"/>
      <c r="H331" s="19"/>
      <c r="I331" s="47"/>
      <c r="J331" s="48"/>
      <c r="K331" s="49"/>
    </row>
    <row r="332" spans="1:11" ht="12.75" hidden="1" x14ac:dyDescent="0.2">
      <c r="A332" s="16"/>
      <c r="B332" s="16"/>
      <c r="C332" s="15"/>
      <c r="D332" s="16"/>
      <c r="E332" s="17"/>
      <c r="F332" s="17"/>
      <c r="H332" s="19"/>
      <c r="I332" s="47"/>
      <c r="J332" s="48"/>
      <c r="K332" s="49"/>
    </row>
    <row r="333" spans="1:11" ht="12.75" hidden="1" x14ac:dyDescent="0.2">
      <c r="A333" s="16"/>
      <c r="B333" s="16"/>
      <c r="C333" s="15"/>
      <c r="D333" s="16"/>
      <c r="E333" s="17"/>
      <c r="F333" s="17"/>
      <c r="H333" s="19"/>
      <c r="I333" s="47"/>
      <c r="J333" s="48"/>
      <c r="K333" s="49"/>
    </row>
    <row r="334" spans="1:11" ht="12.75" hidden="1" x14ac:dyDescent="0.2">
      <c r="A334" s="16"/>
      <c r="B334" s="16"/>
      <c r="C334" s="15"/>
      <c r="D334" s="16"/>
      <c r="E334" s="17"/>
      <c r="F334" s="17"/>
      <c r="H334" s="19"/>
      <c r="I334" s="47"/>
      <c r="J334" s="48"/>
      <c r="K334" s="49"/>
    </row>
    <row r="335" spans="1:11" ht="12.75" hidden="1" x14ac:dyDescent="0.2">
      <c r="A335" s="16"/>
      <c r="B335" s="16"/>
      <c r="C335" s="15"/>
      <c r="D335" s="16"/>
      <c r="E335" s="17"/>
      <c r="F335" s="17"/>
      <c r="H335" s="19"/>
      <c r="I335" s="47"/>
      <c r="J335" s="48"/>
      <c r="K335" s="49"/>
    </row>
    <row r="336" spans="1:11" ht="12.75" hidden="1" x14ac:dyDescent="0.2">
      <c r="A336" s="16"/>
      <c r="B336" s="16"/>
      <c r="C336" s="15"/>
      <c r="D336" s="16"/>
      <c r="E336" s="17"/>
      <c r="F336" s="17"/>
      <c r="H336" s="19"/>
      <c r="I336" s="47"/>
      <c r="J336" s="48"/>
      <c r="K336" s="49"/>
    </row>
    <row r="337" spans="1:11" ht="12.75" hidden="1" x14ac:dyDescent="0.2">
      <c r="A337" s="16"/>
      <c r="B337" s="16"/>
      <c r="C337" s="15"/>
      <c r="D337" s="16"/>
      <c r="E337" s="17"/>
      <c r="F337" s="17"/>
      <c r="H337" s="19"/>
      <c r="I337" s="47"/>
      <c r="J337" s="48"/>
      <c r="K337" s="49"/>
    </row>
    <row r="338" spans="1:11" ht="12.75" hidden="1" x14ac:dyDescent="0.2">
      <c r="A338" s="16"/>
      <c r="B338" s="16"/>
      <c r="C338" s="15"/>
      <c r="D338" s="16"/>
      <c r="E338" s="17"/>
      <c r="F338" s="17"/>
      <c r="H338" s="19"/>
      <c r="I338" s="47"/>
      <c r="J338" s="48"/>
      <c r="K338" s="49"/>
    </row>
    <row r="339" spans="1:11" ht="12.75" hidden="1" x14ac:dyDescent="0.2">
      <c r="A339" s="16"/>
      <c r="B339" s="16"/>
      <c r="C339" s="15"/>
      <c r="D339" s="16"/>
      <c r="E339" s="17"/>
      <c r="F339" s="17"/>
      <c r="H339" s="19"/>
      <c r="I339" s="47"/>
      <c r="J339" s="48"/>
      <c r="K339" s="49"/>
    </row>
    <row r="340" spans="1:11" ht="12.75" hidden="1" x14ac:dyDescent="0.2">
      <c r="A340" s="16"/>
      <c r="B340" s="16"/>
      <c r="C340" s="15"/>
      <c r="D340" s="16"/>
      <c r="E340" s="17"/>
      <c r="F340" s="17"/>
      <c r="H340" s="19"/>
      <c r="I340" s="47"/>
      <c r="J340" s="48"/>
      <c r="K340" s="49"/>
    </row>
    <row r="341" spans="1:11" ht="12.75" hidden="1" x14ac:dyDescent="0.2">
      <c r="A341" s="16"/>
      <c r="B341" s="16"/>
      <c r="C341" s="15"/>
      <c r="D341" s="16"/>
      <c r="E341" s="17"/>
      <c r="F341" s="17"/>
      <c r="H341" s="19"/>
      <c r="I341" s="47"/>
      <c r="J341" s="48"/>
      <c r="K341" s="49"/>
    </row>
    <row r="342" spans="1:11" ht="12.75" hidden="1" x14ac:dyDescent="0.2">
      <c r="A342" s="16"/>
      <c r="B342" s="16"/>
      <c r="C342" s="15"/>
      <c r="D342" s="16"/>
      <c r="E342" s="17"/>
      <c r="F342" s="17"/>
      <c r="H342" s="19"/>
      <c r="I342" s="47"/>
      <c r="J342" s="48"/>
      <c r="K342" s="49"/>
    </row>
    <row r="343" spans="1:11" ht="12.75" hidden="1" x14ac:dyDescent="0.2">
      <c r="A343" s="16"/>
      <c r="B343" s="16"/>
      <c r="C343" s="15"/>
      <c r="D343" s="16"/>
      <c r="E343" s="17"/>
      <c r="F343" s="17"/>
      <c r="H343" s="19"/>
      <c r="I343" s="47"/>
      <c r="J343" s="48"/>
      <c r="K343" s="49"/>
    </row>
    <row r="344" spans="1:11" ht="12.75" hidden="1" x14ac:dyDescent="0.2">
      <c r="A344" s="16"/>
      <c r="B344" s="16"/>
      <c r="C344" s="15"/>
      <c r="D344" s="16"/>
      <c r="E344" s="17"/>
      <c r="F344" s="17"/>
      <c r="H344" s="19"/>
      <c r="I344" s="47"/>
      <c r="J344" s="48"/>
      <c r="K344" s="49"/>
    </row>
    <row r="345" spans="1:11" ht="12.75" hidden="1" x14ac:dyDescent="0.2">
      <c r="A345" s="16"/>
      <c r="B345" s="16"/>
      <c r="C345" s="15"/>
      <c r="D345" s="16"/>
      <c r="E345" s="17"/>
      <c r="F345" s="17"/>
      <c r="H345" s="19"/>
      <c r="I345" s="47"/>
      <c r="J345" s="48"/>
      <c r="K345" s="49"/>
    </row>
    <row r="346" spans="1:11" ht="12.75" hidden="1" x14ac:dyDescent="0.2">
      <c r="A346" s="16"/>
      <c r="B346" s="16"/>
      <c r="C346" s="15"/>
      <c r="D346" s="16"/>
      <c r="E346" s="17"/>
      <c r="F346" s="17"/>
      <c r="H346" s="19"/>
      <c r="I346" s="47"/>
      <c r="J346" s="48"/>
      <c r="K346" s="49"/>
    </row>
    <row r="347" spans="1:11" ht="12.75" hidden="1" x14ac:dyDescent="0.2">
      <c r="A347" s="16"/>
      <c r="B347" s="16"/>
      <c r="C347" s="15"/>
      <c r="D347" s="16"/>
      <c r="E347" s="17"/>
      <c r="F347" s="17"/>
      <c r="H347" s="19"/>
      <c r="I347" s="47"/>
      <c r="J347" s="48"/>
      <c r="K347" s="49"/>
    </row>
    <row r="348" spans="1:11" ht="12.75" hidden="1" x14ac:dyDescent="0.2">
      <c r="A348" s="16"/>
      <c r="B348" s="16"/>
      <c r="C348" s="15"/>
      <c r="D348" s="16"/>
      <c r="E348" s="17"/>
      <c r="F348" s="17"/>
      <c r="H348" s="19"/>
      <c r="I348" s="47"/>
      <c r="J348" s="48"/>
      <c r="K348" s="49"/>
    </row>
    <row r="349" spans="1:11" ht="12.75" hidden="1" x14ac:dyDescent="0.2">
      <c r="A349" s="16"/>
      <c r="B349" s="16"/>
      <c r="C349" s="15"/>
      <c r="D349" s="16"/>
      <c r="E349" s="17"/>
      <c r="F349" s="17"/>
      <c r="H349" s="19"/>
      <c r="I349" s="47"/>
      <c r="J349" s="48"/>
      <c r="K349" s="49"/>
    </row>
    <row r="350" spans="1:11" ht="12.75" hidden="1" x14ac:dyDescent="0.2">
      <c r="A350" s="16"/>
      <c r="B350" s="16"/>
      <c r="C350" s="15"/>
      <c r="D350" s="16"/>
      <c r="E350" s="17"/>
      <c r="F350" s="17"/>
      <c r="H350" s="19"/>
      <c r="I350" s="47"/>
      <c r="J350" s="48"/>
      <c r="K350" s="49"/>
    </row>
    <row r="351" spans="1:11" ht="12.75" hidden="1" x14ac:dyDescent="0.2">
      <c r="A351" s="16"/>
      <c r="B351" s="16"/>
      <c r="C351" s="15"/>
      <c r="D351" s="16"/>
      <c r="E351" s="17"/>
      <c r="F351" s="17"/>
      <c r="H351" s="19"/>
      <c r="I351" s="47"/>
      <c r="J351" s="48"/>
      <c r="K351" s="49"/>
    </row>
    <row r="352" spans="1:11" ht="12.75" hidden="1" x14ac:dyDescent="0.2">
      <c r="A352" s="16"/>
      <c r="B352" s="16"/>
      <c r="C352" s="15"/>
      <c r="D352" s="16"/>
      <c r="E352" s="17"/>
      <c r="F352" s="17"/>
      <c r="H352" s="19"/>
      <c r="I352" s="47"/>
      <c r="J352" s="48"/>
      <c r="K352" s="49"/>
    </row>
    <row r="353" spans="1:11" ht="12.75" hidden="1" x14ac:dyDescent="0.2">
      <c r="A353" s="16"/>
      <c r="B353" s="16"/>
      <c r="C353" s="15"/>
      <c r="D353" s="16"/>
      <c r="E353" s="17"/>
      <c r="F353" s="17"/>
      <c r="H353" s="19"/>
      <c r="I353" s="47"/>
      <c r="J353" s="48"/>
      <c r="K353" s="49"/>
    </row>
    <row r="354" spans="1:11" ht="12.75" hidden="1" x14ac:dyDescent="0.2">
      <c r="A354" s="16"/>
      <c r="B354" s="16"/>
      <c r="C354" s="15"/>
      <c r="D354" s="16"/>
      <c r="E354" s="17"/>
      <c r="F354" s="17"/>
      <c r="H354" s="19"/>
      <c r="I354" s="47"/>
      <c r="J354" s="48"/>
      <c r="K354" s="49"/>
    </row>
    <row r="355" spans="1:11" ht="12.75" hidden="1" x14ac:dyDescent="0.2">
      <c r="A355" s="16"/>
      <c r="B355" s="16"/>
      <c r="C355" s="15"/>
      <c r="D355" s="16"/>
      <c r="E355" s="17"/>
      <c r="F355" s="17"/>
      <c r="H355" s="19"/>
      <c r="I355" s="47"/>
      <c r="J355" s="48"/>
      <c r="K355" s="49"/>
    </row>
    <row r="356" spans="1:11" ht="12.75" hidden="1" x14ac:dyDescent="0.2">
      <c r="A356" s="16"/>
      <c r="B356" s="16"/>
      <c r="C356" s="15"/>
      <c r="D356" s="16"/>
      <c r="E356" s="17"/>
      <c r="F356" s="17"/>
      <c r="H356" s="19"/>
      <c r="I356" s="47"/>
      <c r="J356" s="48"/>
      <c r="K356" s="49"/>
    </row>
    <row r="357" spans="1:11" ht="12.75" hidden="1" x14ac:dyDescent="0.2">
      <c r="A357" s="16"/>
      <c r="B357" s="16"/>
      <c r="C357" s="15"/>
      <c r="D357" s="16"/>
      <c r="E357" s="17"/>
      <c r="F357" s="17"/>
      <c r="H357" s="19"/>
      <c r="I357" s="47"/>
      <c r="J357" s="48"/>
      <c r="K357" s="49"/>
    </row>
    <row r="358" spans="1:11" ht="12.75" hidden="1" x14ac:dyDescent="0.2">
      <c r="A358" s="16"/>
      <c r="B358" s="16"/>
      <c r="C358" s="15"/>
      <c r="D358" s="16"/>
      <c r="E358" s="17"/>
      <c r="F358" s="17"/>
      <c r="H358" s="19"/>
      <c r="I358" s="47"/>
      <c r="J358" s="48"/>
      <c r="K358" s="49"/>
    </row>
    <row r="359" spans="1:11" ht="12.75" hidden="1" x14ac:dyDescent="0.2">
      <c r="A359" s="16"/>
      <c r="B359" s="16"/>
      <c r="C359" s="15"/>
      <c r="D359" s="16"/>
      <c r="E359" s="17"/>
      <c r="F359" s="17"/>
      <c r="H359" s="19"/>
      <c r="I359" s="47"/>
      <c r="J359" s="48"/>
      <c r="K359" s="49"/>
    </row>
    <row r="360" spans="1:11" ht="12.75" hidden="1" x14ac:dyDescent="0.2">
      <c r="A360" s="16"/>
      <c r="B360" s="16"/>
      <c r="C360" s="15"/>
      <c r="D360" s="16"/>
      <c r="E360" s="17"/>
      <c r="F360" s="17"/>
      <c r="H360" s="19"/>
      <c r="I360" s="47"/>
      <c r="J360" s="48"/>
      <c r="K360" s="49"/>
    </row>
    <row r="361" spans="1:11" ht="12.75" hidden="1" x14ac:dyDescent="0.2">
      <c r="A361" s="16"/>
      <c r="B361" s="16"/>
      <c r="C361" s="15"/>
      <c r="D361" s="16"/>
      <c r="E361" s="17"/>
      <c r="F361" s="17"/>
      <c r="H361" s="19"/>
      <c r="I361" s="47"/>
      <c r="J361" s="48"/>
      <c r="K361" s="49"/>
    </row>
    <row r="362" spans="1:11" ht="12.75" hidden="1" x14ac:dyDescent="0.2">
      <c r="A362" s="16"/>
      <c r="B362" s="16"/>
      <c r="C362" s="15"/>
      <c r="D362" s="16"/>
      <c r="E362" s="17"/>
      <c r="F362" s="17"/>
      <c r="H362" s="19"/>
      <c r="I362" s="47"/>
      <c r="J362" s="48"/>
      <c r="K362" s="49"/>
    </row>
    <row r="363" spans="1:11" ht="12.75" hidden="1" x14ac:dyDescent="0.2">
      <c r="A363" s="16"/>
      <c r="B363" s="16"/>
      <c r="C363" s="15"/>
      <c r="D363" s="16"/>
      <c r="E363" s="17"/>
      <c r="F363" s="17"/>
      <c r="H363" s="19"/>
      <c r="I363" s="47"/>
      <c r="J363" s="48"/>
      <c r="K363" s="49"/>
    </row>
    <row r="364" spans="1:11" ht="12.75" hidden="1" x14ac:dyDescent="0.2">
      <c r="A364" s="16"/>
      <c r="B364" s="16"/>
      <c r="C364" s="15"/>
      <c r="D364" s="16"/>
      <c r="E364" s="17"/>
      <c r="F364" s="17"/>
      <c r="H364" s="19"/>
      <c r="I364" s="47"/>
      <c r="J364" s="48"/>
      <c r="K364" s="49"/>
    </row>
    <row r="365" spans="1:11" ht="12.75" hidden="1" x14ac:dyDescent="0.2">
      <c r="A365" s="16"/>
      <c r="B365" s="16"/>
      <c r="C365" s="15"/>
      <c r="D365" s="16"/>
      <c r="E365" s="17"/>
      <c r="F365" s="17"/>
      <c r="H365" s="19"/>
      <c r="I365" s="47"/>
      <c r="J365" s="48"/>
      <c r="K365" s="49"/>
    </row>
    <row r="366" spans="1:11" ht="12.75" hidden="1" x14ac:dyDescent="0.2">
      <c r="A366" s="16"/>
      <c r="B366" s="16"/>
      <c r="C366" s="15"/>
      <c r="D366" s="16"/>
      <c r="E366" s="17"/>
      <c r="F366" s="17"/>
      <c r="H366" s="19"/>
      <c r="I366" s="47"/>
      <c r="J366" s="48"/>
      <c r="K366" s="49"/>
    </row>
    <row r="367" spans="1:11" ht="12.75" hidden="1" x14ac:dyDescent="0.2">
      <c r="A367" s="16"/>
      <c r="B367" s="16"/>
      <c r="C367" s="15"/>
      <c r="D367" s="16"/>
      <c r="E367" s="17"/>
      <c r="F367" s="17"/>
      <c r="H367" s="19"/>
      <c r="I367" s="47"/>
      <c r="J367" s="48"/>
      <c r="K367" s="49"/>
    </row>
    <row r="368" spans="1:11" ht="12.75" hidden="1" x14ac:dyDescent="0.2">
      <c r="A368" s="16"/>
      <c r="B368" s="16"/>
      <c r="C368" s="15"/>
      <c r="D368" s="16"/>
      <c r="E368" s="17"/>
      <c r="F368" s="17"/>
      <c r="H368" s="19"/>
      <c r="I368" s="47"/>
      <c r="J368" s="48"/>
      <c r="K368" s="49"/>
    </row>
    <row r="369" spans="1:11" ht="12.75" hidden="1" x14ac:dyDescent="0.2">
      <c r="A369" s="16"/>
      <c r="B369" s="16"/>
      <c r="C369" s="15"/>
      <c r="D369" s="16"/>
      <c r="E369" s="17"/>
      <c r="F369" s="17"/>
      <c r="H369" s="19"/>
      <c r="I369" s="47"/>
      <c r="J369" s="48"/>
      <c r="K369" s="49"/>
    </row>
    <row r="370" spans="1:11" ht="12.75" hidden="1" x14ac:dyDescent="0.2">
      <c r="A370" s="16"/>
      <c r="B370" s="16"/>
      <c r="C370" s="15"/>
      <c r="D370" s="16"/>
      <c r="E370" s="17"/>
      <c r="F370" s="17"/>
      <c r="H370" s="19"/>
      <c r="I370" s="47"/>
      <c r="J370" s="48"/>
      <c r="K370" s="49"/>
    </row>
    <row r="371" spans="1:11" ht="12.75" hidden="1" x14ac:dyDescent="0.2">
      <c r="A371" s="16"/>
      <c r="B371" s="16"/>
      <c r="C371" s="15"/>
      <c r="D371" s="16"/>
      <c r="E371" s="17"/>
      <c r="F371" s="17"/>
      <c r="H371" s="19"/>
      <c r="I371" s="47"/>
      <c r="J371" s="48"/>
      <c r="K371" s="49"/>
    </row>
    <row r="372" spans="1:11" ht="12.75" hidden="1" x14ac:dyDescent="0.2">
      <c r="A372" s="16"/>
      <c r="B372" s="16"/>
      <c r="C372" s="15"/>
      <c r="D372" s="16"/>
      <c r="E372" s="17"/>
      <c r="F372" s="17"/>
      <c r="H372" s="19"/>
      <c r="I372" s="47"/>
      <c r="J372" s="48"/>
      <c r="K372" s="49"/>
    </row>
    <row r="373" spans="1:11" ht="12.75" hidden="1" x14ac:dyDescent="0.2">
      <c r="A373" s="16"/>
      <c r="B373" s="16"/>
      <c r="C373" s="15"/>
      <c r="D373" s="16"/>
      <c r="E373" s="17"/>
      <c r="F373" s="17"/>
      <c r="H373" s="19"/>
      <c r="I373" s="47"/>
      <c r="J373" s="48"/>
      <c r="K373" s="49"/>
    </row>
    <row r="374" spans="1:11" ht="12.75" hidden="1" x14ac:dyDescent="0.2">
      <c r="A374" s="16"/>
      <c r="B374" s="16"/>
      <c r="C374" s="15"/>
      <c r="D374" s="16"/>
      <c r="E374" s="17"/>
      <c r="F374" s="17"/>
      <c r="H374" s="19"/>
      <c r="I374" s="47"/>
      <c r="J374" s="48"/>
      <c r="K374" s="49"/>
    </row>
    <row r="375" spans="1:11" ht="12.75" hidden="1" x14ac:dyDescent="0.2">
      <c r="A375" s="16"/>
      <c r="B375" s="16"/>
      <c r="C375" s="15"/>
      <c r="D375" s="16"/>
      <c r="E375" s="17"/>
      <c r="F375" s="17"/>
      <c r="H375" s="19"/>
      <c r="I375" s="47"/>
      <c r="J375" s="48"/>
      <c r="K375" s="49"/>
    </row>
    <row r="376" spans="1:11" ht="12.75" hidden="1" x14ac:dyDescent="0.2">
      <c r="A376" s="16"/>
      <c r="B376" s="16"/>
      <c r="C376" s="15"/>
      <c r="D376" s="16"/>
      <c r="E376" s="17"/>
      <c r="F376" s="17"/>
      <c r="H376" s="19"/>
      <c r="I376" s="47"/>
      <c r="J376" s="48"/>
      <c r="K376" s="49"/>
    </row>
    <row r="377" spans="1:11" ht="12.75" hidden="1" x14ac:dyDescent="0.2">
      <c r="A377" s="16"/>
      <c r="B377" s="16"/>
      <c r="C377" s="15"/>
      <c r="D377" s="16"/>
      <c r="E377" s="17"/>
      <c r="F377" s="17"/>
      <c r="H377" s="19"/>
      <c r="I377" s="47"/>
      <c r="J377" s="48"/>
      <c r="K377" s="49"/>
    </row>
    <row r="378" spans="1:11" ht="12.75" hidden="1" x14ac:dyDescent="0.2">
      <c r="A378" s="16"/>
      <c r="B378" s="16"/>
      <c r="C378" s="15"/>
      <c r="D378" s="16"/>
      <c r="E378" s="17"/>
      <c r="F378" s="17"/>
      <c r="H378" s="19"/>
      <c r="I378" s="47"/>
      <c r="J378" s="48"/>
      <c r="K378" s="49"/>
    </row>
    <row r="379" spans="1:11" ht="12.75" hidden="1" x14ac:dyDescent="0.2">
      <c r="A379" s="16"/>
      <c r="B379" s="16"/>
      <c r="C379" s="15"/>
      <c r="D379" s="16"/>
      <c r="E379" s="17"/>
      <c r="F379" s="17"/>
      <c r="H379" s="19"/>
      <c r="I379" s="47"/>
      <c r="J379" s="48"/>
      <c r="K379" s="49"/>
    </row>
    <row r="380" spans="1:11" ht="12.75" hidden="1" x14ac:dyDescent="0.2">
      <c r="A380" s="16"/>
      <c r="B380" s="16"/>
      <c r="C380" s="15"/>
      <c r="D380" s="16"/>
      <c r="E380" s="17"/>
      <c r="F380" s="17"/>
      <c r="H380" s="19"/>
      <c r="I380" s="47"/>
      <c r="J380" s="48"/>
      <c r="K380" s="49"/>
    </row>
    <row r="381" spans="1:11" ht="12.75" hidden="1" x14ac:dyDescent="0.2">
      <c r="A381" s="16"/>
      <c r="B381" s="16"/>
      <c r="C381" s="15"/>
      <c r="D381" s="16"/>
      <c r="E381" s="17"/>
      <c r="F381" s="17"/>
      <c r="H381" s="19"/>
      <c r="I381" s="47"/>
      <c r="J381" s="48"/>
      <c r="K381" s="49"/>
    </row>
    <row r="382" spans="1:11" ht="12.75" hidden="1" x14ac:dyDescent="0.2">
      <c r="A382" s="16"/>
      <c r="B382" s="16"/>
      <c r="C382" s="15"/>
      <c r="D382" s="16"/>
      <c r="E382" s="17"/>
      <c r="F382" s="17"/>
      <c r="H382" s="19"/>
      <c r="I382" s="47"/>
      <c r="J382" s="48"/>
      <c r="K382" s="49"/>
    </row>
    <row r="383" spans="1:11" ht="12.75" hidden="1" x14ac:dyDescent="0.2">
      <c r="A383" s="16"/>
      <c r="B383" s="16"/>
      <c r="C383" s="15"/>
      <c r="D383" s="16"/>
      <c r="E383" s="17"/>
      <c r="F383" s="17"/>
      <c r="H383" s="19"/>
      <c r="I383" s="47"/>
      <c r="J383" s="48"/>
      <c r="K383" s="49"/>
    </row>
    <row r="384" spans="1:11" ht="12.75" hidden="1" x14ac:dyDescent="0.2">
      <c r="A384" s="16"/>
      <c r="B384" s="16"/>
      <c r="C384" s="15"/>
      <c r="D384" s="16"/>
      <c r="E384" s="17"/>
      <c r="F384" s="17"/>
      <c r="H384" s="19"/>
      <c r="I384" s="47"/>
      <c r="J384" s="48"/>
      <c r="K384" s="49"/>
    </row>
    <row r="385" spans="1:11" ht="12.75" hidden="1" x14ac:dyDescent="0.2">
      <c r="A385" s="16"/>
      <c r="B385" s="16"/>
      <c r="C385" s="15"/>
      <c r="D385" s="16"/>
      <c r="E385" s="17"/>
      <c r="F385" s="17"/>
      <c r="H385" s="19"/>
      <c r="I385" s="47"/>
      <c r="J385" s="48"/>
      <c r="K385" s="49"/>
    </row>
    <row r="386" spans="1:11" ht="12.75" hidden="1" x14ac:dyDescent="0.2">
      <c r="A386" s="16"/>
      <c r="B386" s="16"/>
      <c r="C386" s="15"/>
      <c r="D386" s="16"/>
      <c r="E386" s="17"/>
      <c r="F386" s="17"/>
      <c r="H386" s="19"/>
      <c r="I386" s="47"/>
      <c r="J386" s="48"/>
      <c r="K386" s="49"/>
    </row>
    <row r="387" spans="1:11" ht="12.75" hidden="1" x14ac:dyDescent="0.2">
      <c r="A387" s="16"/>
      <c r="B387" s="16"/>
      <c r="C387" s="15"/>
      <c r="D387" s="16"/>
      <c r="E387" s="17"/>
      <c r="F387" s="17"/>
      <c r="H387" s="19"/>
      <c r="I387" s="47"/>
      <c r="J387" s="48"/>
      <c r="K387" s="49"/>
    </row>
    <row r="388" spans="1:11" ht="12.75" hidden="1" x14ac:dyDescent="0.2">
      <c r="A388" s="16"/>
      <c r="B388" s="16"/>
      <c r="C388" s="15"/>
      <c r="D388" s="16"/>
      <c r="E388" s="17"/>
      <c r="F388" s="17"/>
      <c r="H388" s="19"/>
      <c r="I388" s="47"/>
      <c r="J388" s="48"/>
      <c r="K388" s="49"/>
    </row>
    <row r="389" spans="1:11" ht="12.75" hidden="1" x14ac:dyDescent="0.2">
      <c r="A389" s="16"/>
      <c r="B389" s="16"/>
      <c r="C389" s="15"/>
      <c r="D389" s="16"/>
      <c r="E389" s="17"/>
      <c r="F389" s="17"/>
      <c r="H389" s="19"/>
      <c r="I389" s="47"/>
      <c r="J389" s="48"/>
      <c r="K389" s="49"/>
    </row>
    <row r="390" spans="1:11" ht="12.75" hidden="1" x14ac:dyDescent="0.2">
      <c r="A390" s="16"/>
      <c r="B390" s="16"/>
      <c r="C390" s="15"/>
      <c r="D390" s="16"/>
      <c r="E390" s="17"/>
      <c r="F390" s="17"/>
      <c r="H390" s="19"/>
      <c r="I390" s="47"/>
      <c r="J390" s="48"/>
      <c r="K390" s="49"/>
    </row>
    <row r="391" spans="1:11" ht="12.75" hidden="1" x14ac:dyDescent="0.2">
      <c r="A391" s="16"/>
      <c r="B391" s="16"/>
      <c r="C391" s="15"/>
      <c r="D391" s="16"/>
      <c r="E391" s="17"/>
      <c r="F391" s="17"/>
      <c r="H391" s="19"/>
      <c r="I391" s="47"/>
      <c r="J391" s="48"/>
      <c r="K391" s="49"/>
    </row>
    <row r="392" spans="1:11" ht="12.75" hidden="1" x14ac:dyDescent="0.2">
      <c r="A392" s="16"/>
      <c r="B392" s="16"/>
      <c r="C392" s="15"/>
      <c r="D392" s="16"/>
      <c r="E392" s="17"/>
      <c r="F392" s="17"/>
      <c r="H392" s="19"/>
      <c r="I392" s="47"/>
      <c r="J392" s="48"/>
      <c r="K392" s="49"/>
    </row>
    <row r="393" spans="1:11" ht="12.75" hidden="1" x14ac:dyDescent="0.2">
      <c r="A393" s="16"/>
      <c r="B393" s="16"/>
      <c r="C393" s="15"/>
      <c r="D393" s="16"/>
      <c r="E393" s="17"/>
      <c r="F393" s="17"/>
      <c r="H393" s="19"/>
      <c r="I393" s="47"/>
      <c r="J393" s="48"/>
      <c r="K393" s="49"/>
    </row>
    <row r="394" spans="1:11" ht="12.75" hidden="1" x14ac:dyDescent="0.2">
      <c r="A394" s="16"/>
      <c r="B394" s="16"/>
      <c r="C394" s="15"/>
      <c r="D394" s="16"/>
      <c r="E394" s="17"/>
      <c r="F394" s="17"/>
      <c r="H394" s="19"/>
      <c r="I394" s="47"/>
      <c r="J394" s="48"/>
      <c r="K394" s="49"/>
    </row>
    <row r="395" spans="1:11" ht="12.75" hidden="1" x14ac:dyDescent="0.2">
      <c r="A395" s="16"/>
      <c r="B395" s="16"/>
      <c r="C395" s="15"/>
      <c r="D395" s="16"/>
      <c r="E395" s="17"/>
      <c r="F395" s="17"/>
      <c r="H395" s="19"/>
      <c r="I395" s="47"/>
      <c r="J395" s="48"/>
      <c r="K395" s="49"/>
    </row>
    <row r="396" spans="1:11" ht="12.75" hidden="1" x14ac:dyDescent="0.2">
      <c r="A396" s="16"/>
      <c r="B396" s="16"/>
      <c r="C396" s="15"/>
      <c r="D396" s="16"/>
      <c r="E396" s="17"/>
      <c r="F396" s="17"/>
      <c r="H396" s="19"/>
      <c r="I396" s="47"/>
      <c r="J396" s="48"/>
      <c r="K396" s="49"/>
    </row>
    <row r="397" spans="1:11" ht="12.75" hidden="1" x14ac:dyDescent="0.2">
      <c r="A397" s="16"/>
      <c r="B397" s="16"/>
      <c r="C397" s="15"/>
      <c r="D397" s="16"/>
      <c r="E397" s="17"/>
      <c r="F397" s="17"/>
      <c r="H397" s="19"/>
      <c r="I397" s="47"/>
      <c r="J397" s="48"/>
      <c r="K397" s="49"/>
    </row>
    <row r="398" spans="1:11" ht="12.75" hidden="1" x14ac:dyDescent="0.2">
      <c r="A398" s="16"/>
      <c r="B398" s="16"/>
      <c r="C398" s="15"/>
      <c r="D398" s="16"/>
      <c r="E398" s="17"/>
      <c r="F398" s="17"/>
      <c r="H398" s="19"/>
      <c r="I398" s="47"/>
      <c r="J398" s="48"/>
      <c r="K398" s="49"/>
    </row>
    <row r="399" spans="1:11" ht="12.75" hidden="1" x14ac:dyDescent="0.2">
      <c r="A399" s="16"/>
      <c r="B399" s="16"/>
      <c r="C399" s="15"/>
      <c r="D399" s="16"/>
      <c r="E399" s="17"/>
      <c r="F399" s="17"/>
      <c r="H399" s="19"/>
      <c r="I399" s="47"/>
      <c r="J399" s="48"/>
      <c r="K399" s="49"/>
    </row>
    <row r="400" spans="1:11" ht="12.75" hidden="1" x14ac:dyDescent="0.2">
      <c r="A400" s="16"/>
      <c r="B400" s="16"/>
      <c r="C400" s="15"/>
      <c r="D400" s="16"/>
      <c r="E400" s="17"/>
      <c r="F400" s="17"/>
      <c r="H400" s="19"/>
      <c r="I400" s="47"/>
      <c r="J400" s="48"/>
      <c r="K400" s="49"/>
    </row>
    <row r="401" spans="1:11" ht="12.75" hidden="1" x14ac:dyDescent="0.2">
      <c r="A401" s="16"/>
      <c r="B401" s="16"/>
      <c r="C401" s="15"/>
      <c r="D401" s="16"/>
      <c r="E401" s="17"/>
      <c r="F401" s="17"/>
      <c r="H401" s="19"/>
      <c r="I401" s="47"/>
      <c r="J401" s="48"/>
      <c r="K401" s="49"/>
    </row>
    <row r="402" spans="1:11" ht="12.75" hidden="1" x14ac:dyDescent="0.2">
      <c r="A402" s="16"/>
      <c r="B402" s="16"/>
      <c r="C402" s="15"/>
      <c r="D402" s="16"/>
      <c r="E402" s="17"/>
      <c r="F402" s="17"/>
      <c r="H402" s="19"/>
      <c r="I402" s="47"/>
      <c r="J402" s="48"/>
      <c r="K402" s="49"/>
    </row>
    <row r="403" spans="1:11" ht="12.75" hidden="1" x14ac:dyDescent="0.2">
      <c r="A403" s="16"/>
      <c r="B403" s="16"/>
      <c r="C403" s="15"/>
      <c r="D403" s="16"/>
      <c r="E403" s="17"/>
      <c r="F403" s="17"/>
      <c r="H403" s="19"/>
      <c r="I403" s="47"/>
      <c r="J403" s="48"/>
      <c r="K403" s="49"/>
    </row>
    <row r="404" spans="1:11" ht="12.75" hidden="1" x14ac:dyDescent="0.2">
      <c r="A404" s="16"/>
      <c r="B404" s="16"/>
      <c r="C404" s="15"/>
      <c r="D404" s="16"/>
      <c r="E404" s="17"/>
      <c r="F404" s="17"/>
      <c r="H404" s="19"/>
      <c r="I404" s="47"/>
      <c r="J404" s="48"/>
      <c r="K404" s="49"/>
    </row>
    <row r="405" spans="1:11" ht="12.75" hidden="1" x14ac:dyDescent="0.2">
      <c r="A405" s="16"/>
      <c r="B405" s="16"/>
      <c r="C405" s="15"/>
      <c r="D405" s="16"/>
      <c r="E405" s="17"/>
      <c r="F405" s="17"/>
      <c r="H405" s="19"/>
      <c r="I405" s="47"/>
      <c r="J405" s="48"/>
      <c r="K405" s="49"/>
    </row>
    <row r="406" spans="1:11" ht="12.75" hidden="1" x14ac:dyDescent="0.2">
      <c r="A406" s="16"/>
      <c r="B406" s="16"/>
      <c r="C406" s="15"/>
      <c r="D406" s="16"/>
      <c r="E406" s="17"/>
      <c r="F406" s="17"/>
      <c r="H406" s="19"/>
      <c r="I406" s="47"/>
      <c r="J406" s="48"/>
      <c r="K406" s="49"/>
    </row>
    <row r="407" spans="1:11" ht="12.75" hidden="1" x14ac:dyDescent="0.2">
      <c r="A407" s="16"/>
      <c r="B407" s="16"/>
      <c r="C407" s="15"/>
      <c r="D407" s="16"/>
      <c r="E407" s="17"/>
      <c r="F407" s="17"/>
      <c r="H407" s="19"/>
      <c r="I407" s="47"/>
      <c r="J407" s="48"/>
      <c r="K407" s="49"/>
    </row>
    <row r="408" spans="1:11" ht="12.75" hidden="1" x14ac:dyDescent="0.2">
      <c r="A408" s="16"/>
      <c r="B408" s="16"/>
      <c r="C408" s="15"/>
      <c r="D408" s="16"/>
      <c r="E408" s="17"/>
      <c r="F408" s="17"/>
      <c r="H408" s="19"/>
      <c r="I408" s="47"/>
      <c r="J408" s="48"/>
      <c r="K408" s="49"/>
    </row>
    <row r="409" spans="1:11" ht="12.75" hidden="1" x14ac:dyDescent="0.2">
      <c r="A409" s="16"/>
      <c r="B409" s="16"/>
      <c r="C409" s="15"/>
      <c r="D409" s="16"/>
      <c r="E409" s="17"/>
      <c r="F409" s="17"/>
      <c r="H409" s="19"/>
      <c r="I409" s="47"/>
      <c r="J409" s="48"/>
      <c r="K409" s="49"/>
    </row>
    <row r="410" spans="1:11" ht="12.75" hidden="1" x14ac:dyDescent="0.2">
      <c r="A410" s="16"/>
      <c r="B410" s="16"/>
      <c r="C410" s="15"/>
      <c r="D410" s="16"/>
      <c r="E410" s="17"/>
      <c r="F410" s="17"/>
      <c r="H410" s="19"/>
      <c r="I410" s="47"/>
      <c r="J410" s="48"/>
      <c r="K410" s="49"/>
    </row>
    <row r="411" spans="1:11" ht="12.75" hidden="1" x14ac:dyDescent="0.2">
      <c r="A411" s="16"/>
      <c r="B411" s="16"/>
      <c r="C411" s="15"/>
      <c r="D411" s="16"/>
      <c r="E411" s="17"/>
      <c r="F411" s="17"/>
      <c r="H411" s="19"/>
      <c r="I411" s="47"/>
      <c r="J411" s="48"/>
      <c r="K411" s="49"/>
    </row>
    <row r="412" spans="1:11" ht="12.75" hidden="1" x14ac:dyDescent="0.2">
      <c r="A412" s="16"/>
      <c r="B412" s="16"/>
      <c r="C412" s="15"/>
      <c r="D412" s="16"/>
      <c r="E412" s="17"/>
      <c r="F412" s="17"/>
      <c r="H412" s="19"/>
      <c r="I412" s="47"/>
      <c r="J412" s="48"/>
      <c r="K412" s="49"/>
    </row>
    <row r="413" spans="1:11" ht="12.75" hidden="1" x14ac:dyDescent="0.2">
      <c r="A413" s="16"/>
      <c r="B413" s="16"/>
      <c r="C413" s="15"/>
      <c r="D413" s="16"/>
      <c r="E413" s="17"/>
      <c r="F413" s="17"/>
      <c r="H413" s="19"/>
      <c r="I413" s="47"/>
      <c r="J413" s="48"/>
      <c r="K413" s="49"/>
    </row>
    <row r="414" spans="1:11" ht="12.75" hidden="1" x14ac:dyDescent="0.2">
      <c r="A414" s="16"/>
      <c r="B414" s="16"/>
      <c r="C414" s="15"/>
      <c r="D414" s="16"/>
      <c r="E414" s="17"/>
      <c r="F414" s="17"/>
      <c r="H414" s="19"/>
      <c r="I414" s="47"/>
      <c r="J414" s="48"/>
      <c r="K414" s="49"/>
    </row>
    <row r="415" spans="1:11" ht="12.75" hidden="1" x14ac:dyDescent="0.2">
      <c r="A415" s="16"/>
      <c r="B415" s="16"/>
      <c r="C415" s="15"/>
      <c r="D415" s="16"/>
      <c r="E415" s="17"/>
      <c r="F415" s="17"/>
      <c r="H415" s="19"/>
      <c r="I415" s="47"/>
      <c r="J415" s="48"/>
      <c r="K415" s="49"/>
    </row>
    <row r="416" spans="1:11" ht="12.75" hidden="1" x14ac:dyDescent="0.2">
      <c r="A416" s="16"/>
      <c r="B416" s="16"/>
      <c r="C416" s="15"/>
      <c r="D416" s="16"/>
      <c r="E416" s="17"/>
      <c r="F416" s="17"/>
      <c r="H416" s="19"/>
      <c r="I416" s="47"/>
      <c r="J416" s="48"/>
      <c r="K416" s="49"/>
    </row>
    <row r="417" spans="1:11" ht="12.75" hidden="1" x14ac:dyDescent="0.2">
      <c r="A417" s="16"/>
      <c r="B417" s="16"/>
      <c r="C417" s="15"/>
      <c r="D417" s="16"/>
      <c r="E417" s="17"/>
      <c r="F417" s="17"/>
      <c r="H417" s="19"/>
      <c r="I417" s="47"/>
      <c r="J417" s="48"/>
      <c r="K417" s="49"/>
    </row>
    <row r="418" spans="1:11" ht="12.75" hidden="1" x14ac:dyDescent="0.2">
      <c r="A418" s="16"/>
      <c r="B418" s="16"/>
      <c r="C418" s="15"/>
      <c r="D418" s="16"/>
      <c r="E418" s="17"/>
      <c r="F418" s="17"/>
      <c r="H418" s="19"/>
      <c r="I418" s="47"/>
      <c r="J418" s="48"/>
      <c r="K418" s="49"/>
    </row>
    <row r="419" spans="1:11" ht="12.75" hidden="1" x14ac:dyDescent="0.2">
      <c r="A419" s="16"/>
      <c r="B419" s="16"/>
      <c r="C419" s="15"/>
      <c r="D419" s="16"/>
      <c r="E419" s="17"/>
      <c r="F419" s="17"/>
      <c r="H419" s="19"/>
      <c r="I419" s="47"/>
      <c r="J419" s="48"/>
      <c r="K419" s="49"/>
    </row>
    <row r="420" spans="1:11" ht="12.75" hidden="1" x14ac:dyDescent="0.2">
      <c r="A420" s="16"/>
      <c r="B420" s="16"/>
      <c r="C420" s="15"/>
      <c r="D420" s="16"/>
      <c r="E420" s="17"/>
      <c r="F420" s="17"/>
      <c r="H420" s="19"/>
      <c r="I420" s="47"/>
      <c r="J420" s="48"/>
      <c r="K420" s="49"/>
    </row>
    <row r="421" spans="1:11" ht="12.75" hidden="1" x14ac:dyDescent="0.2">
      <c r="A421" s="16"/>
      <c r="B421" s="16"/>
      <c r="C421" s="15"/>
      <c r="D421" s="16"/>
      <c r="E421" s="17"/>
      <c r="F421" s="17"/>
      <c r="H421" s="19"/>
      <c r="I421" s="47"/>
      <c r="J421" s="48"/>
      <c r="K421" s="49"/>
    </row>
    <row r="422" spans="1:11" ht="12.75" hidden="1" x14ac:dyDescent="0.2">
      <c r="A422" s="16"/>
      <c r="B422" s="16"/>
      <c r="C422" s="15"/>
      <c r="D422" s="16"/>
      <c r="E422" s="17"/>
      <c r="F422" s="17"/>
      <c r="H422" s="19"/>
      <c r="I422" s="47"/>
      <c r="J422" s="48"/>
      <c r="K422" s="49"/>
    </row>
    <row r="423" spans="1:11" ht="12.75" hidden="1" x14ac:dyDescent="0.2">
      <c r="A423" s="16"/>
      <c r="B423" s="16"/>
      <c r="C423" s="15"/>
      <c r="D423" s="16"/>
      <c r="E423" s="17"/>
      <c r="F423" s="17"/>
      <c r="H423" s="19"/>
      <c r="I423" s="47"/>
      <c r="J423" s="48"/>
      <c r="K423" s="49"/>
    </row>
    <row r="424" spans="1:11" ht="12.75" hidden="1" x14ac:dyDescent="0.2">
      <c r="A424" s="16"/>
      <c r="B424" s="16"/>
      <c r="C424" s="15"/>
      <c r="D424" s="16"/>
      <c r="E424" s="17"/>
      <c r="F424" s="17"/>
      <c r="H424" s="19"/>
      <c r="I424" s="47"/>
      <c r="J424" s="48"/>
      <c r="K424" s="49"/>
    </row>
    <row r="425" spans="1:11" ht="12.75" hidden="1" x14ac:dyDescent="0.2">
      <c r="A425" s="16"/>
      <c r="B425" s="16"/>
      <c r="C425" s="15"/>
      <c r="D425" s="16"/>
      <c r="E425" s="17"/>
      <c r="F425" s="17"/>
      <c r="H425" s="19"/>
      <c r="I425" s="47"/>
      <c r="J425" s="48"/>
      <c r="K425" s="49"/>
    </row>
    <row r="426" spans="1:11" ht="12.75" hidden="1" x14ac:dyDescent="0.2">
      <c r="A426" s="16"/>
      <c r="B426" s="16"/>
      <c r="C426" s="15"/>
      <c r="D426" s="16"/>
      <c r="E426" s="17"/>
      <c r="F426" s="17"/>
      <c r="H426" s="19"/>
      <c r="I426" s="47"/>
      <c r="J426" s="48"/>
      <c r="K426" s="49"/>
    </row>
    <row r="427" spans="1:11" ht="12.75" hidden="1" x14ac:dyDescent="0.2">
      <c r="A427" s="16"/>
      <c r="B427" s="16"/>
      <c r="C427" s="15"/>
      <c r="D427" s="16"/>
      <c r="E427" s="17"/>
      <c r="F427" s="17"/>
      <c r="H427" s="19"/>
      <c r="I427" s="47"/>
      <c r="J427" s="48"/>
      <c r="K427" s="49"/>
    </row>
    <row r="428" spans="1:11" ht="12.75" hidden="1" x14ac:dyDescent="0.2">
      <c r="A428" s="16"/>
      <c r="B428" s="16"/>
      <c r="C428" s="15"/>
      <c r="D428" s="16"/>
      <c r="E428" s="17"/>
      <c r="F428" s="17"/>
      <c r="H428" s="19"/>
      <c r="I428" s="47"/>
      <c r="J428" s="48"/>
      <c r="K428" s="49"/>
    </row>
    <row r="429" spans="1:11" ht="12.75" hidden="1" x14ac:dyDescent="0.2">
      <c r="A429" s="16"/>
      <c r="B429" s="16"/>
      <c r="C429" s="15"/>
      <c r="D429" s="16"/>
      <c r="E429" s="17"/>
      <c r="F429" s="17"/>
      <c r="H429" s="19"/>
      <c r="I429" s="47"/>
      <c r="J429" s="48"/>
      <c r="K429" s="49"/>
    </row>
    <row r="430" spans="1:11" ht="12.75" hidden="1" x14ac:dyDescent="0.2">
      <c r="A430" s="16"/>
      <c r="B430" s="16"/>
      <c r="C430" s="15"/>
      <c r="D430" s="16"/>
      <c r="E430" s="17"/>
      <c r="F430" s="17"/>
      <c r="H430" s="19"/>
      <c r="I430" s="47"/>
      <c r="J430" s="48"/>
      <c r="K430" s="49"/>
    </row>
    <row r="431" spans="1:11" ht="12.75" hidden="1" x14ac:dyDescent="0.2">
      <c r="A431" s="16"/>
      <c r="B431" s="16"/>
      <c r="C431" s="15"/>
      <c r="D431" s="16"/>
      <c r="E431" s="17"/>
      <c r="F431" s="17"/>
      <c r="H431" s="19"/>
      <c r="I431" s="47"/>
      <c r="J431" s="48"/>
      <c r="K431" s="49"/>
    </row>
    <row r="432" spans="1:11" ht="12.75" hidden="1" x14ac:dyDescent="0.2">
      <c r="A432" s="16"/>
      <c r="B432" s="16"/>
      <c r="C432" s="15"/>
      <c r="D432" s="16"/>
      <c r="E432" s="17"/>
      <c r="F432" s="17"/>
      <c r="H432" s="19"/>
      <c r="I432" s="47"/>
      <c r="J432" s="48"/>
      <c r="K432" s="49"/>
    </row>
    <row r="433" spans="1:11" ht="12.75" hidden="1" x14ac:dyDescent="0.2">
      <c r="A433" s="16"/>
      <c r="B433" s="16"/>
      <c r="C433" s="15"/>
      <c r="D433" s="16"/>
      <c r="E433" s="17"/>
      <c r="F433" s="17"/>
      <c r="H433" s="19"/>
      <c r="I433" s="47"/>
      <c r="J433" s="48"/>
      <c r="K433" s="49"/>
    </row>
    <row r="434" spans="1:11" ht="12.75" hidden="1" x14ac:dyDescent="0.2">
      <c r="A434" s="16"/>
      <c r="B434" s="16"/>
      <c r="C434" s="15"/>
      <c r="D434" s="16"/>
      <c r="E434" s="17"/>
      <c r="F434" s="17"/>
      <c r="H434" s="19"/>
      <c r="I434" s="47"/>
      <c r="J434" s="48"/>
      <c r="K434" s="49"/>
    </row>
    <row r="435" spans="1:11" ht="12.75" hidden="1" x14ac:dyDescent="0.2">
      <c r="A435" s="16"/>
      <c r="B435" s="16"/>
      <c r="C435" s="15"/>
      <c r="D435" s="16"/>
      <c r="E435" s="17"/>
      <c r="F435" s="17"/>
      <c r="H435" s="19"/>
      <c r="I435" s="47"/>
      <c r="J435" s="48"/>
      <c r="K435" s="49"/>
    </row>
    <row r="436" spans="1:11" ht="12.75" hidden="1" x14ac:dyDescent="0.2">
      <c r="A436" s="16"/>
      <c r="B436" s="16"/>
      <c r="C436" s="15"/>
      <c r="D436" s="16"/>
      <c r="E436" s="17"/>
      <c r="F436" s="17"/>
      <c r="H436" s="19"/>
      <c r="I436" s="47"/>
      <c r="J436" s="48"/>
      <c r="K436" s="49"/>
    </row>
    <row r="437" spans="1:11" ht="12.75" hidden="1" x14ac:dyDescent="0.2">
      <c r="A437" s="16"/>
      <c r="B437" s="16"/>
      <c r="C437" s="15"/>
      <c r="D437" s="16"/>
      <c r="E437" s="17"/>
      <c r="F437" s="17"/>
      <c r="H437" s="19"/>
      <c r="I437" s="47"/>
      <c r="J437" s="48"/>
      <c r="K437" s="49"/>
    </row>
    <row r="438" spans="1:11" ht="12.75" hidden="1" x14ac:dyDescent="0.2">
      <c r="A438" s="16"/>
      <c r="B438" s="16"/>
      <c r="C438" s="15"/>
      <c r="D438" s="16"/>
      <c r="E438" s="17"/>
      <c r="F438" s="17"/>
      <c r="H438" s="19"/>
      <c r="I438" s="47"/>
      <c r="J438" s="48"/>
      <c r="K438" s="49"/>
    </row>
    <row r="439" spans="1:11" ht="12.75" hidden="1" x14ac:dyDescent="0.2">
      <c r="A439" s="16"/>
      <c r="B439" s="16"/>
      <c r="C439" s="15"/>
      <c r="D439" s="16"/>
      <c r="E439" s="17"/>
      <c r="F439" s="17"/>
      <c r="H439" s="19"/>
      <c r="I439" s="47"/>
      <c r="J439" s="48"/>
      <c r="K439" s="49"/>
    </row>
    <row r="440" spans="1:11" ht="12.75" hidden="1" x14ac:dyDescent="0.2">
      <c r="A440" s="16"/>
      <c r="B440" s="16"/>
      <c r="C440" s="15"/>
      <c r="D440" s="16"/>
      <c r="E440" s="17"/>
      <c r="F440" s="17"/>
      <c r="H440" s="19"/>
      <c r="I440" s="47"/>
      <c r="J440" s="48"/>
      <c r="K440" s="49"/>
    </row>
    <row r="441" spans="1:11" ht="12.75" hidden="1" x14ac:dyDescent="0.2">
      <c r="A441" s="16"/>
      <c r="B441" s="16"/>
      <c r="C441" s="15"/>
      <c r="D441" s="16"/>
      <c r="E441" s="17"/>
      <c r="F441" s="17"/>
      <c r="H441" s="19"/>
      <c r="I441" s="47"/>
      <c r="J441" s="48"/>
      <c r="K441" s="49"/>
    </row>
    <row r="442" spans="1:11" ht="12.75" hidden="1" x14ac:dyDescent="0.2">
      <c r="A442" s="16"/>
      <c r="B442" s="16"/>
      <c r="C442" s="15"/>
      <c r="D442" s="16"/>
      <c r="E442" s="17"/>
      <c r="F442" s="17"/>
      <c r="H442" s="19"/>
      <c r="I442" s="47"/>
      <c r="J442" s="48"/>
      <c r="K442" s="49"/>
    </row>
    <row r="443" spans="1:11" ht="12.75" hidden="1" x14ac:dyDescent="0.2">
      <c r="A443" s="16"/>
      <c r="B443" s="16"/>
      <c r="C443" s="15"/>
      <c r="D443" s="16"/>
      <c r="E443" s="17"/>
      <c r="F443" s="17"/>
      <c r="H443" s="19"/>
      <c r="I443" s="47"/>
      <c r="J443" s="48"/>
      <c r="K443" s="49"/>
    </row>
    <row r="444" spans="1:11" ht="12.75" hidden="1" x14ac:dyDescent="0.2">
      <c r="A444" s="16"/>
      <c r="B444" s="16"/>
      <c r="C444" s="15"/>
      <c r="D444" s="16"/>
      <c r="E444" s="17"/>
      <c r="F444" s="17"/>
      <c r="H444" s="19"/>
      <c r="I444" s="47"/>
      <c r="J444" s="48"/>
      <c r="K444" s="49"/>
    </row>
    <row r="445" spans="1:11" ht="12.75" hidden="1" x14ac:dyDescent="0.2">
      <c r="A445" s="16"/>
      <c r="B445" s="16"/>
      <c r="C445" s="15"/>
      <c r="D445" s="16"/>
      <c r="E445" s="17"/>
      <c r="F445" s="17"/>
      <c r="H445" s="19"/>
      <c r="I445" s="47"/>
      <c r="J445" s="48"/>
      <c r="K445" s="49"/>
    </row>
    <row r="446" spans="1:11" ht="12.75" hidden="1" x14ac:dyDescent="0.2">
      <c r="A446" s="16"/>
      <c r="B446" s="16"/>
      <c r="C446" s="15"/>
      <c r="D446" s="16"/>
      <c r="E446" s="17"/>
      <c r="F446" s="17"/>
      <c r="H446" s="19"/>
      <c r="I446" s="47"/>
      <c r="J446" s="48"/>
      <c r="K446" s="49"/>
    </row>
    <row r="447" spans="1:11" ht="12.75" hidden="1" x14ac:dyDescent="0.2">
      <c r="A447" s="16"/>
      <c r="B447" s="16"/>
      <c r="C447" s="15"/>
      <c r="D447" s="16"/>
      <c r="E447" s="17"/>
      <c r="F447" s="17"/>
      <c r="H447" s="19"/>
      <c r="I447" s="47"/>
      <c r="J447" s="48"/>
      <c r="K447" s="49"/>
    </row>
    <row r="448" spans="1:11" ht="12.75" hidden="1" x14ac:dyDescent="0.2">
      <c r="A448" s="16"/>
      <c r="B448" s="16"/>
      <c r="C448" s="15"/>
      <c r="D448" s="16"/>
      <c r="E448" s="17"/>
      <c r="F448" s="17"/>
      <c r="H448" s="19"/>
      <c r="I448" s="47"/>
      <c r="J448" s="48"/>
      <c r="K448" s="49"/>
    </row>
    <row r="449" spans="1:11" ht="12.75" hidden="1" x14ac:dyDescent="0.2">
      <c r="A449" s="16"/>
      <c r="B449" s="16"/>
      <c r="C449" s="15"/>
      <c r="D449" s="16"/>
      <c r="E449" s="17"/>
      <c r="F449" s="17"/>
      <c r="H449" s="19"/>
      <c r="I449" s="47"/>
      <c r="J449" s="48"/>
      <c r="K449" s="49"/>
    </row>
    <row r="450" spans="1:11" ht="12.75" hidden="1" x14ac:dyDescent="0.2">
      <c r="A450" s="16"/>
      <c r="B450" s="16"/>
      <c r="C450" s="15"/>
      <c r="D450" s="16"/>
      <c r="E450" s="17"/>
      <c r="F450" s="17"/>
      <c r="H450" s="19"/>
      <c r="I450" s="47"/>
      <c r="J450" s="48"/>
      <c r="K450" s="49"/>
    </row>
    <row r="451" spans="1:11" ht="12.75" hidden="1" x14ac:dyDescent="0.2">
      <c r="A451" s="16"/>
      <c r="B451" s="16"/>
      <c r="C451" s="15"/>
      <c r="D451" s="16"/>
      <c r="E451" s="17"/>
      <c r="F451" s="17"/>
      <c r="H451" s="19"/>
      <c r="I451" s="47"/>
      <c r="J451" s="48"/>
      <c r="K451" s="49"/>
    </row>
    <row r="452" spans="1:11" ht="12.75" hidden="1" x14ac:dyDescent="0.2">
      <c r="A452" s="16"/>
      <c r="B452" s="16"/>
      <c r="C452" s="15"/>
      <c r="D452" s="16"/>
      <c r="E452" s="17"/>
      <c r="F452" s="17"/>
      <c r="H452" s="19"/>
      <c r="I452" s="47"/>
      <c r="J452" s="48"/>
      <c r="K452" s="49"/>
    </row>
    <row r="453" spans="1:11" ht="12.75" hidden="1" x14ac:dyDescent="0.2">
      <c r="A453" s="16"/>
      <c r="B453" s="16"/>
      <c r="C453" s="15"/>
      <c r="D453" s="16"/>
      <c r="E453" s="17"/>
      <c r="F453" s="17"/>
      <c r="H453" s="19"/>
      <c r="I453" s="47"/>
      <c r="J453" s="48"/>
      <c r="K453" s="49"/>
    </row>
    <row r="454" spans="1:11" ht="12.75" hidden="1" x14ac:dyDescent="0.2">
      <c r="A454" s="16"/>
      <c r="B454" s="16"/>
      <c r="C454" s="15"/>
      <c r="D454" s="16"/>
      <c r="E454" s="17"/>
      <c r="F454" s="17"/>
      <c r="H454" s="19"/>
      <c r="I454" s="47"/>
      <c r="J454" s="48"/>
      <c r="K454" s="49"/>
    </row>
    <row r="455" spans="1:11" ht="12.75" hidden="1" x14ac:dyDescent="0.2">
      <c r="A455" s="16"/>
      <c r="B455" s="16"/>
      <c r="C455" s="15"/>
      <c r="D455" s="16"/>
      <c r="E455" s="17"/>
      <c r="F455" s="17"/>
      <c r="H455" s="19"/>
      <c r="I455" s="47"/>
      <c r="J455" s="48"/>
      <c r="K455" s="49"/>
    </row>
    <row r="456" spans="1:11" ht="12.75" hidden="1" x14ac:dyDescent="0.2">
      <c r="A456" s="16"/>
      <c r="B456" s="16"/>
      <c r="C456" s="15"/>
      <c r="D456" s="16"/>
      <c r="E456" s="17"/>
      <c r="F456" s="17"/>
      <c r="H456" s="19"/>
      <c r="I456" s="47"/>
      <c r="J456" s="48"/>
      <c r="K456" s="49"/>
    </row>
    <row r="457" spans="1:11" ht="12.75" hidden="1" x14ac:dyDescent="0.2">
      <c r="A457" s="16"/>
      <c r="B457" s="16"/>
      <c r="C457" s="15"/>
      <c r="D457" s="16"/>
      <c r="E457" s="17"/>
      <c r="F457" s="17"/>
      <c r="H457" s="19"/>
      <c r="I457" s="47"/>
      <c r="J457" s="48"/>
      <c r="K457" s="49"/>
    </row>
    <row r="458" spans="1:11" ht="12.75" hidden="1" x14ac:dyDescent="0.2">
      <c r="A458" s="16"/>
      <c r="B458" s="16"/>
      <c r="C458" s="15"/>
      <c r="D458" s="16"/>
      <c r="E458" s="17"/>
      <c r="F458" s="17"/>
      <c r="H458" s="19"/>
      <c r="I458" s="47"/>
      <c r="J458" s="48"/>
      <c r="K458" s="49"/>
    </row>
    <row r="459" spans="1:11" ht="12.75" hidden="1" x14ac:dyDescent="0.2">
      <c r="A459" s="16"/>
      <c r="B459" s="16"/>
      <c r="C459" s="15"/>
      <c r="D459" s="16"/>
      <c r="E459" s="17"/>
      <c r="F459" s="17"/>
      <c r="H459" s="19"/>
      <c r="I459" s="47"/>
      <c r="J459" s="48"/>
      <c r="K459" s="49"/>
    </row>
    <row r="460" spans="1:11" ht="12.75" hidden="1" x14ac:dyDescent="0.2">
      <c r="A460" s="16"/>
      <c r="B460" s="16"/>
      <c r="C460" s="15"/>
      <c r="D460" s="16"/>
      <c r="E460" s="17"/>
      <c r="F460" s="17"/>
      <c r="H460" s="19"/>
      <c r="I460" s="47"/>
      <c r="J460" s="48"/>
      <c r="K460" s="49"/>
    </row>
    <row r="461" spans="1:11" ht="12.75" hidden="1" x14ac:dyDescent="0.2">
      <c r="A461" s="16"/>
      <c r="B461" s="16"/>
      <c r="C461" s="15"/>
      <c r="D461" s="16"/>
      <c r="E461" s="17"/>
      <c r="F461" s="17"/>
      <c r="H461" s="19"/>
      <c r="I461" s="47"/>
      <c r="J461" s="48"/>
      <c r="K461" s="49"/>
    </row>
    <row r="462" spans="1:11" ht="12.75" hidden="1" x14ac:dyDescent="0.2">
      <c r="A462" s="16"/>
      <c r="B462" s="16"/>
      <c r="C462" s="15"/>
      <c r="D462" s="16"/>
      <c r="E462" s="17"/>
      <c r="F462" s="17"/>
      <c r="H462" s="19"/>
      <c r="I462" s="47"/>
      <c r="J462" s="48"/>
      <c r="K462" s="49"/>
    </row>
    <row r="463" spans="1:11" ht="12.75" hidden="1" x14ac:dyDescent="0.2">
      <c r="A463" s="16"/>
      <c r="B463" s="16"/>
      <c r="C463" s="15"/>
      <c r="D463" s="16"/>
      <c r="E463" s="17"/>
      <c r="F463" s="17"/>
      <c r="H463" s="19"/>
      <c r="I463" s="47"/>
      <c r="J463" s="48"/>
      <c r="K463" s="49"/>
    </row>
    <row r="464" spans="1:11" ht="12.75" hidden="1" x14ac:dyDescent="0.2">
      <c r="A464" s="16"/>
      <c r="B464" s="16"/>
      <c r="C464" s="15"/>
      <c r="D464" s="16"/>
      <c r="E464" s="17"/>
      <c r="F464" s="17"/>
      <c r="H464" s="19"/>
      <c r="I464" s="47"/>
      <c r="J464" s="48"/>
      <c r="K464" s="49"/>
    </row>
    <row r="465" spans="1:11" ht="12.75" hidden="1" x14ac:dyDescent="0.2">
      <c r="A465" s="16"/>
      <c r="B465" s="16"/>
      <c r="C465" s="15"/>
      <c r="D465" s="16"/>
      <c r="E465" s="17"/>
      <c r="F465" s="17"/>
      <c r="H465" s="19"/>
      <c r="I465" s="47"/>
      <c r="J465" s="48"/>
      <c r="K465" s="49"/>
    </row>
    <row r="466" spans="1:11" ht="12.75" hidden="1" x14ac:dyDescent="0.2">
      <c r="A466" s="16"/>
      <c r="B466" s="16"/>
      <c r="C466" s="15"/>
      <c r="D466" s="16"/>
      <c r="E466" s="17"/>
      <c r="F466" s="17"/>
      <c r="H466" s="19"/>
      <c r="I466" s="47"/>
      <c r="J466" s="48"/>
      <c r="K466" s="49"/>
    </row>
    <row r="467" spans="1:11" ht="12.75" hidden="1" x14ac:dyDescent="0.2">
      <c r="A467" s="16"/>
      <c r="B467" s="16"/>
      <c r="C467" s="15"/>
      <c r="D467" s="16"/>
      <c r="E467" s="17"/>
      <c r="F467" s="17"/>
      <c r="H467" s="19"/>
      <c r="I467" s="47"/>
      <c r="J467" s="48"/>
      <c r="K467" s="49"/>
    </row>
    <row r="468" spans="1:11" ht="12.75" hidden="1" x14ac:dyDescent="0.2">
      <c r="A468" s="16"/>
      <c r="B468" s="16"/>
      <c r="C468" s="15"/>
      <c r="D468" s="16"/>
      <c r="E468" s="17"/>
      <c r="F468" s="17"/>
      <c r="H468" s="19"/>
      <c r="I468" s="47"/>
      <c r="J468" s="48"/>
      <c r="K468" s="49"/>
    </row>
    <row r="469" spans="1:11" ht="12.75" hidden="1" x14ac:dyDescent="0.2">
      <c r="A469" s="16"/>
      <c r="B469" s="16"/>
      <c r="C469" s="15"/>
      <c r="D469" s="16"/>
      <c r="E469" s="17"/>
      <c r="F469" s="17"/>
      <c r="H469" s="19"/>
      <c r="I469" s="47"/>
      <c r="J469" s="48"/>
      <c r="K469" s="49"/>
    </row>
    <row r="470" spans="1:11" ht="12.75" hidden="1" x14ac:dyDescent="0.2">
      <c r="A470" s="16"/>
      <c r="B470" s="16"/>
      <c r="C470" s="15"/>
      <c r="D470" s="16"/>
      <c r="E470" s="17"/>
      <c r="F470" s="17"/>
      <c r="H470" s="19"/>
      <c r="I470" s="47"/>
      <c r="J470" s="48"/>
      <c r="K470" s="49"/>
    </row>
    <row r="471" spans="1:11" ht="12.75" hidden="1" x14ac:dyDescent="0.2">
      <c r="A471" s="16"/>
      <c r="B471" s="16"/>
      <c r="C471" s="15"/>
      <c r="D471" s="16"/>
      <c r="E471" s="17"/>
      <c r="F471" s="17"/>
      <c r="H471" s="19"/>
      <c r="I471" s="47"/>
      <c r="J471" s="48"/>
      <c r="K471" s="49"/>
    </row>
    <row r="472" spans="1:11" ht="12.75" hidden="1" x14ac:dyDescent="0.2">
      <c r="A472" s="16"/>
      <c r="B472" s="16"/>
      <c r="C472" s="15"/>
      <c r="D472" s="16"/>
      <c r="E472" s="17"/>
      <c r="F472" s="17"/>
      <c r="H472" s="19"/>
      <c r="I472" s="47"/>
      <c r="J472" s="48"/>
      <c r="K472" s="49"/>
    </row>
    <row r="473" spans="1:11" ht="12.75" hidden="1" x14ac:dyDescent="0.2">
      <c r="A473" s="16"/>
      <c r="B473" s="16"/>
      <c r="C473" s="15"/>
      <c r="D473" s="16"/>
      <c r="E473" s="17"/>
      <c r="F473" s="17"/>
      <c r="H473" s="19"/>
      <c r="I473" s="47"/>
      <c r="J473" s="48"/>
      <c r="K473" s="49"/>
    </row>
    <row r="474" spans="1:11" ht="12.75" hidden="1" x14ac:dyDescent="0.2">
      <c r="A474" s="16"/>
      <c r="B474" s="16"/>
      <c r="C474" s="15"/>
      <c r="D474" s="16"/>
      <c r="E474" s="17"/>
      <c r="F474" s="17"/>
      <c r="H474" s="19"/>
      <c r="I474" s="47"/>
      <c r="J474" s="48"/>
      <c r="K474" s="49"/>
    </row>
    <row r="475" spans="1:11" ht="12.75" hidden="1" x14ac:dyDescent="0.2">
      <c r="A475" s="16"/>
      <c r="B475" s="16"/>
      <c r="C475" s="15"/>
      <c r="D475" s="16"/>
      <c r="E475" s="17"/>
      <c r="F475" s="17"/>
      <c r="H475" s="19"/>
      <c r="I475" s="47"/>
      <c r="J475" s="48"/>
      <c r="K475" s="49"/>
    </row>
    <row r="476" spans="1:11" ht="12.75" hidden="1" x14ac:dyDescent="0.2">
      <c r="A476" s="16"/>
      <c r="B476" s="16"/>
      <c r="C476" s="15"/>
      <c r="D476" s="16"/>
      <c r="E476" s="17"/>
      <c r="F476" s="17"/>
      <c r="H476" s="19"/>
      <c r="I476" s="47"/>
      <c r="J476" s="48"/>
      <c r="K476" s="49"/>
    </row>
    <row r="477" spans="1:11" ht="12.75" hidden="1" x14ac:dyDescent="0.2">
      <c r="A477" s="16"/>
      <c r="B477" s="16"/>
      <c r="C477" s="15"/>
      <c r="D477" s="16"/>
      <c r="E477" s="17"/>
      <c r="F477" s="17"/>
      <c r="H477" s="19"/>
      <c r="I477" s="47"/>
      <c r="J477" s="48"/>
      <c r="K477" s="49"/>
    </row>
    <row r="478" spans="1:11" ht="12.75" hidden="1" x14ac:dyDescent="0.2">
      <c r="A478" s="16"/>
      <c r="B478" s="16"/>
      <c r="C478" s="15"/>
      <c r="D478" s="16"/>
      <c r="E478" s="17"/>
      <c r="F478" s="17"/>
      <c r="H478" s="19"/>
      <c r="I478" s="47"/>
      <c r="J478" s="48"/>
      <c r="K478" s="49"/>
    </row>
    <row r="479" spans="1:11" ht="12.75" hidden="1" x14ac:dyDescent="0.2">
      <c r="A479" s="16"/>
      <c r="B479" s="16"/>
      <c r="C479" s="15"/>
      <c r="D479" s="16"/>
      <c r="E479" s="17"/>
      <c r="F479" s="17"/>
      <c r="H479" s="19"/>
      <c r="I479" s="47"/>
      <c r="J479" s="48"/>
      <c r="K479" s="49"/>
    </row>
    <row r="480" spans="1:11" ht="12.75" hidden="1" x14ac:dyDescent="0.2">
      <c r="A480" s="16"/>
      <c r="B480" s="16"/>
      <c r="C480" s="15"/>
      <c r="D480" s="16"/>
      <c r="E480" s="17"/>
      <c r="F480" s="17"/>
      <c r="H480" s="19"/>
      <c r="I480" s="47"/>
      <c r="J480" s="48"/>
      <c r="K480" s="49"/>
    </row>
    <row r="481" spans="1:11" ht="12.75" hidden="1" x14ac:dyDescent="0.2">
      <c r="A481" s="16"/>
      <c r="B481" s="16"/>
      <c r="C481" s="15"/>
      <c r="D481" s="16"/>
      <c r="E481" s="17"/>
      <c r="F481" s="17"/>
      <c r="H481" s="19"/>
      <c r="I481" s="47"/>
      <c r="J481" s="48"/>
      <c r="K481" s="49"/>
    </row>
    <row r="482" spans="1:11" ht="12.75" hidden="1" x14ac:dyDescent="0.2">
      <c r="A482" s="16"/>
      <c r="B482" s="16"/>
      <c r="C482" s="15"/>
      <c r="D482" s="16"/>
      <c r="E482" s="17"/>
      <c r="F482" s="17"/>
      <c r="H482" s="19"/>
      <c r="I482" s="47"/>
      <c r="J482" s="48"/>
      <c r="K482" s="49"/>
    </row>
    <row r="483" spans="1:11" ht="12.75" hidden="1" x14ac:dyDescent="0.2">
      <c r="A483" s="16"/>
      <c r="B483" s="16"/>
      <c r="C483" s="15"/>
      <c r="D483" s="16"/>
      <c r="E483" s="17"/>
      <c r="F483" s="17"/>
      <c r="H483" s="19"/>
      <c r="I483" s="47"/>
      <c r="J483" s="48"/>
      <c r="K483" s="49"/>
    </row>
    <row r="484" spans="1:11" ht="12.75" hidden="1" x14ac:dyDescent="0.2">
      <c r="A484" s="16"/>
      <c r="B484" s="16"/>
      <c r="C484" s="15"/>
      <c r="D484" s="16"/>
      <c r="E484" s="17"/>
      <c r="F484" s="17"/>
      <c r="H484" s="19"/>
      <c r="I484" s="47"/>
      <c r="J484" s="48"/>
      <c r="K484" s="49"/>
    </row>
    <row r="485" spans="1:11" ht="12.75" hidden="1" x14ac:dyDescent="0.2">
      <c r="A485" s="16"/>
      <c r="B485" s="16"/>
      <c r="C485" s="15"/>
      <c r="D485" s="16"/>
      <c r="E485" s="17"/>
      <c r="F485" s="17"/>
      <c r="H485" s="19"/>
      <c r="I485" s="47"/>
      <c r="J485" s="48"/>
      <c r="K485" s="49"/>
    </row>
    <row r="486" spans="1:11" ht="12.75" hidden="1" x14ac:dyDescent="0.2">
      <c r="A486" s="16"/>
      <c r="B486" s="16"/>
      <c r="C486" s="15"/>
      <c r="D486" s="16"/>
      <c r="E486" s="17"/>
      <c r="F486" s="17"/>
      <c r="H486" s="19"/>
      <c r="I486" s="47"/>
      <c r="J486" s="48"/>
      <c r="K486" s="49"/>
    </row>
    <row r="487" spans="1:11" ht="12.75" hidden="1" x14ac:dyDescent="0.2">
      <c r="A487" s="16"/>
      <c r="B487" s="16"/>
      <c r="C487" s="15"/>
      <c r="D487" s="16"/>
      <c r="E487" s="17"/>
      <c r="F487" s="17"/>
      <c r="H487" s="19"/>
      <c r="I487" s="47"/>
      <c r="J487" s="48"/>
      <c r="K487" s="49"/>
    </row>
    <row r="488" spans="1:11" ht="12.75" hidden="1" x14ac:dyDescent="0.2">
      <c r="A488" s="16"/>
      <c r="B488" s="16"/>
      <c r="C488" s="15"/>
      <c r="D488" s="16"/>
      <c r="E488" s="17"/>
      <c r="F488" s="17"/>
      <c r="H488" s="19"/>
      <c r="I488" s="47"/>
      <c r="J488" s="48"/>
      <c r="K488" s="49"/>
    </row>
    <row r="489" spans="1:11" ht="12.75" hidden="1" x14ac:dyDescent="0.2">
      <c r="A489" s="16"/>
      <c r="B489" s="16"/>
      <c r="C489" s="15"/>
      <c r="D489" s="16"/>
      <c r="E489" s="17"/>
      <c r="F489" s="17"/>
      <c r="H489" s="19"/>
      <c r="I489" s="47"/>
      <c r="J489" s="48"/>
      <c r="K489" s="49"/>
    </row>
    <row r="490" spans="1:11" ht="12.75" hidden="1" x14ac:dyDescent="0.2">
      <c r="A490" s="16"/>
      <c r="B490" s="16"/>
      <c r="C490" s="15"/>
      <c r="D490" s="16"/>
      <c r="E490" s="17"/>
      <c r="F490" s="17"/>
      <c r="H490" s="19"/>
      <c r="I490" s="47"/>
      <c r="J490" s="48"/>
      <c r="K490" s="49"/>
    </row>
    <row r="491" spans="1:11" ht="12.75" hidden="1" x14ac:dyDescent="0.2">
      <c r="A491" s="16"/>
      <c r="B491" s="16"/>
      <c r="C491" s="15"/>
      <c r="D491" s="16"/>
      <c r="E491" s="17"/>
      <c r="F491" s="17"/>
      <c r="H491" s="19"/>
      <c r="I491" s="47"/>
      <c r="J491" s="48"/>
      <c r="K491" s="49"/>
    </row>
    <row r="492" spans="1:11" ht="12.75" hidden="1" x14ac:dyDescent="0.2">
      <c r="A492" s="16"/>
      <c r="B492" s="16"/>
      <c r="C492" s="15"/>
      <c r="D492" s="16"/>
      <c r="E492" s="17"/>
      <c r="F492" s="17"/>
      <c r="H492" s="19"/>
      <c r="I492" s="47"/>
      <c r="J492" s="48"/>
      <c r="K492" s="49"/>
    </row>
    <row r="493" spans="1:11" ht="12.75" hidden="1" x14ac:dyDescent="0.2">
      <c r="A493" s="16"/>
      <c r="B493" s="16"/>
      <c r="C493" s="15"/>
      <c r="D493" s="16"/>
      <c r="E493" s="17"/>
      <c r="F493" s="17"/>
      <c r="H493" s="19"/>
      <c r="I493" s="47"/>
      <c r="J493" s="48"/>
      <c r="K493" s="49"/>
    </row>
    <row r="494" spans="1:11" ht="12.75" hidden="1" x14ac:dyDescent="0.2">
      <c r="A494" s="16"/>
      <c r="B494" s="16"/>
      <c r="C494" s="15"/>
      <c r="D494" s="16"/>
      <c r="E494" s="17"/>
      <c r="F494" s="17"/>
      <c r="H494" s="19"/>
      <c r="I494" s="47"/>
      <c r="J494" s="48"/>
      <c r="K494" s="49"/>
    </row>
    <row r="495" spans="1:11" ht="12.75" hidden="1" x14ac:dyDescent="0.2">
      <c r="A495" s="16"/>
      <c r="B495" s="16"/>
      <c r="C495" s="15"/>
      <c r="D495" s="16"/>
      <c r="E495" s="17"/>
      <c r="F495" s="17"/>
      <c r="H495" s="19"/>
      <c r="I495" s="47"/>
      <c r="J495" s="48"/>
      <c r="K495" s="49"/>
    </row>
    <row r="496" spans="1:11" ht="12.75" hidden="1" x14ac:dyDescent="0.2">
      <c r="A496" s="16"/>
      <c r="B496" s="16"/>
      <c r="C496" s="15"/>
      <c r="D496" s="16"/>
      <c r="E496" s="17"/>
      <c r="F496" s="17"/>
      <c r="H496" s="19"/>
      <c r="I496" s="47"/>
      <c r="J496" s="48"/>
      <c r="K496" s="49"/>
    </row>
    <row r="497" spans="1:11" ht="12.75" hidden="1" x14ac:dyDescent="0.2">
      <c r="A497" s="16"/>
      <c r="B497" s="16"/>
      <c r="C497" s="15"/>
      <c r="D497" s="16"/>
      <c r="E497" s="17"/>
      <c r="F497" s="17"/>
      <c r="H497" s="19"/>
      <c r="I497" s="47"/>
      <c r="J497" s="48"/>
      <c r="K497" s="49"/>
    </row>
    <row r="498" spans="1:11" ht="12.75" hidden="1" x14ac:dyDescent="0.2">
      <c r="A498" s="16"/>
      <c r="B498" s="16"/>
      <c r="C498" s="15"/>
      <c r="D498" s="16"/>
      <c r="E498" s="17"/>
      <c r="F498" s="17"/>
      <c r="H498" s="19"/>
      <c r="I498" s="47"/>
      <c r="J498" s="48"/>
      <c r="K498" s="49"/>
    </row>
    <row r="499" spans="1:11" ht="12.75" hidden="1" x14ac:dyDescent="0.2">
      <c r="A499" s="16"/>
      <c r="B499" s="16"/>
      <c r="C499" s="15"/>
      <c r="D499" s="16"/>
      <c r="E499" s="17"/>
      <c r="F499" s="17"/>
      <c r="H499" s="19"/>
      <c r="I499" s="47"/>
      <c r="J499" s="48"/>
      <c r="K499" s="49"/>
    </row>
    <row r="500" spans="1:11" ht="12.75" hidden="1" x14ac:dyDescent="0.2">
      <c r="A500" s="16"/>
      <c r="B500" s="16"/>
      <c r="C500" s="15"/>
      <c r="D500" s="16"/>
      <c r="E500" s="17"/>
      <c r="F500" s="17"/>
      <c r="H500" s="19"/>
      <c r="I500" s="47"/>
      <c r="J500" s="48"/>
      <c r="K500" s="49"/>
    </row>
    <row r="501" spans="1:11" ht="12.75" hidden="1" x14ac:dyDescent="0.2">
      <c r="A501" s="16"/>
      <c r="B501" s="16"/>
      <c r="C501" s="15"/>
      <c r="D501" s="16"/>
      <c r="E501" s="17"/>
      <c r="F501" s="17"/>
      <c r="H501" s="19"/>
      <c r="I501" s="47"/>
      <c r="J501" s="48"/>
      <c r="K501" s="49"/>
    </row>
    <row r="502" spans="1:11" ht="12.75" hidden="1" x14ac:dyDescent="0.2">
      <c r="A502" s="16"/>
      <c r="B502" s="16"/>
      <c r="C502" s="15"/>
      <c r="D502" s="16"/>
      <c r="E502" s="17"/>
      <c r="F502" s="17"/>
      <c r="H502" s="19"/>
      <c r="I502" s="47"/>
      <c r="J502" s="48"/>
      <c r="K502" s="49"/>
    </row>
    <row r="503" spans="1:11" ht="12.75" hidden="1" x14ac:dyDescent="0.2">
      <c r="A503" s="16"/>
      <c r="B503" s="16"/>
      <c r="C503" s="15"/>
      <c r="D503" s="16"/>
      <c r="E503" s="17"/>
      <c r="F503" s="17"/>
      <c r="H503" s="19"/>
      <c r="I503" s="47"/>
      <c r="J503" s="48"/>
      <c r="K503" s="49"/>
    </row>
    <row r="504" spans="1:11" ht="12.75" hidden="1" x14ac:dyDescent="0.2">
      <c r="A504" s="16"/>
      <c r="B504" s="16"/>
      <c r="C504" s="15"/>
      <c r="D504" s="16"/>
      <c r="E504" s="17"/>
      <c r="F504" s="17"/>
      <c r="H504" s="19"/>
      <c r="I504" s="47"/>
      <c r="J504" s="48"/>
      <c r="K504" s="49"/>
    </row>
    <row r="505" spans="1:11" ht="12.75" hidden="1" x14ac:dyDescent="0.2">
      <c r="A505" s="16"/>
      <c r="B505" s="16"/>
      <c r="C505" s="15"/>
      <c r="D505" s="16"/>
      <c r="E505" s="17"/>
      <c r="F505" s="17"/>
      <c r="H505" s="19"/>
      <c r="I505" s="47"/>
      <c r="J505" s="48"/>
      <c r="K505" s="49"/>
    </row>
    <row r="506" spans="1:11" ht="12.75" hidden="1" x14ac:dyDescent="0.2">
      <c r="A506" s="16"/>
      <c r="B506" s="16"/>
      <c r="C506" s="15"/>
      <c r="D506" s="16"/>
      <c r="E506" s="17"/>
      <c r="F506" s="17"/>
      <c r="H506" s="19"/>
      <c r="I506" s="47"/>
      <c r="J506" s="48"/>
      <c r="K506" s="49"/>
    </row>
    <row r="507" spans="1:11" ht="12.75" hidden="1" x14ac:dyDescent="0.2">
      <c r="A507" s="16"/>
      <c r="B507" s="16"/>
      <c r="C507" s="15"/>
      <c r="D507" s="16"/>
      <c r="E507" s="17"/>
      <c r="F507" s="17"/>
      <c r="H507" s="19"/>
      <c r="I507" s="47"/>
      <c r="J507" s="48"/>
      <c r="K507" s="49"/>
    </row>
    <row r="508" spans="1:11" ht="12.75" hidden="1" x14ac:dyDescent="0.2">
      <c r="A508" s="16"/>
      <c r="B508" s="16"/>
      <c r="C508" s="15"/>
      <c r="D508" s="16"/>
      <c r="E508" s="17"/>
      <c r="F508" s="17"/>
      <c r="H508" s="19"/>
      <c r="I508" s="47"/>
      <c r="J508" s="48"/>
      <c r="K508" s="49"/>
    </row>
    <row r="509" spans="1:11" ht="12.75" hidden="1" x14ac:dyDescent="0.2">
      <c r="A509" s="16"/>
      <c r="B509" s="16"/>
      <c r="C509" s="15"/>
      <c r="D509" s="16"/>
      <c r="E509" s="17"/>
      <c r="F509" s="17"/>
      <c r="H509" s="19"/>
      <c r="I509" s="47"/>
      <c r="J509" s="48"/>
      <c r="K509" s="49"/>
    </row>
    <row r="510" spans="1:11" ht="12.75" hidden="1" x14ac:dyDescent="0.2">
      <c r="A510" s="16"/>
      <c r="B510" s="16"/>
      <c r="C510" s="15"/>
      <c r="D510" s="16"/>
      <c r="E510" s="17"/>
      <c r="F510" s="17"/>
      <c r="H510" s="19"/>
      <c r="I510" s="47"/>
      <c r="J510" s="48"/>
      <c r="K510" s="49"/>
    </row>
    <row r="511" spans="1:11" ht="12.75" hidden="1" x14ac:dyDescent="0.2">
      <c r="A511" s="16"/>
      <c r="B511" s="16"/>
      <c r="C511" s="15"/>
      <c r="D511" s="16"/>
      <c r="E511" s="17"/>
      <c r="F511" s="17"/>
      <c r="H511" s="19"/>
      <c r="I511" s="47"/>
      <c r="J511" s="48"/>
      <c r="K511" s="49"/>
    </row>
    <row r="512" spans="1:11" ht="12.75" hidden="1" x14ac:dyDescent="0.2">
      <c r="A512" s="16"/>
      <c r="B512" s="16"/>
      <c r="C512" s="15"/>
      <c r="D512" s="16"/>
      <c r="E512" s="17"/>
      <c r="F512" s="17"/>
      <c r="H512" s="19"/>
      <c r="I512" s="47"/>
      <c r="J512" s="48"/>
      <c r="K512" s="49"/>
    </row>
    <row r="513" spans="1:11" ht="12.75" hidden="1" x14ac:dyDescent="0.2">
      <c r="A513" s="16"/>
      <c r="B513" s="16"/>
      <c r="C513" s="15"/>
      <c r="D513" s="16"/>
      <c r="E513" s="17"/>
      <c r="F513" s="17"/>
      <c r="H513" s="19"/>
      <c r="I513" s="47"/>
      <c r="J513" s="48"/>
      <c r="K513" s="49"/>
    </row>
    <row r="514" spans="1:11" ht="12.75" hidden="1" x14ac:dyDescent="0.2">
      <c r="A514" s="16"/>
      <c r="B514" s="16"/>
      <c r="C514" s="15"/>
      <c r="D514" s="16"/>
      <c r="E514" s="17"/>
      <c r="F514" s="17"/>
      <c r="H514" s="19"/>
      <c r="I514" s="47"/>
      <c r="J514" s="48"/>
      <c r="K514" s="49"/>
    </row>
    <row r="515" spans="1:11" ht="12.75" hidden="1" x14ac:dyDescent="0.2">
      <c r="A515" s="16"/>
      <c r="B515" s="16"/>
      <c r="C515" s="15"/>
      <c r="D515" s="16"/>
      <c r="E515" s="17"/>
      <c r="F515" s="17"/>
      <c r="H515" s="19"/>
      <c r="I515" s="47"/>
      <c r="J515" s="48"/>
      <c r="K515" s="49"/>
    </row>
    <row r="516" spans="1:11" ht="12.75" hidden="1" x14ac:dyDescent="0.2">
      <c r="A516" s="16"/>
      <c r="B516" s="16"/>
      <c r="C516" s="15"/>
      <c r="D516" s="16"/>
      <c r="E516" s="17"/>
      <c r="F516" s="17"/>
      <c r="H516" s="19"/>
      <c r="I516" s="47"/>
      <c r="J516" s="48"/>
      <c r="K516" s="49"/>
    </row>
    <row r="517" spans="1:11" ht="12.75" hidden="1" x14ac:dyDescent="0.2">
      <c r="A517" s="16"/>
      <c r="B517" s="16"/>
      <c r="C517" s="15"/>
      <c r="D517" s="16"/>
      <c r="E517" s="17"/>
      <c r="F517" s="17"/>
      <c r="H517" s="19"/>
      <c r="I517" s="47"/>
      <c r="J517" s="48"/>
      <c r="K517" s="49"/>
    </row>
    <row r="518" spans="1:11" ht="12.75" hidden="1" x14ac:dyDescent="0.2">
      <c r="A518" s="16"/>
      <c r="B518" s="16"/>
      <c r="C518" s="15"/>
      <c r="D518" s="16"/>
      <c r="E518" s="17"/>
      <c r="F518" s="17"/>
      <c r="H518" s="19"/>
      <c r="I518" s="47"/>
      <c r="J518" s="48"/>
      <c r="K518" s="49"/>
    </row>
    <row r="519" spans="1:11" ht="12.75" hidden="1" x14ac:dyDescent="0.2">
      <c r="A519" s="16"/>
      <c r="B519" s="16"/>
      <c r="C519" s="15"/>
      <c r="D519" s="16"/>
      <c r="E519" s="17"/>
      <c r="F519" s="17"/>
      <c r="H519" s="19"/>
      <c r="I519" s="47"/>
      <c r="J519" s="48"/>
      <c r="K519" s="49"/>
    </row>
    <row r="520" spans="1:11" ht="12.75" hidden="1" x14ac:dyDescent="0.2">
      <c r="A520" s="16"/>
      <c r="B520" s="16"/>
      <c r="C520" s="15"/>
      <c r="D520" s="16"/>
      <c r="E520" s="17"/>
      <c r="F520" s="17"/>
      <c r="H520" s="19"/>
      <c r="I520" s="47"/>
      <c r="J520" s="48"/>
      <c r="K520" s="49"/>
    </row>
    <row r="521" spans="1:11" ht="12.75" hidden="1" x14ac:dyDescent="0.2">
      <c r="A521" s="16"/>
      <c r="B521" s="16"/>
      <c r="C521" s="15"/>
      <c r="D521" s="16"/>
      <c r="E521" s="17"/>
      <c r="F521" s="17"/>
      <c r="H521" s="19"/>
      <c r="I521" s="47"/>
      <c r="J521" s="48"/>
      <c r="K521" s="49"/>
    </row>
    <row r="522" spans="1:11" ht="12.75" hidden="1" x14ac:dyDescent="0.2">
      <c r="A522" s="16"/>
      <c r="B522" s="16"/>
      <c r="C522" s="15"/>
      <c r="D522" s="16"/>
      <c r="E522" s="17"/>
      <c r="F522" s="17"/>
      <c r="H522" s="19"/>
      <c r="I522" s="47"/>
      <c r="J522" s="48"/>
      <c r="K522" s="49"/>
    </row>
    <row r="523" spans="1:11" ht="12.75" hidden="1" x14ac:dyDescent="0.2">
      <c r="A523" s="16"/>
      <c r="B523" s="16"/>
      <c r="C523" s="15"/>
      <c r="D523" s="16"/>
      <c r="E523" s="17"/>
      <c r="F523" s="17"/>
      <c r="H523" s="19"/>
      <c r="I523" s="47"/>
      <c r="J523" s="48"/>
      <c r="K523" s="49"/>
    </row>
    <row r="524" spans="1:11" ht="12.75" hidden="1" x14ac:dyDescent="0.2">
      <c r="A524" s="16"/>
      <c r="B524" s="16"/>
      <c r="C524" s="15"/>
      <c r="D524" s="16"/>
      <c r="E524" s="17"/>
      <c r="F524" s="17"/>
      <c r="H524" s="19"/>
      <c r="I524" s="47"/>
      <c r="J524" s="48"/>
      <c r="K524" s="49"/>
    </row>
    <row r="525" spans="1:11" ht="12.75" hidden="1" x14ac:dyDescent="0.2">
      <c r="A525" s="16"/>
      <c r="B525" s="16"/>
      <c r="C525" s="15"/>
      <c r="D525" s="16"/>
      <c r="E525" s="17"/>
      <c r="F525" s="17"/>
      <c r="H525" s="19"/>
      <c r="I525" s="47"/>
      <c r="J525" s="48"/>
      <c r="K525" s="49"/>
    </row>
    <row r="526" spans="1:11" ht="12.75" hidden="1" x14ac:dyDescent="0.2">
      <c r="A526" s="16"/>
      <c r="B526" s="16"/>
      <c r="C526" s="15"/>
      <c r="D526" s="16"/>
      <c r="E526" s="17"/>
      <c r="F526" s="17"/>
      <c r="H526" s="19"/>
      <c r="I526" s="47"/>
      <c r="J526" s="48"/>
      <c r="K526" s="49"/>
    </row>
    <row r="527" spans="1:11" ht="12.75" hidden="1" x14ac:dyDescent="0.2">
      <c r="A527" s="16"/>
      <c r="B527" s="16"/>
      <c r="C527" s="15"/>
      <c r="D527" s="16"/>
      <c r="E527" s="17"/>
      <c r="F527" s="17"/>
      <c r="H527" s="19"/>
      <c r="I527" s="47"/>
      <c r="J527" s="48"/>
      <c r="K527" s="49"/>
    </row>
    <row r="528" spans="1:11" ht="12.75" hidden="1" x14ac:dyDescent="0.2">
      <c r="A528" s="16"/>
      <c r="B528" s="16"/>
      <c r="C528" s="15"/>
      <c r="D528" s="16"/>
      <c r="E528" s="17"/>
      <c r="F528" s="17"/>
      <c r="H528" s="19"/>
      <c r="I528" s="47"/>
      <c r="J528" s="48"/>
      <c r="K528" s="49"/>
    </row>
    <row r="529" spans="1:11" ht="12.75" hidden="1" x14ac:dyDescent="0.2">
      <c r="A529" s="16"/>
      <c r="B529" s="16"/>
      <c r="C529" s="15"/>
      <c r="D529" s="16"/>
      <c r="E529" s="17"/>
      <c r="F529" s="17"/>
      <c r="H529" s="19"/>
      <c r="I529" s="47"/>
      <c r="J529" s="48"/>
      <c r="K529" s="49"/>
    </row>
    <row r="530" spans="1:11" ht="12.75" hidden="1" x14ac:dyDescent="0.2">
      <c r="A530" s="16"/>
      <c r="B530" s="16"/>
      <c r="C530" s="15"/>
      <c r="D530" s="16"/>
      <c r="E530" s="17"/>
      <c r="F530" s="17"/>
      <c r="H530" s="19"/>
      <c r="I530" s="47"/>
      <c r="J530" s="48"/>
      <c r="K530" s="49"/>
    </row>
    <row r="531" spans="1:11" ht="12.75" hidden="1" x14ac:dyDescent="0.2">
      <c r="A531" s="16"/>
      <c r="B531" s="16"/>
      <c r="C531" s="15"/>
      <c r="D531" s="16"/>
      <c r="E531" s="17"/>
      <c r="F531" s="17"/>
      <c r="H531" s="19"/>
      <c r="I531" s="47"/>
      <c r="J531" s="48"/>
      <c r="K531" s="49"/>
    </row>
    <row r="532" spans="1:11" ht="12.75" hidden="1" x14ac:dyDescent="0.2">
      <c r="A532" s="16"/>
      <c r="B532" s="16"/>
      <c r="C532" s="15"/>
      <c r="D532" s="16"/>
      <c r="E532" s="17"/>
      <c r="F532" s="17"/>
      <c r="H532" s="19"/>
      <c r="I532" s="47"/>
      <c r="J532" s="48"/>
      <c r="K532" s="49"/>
    </row>
    <row r="533" spans="1:11" ht="12.75" hidden="1" x14ac:dyDescent="0.2">
      <c r="A533" s="16"/>
      <c r="B533" s="16"/>
      <c r="C533" s="15"/>
      <c r="D533" s="16"/>
      <c r="E533" s="17"/>
      <c r="F533" s="17"/>
      <c r="H533" s="19"/>
      <c r="I533" s="47"/>
      <c r="J533" s="48"/>
      <c r="K533" s="49"/>
    </row>
    <row r="534" spans="1:11" ht="12.75" hidden="1" x14ac:dyDescent="0.2">
      <c r="A534" s="16"/>
      <c r="B534" s="16"/>
      <c r="C534" s="15"/>
      <c r="D534" s="16"/>
      <c r="E534" s="17"/>
      <c r="F534" s="17"/>
      <c r="H534" s="19"/>
      <c r="I534" s="47"/>
      <c r="J534" s="48"/>
      <c r="K534" s="49"/>
    </row>
    <row r="535" spans="1:11" ht="12.75" hidden="1" x14ac:dyDescent="0.2">
      <c r="A535" s="16"/>
      <c r="B535" s="16"/>
      <c r="C535" s="15"/>
      <c r="D535" s="16"/>
      <c r="E535" s="17"/>
      <c r="F535" s="17"/>
      <c r="H535" s="19"/>
      <c r="I535" s="47"/>
      <c r="J535" s="48"/>
      <c r="K535" s="49"/>
    </row>
    <row r="536" spans="1:11" ht="12.75" hidden="1" x14ac:dyDescent="0.2">
      <c r="A536" s="16"/>
      <c r="B536" s="16"/>
      <c r="C536" s="15"/>
      <c r="D536" s="16"/>
      <c r="E536" s="17"/>
      <c r="F536" s="17"/>
      <c r="H536" s="19"/>
      <c r="I536" s="47"/>
      <c r="J536" s="48"/>
      <c r="K536" s="49"/>
    </row>
    <row r="537" spans="1:11" ht="12.75" hidden="1" x14ac:dyDescent="0.2">
      <c r="A537" s="16"/>
      <c r="B537" s="16"/>
      <c r="C537" s="15"/>
      <c r="D537" s="16"/>
      <c r="E537" s="17"/>
      <c r="F537" s="17"/>
      <c r="H537" s="19"/>
      <c r="I537" s="47"/>
      <c r="J537" s="48"/>
      <c r="K537" s="49"/>
    </row>
    <row r="538" spans="1:11" ht="12.75" hidden="1" x14ac:dyDescent="0.2">
      <c r="A538" s="16"/>
      <c r="B538" s="16"/>
      <c r="C538" s="15"/>
      <c r="D538" s="16"/>
      <c r="E538" s="17"/>
      <c r="F538" s="17"/>
      <c r="H538" s="19"/>
      <c r="I538" s="47"/>
      <c r="J538" s="48"/>
      <c r="K538" s="49"/>
    </row>
    <row r="539" spans="1:11" ht="12.75" hidden="1" x14ac:dyDescent="0.2">
      <c r="A539" s="16"/>
      <c r="B539" s="16"/>
      <c r="C539" s="15"/>
      <c r="D539" s="16"/>
      <c r="E539" s="17"/>
      <c r="F539" s="17"/>
      <c r="H539" s="19"/>
      <c r="I539" s="47"/>
      <c r="J539" s="48"/>
      <c r="K539" s="49"/>
    </row>
    <row r="540" spans="1:11" ht="12.75" hidden="1" x14ac:dyDescent="0.2">
      <c r="A540" s="16"/>
      <c r="B540" s="16"/>
      <c r="C540" s="15"/>
      <c r="D540" s="16"/>
      <c r="E540" s="17"/>
      <c r="F540" s="17"/>
      <c r="H540" s="19"/>
      <c r="I540" s="47"/>
      <c r="J540" s="48"/>
      <c r="K540" s="49"/>
    </row>
    <row r="541" spans="1:11" ht="12.75" hidden="1" x14ac:dyDescent="0.2">
      <c r="A541" s="16"/>
      <c r="B541" s="16"/>
      <c r="C541" s="15"/>
      <c r="D541" s="16"/>
      <c r="E541" s="17"/>
      <c r="F541" s="17"/>
      <c r="H541" s="19"/>
      <c r="I541" s="47"/>
      <c r="J541" s="48"/>
      <c r="K541" s="49"/>
    </row>
    <row r="542" spans="1:11" ht="12.75" hidden="1" x14ac:dyDescent="0.2">
      <c r="A542" s="16"/>
      <c r="B542" s="16"/>
      <c r="C542" s="15"/>
      <c r="D542" s="16"/>
      <c r="E542" s="17"/>
      <c r="F542" s="17"/>
      <c r="H542" s="19"/>
      <c r="I542" s="47"/>
      <c r="J542" s="48"/>
      <c r="K542" s="49"/>
    </row>
    <row r="543" spans="1:11" ht="12.75" hidden="1" x14ac:dyDescent="0.2">
      <c r="A543" s="16"/>
      <c r="B543" s="16"/>
      <c r="C543" s="15"/>
      <c r="D543" s="16"/>
      <c r="E543" s="17"/>
      <c r="F543" s="17"/>
      <c r="H543" s="19"/>
      <c r="I543" s="47"/>
      <c r="J543" s="48"/>
      <c r="K543" s="49"/>
    </row>
    <row r="544" spans="1:11" ht="12.75" hidden="1" x14ac:dyDescent="0.2">
      <c r="A544" s="16"/>
      <c r="B544" s="16"/>
      <c r="C544" s="15"/>
      <c r="D544" s="16"/>
      <c r="E544" s="17"/>
      <c r="F544" s="17"/>
      <c r="H544" s="19"/>
      <c r="I544" s="47"/>
      <c r="J544" s="48"/>
      <c r="K544" s="49"/>
    </row>
    <row r="545" spans="1:11" ht="12.75" hidden="1" x14ac:dyDescent="0.2">
      <c r="A545" s="16"/>
      <c r="B545" s="16"/>
      <c r="C545" s="15"/>
      <c r="D545" s="16"/>
      <c r="E545" s="17"/>
      <c r="F545" s="17"/>
      <c r="H545" s="19"/>
      <c r="I545" s="47"/>
      <c r="J545" s="48"/>
      <c r="K545" s="49"/>
    </row>
    <row r="546" spans="1:11" ht="12.75" hidden="1" x14ac:dyDescent="0.2">
      <c r="A546" s="16"/>
      <c r="B546" s="16"/>
      <c r="C546" s="15"/>
      <c r="D546" s="16"/>
      <c r="E546" s="17"/>
      <c r="F546" s="17"/>
      <c r="H546" s="19"/>
      <c r="I546" s="47"/>
      <c r="J546" s="48"/>
      <c r="K546" s="49"/>
    </row>
    <row r="547" spans="1:11" ht="12.75" hidden="1" x14ac:dyDescent="0.2">
      <c r="A547" s="16"/>
      <c r="B547" s="16"/>
      <c r="C547" s="15"/>
      <c r="D547" s="16"/>
      <c r="E547" s="17"/>
      <c r="F547" s="17"/>
      <c r="H547" s="19"/>
      <c r="I547" s="47"/>
      <c r="J547" s="48"/>
      <c r="K547" s="49"/>
    </row>
    <row r="548" spans="1:11" ht="12.75" hidden="1" x14ac:dyDescent="0.2">
      <c r="A548" s="16"/>
      <c r="B548" s="16"/>
      <c r="C548" s="15"/>
      <c r="D548" s="16"/>
      <c r="E548" s="17"/>
      <c r="F548" s="17"/>
      <c r="H548" s="19"/>
      <c r="I548" s="47"/>
      <c r="J548" s="48"/>
      <c r="K548" s="49"/>
    </row>
    <row r="549" spans="1:11" ht="12.75" hidden="1" x14ac:dyDescent="0.2">
      <c r="A549" s="16"/>
      <c r="B549" s="16"/>
      <c r="C549" s="15"/>
      <c r="D549" s="16"/>
      <c r="E549" s="17"/>
      <c r="F549" s="17"/>
      <c r="H549" s="19"/>
      <c r="I549" s="47"/>
      <c r="J549" s="48"/>
      <c r="K549" s="49"/>
    </row>
    <row r="550" spans="1:11" ht="12.75" hidden="1" x14ac:dyDescent="0.2">
      <c r="A550" s="16"/>
      <c r="B550" s="16"/>
      <c r="C550" s="15"/>
      <c r="D550" s="16"/>
      <c r="E550" s="17"/>
      <c r="F550" s="17"/>
      <c r="H550" s="19"/>
      <c r="I550" s="47"/>
      <c r="J550" s="48"/>
      <c r="K550" s="49"/>
    </row>
    <row r="551" spans="1:11" ht="12.75" hidden="1" x14ac:dyDescent="0.2">
      <c r="A551" s="16"/>
      <c r="B551" s="16"/>
      <c r="C551" s="15"/>
      <c r="D551" s="16"/>
      <c r="E551" s="17"/>
      <c r="F551" s="17"/>
      <c r="H551" s="19"/>
      <c r="I551" s="47"/>
      <c r="J551" s="48"/>
      <c r="K551" s="49"/>
    </row>
    <row r="552" spans="1:11" ht="12.75" hidden="1" x14ac:dyDescent="0.2">
      <c r="A552" s="16"/>
      <c r="B552" s="16"/>
      <c r="C552" s="15"/>
      <c r="D552" s="16"/>
      <c r="E552" s="17"/>
      <c r="F552" s="17"/>
      <c r="H552" s="19"/>
      <c r="I552" s="47"/>
      <c r="J552" s="48"/>
      <c r="K552" s="49"/>
    </row>
    <row r="553" spans="1:11" ht="12.75" hidden="1" x14ac:dyDescent="0.2">
      <c r="A553" s="16"/>
      <c r="B553" s="16"/>
      <c r="C553" s="15"/>
      <c r="D553" s="16"/>
      <c r="E553" s="17"/>
      <c r="F553" s="17"/>
      <c r="H553" s="19"/>
      <c r="I553" s="47"/>
      <c r="J553" s="48"/>
      <c r="K553" s="49"/>
    </row>
    <row r="554" spans="1:11" ht="12.75" hidden="1" x14ac:dyDescent="0.2">
      <c r="A554" s="16"/>
      <c r="B554" s="16"/>
      <c r="C554" s="15"/>
      <c r="D554" s="16"/>
      <c r="E554" s="17"/>
      <c r="F554" s="17"/>
      <c r="H554" s="19"/>
      <c r="I554" s="47"/>
      <c r="J554" s="48"/>
      <c r="K554" s="49"/>
    </row>
    <row r="555" spans="1:11" ht="12.75" hidden="1" x14ac:dyDescent="0.2">
      <c r="A555" s="16"/>
      <c r="B555" s="16"/>
      <c r="C555" s="15"/>
      <c r="D555" s="16"/>
      <c r="E555" s="17"/>
      <c r="F555" s="17"/>
      <c r="H555" s="19"/>
      <c r="I555" s="47"/>
      <c r="J555" s="48"/>
      <c r="K555" s="49"/>
    </row>
    <row r="556" spans="1:11" ht="12.75" hidden="1" x14ac:dyDescent="0.2">
      <c r="A556" s="16"/>
      <c r="B556" s="16"/>
      <c r="C556" s="15"/>
      <c r="D556" s="16"/>
      <c r="E556" s="17"/>
      <c r="F556" s="17"/>
      <c r="H556" s="19"/>
      <c r="I556" s="47"/>
      <c r="J556" s="48"/>
      <c r="K556" s="49"/>
    </row>
    <row r="557" spans="1:11" ht="12.75" hidden="1" x14ac:dyDescent="0.2">
      <c r="A557" s="16"/>
      <c r="B557" s="16"/>
      <c r="C557" s="15"/>
      <c r="D557" s="16"/>
      <c r="E557" s="17"/>
      <c r="F557" s="17"/>
      <c r="H557" s="19"/>
      <c r="I557" s="47"/>
      <c r="J557" s="48"/>
      <c r="K557" s="49"/>
    </row>
    <row r="558" spans="1:11" ht="12.75" hidden="1" x14ac:dyDescent="0.2">
      <c r="A558" s="16"/>
      <c r="B558" s="16"/>
      <c r="C558" s="15"/>
      <c r="D558" s="16"/>
      <c r="E558" s="17"/>
      <c r="F558" s="17"/>
      <c r="H558" s="19"/>
      <c r="I558" s="47"/>
      <c r="J558" s="48"/>
      <c r="K558" s="49"/>
    </row>
    <row r="559" spans="1:11" ht="12.75" hidden="1" x14ac:dyDescent="0.2">
      <c r="A559" s="16"/>
      <c r="B559" s="16"/>
      <c r="C559" s="15"/>
      <c r="D559" s="16"/>
      <c r="E559" s="17"/>
      <c r="F559" s="17"/>
      <c r="H559" s="19"/>
      <c r="I559" s="47"/>
      <c r="J559" s="48"/>
      <c r="K559" s="49"/>
    </row>
    <row r="560" spans="1:11" ht="12.75" hidden="1" x14ac:dyDescent="0.2">
      <c r="A560" s="16"/>
      <c r="B560" s="16"/>
      <c r="C560" s="15"/>
      <c r="D560" s="16"/>
      <c r="E560" s="17"/>
      <c r="F560" s="17"/>
      <c r="H560" s="19"/>
      <c r="I560" s="47"/>
      <c r="J560" s="48"/>
      <c r="K560" s="49"/>
    </row>
    <row r="561" spans="1:11" ht="12.75" hidden="1" x14ac:dyDescent="0.2">
      <c r="A561" s="16"/>
      <c r="B561" s="16"/>
      <c r="C561" s="15"/>
      <c r="D561" s="16"/>
      <c r="E561" s="17"/>
      <c r="F561" s="17"/>
      <c r="H561" s="19"/>
      <c r="I561" s="47"/>
      <c r="J561" s="48"/>
      <c r="K561" s="49"/>
    </row>
    <row r="562" spans="1:11" ht="12.75" hidden="1" x14ac:dyDescent="0.2">
      <c r="A562" s="16"/>
      <c r="B562" s="16"/>
      <c r="C562" s="15"/>
      <c r="D562" s="16"/>
      <c r="E562" s="17"/>
      <c r="F562" s="17"/>
      <c r="H562" s="19"/>
      <c r="I562" s="47"/>
      <c r="J562" s="48"/>
      <c r="K562" s="49"/>
    </row>
    <row r="563" spans="1:11" ht="12.75" hidden="1" x14ac:dyDescent="0.2">
      <c r="A563" s="16"/>
      <c r="B563" s="16"/>
      <c r="C563" s="15"/>
      <c r="D563" s="16"/>
      <c r="E563" s="17"/>
      <c r="F563" s="17"/>
      <c r="H563" s="19"/>
      <c r="I563" s="47"/>
      <c r="J563" s="48"/>
      <c r="K563" s="49"/>
    </row>
    <row r="564" spans="1:11" ht="12.75" hidden="1" x14ac:dyDescent="0.2">
      <c r="A564" s="16"/>
      <c r="B564" s="16"/>
      <c r="C564" s="15"/>
      <c r="D564" s="16"/>
      <c r="E564" s="17"/>
      <c r="F564" s="17"/>
      <c r="H564" s="19"/>
      <c r="I564" s="47"/>
      <c r="J564" s="48"/>
      <c r="K564" s="49"/>
    </row>
    <row r="565" spans="1:11" ht="12.75" hidden="1" x14ac:dyDescent="0.2">
      <c r="A565" s="16"/>
      <c r="B565" s="16"/>
      <c r="C565" s="15"/>
      <c r="D565" s="16"/>
      <c r="E565" s="17"/>
      <c r="F565" s="17"/>
      <c r="H565" s="19"/>
      <c r="I565" s="47"/>
      <c r="J565" s="48"/>
      <c r="K565" s="49"/>
    </row>
    <row r="566" spans="1:11" ht="12.75" hidden="1" x14ac:dyDescent="0.2">
      <c r="A566" s="16"/>
      <c r="B566" s="16"/>
      <c r="C566" s="15"/>
      <c r="D566" s="16"/>
      <c r="E566" s="17"/>
      <c r="F566" s="17"/>
      <c r="H566" s="19"/>
      <c r="I566" s="47"/>
      <c r="J566" s="48"/>
      <c r="K566" s="49"/>
    </row>
    <row r="567" spans="1:11" ht="12.75" hidden="1" x14ac:dyDescent="0.2">
      <c r="A567" s="16"/>
      <c r="B567" s="16"/>
      <c r="C567" s="15"/>
      <c r="D567" s="16"/>
      <c r="E567" s="17"/>
      <c r="F567" s="17"/>
      <c r="H567" s="19"/>
      <c r="I567" s="47"/>
      <c r="J567" s="48"/>
      <c r="K567" s="49"/>
    </row>
    <row r="568" spans="1:11" ht="12.75" hidden="1" x14ac:dyDescent="0.2">
      <c r="A568" s="16"/>
      <c r="B568" s="16"/>
      <c r="C568" s="15"/>
      <c r="D568" s="16"/>
      <c r="E568" s="17"/>
      <c r="F568" s="17"/>
      <c r="H568" s="19"/>
      <c r="I568" s="47"/>
      <c r="J568" s="48"/>
      <c r="K568" s="49"/>
    </row>
    <row r="569" spans="1:11" ht="12.75" hidden="1" x14ac:dyDescent="0.2">
      <c r="A569" s="16"/>
      <c r="B569" s="16"/>
      <c r="C569" s="15"/>
      <c r="D569" s="16"/>
      <c r="E569" s="17"/>
      <c r="F569" s="17"/>
      <c r="H569" s="19"/>
      <c r="I569" s="47"/>
      <c r="J569" s="48"/>
      <c r="K569" s="49"/>
    </row>
    <row r="570" spans="1:11" ht="12.75" hidden="1" x14ac:dyDescent="0.2">
      <c r="A570" s="16"/>
      <c r="B570" s="16"/>
      <c r="C570" s="15"/>
      <c r="D570" s="16"/>
      <c r="E570" s="17"/>
      <c r="F570" s="17"/>
      <c r="H570" s="19"/>
      <c r="I570" s="47"/>
      <c r="J570" s="48"/>
      <c r="K570" s="49"/>
    </row>
    <row r="571" spans="1:11" ht="12.75" hidden="1" x14ac:dyDescent="0.2">
      <c r="A571" s="16"/>
      <c r="B571" s="16"/>
      <c r="C571" s="15"/>
      <c r="D571" s="16"/>
      <c r="E571" s="17"/>
      <c r="F571" s="17"/>
      <c r="H571" s="19"/>
      <c r="I571" s="47"/>
      <c r="J571" s="48"/>
      <c r="K571" s="49"/>
    </row>
    <row r="572" spans="1:11" ht="12.75" hidden="1" x14ac:dyDescent="0.2">
      <c r="A572" s="16"/>
      <c r="B572" s="16"/>
      <c r="C572" s="15"/>
      <c r="D572" s="16"/>
      <c r="E572" s="17"/>
      <c r="F572" s="17"/>
      <c r="H572" s="19"/>
      <c r="I572" s="47"/>
      <c r="J572" s="48"/>
      <c r="K572" s="49"/>
    </row>
    <row r="573" spans="1:11" ht="12.75" hidden="1" x14ac:dyDescent="0.2">
      <c r="A573" s="16"/>
      <c r="B573" s="16"/>
      <c r="C573" s="15"/>
      <c r="D573" s="16"/>
      <c r="E573" s="17"/>
      <c r="F573" s="17"/>
      <c r="H573" s="19"/>
      <c r="I573" s="47"/>
      <c r="J573" s="48"/>
      <c r="K573" s="49"/>
    </row>
    <row r="574" spans="1:11" ht="12.75" hidden="1" x14ac:dyDescent="0.2">
      <c r="A574" s="16"/>
      <c r="B574" s="16"/>
      <c r="C574" s="15"/>
      <c r="D574" s="16"/>
      <c r="E574" s="17"/>
      <c r="F574" s="17"/>
      <c r="H574" s="19"/>
      <c r="I574" s="47"/>
      <c r="J574" s="48"/>
      <c r="K574" s="49"/>
    </row>
    <row r="575" spans="1:11" ht="12.75" hidden="1" x14ac:dyDescent="0.2">
      <c r="A575" s="16"/>
      <c r="B575" s="16"/>
      <c r="C575" s="15"/>
      <c r="D575" s="16"/>
      <c r="E575" s="17"/>
      <c r="F575" s="17"/>
      <c r="H575" s="19"/>
      <c r="I575" s="47"/>
      <c r="J575" s="48"/>
      <c r="K575" s="49"/>
    </row>
    <row r="576" spans="1:11" ht="12.75" hidden="1" x14ac:dyDescent="0.2">
      <c r="A576" s="16"/>
      <c r="B576" s="16"/>
      <c r="C576" s="15"/>
      <c r="D576" s="16"/>
      <c r="E576" s="17"/>
      <c r="F576" s="17"/>
      <c r="H576" s="19"/>
      <c r="I576" s="47"/>
      <c r="J576" s="48"/>
      <c r="K576" s="49"/>
    </row>
    <row r="577" spans="1:11" ht="12.75" hidden="1" x14ac:dyDescent="0.2">
      <c r="A577" s="16"/>
      <c r="B577" s="16"/>
      <c r="C577" s="15"/>
      <c r="D577" s="16"/>
      <c r="E577" s="17"/>
      <c r="F577" s="17"/>
      <c r="H577" s="19"/>
      <c r="I577" s="47"/>
      <c r="J577" s="48"/>
      <c r="K577" s="49"/>
    </row>
    <row r="578" spans="1:11" ht="12.75" hidden="1" x14ac:dyDescent="0.2">
      <c r="A578" s="16"/>
      <c r="B578" s="16"/>
      <c r="C578" s="15"/>
      <c r="D578" s="16"/>
      <c r="E578" s="17"/>
      <c r="F578" s="17"/>
      <c r="H578" s="19"/>
      <c r="I578" s="47"/>
      <c r="J578" s="48"/>
      <c r="K578" s="49"/>
    </row>
    <row r="579" spans="1:11" ht="12.75" hidden="1" x14ac:dyDescent="0.2">
      <c r="A579" s="16"/>
      <c r="B579" s="16"/>
      <c r="C579" s="15"/>
      <c r="D579" s="16"/>
      <c r="E579" s="17"/>
      <c r="F579" s="17"/>
      <c r="H579" s="19"/>
      <c r="I579" s="47"/>
      <c r="J579" s="48"/>
      <c r="K579" s="49"/>
    </row>
    <row r="580" spans="1:11" ht="12.75" hidden="1" x14ac:dyDescent="0.2">
      <c r="A580" s="16"/>
      <c r="B580" s="16"/>
      <c r="C580" s="15"/>
      <c r="D580" s="16"/>
      <c r="E580" s="17"/>
      <c r="F580" s="17"/>
      <c r="H580" s="19"/>
      <c r="I580" s="47"/>
      <c r="J580" s="48"/>
      <c r="K580" s="49"/>
    </row>
    <row r="581" spans="1:11" ht="12.75" hidden="1" x14ac:dyDescent="0.2">
      <c r="A581" s="16"/>
      <c r="B581" s="16"/>
      <c r="C581" s="15"/>
      <c r="D581" s="16"/>
      <c r="E581" s="17"/>
      <c r="F581" s="17"/>
      <c r="H581" s="19"/>
      <c r="I581" s="47"/>
      <c r="J581" s="48"/>
      <c r="K581" s="49"/>
    </row>
    <row r="582" spans="1:11" ht="12.75" hidden="1" x14ac:dyDescent="0.2">
      <c r="A582" s="16"/>
      <c r="B582" s="16"/>
      <c r="C582" s="15"/>
      <c r="D582" s="16"/>
      <c r="E582" s="17"/>
      <c r="F582" s="17"/>
      <c r="H582" s="19"/>
      <c r="I582" s="47"/>
      <c r="J582" s="48"/>
      <c r="K582" s="49"/>
    </row>
    <row r="583" spans="1:11" ht="12.75" hidden="1" x14ac:dyDescent="0.2">
      <c r="A583" s="16"/>
      <c r="B583" s="16"/>
      <c r="C583" s="15"/>
      <c r="D583" s="16"/>
      <c r="E583" s="17"/>
      <c r="F583" s="17"/>
      <c r="H583" s="19"/>
      <c r="I583" s="47"/>
      <c r="J583" s="48"/>
      <c r="K583" s="49"/>
    </row>
    <row r="584" spans="1:11" ht="12.75" hidden="1" x14ac:dyDescent="0.2">
      <c r="A584" s="16"/>
      <c r="B584" s="16"/>
      <c r="C584" s="15"/>
      <c r="D584" s="16"/>
      <c r="E584" s="17"/>
      <c r="F584" s="17"/>
      <c r="H584" s="19"/>
      <c r="I584" s="47"/>
      <c r="J584" s="48"/>
      <c r="K584" s="49"/>
    </row>
    <row r="585" spans="1:11" ht="12.75" hidden="1" x14ac:dyDescent="0.2">
      <c r="A585" s="16"/>
      <c r="B585" s="16"/>
      <c r="C585" s="15"/>
      <c r="D585" s="16"/>
      <c r="E585" s="17"/>
      <c r="F585" s="17"/>
      <c r="H585" s="19"/>
      <c r="I585" s="47"/>
      <c r="J585" s="48"/>
      <c r="K585" s="49"/>
    </row>
    <row r="586" spans="1:11" ht="12.75" hidden="1" x14ac:dyDescent="0.2">
      <c r="A586" s="16"/>
      <c r="B586" s="16"/>
      <c r="C586" s="15"/>
      <c r="D586" s="16"/>
      <c r="E586" s="17"/>
      <c r="F586" s="17"/>
      <c r="H586" s="19"/>
      <c r="I586" s="47"/>
      <c r="J586" s="48"/>
      <c r="K586" s="49"/>
    </row>
    <row r="587" spans="1:11" ht="12.75" hidden="1" x14ac:dyDescent="0.2">
      <c r="A587" s="16"/>
      <c r="B587" s="16"/>
      <c r="C587" s="15"/>
      <c r="D587" s="16"/>
      <c r="E587" s="17"/>
      <c r="F587" s="17"/>
      <c r="H587" s="19"/>
      <c r="I587" s="47"/>
      <c r="J587" s="48"/>
      <c r="K587" s="49"/>
    </row>
    <row r="588" spans="1:11" ht="12.75" hidden="1" x14ac:dyDescent="0.2">
      <c r="A588" s="16"/>
      <c r="B588" s="16"/>
      <c r="C588" s="15"/>
      <c r="D588" s="16"/>
      <c r="E588" s="17"/>
      <c r="F588" s="17"/>
      <c r="H588" s="19"/>
      <c r="I588" s="47"/>
      <c r="J588" s="48"/>
      <c r="K588" s="49"/>
    </row>
    <row r="589" spans="1:11" ht="12.75" hidden="1" x14ac:dyDescent="0.2">
      <c r="A589" s="16"/>
      <c r="B589" s="16"/>
      <c r="C589" s="15"/>
      <c r="D589" s="16"/>
      <c r="E589" s="17"/>
      <c r="F589" s="17"/>
      <c r="H589" s="19"/>
      <c r="I589" s="47"/>
      <c r="J589" s="48"/>
      <c r="K589" s="49"/>
    </row>
    <row r="590" spans="1:11" ht="12.75" hidden="1" x14ac:dyDescent="0.2">
      <c r="A590" s="16"/>
      <c r="B590" s="16"/>
      <c r="C590" s="15"/>
      <c r="D590" s="16"/>
      <c r="E590" s="17"/>
      <c r="F590" s="17"/>
      <c r="H590" s="19"/>
      <c r="I590" s="47"/>
      <c r="J590" s="48"/>
      <c r="K590" s="49"/>
    </row>
    <row r="591" spans="1:11" ht="12.75" hidden="1" x14ac:dyDescent="0.2">
      <c r="A591" s="16"/>
      <c r="B591" s="16"/>
      <c r="C591" s="15"/>
      <c r="D591" s="16"/>
      <c r="E591" s="17"/>
      <c r="F591" s="17"/>
      <c r="H591" s="19"/>
      <c r="I591" s="47"/>
      <c r="J591" s="48"/>
      <c r="K591" s="49"/>
    </row>
    <row r="592" spans="1:11" ht="12.75" hidden="1" x14ac:dyDescent="0.2">
      <c r="A592" s="16"/>
      <c r="B592" s="16"/>
      <c r="C592" s="15"/>
      <c r="D592" s="16"/>
      <c r="E592" s="17"/>
      <c r="F592" s="17"/>
      <c r="H592" s="19"/>
      <c r="I592" s="47"/>
      <c r="J592" s="48"/>
      <c r="K592" s="49"/>
    </row>
    <row r="593" spans="1:11" ht="12.75" hidden="1" x14ac:dyDescent="0.2">
      <c r="A593" s="16"/>
      <c r="B593" s="16"/>
      <c r="C593" s="15"/>
      <c r="D593" s="16"/>
      <c r="E593" s="17"/>
      <c r="F593" s="17"/>
      <c r="H593" s="19"/>
      <c r="I593" s="47"/>
      <c r="J593" s="48"/>
      <c r="K593" s="49"/>
    </row>
    <row r="594" spans="1:11" ht="12.75" hidden="1" x14ac:dyDescent="0.2">
      <c r="A594" s="16"/>
      <c r="B594" s="16"/>
      <c r="C594" s="15"/>
      <c r="D594" s="16"/>
      <c r="E594" s="17"/>
      <c r="F594" s="17"/>
      <c r="H594" s="19"/>
      <c r="I594" s="47"/>
      <c r="J594" s="48"/>
      <c r="K594" s="49"/>
    </row>
    <row r="595" spans="1:11" ht="12.75" hidden="1" x14ac:dyDescent="0.2">
      <c r="A595" s="16"/>
      <c r="B595" s="16"/>
      <c r="C595" s="15"/>
      <c r="D595" s="16"/>
      <c r="E595" s="17"/>
      <c r="F595" s="17"/>
      <c r="H595" s="19"/>
      <c r="I595" s="47"/>
      <c r="J595" s="48"/>
      <c r="K595" s="49"/>
    </row>
    <row r="596" spans="1:11" ht="12.75" hidden="1" x14ac:dyDescent="0.2">
      <c r="A596" s="16"/>
      <c r="B596" s="16"/>
      <c r="C596" s="15"/>
      <c r="D596" s="16"/>
      <c r="E596" s="17"/>
      <c r="F596" s="17"/>
      <c r="H596" s="19"/>
      <c r="I596" s="47"/>
      <c r="J596" s="48"/>
      <c r="K596" s="49"/>
    </row>
    <row r="597" spans="1:11" ht="12.75" hidden="1" x14ac:dyDescent="0.2">
      <c r="A597" s="16"/>
      <c r="B597" s="16"/>
      <c r="C597" s="15"/>
      <c r="D597" s="16"/>
      <c r="E597" s="17"/>
      <c r="F597" s="17"/>
      <c r="H597" s="19"/>
      <c r="I597" s="47"/>
      <c r="J597" s="48"/>
      <c r="K597" s="49"/>
    </row>
    <row r="598" spans="1:11" ht="12.75" hidden="1" x14ac:dyDescent="0.2">
      <c r="A598" s="16"/>
      <c r="B598" s="16"/>
      <c r="C598" s="15"/>
      <c r="D598" s="16"/>
      <c r="E598" s="17"/>
      <c r="F598" s="17"/>
      <c r="H598" s="19"/>
      <c r="I598" s="47"/>
      <c r="J598" s="48"/>
      <c r="K598" s="49"/>
    </row>
    <row r="599" spans="1:11" ht="12.75" hidden="1" x14ac:dyDescent="0.2">
      <c r="A599" s="16"/>
      <c r="B599" s="16"/>
      <c r="C599" s="15"/>
      <c r="D599" s="16"/>
      <c r="E599" s="17"/>
      <c r="F599" s="17"/>
      <c r="H599" s="19"/>
      <c r="I599" s="47"/>
      <c r="J599" s="48"/>
      <c r="K599" s="49"/>
    </row>
    <row r="600" spans="1:11" ht="12.75" hidden="1" x14ac:dyDescent="0.2">
      <c r="A600" s="16"/>
      <c r="B600" s="16"/>
      <c r="C600" s="15"/>
      <c r="D600" s="16"/>
      <c r="E600" s="17"/>
      <c r="F600" s="17"/>
      <c r="H600" s="19"/>
      <c r="I600" s="47"/>
      <c r="J600" s="48"/>
      <c r="K600" s="49"/>
    </row>
    <row r="601" spans="1:11" ht="12.75" hidden="1" x14ac:dyDescent="0.2">
      <c r="A601" s="16"/>
      <c r="B601" s="16"/>
      <c r="C601" s="15"/>
      <c r="D601" s="16"/>
      <c r="E601" s="17"/>
      <c r="F601" s="17"/>
      <c r="H601" s="19"/>
      <c r="I601" s="47"/>
      <c r="J601" s="48"/>
      <c r="K601" s="49"/>
    </row>
    <row r="602" spans="1:11" ht="12.75" hidden="1" x14ac:dyDescent="0.2">
      <c r="A602" s="16"/>
      <c r="B602" s="16"/>
      <c r="C602" s="15"/>
      <c r="D602" s="16"/>
      <c r="E602" s="17"/>
      <c r="F602" s="17"/>
      <c r="H602" s="19"/>
      <c r="I602" s="47"/>
      <c r="J602" s="48"/>
      <c r="K602" s="49"/>
    </row>
    <row r="603" spans="1:11" ht="12.75" hidden="1" x14ac:dyDescent="0.2">
      <c r="A603" s="16"/>
      <c r="B603" s="16"/>
      <c r="C603" s="15"/>
      <c r="D603" s="16"/>
      <c r="E603" s="17"/>
      <c r="F603" s="17"/>
      <c r="H603" s="19"/>
      <c r="I603" s="47"/>
      <c r="J603" s="48"/>
      <c r="K603" s="49"/>
    </row>
    <row r="604" spans="1:11" ht="12.75" hidden="1" x14ac:dyDescent="0.2">
      <c r="A604" s="16"/>
      <c r="B604" s="16"/>
      <c r="C604" s="15"/>
      <c r="D604" s="16"/>
      <c r="E604" s="17"/>
      <c r="F604" s="17"/>
      <c r="H604" s="19"/>
      <c r="I604" s="47"/>
      <c r="J604" s="48"/>
      <c r="K604" s="49"/>
    </row>
    <row r="605" spans="1:11" ht="12.75" hidden="1" x14ac:dyDescent="0.2">
      <c r="A605" s="16"/>
      <c r="B605" s="16"/>
      <c r="C605" s="15"/>
      <c r="D605" s="16"/>
      <c r="E605" s="17"/>
      <c r="F605" s="17"/>
      <c r="H605" s="19"/>
      <c r="I605" s="47"/>
      <c r="J605" s="48"/>
      <c r="K605" s="49"/>
    </row>
    <row r="606" spans="1:11" ht="12.75" hidden="1" x14ac:dyDescent="0.2">
      <c r="A606" s="16"/>
      <c r="B606" s="16"/>
      <c r="C606" s="15"/>
      <c r="D606" s="16"/>
      <c r="E606" s="17"/>
      <c r="F606" s="17"/>
      <c r="H606" s="19"/>
      <c r="I606" s="47"/>
      <c r="J606" s="48"/>
      <c r="K606" s="49"/>
    </row>
    <row r="607" spans="1:11" ht="12.75" hidden="1" x14ac:dyDescent="0.2">
      <c r="A607" s="16"/>
      <c r="B607" s="16"/>
      <c r="C607" s="15"/>
      <c r="D607" s="16"/>
      <c r="E607" s="17"/>
      <c r="F607" s="17"/>
      <c r="H607" s="19"/>
      <c r="I607" s="47"/>
      <c r="J607" s="48"/>
      <c r="K607" s="49"/>
    </row>
    <row r="608" spans="1:11" ht="12.75" hidden="1" x14ac:dyDescent="0.2">
      <c r="A608" s="16"/>
      <c r="B608" s="16"/>
      <c r="C608" s="15"/>
      <c r="D608" s="16"/>
      <c r="E608" s="17"/>
      <c r="F608" s="17"/>
      <c r="H608" s="19"/>
      <c r="I608" s="47"/>
      <c r="J608" s="48"/>
      <c r="K608" s="49"/>
    </row>
    <row r="609" spans="1:11" ht="12.75" hidden="1" x14ac:dyDescent="0.2">
      <c r="A609" s="16"/>
      <c r="B609" s="16"/>
      <c r="C609" s="15"/>
      <c r="D609" s="16"/>
      <c r="E609" s="17"/>
      <c r="F609" s="17"/>
      <c r="H609" s="19"/>
      <c r="I609" s="47"/>
      <c r="J609" s="48"/>
      <c r="K609" s="49"/>
    </row>
    <row r="610" spans="1:11" ht="12.75" hidden="1" x14ac:dyDescent="0.2">
      <c r="A610" s="16"/>
      <c r="B610" s="16"/>
      <c r="C610" s="15"/>
      <c r="D610" s="16"/>
      <c r="E610" s="17"/>
      <c r="F610" s="17"/>
      <c r="H610" s="19"/>
      <c r="I610" s="47"/>
      <c r="J610" s="48"/>
      <c r="K610" s="49"/>
    </row>
    <row r="611" spans="1:11" ht="12.75" hidden="1" x14ac:dyDescent="0.2">
      <c r="A611" s="16"/>
      <c r="B611" s="16"/>
      <c r="C611" s="15"/>
      <c r="D611" s="16"/>
      <c r="E611" s="17"/>
      <c r="F611" s="17"/>
      <c r="H611" s="19"/>
      <c r="I611" s="47"/>
      <c r="J611" s="48"/>
      <c r="K611" s="49"/>
    </row>
    <row r="612" spans="1:11" ht="12.75" hidden="1" x14ac:dyDescent="0.2">
      <c r="A612" s="16"/>
      <c r="B612" s="16"/>
      <c r="C612" s="15"/>
      <c r="D612" s="16"/>
      <c r="E612" s="17"/>
      <c r="F612" s="17"/>
      <c r="H612" s="19"/>
      <c r="I612" s="47"/>
      <c r="J612" s="48"/>
      <c r="K612" s="49"/>
    </row>
    <row r="613" spans="1:11" ht="12.75" hidden="1" x14ac:dyDescent="0.2">
      <c r="A613" s="16"/>
      <c r="B613" s="16"/>
      <c r="C613" s="15"/>
      <c r="D613" s="16"/>
      <c r="E613" s="17"/>
      <c r="F613" s="17"/>
      <c r="H613" s="19"/>
      <c r="I613" s="47"/>
      <c r="J613" s="48"/>
      <c r="K613" s="49"/>
    </row>
    <row r="614" spans="1:11" ht="12.75" hidden="1" x14ac:dyDescent="0.2">
      <c r="A614" s="16"/>
      <c r="B614" s="16"/>
      <c r="C614" s="15"/>
      <c r="D614" s="16"/>
      <c r="E614" s="17"/>
      <c r="F614" s="17"/>
      <c r="H614" s="19"/>
      <c r="I614" s="47"/>
      <c r="J614" s="48"/>
      <c r="K614" s="49"/>
    </row>
    <row r="615" spans="1:11" ht="12.75" hidden="1" x14ac:dyDescent="0.2">
      <c r="A615" s="16"/>
      <c r="B615" s="16"/>
      <c r="C615" s="15"/>
      <c r="D615" s="16"/>
      <c r="E615" s="17"/>
      <c r="F615" s="17"/>
      <c r="H615" s="19"/>
      <c r="I615" s="47"/>
      <c r="J615" s="48"/>
      <c r="K615" s="49"/>
    </row>
    <row r="616" spans="1:11" ht="12.75" hidden="1" x14ac:dyDescent="0.2">
      <c r="A616" s="16"/>
      <c r="B616" s="16"/>
      <c r="C616" s="15"/>
      <c r="D616" s="16"/>
      <c r="E616" s="17"/>
      <c r="F616" s="17"/>
      <c r="H616" s="19"/>
      <c r="I616" s="47"/>
      <c r="J616" s="48"/>
      <c r="K616" s="49"/>
    </row>
    <row r="617" spans="1:11" ht="12.75" hidden="1" x14ac:dyDescent="0.2">
      <c r="A617" s="16"/>
      <c r="B617" s="16"/>
      <c r="C617" s="15"/>
      <c r="D617" s="16"/>
      <c r="E617" s="17"/>
      <c r="F617" s="17"/>
      <c r="H617" s="19"/>
      <c r="I617" s="47"/>
      <c r="J617" s="48"/>
      <c r="K617" s="49"/>
    </row>
    <row r="618" spans="1:11" ht="12.75" hidden="1" x14ac:dyDescent="0.2">
      <c r="A618" s="16"/>
      <c r="B618" s="16"/>
      <c r="C618" s="15"/>
      <c r="D618" s="16"/>
      <c r="E618" s="17"/>
      <c r="F618" s="17"/>
      <c r="H618" s="19"/>
      <c r="I618" s="47"/>
      <c r="J618" s="48"/>
      <c r="K618" s="49"/>
    </row>
    <row r="619" spans="1:11" ht="12.75" hidden="1" x14ac:dyDescent="0.2">
      <c r="A619" s="16"/>
      <c r="B619" s="16"/>
      <c r="C619" s="15"/>
      <c r="D619" s="16"/>
      <c r="E619" s="17"/>
      <c r="F619" s="17"/>
      <c r="H619" s="19"/>
      <c r="I619" s="47"/>
      <c r="J619" s="48"/>
      <c r="K619" s="49"/>
    </row>
    <row r="620" spans="1:11" ht="12.75" hidden="1" x14ac:dyDescent="0.2">
      <c r="A620" s="16"/>
      <c r="B620" s="16"/>
      <c r="C620" s="15"/>
      <c r="D620" s="16"/>
      <c r="E620" s="17"/>
      <c r="F620" s="17"/>
      <c r="H620" s="19"/>
      <c r="I620" s="47"/>
      <c r="J620" s="48"/>
      <c r="K620" s="49"/>
    </row>
    <row r="621" spans="1:11" ht="12.75" hidden="1" x14ac:dyDescent="0.2">
      <c r="A621" s="16"/>
      <c r="B621" s="16"/>
      <c r="C621" s="15"/>
      <c r="D621" s="16"/>
      <c r="E621" s="17"/>
      <c r="F621" s="17"/>
      <c r="H621" s="19"/>
      <c r="I621" s="47"/>
      <c r="J621" s="48"/>
      <c r="K621" s="49"/>
    </row>
    <row r="622" spans="1:11" ht="12.75" hidden="1" x14ac:dyDescent="0.2">
      <c r="A622" s="16"/>
      <c r="B622" s="16"/>
      <c r="C622" s="15"/>
      <c r="D622" s="16"/>
      <c r="E622" s="17"/>
      <c r="F622" s="17"/>
      <c r="H622" s="19"/>
      <c r="I622" s="47"/>
      <c r="J622" s="48"/>
      <c r="K622" s="49"/>
    </row>
    <row r="623" spans="1:11" ht="12.75" hidden="1" x14ac:dyDescent="0.2">
      <c r="A623" s="16"/>
      <c r="B623" s="16"/>
      <c r="C623" s="15"/>
      <c r="D623" s="16"/>
      <c r="E623" s="17"/>
      <c r="F623" s="17"/>
      <c r="H623" s="19"/>
      <c r="I623" s="47"/>
      <c r="J623" s="48"/>
      <c r="K623" s="49"/>
    </row>
    <row r="624" spans="1:11" ht="12.75" hidden="1" x14ac:dyDescent="0.2">
      <c r="A624" s="16"/>
      <c r="B624" s="16"/>
      <c r="C624" s="15"/>
      <c r="D624" s="16"/>
      <c r="E624" s="17"/>
      <c r="F624" s="17"/>
      <c r="H624" s="19"/>
      <c r="I624" s="47"/>
      <c r="J624" s="48"/>
      <c r="K624" s="49"/>
    </row>
    <row r="625" spans="1:11" ht="12.75" hidden="1" x14ac:dyDescent="0.2">
      <c r="A625" s="16"/>
      <c r="B625" s="16"/>
      <c r="C625" s="15"/>
      <c r="D625" s="16"/>
      <c r="E625" s="17"/>
      <c r="F625" s="17"/>
      <c r="H625" s="19"/>
      <c r="I625" s="47"/>
      <c r="J625" s="48"/>
      <c r="K625" s="49"/>
    </row>
    <row r="626" spans="1:11" ht="12.75" hidden="1" x14ac:dyDescent="0.2">
      <c r="A626" s="16"/>
      <c r="B626" s="16"/>
      <c r="C626" s="15"/>
      <c r="D626" s="16"/>
      <c r="E626" s="17"/>
      <c r="F626" s="17"/>
      <c r="H626" s="19"/>
      <c r="I626" s="47"/>
      <c r="J626" s="48"/>
      <c r="K626" s="49"/>
    </row>
    <row r="627" spans="1:11" ht="12.75" hidden="1" x14ac:dyDescent="0.2">
      <c r="A627" s="16"/>
      <c r="B627" s="16"/>
      <c r="C627" s="15"/>
      <c r="D627" s="16"/>
      <c r="E627" s="17"/>
      <c r="F627" s="17"/>
      <c r="H627" s="19"/>
      <c r="I627" s="47"/>
      <c r="J627" s="48"/>
      <c r="K627" s="49"/>
    </row>
    <row r="628" spans="1:11" ht="12.75" hidden="1" x14ac:dyDescent="0.2">
      <c r="A628" s="16"/>
      <c r="B628" s="16"/>
      <c r="C628" s="15"/>
      <c r="D628" s="16"/>
      <c r="E628" s="17"/>
      <c r="F628" s="17"/>
      <c r="H628" s="19"/>
      <c r="I628" s="47"/>
      <c r="J628" s="48"/>
      <c r="K628" s="49"/>
    </row>
    <row r="629" spans="1:11" ht="12.75" hidden="1" x14ac:dyDescent="0.2">
      <c r="A629" s="16"/>
      <c r="B629" s="16"/>
      <c r="C629" s="15"/>
      <c r="D629" s="16"/>
      <c r="E629" s="17"/>
      <c r="F629" s="17"/>
      <c r="H629" s="19"/>
      <c r="I629" s="47"/>
      <c r="J629" s="48"/>
      <c r="K629" s="49"/>
    </row>
    <row r="630" spans="1:11" ht="12.75" hidden="1" x14ac:dyDescent="0.2">
      <c r="A630" s="16"/>
      <c r="B630" s="16"/>
      <c r="C630" s="15"/>
      <c r="D630" s="16"/>
      <c r="E630" s="17"/>
      <c r="F630" s="17"/>
      <c r="H630" s="19"/>
      <c r="I630" s="47"/>
      <c r="J630" s="48"/>
      <c r="K630" s="49"/>
    </row>
    <row r="631" spans="1:11" ht="12.75" hidden="1" x14ac:dyDescent="0.2">
      <c r="A631" s="16"/>
      <c r="B631" s="16"/>
      <c r="C631" s="15"/>
      <c r="D631" s="16"/>
      <c r="E631" s="17"/>
      <c r="F631" s="17"/>
      <c r="H631" s="19"/>
      <c r="I631" s="47"/>
      <c r="J631" s="48"/>
      <c r="K631" s="49"/>
    </row>
    <row r="632" spans="1:11" ht="12.75" hidden="1" x14ac:dyDescent="0.2">
      <c r="A632" s="16"/>
      <c r="B632" s="16"/>
      <c r="C632" s="15"/>
      <c r="D632" s="16"/>
      <c r="E632" s="17"/>
      <c r="F632" s="17"/>
      <c r="H632" s="19"/>
      <c r="I632" s="47"/>
      <c r="J632" s="48"/>
      <c r="K632" s="49"/>
    </row>
    <row r="633" spans="1:11" ht="12.75" hidden="1" x14ac:dyDescent="0.2">
      <c r="A633" s="16"/>
      <c r="B633" s="16"/>
      <c r="C633" s="15"/>
      <c r="D633" s="16"/>
      <c r="E633" s="17"/>
      <c r="F633" s="17"/>
      <c r="H633" s="19"/>
      <c r="I633" s="47"/>
      <c r="J633" s="48"/>
      <c r="K633" s="49"/>
    </row>
    <row r="634" spans="1:11" ht="12.75" hidden="1" x14ac:dyDescent="0.2">
      <c r="A634" s="16"/>
      <c r="B634" s="16"/>
      <c r="C634" s="15"/>
      <c r="D634" s="16"/>
      <c r="E634" s="17"/>
      <c r="F634" s="17"/>
      <c r="H634" s="19"/>
      <c r="I634" s="47"/>
      <c r="J634" s="48"/>
      <c r="K634" s="49"/>
    </row>
    <row r="635" spans="1:11" ht="12.75" hidden="1" x14ac:dyDescent="0.2">
      <c r="A635" s="16"/>
      <c r="B635" s="16"/>
      <c r="C635" s="15"/>
      <c r="D635" s="16"/>
      <c r="E635" s="17"/>
      <c r="F635" s="17"/>
      <c r="H635" s="19"/>
      <c r="I635" s="47"/>
      <c r="J635" s="48"/>
      <c r="K635" s="49"/>
    </row>
    <row r="636" spans="1:11" ht="12.75" hidden="1" x14ac:dyDescent="0.2">
      <c r="A636" s="16"/>
      <c r="B636" s="16"/>
      <c r="C636" s="15"/>
      <c r="D636" s="16"/>
      <c r="E636" s="17"/>
      <c r="F636" s="17"/>
      <c r="H636" s="19"/>
      <c r="I636" s="47"/>
      <c r="J636" s="48"/>
      <c r="K636" s="49"/>
    </row>
    <row r="637" spans="1:11" ht="12.75" hidden="1" x14ac:dyDescent="0.2">
      <c r="A637" s="16"/>
      <c r="B637" s="16"/>
      <c r="C637" s="15"/>
      <c r="D637" s="16"/>
      <c r="E637" s="17"/>
      <c r="F637" s="17"/>
      <c r="H637" s="19"/>
      <c r="I637" s="47"/>
      <c r="J637" s="48"/>
      <c r="K637" s="49"/>
    </row>
    <row r="638" spans="1:11" ht="12.75" hidden="1" x14ac:dyDescent="0.2">
      <c r="A638" s="16"/>
      <c r="B638" s="16"/>
      <c r="C638" s="15"/>
      <c r="D638" s="16"/>
      <c r="E638" s="17"/>
      <c r="F638" s="17"/>
      <c r="H638" s="19"/>
      <c r="I638" s="47"/>
      <c r="J638" s="48"/>
      <c r="K638" s="49"/>
    </row>
    <row r="639" spans="1:11" ht="12.75" hidden="1" x14ac:dyDescent="0.2">
      <c r="A639" s="16"/>
      <c r="B639" s="16"/>
      <c r="C639" s="15"/>
      <c r="D639" s="16"/>
      <c r="E639" s="17"/>
      <c r="F639" s="17"/>
      <c r="H639" s="19"/>
      <c r="I639" s="47"/>
      <c r="J639" s="48"/>
      <c r="K639" s="49"/>
    </row>
    <row r="640" spans="1:11" ht="12.75" hidden="1" x14ac:dyDescent="0.2">
      <c r="A640" s="16"/>
      <c r="B640" s="16"/>
      <c r="C640" s="15"/>
      <c r="D640" s="16"/>
      <c r="E640" s="17"/>
      <c r="F640" s="17"/>
      <c r="H640" s="19"/>
      <c r="I640" s="47"/>
      <c r="J640" s="48"/>
      <c r="K640" s="49"/>
    </row>
    <row r="641" spans="1:11" ht="12.75" hidden="1" x14ac:dyDescent="0.2">
      <c r="A641" s="16"/>
      <c r="B641" s="16"/>
      <c r="C641" s="15"/>
      <c r="D641" s="16"/>
      <c r="E641" s="17"/>
      <c r="F641" s="17"/>
      <c r="H641" s="19"/>
      <c r="I641" s="47"/>
      <c r="J641" s="48"/>
      <c r="K641" s="49"/>
    </row>
    <row r="642" spans="1:11" ht="12.75" hidden="1" x14ac:dyDescent="0.2">
      <c r="A642" s="16"/>
      <c r="B642" s="16"/>
      <c r="C642" s="15"/>
      <c r="D642" s="16"/>
      <c r="E642" s="17"/>
      <c r="F642" s="17"/>
      <c r="H642" s="19"/>
      <c r="I642" s="47"/>
      <c r="J642" s="48"/>
      <c r="K642" s="49"/>
    </row>
    <row r="643" spans="1:11" ht="12.75" hidden="1" x14ac:dyDescent="0.2">
      <c r="A643" s="16"/>
      <c r="B643" s="16"/>
      <c r="C643" s="15"/>
      <c r="D643" s="16"/>
      <c r="E643" s="17"/>
      <c r="F643" s="17"/>
      <c r="H643" s="19"/>
      <c r="I643" s="47"/>
      <c r="J643" s="48"/>
      <c r="K643" s="49"/>
    </row>
    <row r="644" spans="1:11" ht="12.75" hidden="1" x14ac:dyDescent="0.2">
      <c r="A644" s="16"/>
      <c r="B644" s="16"/>
      <c r="C644" s="15"/>
      <c r="D644" s="16"/>
      <c r="E644" s="17"/>
      <c r="F644" s="17"/>
      <c r="H644" s="19"/>
      <c r="I644" s="47"/>
      <c r="J644" s="48"/>
      <c r="K644" s="49"/>
    </row>
    <row r="645" spans="1:11" ht="12.75" hidden="1" x14ac:dyDescent="0.2">
      <c r="A645" s="16"/>
      <c r="B645" s="16"/>
      <c r="C645" s="15"/>
      <c r="D645" s="16"/>
      <c r="E645" s="17"/>
      <c r="F645" s="17"/>
      <c r="H645" s="19"/>
      <c r="I645" s="47"/>
      <c r="J645" s="48"/>
      <c r="K645" s="49"/>
    </row>
    <row r="646" spans="1:11" ht="12.75" hidden="1" x14ac:dyDescent="0.2">
      <c r="A646" s="16"/>
      <c r="B646" s="16"/>
      <c r="C646" s="15"/>
      <c r="D646" s="16"/>
      <c r="E646" s="17"/>
      <c r="F646" s="17"/>
      <c r="H646" s="19"/>
      <c r="I646" s="47"/>
      <c r="J646" s="48"/>
      <c r="K646" s="49"/>
    </row>
    <row r="647" spans="1:11" ht="12.75" hidden="1" x14ac:dyDescent="0.2">
      <c r="A647" s="16"/>
      <c r="B647" s="16"/>
      <c r="C647" s="15"/>
      <c r="D647" s="16"/>
      <c r="E647" s="17"/>
      <c r="F647" s="17"/>
      <c r="H647" s="19"/>
      <c r="I647" s="47"/>
      <c r="J647" s="48"/>
      <c r="K647" s="49"/>
    </row>
    <row r="648" spans="1:11" ht="12.75" hidden="1" x14ac:dyDescent="0.2">
      <c r="A648" s="16"/>
      <c r="B648" s="16"/>
      <c r="C648" s="15"/>
      <c r="D648" s="16"/>
      <c r="E648" s="17"/>
      <c r="F648" s="17"/>
      <c r="H648" s="19"/>
      <c r="I648" s="47"/>
      <c r="J648" s="48"/>
      <c r="K648" s="49"/>
    </row>
    <row r="649" spans="1:11" ht="12.75" hidden="1" x14ac:dyDescent="0.2">
      <c r="A649" s="16"/>
      <c r="B649" s="16"/>
      <c r="C649" s="15"/>
      <c r="D649" s="16"/>
      <c r="E649" s="17"/>
      <c r="F649" s="17"/>
      <c r="H649" s="19"/>
      <c r="I649" s="47"/>
      <c r="J649" s="48"/>
      <c r="K649" s="49"/>
    </row>
    <row r="650" spans="1:11" ht="12.75" hidden="1" x14ac:dyDescent="0.2">
      <c r="A650" s="16"/>
      <c r="B650" s="16"/>
      <c r="C650" s="15"/>
      <c r="D650" s="16"/>
      <c r="E650" s="17"/>
      <c r="F650" s="17"/>
      <c r="H650" s="19"/>
      <c r="I650" s="47"/>
      <c r="J650" s="48"/>
      <c r="K650" s="49"/>
    </row>
    <row r="651" spans="1:11" ht="12.75" hidden="1" x14ac:dyDescent="0.2">
      <c r="A651" s="16"/>
      <c r="B651" s="16"/>
      <c r="C651" s="15"/>
      <c r="D651" s="16"/>
      <c r="E651" s="17"/>
      <c r="F651" s="17"/>
      <c r="H651" s="19"/>
      <c r="I651" s="47"/>
      <c r="J651" s="48"/>
      <c r="K651" s="49"/>
    </row>
    <row r="652" spans="1:11" ht="12.75" hidden="1" x14ac:dyDescent="0.2">
      <c r="A652" s="16"/>
      <c r="B652" s="16"/>
      <c r="C652" s="15"/>
      <c r="D652" s="16"/>
      <c r="E652" s="17"/>
      <c r="F652" s="17"/>
      <c r="H652" s="19"/>
      <c r="I652" s="47"/>
      <c r="J652" s="48"/>
      <c r="K652" s="49"/>
    </row>
    <row r="653" spans="1:11" ht="12.75" hidden="1" x14ac:dyDescent="0.2">
      <c r="A653" s="16"/>
      <c r="B653" s="16"/>
      <c r="C653" s="15"/>
      <c r="D653" s="16"/>
      <c r="E653" s="17"/>
      <c r="F653" s="17"/>
      <c r="H653" s="19"/>
      <c r="I653" s="47"/>
      <c r="J653" s="48"/>
      <c r="K653" s="49"/>
    </row>
    <row r="654" spans="1:11" ht="12.75" hidden="1" x14ac:dyDescent="0.2">
      <c r="A654" s="16"/>
      <c r="B654" s="16"/>
      <c r="C654" s="15"/>
      <c r="D654" s="16"/>
      <c r="E654" s="17"/>
      <c r="F654" s="17"/>
      <c r="H654" s="19"/>
      <c r="I654" s="47"/>
      <c r="J654" s="48"/>
      <c r="K654" s="49"/>
    </row>
    <row r="655" spans="1:11" ht="12.75" hidden="1" x14ac:dyDescent="0.2">
      <c r="A655" s="16"/>
      <c r="B655" s="16"/>
      <c r="C655" s="15"/>
      <c r="D655" s="16"/>
      <c r="E655" s="17"/>
      <c r="F655" s="17"/>
      <c r="H655" s="19"/>
      <c r="I655" s="47"/>
      <c r="J655" s="48"/>
      <c r="K655" s="49"/>
    </row>
    <row r="656" spans="1:11" ht="12.75" hidden="1" x14ac:dyDescent="0.2">
      <c r="A656" s="16"/>
      <c r="B656" s="16"/>
      <c r="C656" s="15"/>
      <c r="D656" s="16"/>
      <c r="E656" s="17"/>
      <c r="F656" s="17"/>
      <c r="H656" s="19"/>
      <c r="I656" s="47"/>
      <c r="J656" s="48"/>
      <c r="K656" s="49"/>
    </row>
    <row r="657" spans="1:11" ht="12.75" hidden="1" x14ac:dyDescent="0.2">
      <c r="A657" s="16"/>
      <c r="B657" s="16"/>
      <c r="C657" s="15"/>
      <c r="D657" s="16"/>
      <c r="E657" s="17"/>
      <c r="F657" s="17"/>
      <c r="H657" s="19"/>
      <c r="I657" s="47"/>
      <c r="J657" s="48"/>
      <c r="K657" s="49"/>
    </row>
    <row r="658" spans="1:11" ht="12.75" hidden="1" x14ac:dyDescent="0.2">
      <c r="A658" s="16"/>
      <c r="B658" s="16"/>
      <c r="C658" s="15"/>
      <c r="D658" s="16"/>
      <c r="E658" s="17"/>
      <c r="F658" s="17"/>
      <c r="H658" s="19"/>
      <c r="I658" s="47"/>
      <c r="J658" s="48"/>
      <c r="K658" s="49"/>
    </row>
    <row r="659" spans="1:11" ht="12.75" hidden="1" x14ac:dyDescent="0.2">
      <c r="A659" s="16"/>
      <c r="B659" s="16"/>
      <c r="C659" s="15"/>
      <c r="D659" s="16"/>
      <c r="E659" s="17"/>
      <c r="F659" s="17"/>
      <c r="H659" s="19"/>
      <c r="I659" s="47"/>
      <c r="J659" s="48"/>
      <c r="K659" s="49"/>
    </row>
    <row r="660" spans="1:11" ht="12.75" hidden="1" x14ac:dyDescent="0.2">
      <c r="A660" s="16"/>
      <c r="B660" s="16"/>
      <c r="C660" s="15"/>
      <c r="D660" s="16"/>
      <c r="E660" s="17"/>
      <c r="F660" s="17"/>
      <c r="H660" s="19"/>
      <c r="I660" s="47"/>
      <c r="J660" s="48"/>
      <c r="K660" s="49"/>
    </row>
    <row r="661" spans="1:11" ht="12.75" hidden="1" x14ac:dyDescent="0.2">
      <c r="A661" s="16"/>
      <c r="B661" s="16"/>
      <c r="C661" s="15"/>
      <c r="D661" s="16"/>
      <c r="E661" s="17"/>
      <c r="F661" s="17"/>
      <c r="H661" s="19"/>
      <c r="I661" s="47"/>
      <c r="J661" s="48"/>
      <c r="K661" s="49"/>
    </row>
    <row r="662" spans="1:11" ht="12.75" hidden="1" x14ac:dyDescent="0.2">
      <c r="A662" s="16"/>
      <c r="B662" s="16"/>
      <c r="C662" s="15"/>
      <c r="D662" s="16"/>
      <c r="E662" s="17"/>
      <c r="F662" s="17"/>
      <c r="H662" s="19"/>
      <c r="I662" s="47"/>
      <c r="J662" s="48"/>
      <c r="K662" s="49"/>
    </row>
    <row r="663" spans="1:11" ht="12.75" hidden="1" x14ac:dyDescent="0.2">
      <c r="A663" s="16"/>
      <c r="B663" s="16"/>
      <c r="C663" s="15"/>
      <c r="D663" s="16"/>
      <c r="E663" s="17"/>
      <c r="F663" s="17"/>
      <c r="H663" s="19"/>
      <c r="I663" s="47"/>
      <c r="J663" s="48"/>
      <c r="K663" s="49"/>
    </row>
    <row r="664" spans="1:11" ht="12.75" hidden="1" x14ac:dyDescent="0.2">
      <c r="A664" s="16"/>
      <c r="B664" s="16"/>
      <c r="C664" s="15"/>
      <c r="D664" s="16"/>
      <c r="E664" s="17"/>
      <c r="F664" s="17"/>
      <c r="H664" s="19"/>
      <c r="I664" s="47"/>
      <c r="J664" s="48"/>
      <c r="K664" s="49"/>
    </row>
    <row r="665" spans="1:11" ht="12.75" hidden="1" x14ac:dyDescent="0.2">
      <c r="A665" s="16"/>
      <c r="B665" s="16"/>
      <c r="C665" s="15"/>
      <c r="D665" s="16"/>
      <c r="E665" s="17"/>
      <c r="F665" s="17"/>
      <c r="H665" s="19"/>
      <c r="I665" s="47"/>
      <c r="J665" s="48"/>
      <c r="K665" s="49"/>
    </row>
    <row r="666" spans="1:11" ht="12.75" hidden="1" x14ac:dyDescent="0.2">
      <c r="A666" s="16"/>
      <c r="B666" s="16"/>
      <c r="C666" s="15"/>
      <c r="D666" s="16"/>
      <c r="E666" s="17"/>
      <c r="F666" s="17"/>
      <c r="H666" s="19"/>
      <c r="I666" s="47"/>
      <c r="J666" s="48"/>
      <c r="K666" s="49"/>
    </row>
    <row r="667" spans="1:11" ht="12.75" hidden="1" x14ac:dyDescent="0.2">
      <c r="A667" s="16"/>
      <c r="B667" s="16"/>
      <c r="C667" s="15"/>
      <c r="D667" s="16"/>
      <c r="E667" s="17"/>
      <c r="F667" s="17"/>
      <c r="H667" s="19"/>
      <c r="I667" s="47"/>
      <c r="J667" s="48"/>
      <c r="K667" s="49"/>
    </row>
    <row r="668" spans="1:11" ht="12.75" hidden="1" x14ac:dyDescent="0.2">
      <c r="A668" s="16"/>
      <c r="B668" s="16"/>
      <c r="C668" s="15"/>
      <c r="D668" s="16"/>
      <c r="E668" s="17"/>
      <c r="F668" s="17"/>
      <c r="H668" s="19"/>
      <c r="I668" s="47"/>
      <c r="J668" s="48"/>
      <c r="K668" s="49"/>
    </row>
    <row r="669" spans="1:11" ht="12.75" hidden="1" x14ac:dyDescent="0.2">
      <c r="A669" s="16"/>
      <c r="B669" s="16"/>
      <c r="C669" s="15"/>
      <c r="D669" s="16"/>
      <c r="E669" s="17"/>
      <c r="F669" s="17"/>
      <c r="H669" s="19"/>
      <c r="I669" s="47"/>
      <c r="J669" s="48"/>
      <c r="K669" s="49"/>
    </row>
    <row r="670" spans="1:11" ht="12.75" hidden="1" x14ac:dyDescent="0.2">
      <c r="A670" s="16"/>
      <c r="B670" s="16"/>
      <c r="C670" s="15"/>
      <c r="D670" s="16"/>
      <c r="E670" s="17"/>
      <c r="F670" s="17"/>
      <c r="H670" s="19"/>
      <c r="I670" s="47"/>
      <c r="J670" s="48"/>
      <c r="K670" s="49"/>
    </row>
    <row r="671" spans="1:11" ht="12.75" hidden="1" x14ac:dyDescent="0.2">
      <c r="A671" s="16"/>
      <c r="B671" s="16"/>
      <c r="C671" s="15"/>
      <c r="D671" s="16"/>
      <c r="E671" s="17"/>
      <c r="F671" s="17"/>
      <c r="H671" s="19"/>
      <c r="I671" s="47"/>
      <c r="J671" s="48"/>
      <c r="K671" s="49"/>
    </row>
    <row r="672" spans="1:11" ht="12.75" hidden="1" x14ac:dyDescent="0.2">
      <c r="A672" s="16"/>
      <c r="B672" s="16"/>
      <c r="C672" s="15"/>
      <c r="D672" s="16"/>
      <c r="E672" s="17"/>
      <c r="F672" s="17"/>
      <c r="H672" s="19"/>
      <c r="I672" s="47"/>
      <c r="J672" s="48"/>
      <c r="K672" s="49"/>
    </row>
    <row r="673" spans="1:11" ht="12.75" hidden="1" x14ac:dyDescent="0.2">
      <c r="A673" s="16"/>
      <c r="B673" s="16"/>
      <c r="C673" s="15"/>
      <c r="D673" s="16"/>
      <c r="E673" s="17"/>
      <c r="F673" s="17"/>
      <c r="H673" s="19"/>
      <c r="I673" s="47"/>
      <c r="J673" s="48"/>
      <c r="K673" s="49"/>
    </row>
    <row r="674" spans="1:11" ht="12.75" hidden="1" x14ac:dyDescent="0.2">
      <c r="A674" s="16"/>
      <c r="B674" s="16"/>
      <c r="C674" s="15"/>
      <c r="D674" s="16"/>
      <c r="E674" s="17"/>
      <c r="F674" s="17"/>
      <c r="H674" s="19"/>
      <c r="I674" s="47"/>
      <c r="J674" s="48"/>
      <c r="K674" s="49"/>
    </row>
    <row r="675" spans="1:11" ht="12.75" hidden="1" x14ac:dyDescent="0.2">
      <c r="A675" s="16"/>
      <c r="B675" s="16"/>
      <c r="C675" s="15"/>
      <c r="D675" s="16"/>
      <c r="E675" s="17"/>
      <c r="F675" s="17"/>
      <c r="H675" s="19"/>
      <c r="I675" s="47"/>
      <c r="J675" s="48"/>
      <c r="K675" s="49"/>
    </row>
    <row r="676" spans="1:11" ht="12.75" hidden="1" x14ac:dyDescent="0.2">
      <c r="A676" s="16"/>
      <c r="B676" s="16"/>
      <c r="C676" s="15"/>
      <c r="D676" s="16"/>
      <c r="E676" s="17"/>
      <c r="F676" s="17"/>
      <c r="H676" s="19"/>
      <c r="I676" s="47"/>
      <c r="J676" s="48"/>
      <c r="K676" s="49"/>
    </row>
    <row r="677" spans="1:11" ht="12.75" hidden="1" x14ac:dyDescent="0.2">
      <c r="A677" s="16"/>
      <c r="B677" s="16"/>
      <c r="C677" s="15"/>
      <c r="D677" s="16"/>
      <c r="E677" s="17"/>
      <c r="F677" s="17"/>
      <c r="H677" s="19"/>
      <c r="I677" s="47"/>
      <c r="J677" s="48"/>
      <c r="K677" s="49"/>
    </row>
    <row r="678" spans="1:11" ht="12.75" hidden="1" x14ac:dyDescent="0.2">
      <c r="A678" s="16"/>
      <c r="B678" s="16"/>
      <c r="C678" s="15"/>
      <c r="D678" s="16"/>
      <c r="E678" s="17"/>
      <c r="F678" s="17"/>
      <c r="H678" s="19"/>
      <c r="I678" s="47"/>
      <c r="J678" s="48"/>
      <c r="K678" s="49"/>
    </row>
    <row r="679" spans="1:11" ht="12.75" hidden="1" x14ac:dyDescent="0.2">
      <c r="A679" s="16"/>
      <c r="B679" s="16"/>
      <c r="C679" s="15"/>
      <c r="D679" s="16"/>
      <c r="E679" s="17"/>
      <c r="F679" s="17"/>
      <c r="H679" s="19"/>
      <c r="I679" s="47"/>
      <c r="J679" s="48"/>
      <c r="K679" s="49"/>
    </row>
    <row r="680" spans="1:11" ht="12.75" hidden="1" x14ac:dyDescent="0.2">
      <c r="A680" s="16"/>
      <c r="B680" s="16"/>
      <c r="C680" s="15"/>
      <c r="D680" s="16"/>
      <c r="E680" s="17"/>
      <c r="F680" s="17"/>
      <c r="H680" s="19"/>
      <c r="I680" s="47"/>
      <c r="J680" s="48"/>
      <c r="K680" s="49"/>
    </row>
    <row r="681" spans="1:11" ht="12.75" hidden="1" x14ac:dyDescent="0.2">
      <c r="A681" s="16"/>
      <c r="B681" s="16"/>
      <c r="C681" s="15"/>
      <c r="D681" s="16"/>
      <c r="E681" s="17"/>
      <c r="F681" s="17"/>
      <c r="H681" s="19"/>
      <c r="I681" s="47"/>
      <c r="J681" s="48"/>
      <c r="K681" s="49"/>
    </row>
    <row r="682" spans="1:11" ht="12.75" hidden="1" x14ac:dyDescent="0.2">
      <c r="A682" s="16"/>
      <c r="B682" s="16"/>
      <c r="C682" s="15"/>
      <c r="D682" s="16"/>
      <c r="E682" s="17"/>
      <c r="F682" s="17"/>
      <c r="H682" s="19"/>
      <c r="I682" s="47"/>
      <c r="J682" s="48"/>
      <c r="K682" s="49"/>
    </row>
    <row r="683" spans="1:11" ht="12.75" hidden="1" x14ac:dyDescent="0.2">
      <c r="A683" s="16"/>
      <c r="B683" s="16"/>
      <c r="C683" s="15"/>
      <c r="D683" s="16"/>
      <c r="E683" s="17"/>
      <c r="F683" s="17"/>
      <c r="H683" s="19"/>
      <c r="I683" s="47"/>
      <c r="J683" s="48"/>
      <c r="K683" s="49"/>
    </row>
    <row r="684" spans="1:11" ht="12.75" hidden="1" x14ac:dyDescent="0.2">
      <c r="A684" s="16"/>
      <c r="B684" s="16"/>
      <c r="C684" s="15"/>
      <c r="D684" s="16"/>
      <c r="E684" s="17"/>
      <c r="F684" s="17"/>
      <c r="H684" s="19"/>
      <c r="I684" s="47"/>
      <c r="J684" s="48"/>
      <c r="K684" s="49"/>
    </row>
    <row r="685" spans="1:11" ht="12.75" hidden="1" x14ac:dyDescent="0.2">
      <c r="A685" s="16"/>
      <c r="B685" s="16"/>
      <c r="C685" s="15"/>
      <c r="D685" s="16"/>
      <c r="E685" s="17"/>
      <c r="F685" s="17"/>
      <c r="H685" s="19"/>
      <c r="I685" s="47"/>
      <c r="J685" s="48"/>
      <c r="K685" s="49"/>
    </row>
    <row r="686" spans="1:11" ht="12.75" hidden="1" x14ac:dyDescent="0.2">
      <c r="A686" s="16"/>
      <c r="B686" s="16"/>
      <c r="C686" s="15"/>
      <c r="D686" s="16"/>
      <c r="E686" s="17"/>
      <c r="F686" s="17"/>
      <c r="H686" s="19"/>
      <c r="I686" s="47"/>
      <c r="J686" s="48"/>
      <c r="K686" s="49"/>
    </row>
    <row r="687" spans="1:11" ht="12.75" hidden="1" x14ac:dyDescent="0.2">
      <c r="A687" s="16"/>
      <c r="B687" s="16"/>
      <c r="C687" s="15"/>
      <c r="D687" s="16"/>
      <c r="E687" s="17"/>
      <c r="F687" s="17"/>
      <c r="H687" s="19"/>
      <c r="I687" s="47"/>
      <c r="J687" s="48"/>
      <c r="K687" s="49"/>
    </row>
    <row r="688" spans="1:11" ht="12.75" hidden="1" x14ac:dyDescent="0.2">
      <c r="A688" s="16"/>
      <c r="B688" s="16"/>
      <c r="C688" s="15"/>
      <c r="D688" s="16"/>
      <c r="E688" s="17"/>
      <c r="F688" s="17"/>
      <c r="H688" s="19"/>
      <c r="I688" s="47"/>
      <c r="J688" s="48"/>
      <c r="K688" s="49"/>
    </row>
    <row r="689" spans="1:11" ht="12.75" hidden="1" x14ac:dyDescent="0.2">
      <c r="A689" s="16"/>
      <c r="B689" s="16"/>
      <c r="C689" s="15"/>
      <c r="D689" s="16"/>
      <c r="E689" s="17"/>
      <c r="F689" s="17"/>
      <c r="H689" s="19"/>
      <c r="I689" s="47"/>
      <c r="J689" s="48"/>
      <c r="K689" s="49"/>
    </row>
    <row r="690" spans="1:11" ht="12.75" hidden="1" x14ac:dyDescent="0.2">
      <c r="A690" s="16"/>
      <c r="B690" s="16"/>
      <c r="C690" s="15"/>
      <c r="D690" s="16"/>
      <c r="E690" s="17"/>
      <c r="F690" s="17"/>
      <c r="H690" s="19"/>
      <c r="I690" s="47"/>
      <c r="J690" s="48"/>
      <c r="K690" s="49"/>
    </row>
    <row r="691" spans="1:11" ht="12.75" hidden="1" x14ac:dyDescent="0.2">
      <c r="A691" s="16"/>
      <c r="B691" s="16"/>
      <c r="C691" s="15"/>
      <c r="D691" s="16"/>
      <c r="E691" s="17"/>
      <c r="F691" s="17"/>
      <c r="H691" s="19"/>
      <c r="I691" s="47"/>
      <c r="J691" s="48"/>
      <c r="K691" s="49"/>
    </row>
    <row r="692" spans="1:11" ht="12.75" hidden="1" x14ac:dyDescent="0.2">
      <c r="A692" s="16"/>
      <c r="B692" s="16"/>
      <c r="C692" s="15"/>
      <c r="D692" s="16"/>
      <c r="E692" s="17"/>
      <c r="F692" s="17"/>
      <c r="H692" s="19"/>
      <c r="I692" s="47"/>
      <c r="J692" s="48"/>
      <c r="K692" s="49"/>
    </row>
    <row r="693" spans="1:11" ht="12.75" hidden="1" x14ac:dyDescent="0.2">
      <c r="A693" s="16"/>
      <c r="B693" s="16"/>
      <c r="C693" s="15"/>
      <c r="D693" s="16"/>
      <c r="E693" s="17"/>
      <c r="F693" s="17"/>
      <c r="H693" s="19"/>
      <c r="I693" s="47"/>
      <c r="J693" s="48"/>
      <c r="K693" s="49"/>
    </row>
    <row r="694" spans="1:11" ht="12.75" hidden="1" x14ac:dyDescent="0.2">
      <c r="A694" s="16"/>
      <c r="B694" s="16"/>
      <c r="C694" s="15"/>
      <c r="D694" s="16"/>
      <c r="E694" s="17"/>
      <c r="F694" s="17"/>
      <c r="H694" s="19"/>
      <c r="I694" s="47"/>
      <c r="J694" s="48"/>
      <c r="K694" s="49"/>
    </row>
    <row r="695" spans="1:11" ht="12.75" hidden="1" x14ac:dyDescent="0.2">
      <c r="A695" s="16"/>
      <c r="B695" s="16"/>
      <c r="C695" s="15"/>
      <c r="D695" s="16"/>
      <c r="E695" s="17"/>
      <c r="F695" s="17"/>
      <c r="H695" s="19"/>
      <c r="I695" s="47"/>
      <c r="J695" s="48"/>
      <c r="K695" s="49"/>
    </row>
    <row r="696" spans="1:11" ht="12.75" hidden="1" x14ac:dyDescent="0.2">
      <c r="A696" s="16"/>
      <c r="B696" s="16"/>
      <c r="C696" s="15"/>
      <c r="D696" s="16"/>
      <c r="E696" s="17"/>
      <c r="F696" s="17"/>
      <c r="H696" s="19"/>
      <c r="I696" s="47"/>
      <c r="J696" s="48"/>
      <c r="K696" s="49"/>
    </row>
    <row r="697" spans="1:11" ht="12.75" hidden="1" x14ac:dyDescent="0.2">
      <c r="A697" s="16"/>
      <c r="B697" s="16"/>
      <c r="C697" s="15"/>
      <c r="D697" s="16"/>
      <c r="E697" s="17"/>
      <c r="F697" s="17"/>
      <c r="H697" s="19"/>
      <c r="I697" s="47"/>
      <c r="J697" s="48"/>
      <c r="K697" s="49"/>
    </row>
    <row r="698" spans="1:11" ht="12.75" hidden="1" x14ac:dyDescent="0.2">
      <c r="A698" s="16"/>
      <c r="B698" s="16"/>
      <c r="C698" s="15"/>
      <c r="D698" s="16"/>
      <c r="E698" s="17"/>
      <c r="F698" s="17"/>
      <c r="H698" s="19"/>
      <c r="I698" s="47"/>
      <c r="J698" s="48"/>
      <c r="K698" s="49"/>
    </row>
    <row r="699" spans="1:11" ht="12.75" hidden="1" x14ac:dyDescent="0.2">
      <c r="A699" s="16"/>
      <c r="B699" s="16"/>
      <c r="C699" s="15"/>
      <c r="D699" s="16"/>
      <c r="E699" s="17"/>
      <c r="F699" s="17"/>
      <c r="H699" s="19"/>
      <c r="I699" s="47"/>
      <c r="J699" s="48"/>
      <c r="K699" s="49"/>
    </row>
    <row r="700" spans="1:11" ht="12.75" hidden="1" x14ac:dyDescent="0.2">
      <c r="A700" s="16"/>
      <c r="B700" s="16"/>
      <c r="C700" s="15"/>
      <c r="D700" s="16"/>
      <c r="E700" s="17"/>
      <c r="F700" s="17"/>
      <c r="H700" s="19"/>
      <c r="I700" s="47"/>
      <c r="J700" s="48"/>
      <c r="K700" s="49"/>
    </row>
    <row r="701" spans="1:11" ht="12.75" hidden="1" x14ac:dyDescent="0.2">
      <c r="A701" s="16"/>
      <c r="B701" s="16"/>
      <c r="C701" s="15"/>
      <c r="D701" s="16"/>
      <c r="E701" s="17"/>
      <c r="F701" s="17"/>
      <c r="H701" s="19"/>
      <c r="I701" s="47"/>
      <c r="J701" s="48"/>
      <c r="K701" s="49"/>
    </row>
    <row r="702" spans="1:11" ht="12.75" hidden="1" x14ac:dyDescent="0.2">
      <c r="A702" s="16"/>
      <c r="B702" s="16"/>
      <c r="C702" s="15"/>
      <c r="D702" s="16"/>
      <c r="E702" s="17"/>
      <c r="F702" s="17"/>
      <c r="H702" s="19"/>
      <c r="I702" s="47"/>
      <c r="J702" s="48"/>
      <c r="K702" s="49"/>
    </row>
    <row r="703" spans="1:11" ht="12.75" hidden="1" x14ac:dyDescent="0.2">
      <c r="A703" s="16"/>
      <c r="B703" s="16"/>
      <c r="C703" s="15"/>
      <c r="D703" s="16"/>
      <c r="E703" s="17"/>
      <c r="F703" s="17"/>
      <c r="H703" s="19"/>
      <c r="I703" s="47"/>
      <c r="J703" s="48"/>
      <c r="K703" s="49"/>
    </row>
    <row r="704" spans="1:11" ht="12.75" hidden="1" x14ac:dyDescent="0.2">
      <c r="A704" s="16"/>
      <c r="B704" s="16"/>
      <c r="C704" s="15"/>
      <c r="D704" s="16"/>
      <c r="E704" s="17"/>
      <c r="F704" s="17"/>
      <c r="H704" s="19"/>
      <c r="I704" s="47"/>
      <c r="J704" s="48"/>
      <c r="K704" s="49"/>
    </row>
    <row r="705" spans="1:11" ht="12.75" hidden="1" x14ac:dyDescent="0.2">
      <c r="A705" s="16"/>
      <c r="B705" s="16"/>
      <c r="C705" s="15"/>
      <c r="D705" s="16"/>
      <c r="E705" s="17"/>
      <c r="F705" s="17"/>
      <c r="H705" s="19"/>
      <c r="I705" s="47"/>
      <c r="J705" s="48"/>
      <c r="K705" s="49"/>
    </row>
    <row r="706" spans="1:11" ht="12.75" hidden="1" x14ac:dyDescent="0.2">
      <c r="A706" s="16"/>
      <c r="B706" s="16"/>
      <c r="C706" s="15"/>
      <c r="D706" s="16"/>
      <c r="E706" s="17"/>
      <c r="F706" s="17"/>
      <c r="H706" s="19"/>
      <c r="I706" s="47"/>
      <c r="J706" s="48"/>
      <c r="K706" s="49"/>
    </row>
    <row r="707" spans="1:11" ht="12.75" hidden="1" x14ac:dyDescent="0.2">
      <c r="A707" s="16"/>
      <c r="B707" s="16"/>
      <c r="C707" s="15"/>
      <c r="D707" s="16"/>
      <c r="E707" s="17"/>
      <c r="F707" s="17"/>
      <c r="H707" s="19"/>
      <c r="I707" s="47"/>
      <c r="J707" s="48"/>
      <c r="K707" s="49"/>
    </row>
    <row r="708" spans="1:11" ht="12.75" hidden="1" x14ac:dyDescent="0.2">
      <c r="A708" s="16"/>
      <c r="B708" s="16"/>
      <c r="C708" s="15"/>
      <c r="D708" s="16"/>
      <c r="E708" s="17"/>
      <c r="F708" s="17"/>
      <c r="H708" s="19"/>
      <c r="I708" s="47"/>
      <c r="J708" s="48"/>
      <c r="K708" s="49"/>
    </row>
    <row r="709" spans="1:11" ht="12.75" hidden="1" x14ac:dyDescent="0.2">
      <c r="A709" s="16"/>
      <c r="B709" s="16"/>
      <c r="C709" s="15"/>
      <c r="D709" s="16"/>
      <c r="E709" s="17"/>
      <c r="F709" s="17"/>
      <c r="H709" s="19"/>
      <c r="I709" s="47"/>
      <c r="J709" s="48"/>
      <c r="K709" s="49"/>
    </row>
    <row r="710" spans="1:11" ht="12.75" hidden="1" x14ac:dyDescent="0.2">
      <c r="A710" s="16"/>
      <c r="B710" s="16"/>
      <c r="C710" s="15"/>
      <c r="D710" s="16"/>
      <c r="E710" s="17"/>
      <c r="F710" s="17"/>
      <c r="H710" s="19"/>
      <c r="I710" s="47"/>
      <c r="J710" s="48"/>
      <c r="K710" s="49"/>
    </row>
    <row r="711" spans="1:11" ht="12.75" hidden="1" x14ac:dyDescent="0.2">
      <c r="A711" s="16"/>
      <c r="B711" s="16"/>
      <c r="C711" s="15"/>
      <c r="D711" s="16"/>
      <c r="E711" s="17"/>
      <c r="F711" s="17"/>
      <c r="H711" s="19"/>
      <c r="I711" s="47"/>
      <c r="J711" s="48"/>
      <c r="K711" s="49"/>
    </row>
    <row r="712" spans="1:11" ht="12.75" hidden="1" x14ac:dyDescent="0.2">
      <c r="A712" s="16"/>
      <c r="B712" s="16"/>
      <c r="C712" s="15"/>
      <c r="D712" s="16"/>
      <c r="E712" s="17"/>
      <c r="F712" s="17"/>
      <c r="H712" s="19"/>
      <c r="I712" s="47"/>
      <c r="J712" s="48"/>
      <c r="K712" s="49"/>
    </row>
    <row r="713" spans="1:11" ht="12.75" hidden="1" x14ac:dyDescent="0.2">
      <c r="A713" s="16"/>
      <c r="B713" s="16"/>
      <c r="C713" s="15"/>
      <c r="D713" s="16"/>
      <c r="E713" s="17"/>
      <c r="F713" s="17"/>
      <c r="H713" s="19"/>
      <c r="I713" s="47"/>
      <c r="J713" s="48"/>
      <c r="K713" s="49"/>
    </row>
    <row r="714" spans="1:11" ht="12.75" hidden="1" x14ac:dyDescent="0.2">
      <c r="A714" s="16"/>
      <c r="B714" s="16"/>
      <c r="C714" s="15"/>
      <c r="D714" s="16"/>
      <c r="E714" s="17"/>
      <c r="F714" s="17"/>
      <c r="H714" s="19"/>
      <c r="I714" s="47"/>
      <c r="J714" s="48"/>
      <c r="K714" s="49"/>
    </row>
    <row r="715" spans="1:11" ht="12.75" hidden="1" x14ac:dyDescent="0.2">
      <c r="A715" s="16"/>
      <c r="B715" s="16"/>
      <c r="C715" s="15"/>
      <c r="D715" s="16"/>
      <c r="E715" s="17"/>
      <c r="F715" s="17"/>
      <c r="H715" s="19"/>
      <c r="I715" s="47"/>
      <c r="J715" s="48"/>
      <c r="K715" s="49"/>
    </row>
    <row r="716" spans="1:11" ht="12.75" hidden="1" x14ac:dyDescent="0.2">
      <c r="A716" s="16"/>
      <c r="B716" s="16"/>
      <c r="C716" s="15"/>
      <c r="D716" s="16"/>
      <c r="E716" s="17"/>
      <c r="F716" s="17"/>
      <c r="H716" s="19"/>
      <c r="I716" s="47"/>
      <c r="J716" s="48"/>
      <c r="K716" s="49"/>
    </row>
    <row r="717" spans="1:11" ht="12.75" hidden="1" x14ac:dyDescent="0.2">
      <c r="A717" s="16"/>
      <c r="B717" s="16"/>
      <c r="C717" s="15"/>
      <c r="D717" s="16"/>
      <c r="E717" s="17"/>
      <c r="F717" s="17"/>
      <c r="H717" s="19"/>
      <c r="I717" s="47"/>
      <c r="J717" s="48"/>
      <c r="K717" s="49"/>
    </row>
    <row r="718" spans="1:11" ht="12.75" hidden="1" x14ac:dyDescent="0.2">
      <c r="A718" s="16"/>
      <c r="B718" s="16"/>
      <c r="C718" s="15"/>
      <c r="D718" s="16"/>
      <c r="E718" s="17"/>
      <c r="F718" s="17"/>
      <c r="H718" s="19"/>
      <c r="I718" s="47"/>
      <c r="J718" s="48"/>
      <c r="K718" s="49"/>
    </row>
    <row r="719" spans="1:11" ht="12.75" hidden="1" x14ac:dyDescent="0.2">
      <c r="A719" s="16"/>
      <c r="B719" s="16"/>
      <c r="C719" s="15"/>
      <c r="D719" s="16"/>
      <c r="E719" s="17"/>
      <c r="F719" s="17"/>
      <c r="H719" s="19"/>
      <c r="I719" s="47"/>
      <c r="J719" s="48"/>
      <c r="K719" s="49"/>
    </row>
    <row r="720" spans="1:11" ht="12.75" hidden="1" x14ac:dyDescent="0.2">
      <c r="A720" s="16"/>
      <c r="B720" s="16"/>
      <c r="C720" s="15"/>
      <c r="D720" s="16"/>
      <c r="E720" s="17"/>
      <c r="F720" s="17"/>
      <c r="H720" s="19"/>
      <c r="I720" s="47"/>
      <c r="J720" s="48"/>
      <c r="K720" s="49"/>
    </row>
    <row r="721" spans="1:11" ht="12.75" hidden="1" x14ac:dyDescent="0.2">
      <c r="A721" s="16"/>
      <c r="B721" s="16"/>
      <c r="C721" s="15"/>
      <c r="D721" s="16"/>
      <c r="E721" s="17"/>
      <c r="F721" s="17"/>
      <c r="H721" s="19"/>
      <c r="I721" s="47"/>
      <c r="J721" s="48"/>
      <c r="K721" s="49"/>
    </row>
    <row r="722" spans="1:11" ht="12.75" hidden="1" x14ac:dyDescent="0.2">
      <c r="A722" s="16"/>
      <c r="B722" s="16"/>
      <c r="C722" s="15"/>
      <c r="D722" s="16"/>
      <c r="E722" s="17"/>
      <c r="F722" s="17"/>
      <c r="H722" s="19"/>
      <c r="I722" s="47"/>
      <c r="J722" s="48"/>
      <c r="K722" s="49"/>
    </row>
    <row r="723" spans="1:11" ht="12.75" hidden="1" x14ac:dyDescent="0.2">
      <c r="A723" s="16"/>
      <c r="B723" s="16"/>
      <c r="C723" s="15"/>
      <c r="D723" s="16"/>
      <c r="E723" s="17"/>
      <c r="F723" s="17"/>
      <c r="H723" s="19"/>
      <c r="I723" s="47"/>
      <c r="J723" s="48"/>
      <c r="K723" s="49"/>
    </row>
    <row r="724" spans="1:11" ht="12.75" hidden="1" x14ac:dyDescent="0.2">
      <c r="A724" s="16"/>
      <c r="B724" s="16"/>
      <c r="C724" s="15"/>
      <c r="D724" s="16"/>
      <c r="E724" s="17"/>
      <c r="F724" s="17"/>
      <c r="H724" s="19"/>
      <c r="I724" s="47"/>
      <c r="J724" s="48"/>
      <c r="K724" s="49"/>
    </row>
    <row r="725" spans="1:11" ht="12.75" hidden="1" x14ac:dyDescent="0.2">
      <c r="A725" s="16"/>
      <c r="B725" s="16"/>
      <c r="C725" s="15"/>
      <c r="D725" s="16"/>
      <c r="E725" s="17"/>
      <c r="F725" s="17"/>
      <c r="H725" s="19"/>
      <c r="I725" s="47"/>
      <c r="J725" s="48"/>
      <c r="K725" s="49"/>
    </row>
    <row r="726" spans="1:11" ht="12.75" hidden="1" x14ac:dyDescent="0.2">
      <c r="A726" s="16"/>
      <c r="B726" s="16"/>
      <c r="C726" s="15"/>
      <c r="D726" s="16"/>
      <c r="E726" s="17"/>
      <c r="F726" s="17"/>
      <c r="H726" s="19"/>
      <c r="I726" s="47"/>
      <c r="J726" s="48"/>
      <c r="K726" s="49"/>
    </row>
    <row r="727" spans="1:11" ht="12.75" hidden="1" x14ac:dyDescent="0.2">
      <c r="A727" s="16"/>
      <c r="B727" s="16"/>
      <c r="C727" s="15"/>
      <c r="D727" s="16"/>
      <c r="E727" s="17"/>
      <c r="F727" s="17"/>
      <c r="H727" s="19"/>
      <c r="I727" s="47"/>
      <c r="J727" s="48"/>
      <c r="K727" s="49"/>
    </row>
    <row r="728" spans="1:11" ht="12.75" hidden="1" x14ac:dyDescent="0.2">
      <c r="A728" s="16"/>
      <c r="B728" s="16"/>
      <c r="C728" s="15"/>
      <c r="D728" s="16"/>
      <c r="E728" s="17"/>
      <c r="F728" s="17"/>
      <c r="H728" s="19"/>
      <c r="I728" s="47"/>
      <c r="J728" s="48"/>
      <c r="K728" s="49"/>
    </row>
    <row r="729" spans="1:11" ht="12.75" hidden="1" x14ac:dyDescent="0.2">
      <c r="A729" s="16"/>
      <c r="B729" s="16"/>
      <c r="C729" s="15"/>
      <c r="D729" s="16"/>
      <c r="E729" s="17"/>
      <c r="F729" s="17"/>
      <c r="H729" s="19"/>
      <c r="I729" s="47"/>
      <c r="J729" s="48"/>
      <c r="K729" s="49"/>
    </row>
    <row r="730" spans="1:11" ht="12.75" hidden="1" x14ac:dyDescent="0.2">
      <c r="A730" s="16"/>
      <c r="B730" s="16"/>
      <c r="C730" s="15"/>
      <c r="D730" s="16"/>
      <c r="E730" s="17"/>
      <c r="F730" s="17"/>
      <c r="H730" s="19"/>
      <c r="I730" s="47"/>
      <c r="J730" s="48"/>
      <c r="K730" s="49"/>
    </row>
    <row r="731" spans="1:11" ht="12.75" hidden="1" x14ac:dyDescent="0.2">
      <c r="A731" s="16"/>
      <c r="B731" s="16"/>
      <c r="C731" s="15"/>
      <c r="D731" s="16"/>
      <c r="E731" s="17"/>
      <c r="F731" s="17"/>
      <c r="H731" s="19"/>
      <c r="I731" s="47"/>
      <c r="J731" s="48"/>
      <c r="K731" s="49"/>
    </row>
    <row r="732" spans="1:11" ht="12.75" hidden="1" x14ac:dyDescent="0.2">
      <c r="A732" s="16"/>
      <c r="B732" s="16"/>
      <c r="C732" s="15"/>
      <c r="D732" s="16"/>
      <c r="E732" s="17"/>
      <c r="F732" s="17"/>
      <c r="H732" s="19"/>
      <c r="I732" s="47"/>
      <c r="J732" s="48"/>
      <c r="K732" s="49"/>
    </row>
    <row r="733" spans="1:11" ht="12.75" hidden="1" x14ac:dyDescent="0.2">
      <c r="A733" s="16"/>
      <c r="B733" s="16"/>
      <c r="C733" s="15"/>
      <c r="D733" s="16"/>
      <c r="E733" s="17"/>
      <c r="F733" s="17"/>
      <c r="H733" s="19"/>
      <c r="I733" s="47"/>
      <c r="J733" s="48"/>
      <c r="K733" s="49"/>
    </row>
    <row r="734" spans="1:11" ht="12.75" hidden="1" x14ac:dyDescent="0.2">
      <c r="A734" s="16"/>
      <c r="B734" s="16"/>
      <c r="C734" s="15"/>
      <c r="D734" s="16"/>
      <c r="E734" s="17"/>
      <c r="F734" s="17"/>
      <c r="H734" s="19"/>
      <c r="I734" s="47"/>
      <c r="J734" s="48"/>
      <c r="K734" s="49"/>
    </row>
    <row r="735" spans="1:11" ht="12.75" hidden="1" x14ac:dyDescent="0.2">
      <c r="A735" s="16"/>
      <c r="B735" s="16"/>
      <c r="C735" s="15"/>
      <c r="D735" s="16"/>
      <c r="E735" s="17"/>
      <c r="F735" s="17"/>
      <c r="H735" s="19"/>
      <c r="I735" s="47"/>
      <c r="J735" s="48"/>
      <c r="K735" s="49"/>
    </row>
    <row r="736" spans="1:11" ht="12.75" hidden="1" x14ac:dyDescent="0.2">
      <c r="A736" s="16"/>
      <c r="B736" s="16"/>
      <c r="C736" s="15"/>
      <c r="D736" s="16"/>
      <c r="E736" s="17"/>
      <c r="F736" s="17"/>
      <c r="H736" s="19"/>
      <c r="I736" s="47"/>
      <c r="J736" s="48"/>
      <c r="K736" s="49"/>
    </row>
    <row r="737" spans="1:11" ht="12.75" hidden="1" x14ac:dyDescent="0.2">
      <c r="A737" s="16"/>
      <c r="B737" s="16"/>
      <c r="C737" s="15"/>
      <c r="D737" s="16"/>
      <c r="E737" s="17"/>
      <c r="F737" s="17"/>
      <c r="H737" s="19"/>
      <c r="I737" s="47"/>
      <c r="J737" s="48"/>
      <c r="K737" s="49"/>
    </row>
    <row r="738" spans="1:11" ht="12.75" hidden="1" x14ac:dyDescent="0.2">
      <c r="A738" s="16"/>
      <c r="B738" s="16"/>
      <c r="C738" s="15"/>
      <c r="D738" s="16"/>
      <c r="E738" s="17"/>
      <c r="F738" s="17"/>
      <c r="H738" s="19"/>
      <c r="I738" s="47"/>
      <c r="J738" s="48"/>
      <c r="K738" s="49"/>
    </row>
    <row r="739" spans="1:11" ht="12.75" hidden="1" x14ac:dyDescent="0.2">
      <c r="A739" s="16"/>
      <c r="B739" s="16"/>
      <c r="C739" s="15"/>
      <c r="D739" s="16"/>
      <c r="E739" s="17"/>
      <c r="F739" s="17"/>
      <c r="H739" s="19"/>
      <c r="I739" s="47"/>
      <c r="J739" s="48"/>
      <c r="K739" s="49"/>
    </row>
    <row r="740" spans="1:11" ht="12.75" hidden="1" x14ac:dyDescent="0.2">
      <c r="A740" s="16"/>
      <c r="B740" s="16"/>
      <c r="C740" s="15"/>
      <c r="D740" s="16"/>
      <c r="E740" s="17"/>
      <c r="F740" s="17"/>
      <c r="H740" s="19"/>
      <c r="I740" s="47"/>
      <c r="J740" s="48"/>
      <c r="K740" s="49"/>
    </row>
    <row r="741" spans="1:11" ht="12.75" hidden="1" x14ac:dyDescent="0.2">
      <c r="A741" s="16"/>
      <c r="B741" s="16"/>
      <c r="C741" s="15"/>
      <c r="D741" s="16"/>
      <c r="E741" s="17"/>
      <c r="F741" s="17"/>
      <c r="H741" s="19"/>
      <c r="I741" s="47"/>
      <c r="J741" s="48"/>
      <c r="K741" s="49"/>
    </row>
    <row r="742" spans="1:11" ht="12.75" hidden="1" x14ac:dyDescent="0.2">
      <c r="A742" s="16"/>
      <c r="B742" s="16"/>
      <c r="C742" s="15"/>
      <c r="D742" s="16"/>
      <c r="E742" s="17"/>
      <c r="F742" s="17"/>
      <c r="H742" s="19"/>
      <c r="I742" s="47"/>
      <c r="J742" s="48"/>
      <c r="K742" s="49"/>
    </row>
    <row r="743" spans="1:11" ht="12.75" hidden="1" x14ac:dyDescent="0.2">
      <c r="A743" s="16"/>
      <c r="B743" s="16"/>
      <c r="C743" s="15"/>
      <c r="D743" s="16"/>
      <c r="E743" s="17"/>
      <c r="F743" s="17"/>
      <c r="H743" s="19"/>
      <c r="I743" s="47"/>
      <c r="J743" s="48"/>
      <c r="K743" s="49"/>
    </row>
    <row r="744" spans="1:11" ht="12.75" hidden="1" x14ac:dyDescent="0.2">
      <c r="A744" s="16"/>
      <c r="B744" s="16"/>
      <c r="C744" s="15"/>
      <c r="D744" s="16"/>
      <c r="E744" s="17"/>
      <c r="F744" s="17"/>
      <c r="H744" s="19"/>
      <c r="I744" s="47"/>
      <c r="J744" s="48"/>
      <c r="K744" s="49"/>
    </row>
    <row r="745" spans="1:11" ht="12.75" hidden="1" x14ac:dyDescent="0.2">
      <c r="A745" s="16"/>
      <c r="B745" s="16"/>
      <c r="C745" s="15"/>
      <c r="D745" s="16"/>
      <c r="E745" s="17"/>
      <c r="F745" s="17"/>
      <c r="H745" s="19"/>
      <c r="I745" s="47"/>
      <c r="J745" s="48"/>
      <c r="K745" s="49"/>
    </row>
    <row r="746" spans="1:11" ht="12.75" hidden="1" x14ac:dyDescent="0.2">
      <c r="A746" s="16"/>
      <c r="B746" s="16"/>
      <c r="C746" s="15"/>
      <c r="D746" s="16"/>
      <c r="E746" s="17"/>
      <c r="F746" s="17"/>
      <c r="H746" s="19"/>
      <c r="I746" s="47"/>
      <c r="J746" s="48"/>
      <c r="K746" s="49"/>
    </row>
    <row r="747" spans="1:11" ht="12.75" hidden="1" x14ac:dyDescent="0.2">
      <c r="A747" s="16"/>
      <c r="B747" s="16"/>
      <c r="C747" s="15"/>
      <c r="D747" s="16"/>
      <c r="E747" s="17"/>
      <c r="F747" s="17"/>
      <c r="H747" s="19"/>
      <c r="I747" s="47"/>
      <c r="J747" s="48"/>
      <c r="K747" s="49"/>
    </row>
    <row r="748" spans="1:11" ht="12.75" hidden="1" x14ac:dyDescent="0.2">
      <c r="A748" s="16"/>
      <c r="B748" s="16"/>
      <c r="C748" s="15"/>
      <c r="D748" s="16"/>
      <c r="E748" s="17"/>
      <c r="F748" s="17"/>
      <c r="H748" s="19"/>
      <c r="I748" s="47"/>
      <c r="J748" s="48"/>
      <c r="K748" s="49"/>
    </row>
    <row r="749" spans="1:11" ht="12.75" hidden="1" x14ac:dyDescent="0.2">
      <c r="A749" s="16"/>
      <c r="B749" s="16"/>
      <c r="C749" s="15"/>
      <c r="D749" s="16"/>
      <c r="E749" s="17"/>
      <c r="F749" s="17"/>
      <c r="H749" s="19"/>
      <c r="I749" s="47"/>
      <c r="J749" s="48"/>
      <c r="K749" s="49"/>
    </row>
    <row r="750" spans="1:11" ht="12.75" hidden="1" x14ac:dyDescent="0.2">
      <c r="A750" s="16"/>
      <c r="B750" s="16"/>
      <c r="C750" s="15"/>
      <c r="D750" s="16"/>
      <c r="E750" s="17"/>
      <c r="F750" s="17"/>
      <c r="H750" s="19"/>
      <c r="I750" s="47"/>
      <c r="J750" s="48"/>
      <c r="K750" s="49"/>
    </row>
    <row r="751" spans="1:11" ht="12.75" hidden="1" x14ac:dyDescent="0.2">
      <c r="A751" s="16"/>
      <c r="B751" s="16"/>
      <c r="C751" s="15"/>
      <c r="D751" s="16"/>
      <c r="E751" s="17"/>
      <c r="F751" s="17"/>
      <c r="H751" s="19"/>
      <c r="I751" s="47"/>
      <c r="J751" s="48"/>
      <c r="K751" s="49"/>
    </row>
    <row r="752" spans="1:11" ht="12.75" hidden="1" x14ac:dyDescent="0.2">
      <c r="A752" s="16"/>
      <c r="B752" s="16"/>
      <c r="C752" s="15"/>
      <c r="D752" s="16"/>
      <c r="E752" s="17"/>
      <c r="F752" s="17"/>
      <c r="H752" s="19"/>
      <c r="I752" s="47"/>
      <c r="J752" s="48"/>
      <c r="K752" s="49"/>
    </row>
    <row r="753" spans="1:11" ht="12.75" hidden="1" x14ac:dyDescent="0.2">
      <c r="A753" s="16"/>
      <c r="B753" s="16"/>
      <c r="C753" s="15"/>
      <c r="D753" s="16"/>
      <c r="E753" s="17"/>
      <c r="F753" s="17"/>
      <c r="H753" s="19"/>
      <c r="I753" s="47"/>
      <c r="J753" s="48"/>
      <c r="K753" s="49"/>
    </row>
    <row r="754" spans="1:11" ht="12.75" hidden="1" x14ac:dyDescent="0.2">
      <c r="A754" s="16"/>
      <c r="B754" s="16"/>
      <c r="C754" s="15"/>
      <c r="D754" s="16"/>
      <c r="E754" s="17"/>
      <c r="F754" s="17"/>
      <c r="H754" s="19"/>
      <c r="I754" s="47"/>
      <c r="J754" s="48"/>
      <c r="K754" s="49"/>
    </row>
    <row r="755" spans="1:11" ht="12.75" hidden="1" x14ac:dyDescent="0.2">
      <c r="A755" s="16"/>
      <c r="B755" s="16"/>
      <c r="C755" s="15"/>
      <c r="D755" s="16"/>
      <c r="E755" s="17"/>
      <c r="F755" s="17"/>
      <c r="H755" s="19"/>
      <c r="I755" s="47"/>
      <c r="J755" s="48"/>
      <c r="K755" s="49"/>
    </row>
    <row r="756" spans="1:11" ht="12.75" hidden="1" x14ac:dyDescent="0.2">
      <c r="A756" s="16"/>
      <c r="B756" s="16"/>
      <c r="C756" s="15"/>
      <c r="D756" s="16"/>
      <c r="E756" s="17"/>
      <c r="F756" s="17"/>
      <c r="H756" s="19"/>
      <c r="I756" s="47"/>
      <c r="J756" s="48"/>
      <c r="K756" s="49"/>
    </row>
    <row r="757" spans="1:11" ht="12.75" hidden="1" x14ac:dyDescent="0.2">
      <c r="A757" s="16"/>
      <c r="B757" s="16"/>
      <c r="C757" s="15"/>
      <c r="D757" s="16"/>
      <c r="E757" s="17"/>
      <c r="F757" s="17"/>
      <c r="H757" s="19"/>
      <c r="I757" s="47"/>
      <c r="J757" s="48"/>
      <c r="K757" s="49"/>
    </row>
    <row r="758" spans="1:11" ht="12.75" hidden="1" x14ac:dyDescent="0.2">
      <c r="A758" s="16"/>
      <c r="B758" s="16"/>
      <c r="C758" s="15"/>
      <c r="D758" s="16"/>
      <c r="E758" s="17"/>
      <c r="F758" s="17"/>
      <c r="H758" s="19"/>
      <c r="I758" s="47"/>
      <c r="J758" s="48"/>
      <c r="K758" s="49"/>
    </row>
    <row r="759" spans="1:11" ht="12.75" hidden="1" x14ac:dyDescent="0.2">
      <c r="A759" s="16"/>
      <c r="B759" s="16"/>
      <c r="C759" s="15"/>
      <c r="D759" s="16"/>
      <c r="E759" s="17"/>
      <c r="F759" s="17"/>
      <c r="H759" s="19"/>
      <c r="I759" s="47"/>
      <c r="J759" s="48"/>
      <c r="K759" s="49"/>
    </row>
    <row r="760" spans="1:11" ht="12.75" hidden="1" x14ac:dyDescent="0.2">
      <c r="A760" s="16"/>
      <c r="B760" s="16"/>
      <c r="C760" s="15"/>
      <c r="D760" s="16"/>
      <c r="E760" s="17"/>
      <c r="F760" s="17"/>
      <c r="H760" s="19"/>
      <c r="I760" s="47"/>
      <c r="J760" s="48"/>
      <c r="K760" s="49"/>
    </row>
    <row r="761" spans="1:11" ht="12.75" hidden="1" x14ac:dyDescent="0.2">
      <c r="A761" s="16"/>
      <c r="B761" s="16"/>
      <c r="C761" s="15"/>
      <c r="D761" s="16"/>
      <c r="E761" s="17"/>
      <c r="F761" s="17"/>
      <c r="H761" s="19"/>
      <c r="I761" s="47"/>
      <c r="J761" s="48"/>
      <c r="K761" s="49"/>
    </row>
    <row r="762" spans="1:11" ht="12.75" hidden="1" x14ac:dyDescent="0.2">
      <c r="A762" s="16"/>
      <c r="B762" s="16"/>
      <c r="C762" s="15"/>
      <c r="D762" s="16"/>
      <c r="E762" s="17"/>
      <c r="F762" s="17"/>
      <c r="H762" s="19"/>
      <c r="I762" s="47"/>
      <c r="J762" s="48"/>
      <c r="K762" s="49"/>
    </row>
    <row r="763" spans="1:11" ht="12.75" hidden="1" x14ac:dyDescent="0.2">
      <c r="A763" s="16"/>
      <c r="B763" s="16"/>
      <c r="C763" s="15"/>
      <c r="D763" s="16"/>
      <c r="E763" s="17"/>
      <c r="F763" s="17"/>
      <c r="H763" s="19"/>
      <c r="I763" s="47"/>
      <c r="J763" s="48"/>
      <c r="K763" s="49"/>
    </row>
    <row r="764" spans="1:11" ht="12.75" hidden="1" x14ac:dyDescent="0.2">
      <c r="A764" s="16"/>
      <c r="B764" s="16"/>
      <c r="C764" s="15"/>
      <c r="D764" s="16"/>
      <c r="E764" s="17"/>
      <c r="F764" s="17"/>
      <c r="H764" s="19"/>
      <c r="I764" s="47"/>
      <c r="J764" s="48"/>
      <c r="K764" s="49"/>
    </row>
    <row r="765" spans="1:11" ht="12.75" hidden="1" x14ac:dyDescent="0.2">
      <c r="A765" s="16"/>
      <c r="B765" s="16"/>
      <c r="C765" s="15"/>
      <c r="D765" s="16"/>
      <c r="E765" s="17"/>
      <c r="F765" s="17"/>
      <c r="H765" s="19"/>
      <c r="I765" s="47"/>
      <c r="J765" s="48"/>
      <c r="K765" s="49"/>
    </row>
    <row r="766" spans="1:11" ht="12.75" hidden="1" x14ac:dyDescent="0.2">
      <c r="A766" s="16"/>
      <c r="B766" s="16"/>
      <c r="C766" s="15"/>
      <c r="D766" s="16"/>
      <c r="E766" s="17"/>
      <c r="F766" s="17"/>
      <c r="H766" s="19"/>
      <c r="I766" s="47"/>
      <c r="J766" s="48"/>
      <c r="K766" s="49"/>
    </row>
    <row r="767" spans="1:11" ht="12.75" hidden="1" x14ac:dyDescent="0.2">
      <c r="A767" s="16"/>
      <c r="B767" s="16"/>
      <c r="C767" s="15"/>
      <c r="D767" s="16"/>
      <c r="E767" s="17"/>
      <c r="F767" s="17"/>
      <c r="H767" s="19"/>
      <c r="I767" s="47"/>
      <c r="J767" s="48"/>
      <c r="K767" s="49"/>
    </row>
    <row r="768" spans="1:11" ht="12.75" hidden="1" x14ac:dyDescent="0.2">
      <c r="A768" s="16"/>
      <c r="B768" s="16"/>
      <c r="C768" s="15"/>
      <c r="D768" s="16"/>
      <c r="E768" s="17"/>
      <c r="F768" s="17"/>
      <c r="H768" s="19"/>
      <c r="I768" s="47"/>
      <c r="J768" s="48"/>
      <c r="K768" s="49"/>
    </row>
    <row r="769" spans="1:11" ht="12.75" hidden="1" x14ac:dyDescent="0.2">
      <c r="A769" s="16"/>
      <c r="B769" s="16"/>
      <c r="C769" s="15"/>
      <c r="D769" s="16"/>
      <c r="E769" s="17"/>
      <c r="F769" s="17"/>
      <c r="H769" s="19"/>
      <c r="I769" s="47"/>
      <c r="J769" s="48"/>
      <c r="K769" s="49"/>
    </row>
    <row r="770" spans="1:11" ht="12.75" hidden="1" x14ac:dyDescent="0.2">
      <c r="A770" s="16"/>
      <c r="B770" s="16"/>
      <c r="C770" s="15"/>
      <c r="D770" s="16"/>
      <c r="E770" s="17"/>
      <c r="F770" s="17"/>
      <c r="H770" s="19"/>
      <c r="I770" s="47"/>
      <c r="J770" s="48"/>
      <c r="K770" s="49"/>
    </row>
    <row r="771" spans="1:11" ht="12.75" hidden="1" x14ac:dyDescent="0.2">
      <c r="A771" s="16"/>
      <c r="B771" s="16"/>
      <c r="C771" s="15"/>
      <c r="D771" s="16"/>
      <c r="E771" s="17"/>
      <c r="F771" s="17"/>
      <c r="H771" s="19"/>
      <c r="I771" s="47"/>
      <c r="J771" s="48"/>
      <c r="K771" s="49"/>
    </row>
    <row r="772" spans="1:11" ht="12.75" hidden="1" x14ac:dyDescent="0.2">
      <c r="A772" s="16"/>
      <c r="B772" s="16"/>
      <c r="C772" s="15"/>
      <c r="D772" s="16"/>
      <c r="E772" s="17"/>
      <c r="F772" s="17"/>
      <c r="H772" s="19"/>
      <c r="I772" s="47"/>
      <c r="J772" s="48"/>
      <c r="K772" s="49"/>
    </row>
    <row r="773" spans="1:11" ht="12.75" hidden="1" x14ac:dyDescent="0.2">
      <c r="A773" s="16"/>
      <c r="B773" s="16"/>
      <c r="C773" s="15"/>
      <c r="D773" s="16"/>
      <c r="E773" s="17"/>
      <c r="F773" s="17"/>
      <c r="H773" s="19"/>
      <c r="I773" s="47"/>
      <c r="J773" s="48"/>
      <c r="K773" s="49"/>
    </row>
    <row r="774" spans="1:11" ht="12.75" hidden="1" x14ac:dyDescent="0.2">
      <c r="A774" s="16"/>
      <c r="B774" s="16"/>
      <c r="C774" s="15"/>
      <c r="D774" s="16"/>
      <c r="E774" s="17"/>
      <c r="F774" s="17"/>
      <c r="H774" s="19"/>
      <c r="I774" s="47"/>
      <c r="J774" s="48"/>
      <c r="K774" s="49"/>
    </row>
    <row r="775" spans="1:11" ht="12.75" hidden="1" x14ac:dyDescent="0.2">
      <c r="A775" s="16"/>
      <c r="B775" s="16"/>
      <c r="C775" s="15"/>
      <c r="D775" s="16"/>
      <c r="E775" s="17"/>
      <c r="F775" s="17"/>
      <c r="H775" s="19"/>
      <c r="I775" s="47"/>
      <c r="J775" s="48"/>
      <c r="K775" s="49"/>
    </row>
    <row r="776" spans="1:11" ht="12.75" hidden="1" x14ac:dyDescent="0.2">
      <c r="A776" s="16"/>
      <c r="B776" s="16"/>
      <c r="C776" s="15"/>
      <c r="D776" s="16"/>
      <c r="E776" s="17"/>
      <c r="F776" s="17"/>
      <c r="H776" s="19"/>
      <c r="I776" s="47"/>
      <c r="J776" s="48"/>
      <c r="K776" s="49"/>
    </row>
    <row r="777" spans="1:11" ht="12.75" hidden="1" x14ac:dyDescent="0.2">
      <c r="A777" s="16"/>
      <c r="B777" s="16"/>
      <c r="C777" s="15"/>
      <c r="D777" s="16"/>
      <c r="E777" s="17"/>
      <c r="F777" s="17"/>
      <c r="H777" s="19"/>
      <c r="I777" s="47"/>
      <c r="J777" s="48"/>
      <c r="K777" s="49"/>
    </row>
    <row r="778" spans="1:11" ht="12.75" hidden="1" x14ac:dyDescent="0.2">
      <c r="A778" s="16"/>
      <c r="B778" s="16"/>
      <c r="C778" s="15"/>
      <c r="D778" s="16"/>
      <c r="E778" s="17"/>
      <c r="F778" s="17"/>
      <c r="H778" s="19"/>
      <c r="I778" s="47"/>
      <c r="J778" s="48"/>
      <c r="K778" s="49"/>
    </row>
    <row r="779" spans="1:11" ht="12.75" hidden="1" x14ac:dyDescent="0.2">
      <c r="A779" s="16"/>
      <c r="B779" s="16"/>
      <c r="C779" s="15"/>
      <c r="D779" s="16"/>
      <c r="E779" s="17"/>
      <c r="F779" s="17"/>
      <c r="H779" s="19"/>
      <c r="I779" s="47"/>
      <c r="J779" s="48"/>
      <c r="K779" s="49"/>
    </row>
    <row r="780" spans="1:11" ht="12.75" hidden="1" x14ac:dyDescent="0.2">
      <c r="A780" s="16"/>
      <c r="B780" s="16"/>
      <c r="C780" s="15"/>
      <c r="D780" s="16"/>
      <c r="E780" s="17"/>
      <c r="F780" s="17"/>
      <c r="H780" s="19"/>
      <c r="I780" s="47"/>
      <c r="J780" s="48"/>
      <c r="K780" s="49"/>
    </row>
    <row r="781" spans="1:11" ht="12.75" hidden="1" x14ac:dyDescent="0.2">
      <c r="A781" s="16"/>
      <c r="B781" s="16"/>
      <c r="C781" s="15"/>
      <c r="D781" s="16"/>
      <c r="E781" s="17"/>
      <c r="F781" s="17"/>
      <c r="H781" s="19"/>
      <c r="I781" s="47"/>
      <c r="J781" s="48"/>
      <c r="K781" s="49"/>
    </row>
    <row r="782" spans="1:11" ht="12.75" hidden="1" x14ac:dyDescent="0.2">
      <c r="A782" s="16"/>
      <c r="B782" s="16"/>
      <c r="C782" s="15"/>
      <c r="D782" s="16"/>
      <c r="E782" s="17"/>
      <c r="F782" s="17"/>
      <c r="H782" s="19"/>
      <c r="I782" s="47"/>
      <c r="J782" s="48"/>
      <c r="K782" s="49"/>
    </row>
    <row r="783" spans="1:11" ht="12.75" hidden="1" x14ac:dyDescent="0.2">
      <c r="A783" s="16"/>
      <c r="B783" s="16"/>
      <c r="C783" s="15"/>
      <c r="D783" s="16"/>
      <c r="E783" s="17"/>
      <c r="F783" s="17"/>
      <c r="H783" s="19"/>
      <c r="I783" s="47"/>
      <c r="J783" s="48"/>
      <c r="K783" s="49"/>
    </row>
    <row r="784" spans="1:11" ht="12.75" hidden="1" x14ac:dyDescent="0.2">
      <c r="A784" s="16"/>
      <c r="B784" s="16"/>
      <c r="C784" s="15"/>
      <c r="D784" s="16"/>
      <c r="E784" s="17"/>
      <c r="F784" s="17"/>
      <c r="H784" s="19"/>
      <c r="I784" s="47"/>
      <c r="J784" s="48"/>
      <c r="K784" s="49"/>
    </row>
    <row r="785" spans="1:11" ht="12.75" hidden="1" x14ac:dyDescent="0.2">
      <c r="A785" s="16"/>
      <c r="B785" s="16"/>
      <c r="C785" s="15"/>
      <c r="D785" s="16"/>
      <c r="E785" s="17"/>
      <c r="F785" s="17"/>
      <c r="H785" s="19"/>
      <c r="I785" s="47"/>
      <c r="J785" s="48"/>
      <c r="K785" s="49"/>
    </row>
    <row r="786" spans="1:11" ht="12.75" hidden="1" x14ac:dyDescent="0.2">
      <c r="A786" s="16"/>
      <c r="B786" s="16"/>
      <c r="C786" s="15"/>
      <c r="D786" s="16"/>
      <c r="E786" s="17"/>
      <c r="F786" s="17"/>
      <c r="H786" s="19"/>
      <c r="I786" s="47"/>
      <c r="J786" s="48"/>
      <c r="K786" s="49"/>
    </row>
    <row r="787" spans="1:11" ht="12.75" hidden="1" x14ac:dyDescent="0.2">
      <c r="A787" s="16"/>
      <c r="B787" s="16"/>
      <c r="C787" s="15"/>
      <c r="D787" s="16"/>
      <c r="E787" s="17"/>
      <c r="F787" s="17"/>
      <c r="H787" s="19"/>
      <c r="I787" s="47"/>
      <c r="J787" s="48"/>
      <c r="K787" s="49"/>
    </row>
    <row r="788" spans="1:11" ht="12.75" hidden="1" x14ac:dyDescent="0.2">
      <c r="A788" s="16"/>
      <c r="B788" s="16"/>
      <c r="C788" s="15"/>
      <c r="D788" s="16"/>
      <c r="E788" s="17"/>
      <c r="F788" s="17"/>
      <c r="H788" s="19"/>
      <c r="I788" s="47"/>
      <c r="J788" s="48"/>
      <c r="K788" s="49"/>
    </row>
    <row r="789" spans="1:11" ht="12.75" hidden="1" x14ac:dyDescent="0.2">
      <c r="A789" s="16"/>
      <c r="B789" s="16"/>
      <c r="C789" s="15"/>
      <c r="D789" s="16"/>
      <c r="E789" s="17"/>
      <c r="F789" s="17"/>
      <c r="H789" s="19"/>
      <c r="I789" s="47"/>
      <c r="J789" s="48"/>
      <c r="K789" s="49"/>
    </row>
    <row r="790" spans="1:11" ht="12.75" hidden="1" x14ac:dyDescent="0.2">
      <c r="A790" s="16"/>
      <c r="B790" s="16"/>
      <c r="C790" s="15"/>
      <c r="D790" s="16"/>
      <c r="E790" s="17"/>
      <c r="F790" s="17"/>
      <c r="H790" s="19"/>
      <c r="I790" s="47"/>
      <c r="J790" s="48"/>
      <c r="K790" s="49"/>
    </row>
    <row r="791" spans="1:11" ht="12.75" hidden="1" x14ac:dyDescent="0.2">
      <c r="A791" s="16"/>
      <c r="B791" s="16"/>
      <c r="C791" s="15"/>
      <c r="D791" s="16"/>
      <c r="E791" s="17"/>
      <c r="F791" s="17"/>
      <c r="H791" s="19"/>
      <c r="I791" s="47"/>
      <c r="J791" s="48"/>
      <c r="K791" s="49"/>
    </row>
    <row r="792" spans="1:11" ht="12.75" hidden="1" x14ac:dyDescent="0.2">
      <c r="A792" s="16"/>
      <c r="B792" s="16"/>
      <c r="C792" s="15"/>
      <c r="D792" s="16"/>
      <c r="E792" s="17"/>
      <c r="F792" s="17"/>
      <c r="H792" s="19"/>
      <c r="I792" s="47"/>
      <c r="J792" s="48"/>
      <c r="K792" s="49"/>
    </row>
    <row r="793" spans="1:11" ht="12.75" hidden="1" x14ac:dyDescent="0.2">
      <c r="A793" s="16"/>
      <c r="B793" s="16"/>
      <c r="C793" s="15"/>
      <c r="D793" s="16"/>
      <c r="E793" s="17"/>
      <c r="F793" s="17"/>
      <c r="H793" s="19"/>
      <c r="I793" s="47"/>
      <c r="J793" s="48"/>
      <c r="K793" s="49"/>
    </row>
    <row r="794" spans="1:11" ht="12.75" hidden="1" x14ac:dyDescent="0.2">
      <c r="A794" s="16"/>
      <c r="B794" s="16"/>
      <c r="C794" s="15"/>
      <c r="D794" s="16"/>
      <c r="E794" s="17"/>
      <c r="F794" s="17"/>
      <c r="H794" s="19"/>
      <c r="I794" s="47"/>
      <c r="J794" s="48"/>
      <c r="K794" s="49"/>
    </row>
    <row r="795" spans="1:11" ht="12.75" hidden="1" x14ac:dyDescent="0.2">
      <c r="A795" s="16"/>
      <c r="B795" s="16"/>
      <c r="C795" s="15"/>
      <c r="D795" s="16"/>
      <c r="E795" s="17"/>
      <c r="F795" s="17"/>
      <c r="H795" s="19"/>
      <c r="I795" s="47"/>
      <c r="J795" s="48"/>
      <c r="K795" s="49"/>
    </row>
    <row r="796" spans="1:11" ht="12.75" hidden="1" x14ac:dyDescent="0.2">
      <c r="A796" s="16"/>
      <c r="B796" s="16"/>
      <c r="C796" s="15"/>
      <c r="D796" s="16"/>
      <c r="E796" s="17"/>
      <c r="F796" s="17"/>
      <c r="H796" s="19"/>
      <c r="I796" s="47"/>
      <c r="J796" s="48"/>
      <c r="K796" s="49"/>
    </row>
    <row r="797" spans="1:11" ht="12.75" hidden="1" x14ac:dyDescent="0.2">
      <c r="A797" s="16"/>
      <c r="B797" s="16"/>
      <c r="C797" s="15"/>
      <c r="D797" s="16"/>
      <c r="E797" s="17"/>
      <c r="F797" s="17"/>
      <c r="H797" s="19"/>
      <c r="I797" s="47"/>
      <c r="J797" s="48"/>
      <c r="K797" s="49"/>
    </row>
    <row r="798" spans="1:11" ht="12.75" hidden="1" x14ac:dyDescent="0.2">
      <c r="A798" s="16"/>
      <c r="B798" s="16"/>
      <c r="C798" s="15"/>
      <c r="D798" s="16"/>
      <c r="E798" s="17"/>
      <c r="F798" s="17"/>
      <c r="H798" s="19"/>
      <c r="I798" s="47"/>
      <c r="J798" s="48"/>
      <c r="K798" s="49"/>
    </row>
    <row r="799" spans="1:11" ht="12.75" hidden="1" x14ac:dyDescent="0.2">
      <c r="A799" s="16"/>
      <c r="B799" s="16"/>
      <c r="C799" s="15"/>
      <c r="D799" s="16"/>
      <c r="E799" s="17"/>
      <c r="F799" s="17"/>
      <c r="H799" s="19"/>
      <c r="I799" s="47"/>
      <c r="J799" s="48"/>
      <c r="K799" s="49"/>
    </row>
    <row r="800" spans="1:11" ht="12.75" hidden="1" x14ac:dyDescent="0.2">
      <c r="A800" s="16"/>
      <c r="B800" s="16"/>
      <c r="C800" s="15"/>
      <c r="D800" s="16"/>
      <c r="E800" s="17"/>
      <c r="F800" s="17"/>
      <c r="H800" s="19"/>
      <c r="I800" s="47"/>
      <c r="J800" s="48"/>
      <c r="K800" s="49"/>
    </row>
    <row r="801" spans="1:11" ht="12.75" hidden="1" x14ac:dyDescent="0.2">
      <c r="A801" s="16"/>
      <c r="B801" s="16"/>
      <c r="C801" s="15"/>
      <c r="D801" s="16"/>
      <c r="E801" s="17"/>
      <c r="F801" s="17"/>
      <c r="H801" s="19"/>
      <c r="I801" s="47"/>
      <c r="J801" s="48"/>
      <c r="K801" s="49"/>
    </row>
    <row r="802" spans="1:11" ht="12.75" hidden="1" x14ac:dyDescent="0.2">
      <c r="A802" s="16"/>
      <c r="B802" s="16"/>
      <c r="C802" s="15"/>
      <c r="D802" s="16"/>
      <c r="E802" s="17"/>
      <c r="F802" s="17"/>
      <c r="H802" s="19"/>
      <c r="I802" s="47"/>
      <c r="J802" s="48"/>
      <c r="K802" s="49"/>
    </row>
    <row r="803" spans="1:11" ht="12.75" hidden="1" x14ac:dyDescent="0.2">
      <c r="A803" s="16"/>
      <c r="B803" s="16"/>
      <c r="C803" s="15"/>
      <c r="D803" s="16"/>
      <c r="E803" s="17"/>
      <c r="F803" s="17"/>
      <c r="H803" s="19"/>
      <c r="I803" s="47"/>
      <c r="J803" s="48"/>
      <c r="K803" s="49"/>
    </row>
    <row r="804" spans="1:11" ht="12.75" hidden="1" x14ac:dyDescent="0.2">
      <c r="A804" s="16"/>
      <c r="B804" s="16"/>
      <c r="C804" s="15"/>
      <c r="D804" s="16"/>
      <c r="E804" s="17"/>
      <c r="F804" s="17"/>
      <c r="H804" s="19"/>
      <c r="I804" s="47"/>
      <c r="J804" s="48"/>
      <c r="K804" s="49"/>
    </row>
    <row r="805" spans="1:11" ht="12.75" hidden="1" x14ac:dyDescent="0.2">
      <c r="A805" s="16"/>
      <c r="B805" s="16"/>
      <c r="C805" s="15"/>
      <c r="D805" s="16"/>
      <c r="E805" s="17"/>
      <c r="F805" s="17"/>
      <c r="H805" s="19"/>
      <c r="I805" s="47"/>
      <c r="J805" s="48"/>
      <c r="K805" s="49"/>
    </row>
    <row r="806" spans="1:11" ht="12.75" hidden="1" x14ac:dyDescent="0.2">
      <c r="A806" s="16"/>
      <c r="B806" s="16"/>
      <c r="C806" s="15"/>
      <c r="D806" s="16"/>
      <c r="E806" s="17"/>
      <c r="F806" s="17"/>
      <c r="H806" s="19"/>
      <c r="I806" s="47"/>
      <c r="J806" s="48"/>
      <c r="K806" s="49"/>
    </row>
    <row r="807" spans="1:11" ht="12.75" hidden="1" x14ac:dyDescent="0.2">
      <c r="A807" s="16"/>
      <c r="B807" s="16"/>
      <c r="C807" s="15"/>
      <c r="D807" s="16"/>
      <c r="E807" s="17"/>
      <c r="F807" s="17"/>
      <c r="H807" s="19"/>
      <c r="I807" s="47"/>
      <c r="J807" s="48"/>
      <c r="K807" s="49"/>
    </row>
    <row r="808" spans="1:11" ht="12.75" hidden="1" x14ac:dyDescent="0.2">
      <c r="A808" s="16"/>
      <c r="B808" s="16"/>
      <c r="C808" s="15"/>
      <c r="D808" s="16"/>
      <c r="E808" s="17"/>
      <c r="F808" s="17"/>
      <c r="H808" s="19"/>
      <c r="I808" s="47"/>
      <c r="J808" s="48"/>
      <c r="K808" s="49"/>
    </row>
    <row r="809" spans="1:11" ht="12.75" hidden="1" x14ac:dyDescent="0.2">
      <c r="A809" s="16"/>
      <c r="B809" s="16"/>
      <c r="C809" s="15"/>
      <c r="D809" s="16"/>
      <c r="E809" s="17"/>
      <c r="F809" s="17"/>
      <c r="H809" s="19"/>
      <c r="I809" s="47"/>
      <c r="J809" s="48"/>
      <c r="K809" s="49"/>
    </row>
    <row r="810" spans="1:11" ht="12.75" hidden="1" x14ac:dyDescent="0.2">
      <c r="A810" s="16"/>
      <c r="B810" s="16"/>
      <c r="C810" s="15"/>
      <c r="D810" s="16"/>
      <c r="E810" s="17"/>
      <c r="F810" s="17"/>
      <c r="H810" s="19"/>
      <c r="I810" s="47"/>
      <c r="J810" s="48"/>
      <c r="K810" s="49"/>
    </row>
    <row r="811" spans="1:11" ht="12.75" hidden="1" x14ac:dyDescent="0.2">
      <c r="A811" s="16"/>
      <c r="B811" s="16"/>
      <c r="C811" s="15"/>
      <c r="D811" s="16"/>
      <c r="E811" s="17"/>
      <c r="F811" s="17"/>
      <c r="H811" s="19"/>
      <c r="I811" s="47"/>
      <c r="J811" s="48"/>
      <c r="K811" s="49"/>
    </row>
    <row r="812" spans="1:11" ht="12.75" hidden="1" x14ac:dyDescent="0.2">
      <c r="A812" s="16"/>
      <c r="B812" s="16"/>
      <c r="C812" s="15"/>
      <c r="D812" s="16"/>
      <c r="E812" s="17"/>
      <c r="F812" s="17"/>
      <c r="H812" s="19"/>
      <c r="I812" s="47"/>
      <c r="J812" s="48"/>
      <c r="K812" s="49"/>
    </row>
    <row r="813" spans="1:11" ht="12.75" hidden="1" x14ac:dyDescent="0.2">
      <c r="A813" s="16"/>
      <c r="B813" s="16"/>
      <c r="C813" s="15"/>
      <c r="D813" s="16"/>
      <c r="E813" s="17"/>
      <c r="F813" s="17"/>
      <c r="H813" s="19"/>
      <c r="I813" s="47"/>
      <c r="J813" s="48"/>
      <c r="K813" s="49"/>
    </row>
    <row r="814" spans="1:11" ht="12.75" hidden="1" x14ac:dyDescent="0.2">
      <c r="A814" s="16"/>
      <c r="B814" s="16"/>
      <c r="C814" s="15"/>
      <c r="D814" s="16"/>
      <c r="E814" s="17"/>
      <c r="F814" s="17"/>
      <c r="H814" s="19"/>
      <c r="I814" s="47"/>
      <c r="J814" s="48"/>
      <c r="K814" s="49"/>
    </row>
    <row r="815" spans="1:11" ht="12.75" hidden="1" x14ac:dyDescent="0.2">
      <c r="A815" s="16"/>
      <c r="B815" s="16"/>
      <c r="C815" s="15"/>
      <c r="D815" s="16"/>
      <c r="E815" s="17"/>
      <c r="F815" s="17"/>
      <c r="H815" s="19"/>
      <c r="I815" s="47"/>
      <c r="J815" s="48"/>
      <c r="K815" s="49"/>
    </row>
    <row r="816" spans="1:11" ht="12.75" hidden="1" x14ac:dyDescent="0.2">
      <c r="A816" s="16"/>
      <c r="B816" s="16"/>
      <c r="C816" s="15"/>
      <c r="D816" s="16"/>
      <c r="E816" s="17"/>
      <c r="F816" s="17"/>
      <c r="H816" s="19"/>
      <c r="I816" s="47"/>
      <c r="J816" s="48"/>
      <c r="K816" s="49"/>
    </row>
    <row r="817" spans="1:11" ht="12.75" hidden="1" x14ac:dyDescent="0.2">
      <c r="A817" s="16"/>
      <c r="B817" s="16"/>
      <c r="C817" s="15"/>
      <c r="D817" s="16"/>
      <c r="E817" s="17"/>
      <c r="F817" s="17"/>
      <c r="H817" s="19"/>
      <c r="I817" s="47"/>
      <c r="J817" s="48"/>
      <c r="K817" s="49"/>
    </row>
    <row r="818" spans="1:11" ht="12.75" hidden="1" x14ac:dyDescent="0.2">
      <c r="A818" s="16"/>
      <c r="B818" s="16"/>
      <c r="C818" s="15"/>
      <c r="D818" s="16"/>
      <c r="E818" s="17"/>
      <c r="F818" s="17"/>
      <c r="H818" s="19"/>
      <c r="I818" s="47"/>
      <c r="J818" s="48"/>
      <c r="K818" s="49"/>
    </row>
    <row r="819" spans="1:11" ht="12.75" hidden="1" x14ac:dyDescent="0.2">
      <c r="A819" s="16"/>
      <c r="B819" s="16"/>
      <c r="C819" s="15"/>
      <c r="D819" s="16"/>
      <c r="E819" s="17"/>
      <c r="F819" s="17"/>
      <c r="H819" s="19"/>
      <c r="I819" s="47"/>
      <c r="J819" s="48"/>
      <c r="K819" s="49"/>
    </row>
    <row r="820" spans="1:11" ht="12.75" hidden="1" x14ac:dyDescent="0.2">
      <c r="A820" s="16"/>
      <c r="B820" s="16"/>
      <c r="C820" s="15"/>
      <c r="D820" s="16"/>
      <c r="E820" s="17"/>
      <c r="F820" s="17"/>
      <c r="H820" s="19"/>
      <c r="I820" s="47"/>
      <c r="J820" s="48"/>
      <c r="K820" s="49"/>
    </row>
    <row r="821" spans="1:11" ht="12.75" hidden="1" x14ac:dyDescent="0.2">
      <c r="A821" s="16"/>
      <c r="B821" s="16"/>
      <c r="C821" s="15"/>
      <c r="D821" s="16"/>
      <c r="E821" s="17"/>
      <c r="F821" s="17"/>
      <c r="H821" s="19"/>
      <c r="I821" s="47"/>
      <c r="J821" s="48"/>
      <c r="K821" s="49"/>
    </row>
    <row r="822" spans="1:11" ht="12.75" hidden="1" x14ac:dyDescent="0.2">
      <c r="A822" s="16"/>
      <c r="B822" s="16"/>
      <c r="C822" s="15"/>
      <c r="D822" s="16"/>
      <c r="E822" s="17"/>
      <c r="F822" s="17"/>
      <c r="H822" s="19"/>
      <c r="I822" s="47"/>
      <c r="J822" s="48"/>
      <c r="K822" s="49"/>
    </row>
    <row r="823" spans="1:11" ht="12.75" hidden="1" x14ac:dyDescent="0.2">
      <c r="A823" s="16"/>
      <c r="B823" s="16"/>
      <c r="C823" s="15"/>
      <c r="D823" s="16"/>
      <c r="E823" s="17"/>
      <c r="F823" s="17"/>
      <c r="H823" s="19"/>
      <c r="I823" s="47"/>
      <c r="J823" s="48"/>
      <c r="K823" s="49"/>
    </row>
    <row r="824" spans="1:11" ht="12.75" hidden="1" x14ac:dyDescent="0.2">
      <c r="A824" s="16"/>
      <c r="B824" s="16"/>
      <c r="C824" s="15"/>
      <c r="D824" s="16"/>
      <c r="E824" s="17"/>
      <c r="F824" s="17"/>
      <c r="H824" s="19"/>
      <c r="I824" s="47"/>
      <c r="J824" s="48"/>
      <c r="K824" s="49"/>
    </row>
    <row r="825" spans="1:11" ht="12.75" hidden="1" x14ac:dyDescent="0.2">
      <c r="A825" s="16"/>
      <c r="B825" s="16"/>
      <c r="C825" s="15"/>
      <c r="D825" s="16"/>
      <c r="E825" s="17"/>
      <c r="F825" s="17"/>
      <c r="H825" s="19"/>
      <c r="I825" s="47"/>
      <c r="J825" s="48"/>
      <c r="K825" s="49"/>
    </row>
    <row r="826" spans="1:11" ht="12.75" hidden="1" x14ac:dyDescent="0.2">
      <c r="A826" s="16"/>
      <c r="B826" s="16"/>
      <c r="C826" s="15"/>
      <c r="D826" s="16"/>
      <c r="E826" s="17"/>
      <c r="F826" s="17"/>
      <c r="H826" s="19"/>
      <c r="I826" s="47"/>
      <c r="J826" s="48"/>
      <c r="K826" s="49"/>
    </row>
    <row r="827" spans="1:11" ht="12.75" hidden="1" x14ac:dyDescent="0.2">
      <c r="A827" s="16"/>
      <c r="B827" s="16"/>
      <c r="C827" s="15"/>
      <c r="D827" s="16"/>
      <c r="E827" s="17"/>
      <c r="F827" s="17"/>
      <c r="H827" s="19"/>
      <c r="I827" s="47"/>
      <c r="J827" s="48"/>
      <c r="K827" s="49"/>
    </row>
    <row r="828" spans="1:11" ht="12.75" hidden="1" x14ac:dyDescent="0.2">
      <c r="A828" s="16"/>
      <c r="B828" s="16"/>
      <c r="C828" s="15"/>
      <c r="D828" s="16"/>
      <c r="E828" s="17"/>
      <c r="F828" s="17"/>
      <c r="H828" s="19"/>
      <c r="I828" s="47"/>
      <c r="J828" s="48"/>
      <c r="K828" s="49"/>
    </row>
    <row r="829" spans="1:11" ht="12.75" hidden="1" x14ac:dyDescent="0.2">
      <c r="A829" s="16"/>
      <c r="B829" s="16"/>
      <c r="C829" s="15"/>
      <c r="D829" s="16"/>
      <c r="E829" s="17"/>
      <c r="F829" s="17"/>
      <c r="H829" s="19"/>
      <c r="I829" s="47"/>
      <c r="J829" s="48"/>
      <c r="K829" s="49"/>
    </row>
    <row r="830" spans="1:11" ht="12.75" hidden="1" x14ac:dyDescent="0.2">
      <c r="A830" s="16"/>
      <c r="B830" s="16"/>
      <c r="C830" s="15"/>
      <c r="D830" s="16"/>
      <c r="E830" s="17"/>
      <c r="F830" s="17"/>
      <c r="H830" s="19"/>
      <c r="I830" s="47"/>
      <c r="J830" s="48"/>
      <c r="K830" s="49"/>
    </row>
    <row r="831" spans="1:11" ht="12.75" hidden="1" x14ac:dyDescent="0.2">
      <c r="A831" s="16"/>
      <c r="B831" s="16"/>
      <c r="C831" s="15"/>
      <c r="D831" s="16"/>
      <c r="E831" s="17"/>
      <c r="F831" s="17"/>
      <c r="H831" s="19"/>
      <c r="I831" s="47"/>
      <c r="J831" s="48"/>
      <c r="K831" s="49"/>
    </row>
    <row r="832" spans="1:11" ht="12.75" hidden="1" x14ac:dyDescent="0.2">
      <c r="A832" s="16"/>
      <c r="B832" s="16"/>
      <c r="C832" s="15"/>
      <c r="D832" s="16"/>
      <c r="E832" s="17"/>
      <c r="F832" s="17"/>
      <c r="H832" s="19"/>
      <c r="I832" s="47"/>
      <c r="J832" s="48"/>
      <c r="K832" s="49"/>
    </row>
    <row r="833" spans="1:11" ht="12.75" hidden="1" x14ac:dyDescent="0.2">
      <c r="A833" s="16"/>
      <c r="B833" s="16"/>
      <c r="C833" s="15"/>
      <c r="D833" s="16"/>
      <c r="E833" s="17"/>
      <c r="F833" s="17"/>
      <c r="H833" s="19"/>
      <c r="I833" s="47"/>
      <c r="J833" s="48"/>
      <c r="K833" s="49"/>
    </row>
    <row r="834" spans="1:11" ht="12.75" hidden="1" x14ac:dyDescent="0.2">
      <c r="A834" s="16"/>
      <c r="B834" s="16"/>
      <c r="C834" s="15"/>
      <c r="D834" s="16"/>
      <c r="E834" s="17"/>
      <c r="F834" s="17"/>
      <c r="H834" s="19"/>
      <c r="I834" s="47"/>
      <c r="J834" s="48"/>
      <c r="K834" s="49"/>
    </row>
    <row r="835" spans="1:11" ht="12.75" hidden="1" x14ac:dyDescent="0.2">
      <c r="A835" s="16"/>
      <c r="B835" s="16"/>
      <c r="C835" s="15"/>
      <c r="D835" s="16"/>
      <c r="E835" s="17"/>
      <c r="F835" s="17"/>
      <c r="H835" s="19"/>
      <c r="I835" s="47"/>
      <c r="J835" s="48"/>
      <c r="K835" s="49"/>
    </row>
    <row r="836" spans="1:11" ht="12.75" hidden="1" x14ac:dyDescent="0.2">
      <c r="A836" s="16"/>
      <c r="B836" s="16"/>
      <c r="C836" s="15"/>
      <c r="D836" s="16"/>
      <c r="E836" s="17"/>
      <c r="F836" s="17"/>
      <c r="H836" s="19"/>
      <c r="I836" s="47"/>
      <c r="J836" s="48"/>
      <c r="K836" s="49"/>
    </row>
    <row r="837" spans="1:11" ht="12.75" hidden="1" x14ac:dyDescent="0.2">
      <c r="A837" s="16"/>
      <c r="B837" s="16"/>
      <c r="C837" s="15"/>
      <c r="D837" s="16"/>
      <c r="E837" s="17"/>
      <c r="F837" s="17"/>
      <c r="H837" s="19"/>
      <c r="I837" s="47"/>
      <c r="J837" s="48"/>
      <c r="K837" s="49"/>
    </row>
    <row r="838" spans="1:11" ht="12.75" hidden="1" x14ac:dyDescent="0.2">
      <c r="A838" s="16"/>
      <c r="B838" s="16"/>
      <c r="C838" s="15"/>
      <c r="D838" s="16"/>
      <c r="E838" s="17"/>
      <c r="F838" s="17"/>
      <c r="H838" s="19"/>
      <c r="I838" s="47"/>
      <c r="J838" s="48"/>
      <c r="K838" s="49"/>
    </row>
    <row r="839" spans="1:11" ht="12.75" hidden="1" x14ac:dyDescent="0.2">
      <c r="A839" s="16"/>
      <c r="B839" s="16"/>
      <c r="C839" s="15"/>
      <c r="D839" s="16"/>
      <c r="E839" s="17"/>
      <c r="F839" s="17"/>
      <c r="H839" s="19"/>
      <c r="I839" s="47"/>
      <c r="J839" s="48"/>
      <c r="K839" s="49"/>
    </row>
    <row r="840" spans="1:11" ht="12.75" hidden="1" x14ac:dyDescent="0.2">
      <c r="A840" s="16"/>
      <c r="B840" s="16"/>
      <c r="C840" s="15"/>
      <c r="D840" s="16"/>
      <c r="E840" s="17"/>
      <c r="F840" s="17"/>
      <c r="H840" s="19"/>
      <c r="I840" s="47"/>
      <c r="J840" s="48"/>
      <c r="K840" s="49"/>
    </row>
    <row r="841" spans="1:11" ht="12.75" hidden="1" x14ac:dyDescent="0.2">
      <c r="A841" s="16"/>
      <c r="B841" s="16"/>
      <c r="C841" s="15"/>
      <c r="D841" s="16"/>
      <c r="E841" s="17"/>
      <c r="F841" s="17"/>
      <c r="H841" s="19"/>
      <c r="I841" s="47"/>
      <c r="J841" s="48"/>
      <c r="K841" s="49"/>
    </row>
    <row r="842" spans="1:11" ht="12.75" hidden="1" x14ac:dyDescent="0.2">
      <c r="A842" s="16"/>
      <c r="B842" s="16"/>
      <c r="C842" s="15"/>
      <c r="D842" s="16"/>
      <c r="E842" s="17"/>
      <c r="F842" s="17"/>
      <c r="H842" s="19"/>
      <c r="I842" s="47"/>
      <c r="J842" s="48"/>
      <c r="K842" s="49"/>
    </row>
    <row r="843" spans="1:11" ht="12.75" hidden="1" x14ac:dyDescent="0.2">
      <c r="A843" s="16"/>
      <c r="B843" s="16"/>
      <c r="C843" s="15"/>
      <c r="D843" s="16"/>
      <c r="E843" s="17"/>
      <c r="F843" s="17"/>
      <c r="H843" s="19"/>
      <c r="I843" s="47"/>
      <c r="J843" s="48"/>
      <c r="K843" s="49"/>
    </row>
    <row r="844" spans="1:11" ht="12.75" hidden="1" x14ac:dyDescent="0.2">
      <c r="A844" s="16"/>
      <c r="B844" s="16"/>
      <c r="C844" s="15"/>
      <c r="D844" s="16"/>
      <c r="E844" s="17"/>
      <c r="F844" s="17"/>
      <c r="H844" s="19"/>
      <c r="I844" s="47"/>
      <c r="J844" s="48"/>
      <c r="K844" s="49"/>
    </row>
    <row r="845" spans="1:11" ht="12.75" hidden="1" x14ac:dyDescent="0.2">
      <c r="A845" s="16"/>
      <c r="B845" s="16"/>
      <c r="C845" s="15"/>
      <c r="D845" s="16"/>
      <c r="E845" s="17"/>
      <c r="F845" s="17"/>
      <c r="H845" s="19"/>
      <c r="I845" s="47"/>
      <c r="J845" s="48"/>
      <c r="K845" s="49"/>
    </row>
    <row r="846" spans="1:11" ht="12.75" hidden="1" x14ac:dyDescent="0.2">
      <c r="A846" s="16"/>
      <c r="B846" s="16"/>
      <c r="C846" s="15"/>
      <c r="D846" s="16"/>
      <c r="E846" s="17"/>
      <c r="F846" s="17"/>
      <c r="H846" s="19"/>
      <c r="I846" s="47"/>
      <c r="J846" s="48"/>
      <c r="K846" s="49"/>
    </row>
    <row r="847" spans="1:11" ht="12.75" hidden="1" x14ac:dyDescent="0.2">
      <c r="A847" s="16"/>
      <c r="B847" s="16"/>
      <c r="C847" s="15"/>
      <c r="D847" s="16"/>
      <c r="E847" s="17"/>
      <c r="F847" s="17"/>
      <c r="H847" s="19"/>
      <c r="I847" s="47"/>
      <c r="J847" s="48"/>
      <c r="K847" s="49"/>
    </row>
    <row r="848" spans="1:11" ht="12.75" hidden="1" x14ac:dyDescent="0.2">
      <c r="A848" s="16"/>
      <c r="B848" s="16"/>
      <c r="C848" s="15"/>
      <c r="D848" s="16"/>
      <c r="E848" s="17"/>
      <c r="F848" s="17"/>
      <c r="H848" s="19"/>
      <c r="I848" s="47"/>
      <c r="J848" s="48"/>
      <c r="K848" s="49"/>
    </row>
    <row r="849" spans="1:11" ht="12.75" hidden="1" x14ac:dyDescent="0.2">
      <c r="A849" s="16"/>
      <c r="B849" s="16"/>
      <c r="C849" s="15"/>
      <c r="D849" s="16"/>
      <c r="E849" s="17"/>
      <c r="F849" s="17"/>
      <c r="H849" s="19"/>
      <c r="I849" s="47"/>
      <c r="J849" s="48"/>
      <c r="K849" s="49"/>
    </row>
    <row r="850" spans="1:11" ht="12.75" hidden="1" x14ac:dyDescent="0.2">
      <c r="A850" s="16"/>
      <c r="B850" s="16"/>
      <c r="C850" s="15"/>
      <c r="D850" s="16"/>
      <c r="E850" s="17"/>
      <c r="F850" s="17"/>
      <c r="H850" s="19"/>
      <c r="I850" s="47"/>
      <c r="J850" s="48"/>
      <c r="K850" s="49"/>
    </row>
    <row r="851" spans="1:11" ht="12.75" hidden="1" x14ac:dyDescent="0.2">
      <c r="A851" s="16"/>
      <c r="B851" s="16"/>
      <c r="C851" s="15"/>
      <c r="D851" s="16"/>
      <c r="E851" s="17"/>
      <c r="F851" s="17"/>
      <c r="H851" s="19"/>
      <c r="I851" s="47"/>
      <c r="J851" s="48"/>
      <c r="K851" s="49"/>
    </row>
    <row r="852" spans="1:11" ht="12.75" hidden="1" x14ac:dyDescent="0.2">
      <c r="A852" s="16"/>
      <c r="B852" s="16"/>
      <c r="C852" s="15"/>
      <c r="D852" s="16"/>
      <c r="E852" s="17"/>
      <c r="F852" s="17"/>
      <c r="H852" s="19"/>
      <c r="I852" s="47"/>
      <c r="J852" s="48"/>
      <c r="K852" s="49"/>
    </row>
    <row r="853" spans="1:11" ht="12.75" hidden="1" x14ac:dyDescent="0.2">
      <c r="A853" s="16"/>
      <c r="B853" s="16"/>
      <c r="C853" s="15"/>
      <c r="D853" s="16"/>
      <c r="E853" s="17"/>
      <c r="F853" s="17"/>
      <c r="H853" s="50"/>
      <c r="I853" s="51"/>
      <c r="J853" s="52"/>
      <c r="K853" s="53"/>
    </row>
  </sheetData>
  <autoFilter ref="A6:I215" xr:uid="{00000000-0009-0000-0000-00000C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6:C853">
    <cfRule type="cellIs" dxfId="9" priority="4" operator="lessThan">
      <formula>"92%"</formula>
    </cfRule>
  </conditionalFormatting>
  <conditionalFormatting sqref="C7:C215">
    <cfRule type="cellIs" dxfId="8" priority="1" operator="lessThan">
      <formula>"90%"</formula>
    </cfRule>
    <cfRule type="cellIs" dxfId="7" priority="2" operator="lessThan">
      <formula>"94%"</formula>
    </cfRule>
  </conditionalFormatting>
  <conditionalFormatting sqref="K1:K853">
    <cfRule type="cellIs" dxfId="6" priority="3" operator="lessThan">
      <formula>0</formula>
    </cfRule>
  </conditionalFormatting>
  <dataValidations count="1">
    <dataValidation type="list" allowBlank="1" sqref="E7:E215" xr:uid="{00000000-0002-0000-0C00-000000000000}">
      <formula1>"Weather,Health,Safety,Other"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73763"/>
    <outlinePr summaryBelow="0" summaryRight="0"/>
  </sheetPr>
  <dimension ref="A1:K853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15.85546875" customWidth="1"/>
    <col min="6" max="6" width="16.7109375" customWidth="1"/>
    <col min="7" max="7" width="12.42578125" customWidth="1"/>
    <col min="8" max="10" width="16.28515625" customWidth="1"/>
    <col min="11" max="11" width="17.42578125" customWidth="1"/>
  </cols>
  <sheetData>
    <row r="1" spans="1:11" ht="26.25" x14ac:dyDescent="0.35">
      <c r="A1" s="1"/>
      <c r="B1" s="1"/>
      <c r="C1" s="1"/>
      <c r="D1" s="1"/>
      <c r="E1" s="1"/>
      <c r="F1" s="1"/>
      <c r="G1" s="1"/>
      <c r="H1" s="2"/>
      <c r="I1" s="2"/>
      <c r="J1" s="3"/>
      <c r="K1" s="4">
        <f>SUM(K7:K215)</f>
        <v>642.74340000000223</v>
      </c>
    </row>
    <row r="2" spans="1:11" x14ac:dyDescent="0.25">
      <c r="A2" s="122" t="s">
        <v>1</v>
      </c>
      <c r="B2" s="119"/>
      <c r="C2" s="119"/>
      <c r="D2" s="119"/>
      <c r="E2" s="119"/>
      <c r="F2" s="119"/>
      <c r="G2" s="119"/>
      <c r="H2" s="123" t="s">
        <v>0</v>
      </c>
      <c r="I2" s="124"/>
      <c r="J2" s="5" t="s">
        <v>9</v>
      </c>
      <c r="K2" s="125" t="s">
        <v>266</v>
      </c>
    </row>
    <row r="3" spans="1:11" ht="23.25" x14ac:dyDescent="0.3">
      <c r="A3" s="119"/>
      <c r="B3" s="119"/>
      <c r="C3" s="119"/>
      <c r="D3" s="119"/>
      <c r="E3" s="119"/>
      <c r="F3" s="119"/>
      <c r="G3" s="119"/>
      <c r="H3" s="126">
        <f>SUM(I7:I128)</f>
        <v>85247.4755</v>
      </c>
      <c r="I3" s="124"/>
      <c r="J3" s="127">
        <v>0.95</v>
      </c>
      <c r="K3" s="124"/>
    </row>
    <row r="4" spans="1:11" ht="12.75" x14ac:dyDescent="0.2">
      <c r="A4" s="119"/>
      <c r="B4" s="119"/>
      <c r="C4" s="119"/>
      <c r="D4" s="119"/>
      <c r="E4" s="119"/>
      <c r="F4" s="119"/>
      <c r="G4" s="119"/>
      <c r="H4" s="129" t="s">
        <v>11</v>
      </c>
      <c r="I4" s="119"/>
      <c r="J4" s="128"/>
      <c r="K4" s="124"/>
    </row>
    <row r="5" spans="1:11" ht="15" x14ac:dyDescent="0.35">
      <c r="A5" s="119"/>
      <c r="B5" s="119"/>
      <c r="C5" s="119"/>
      <c r="D5" s="119"/>
      <c r="E5" s="119"/>
      <c r="F5" s="119"/>
      <c r="G5" s="119"/>
      <c r="H5" s="130">
        <v>55</v>
      </c>
      <c r="I5" s="119"/>
      <c r="J5" s="128"/>
      <c r="K5" s="124"/>
    </row>
    <row r="6" spans="1:11" ht="24" x14ac:dyDescent="0.2">
      <c r="A6" s="6" t="s">
        <v>12</v>
      </c>
      <c r="B6" s="7" t="s">
        <v>13</v>
      </c>
      <c r="C6" s="8" t="s">
        <v>14</v>
      </c>
      <c r="D6" s="7" t="s">
        <v>15</v>
      </c>
      <c r="E6" s="9" t="s">
        <v>16</v>
      </c>
      <c r="F6" s="7" t="s">
        <v>17</v>
      </c>
      <c r="G6" s="7" t="s">
        <v>18</v>
      </c>
      <c r="H6" s="10" t="s">
        <v>19</v>
      </c>
      <c r="I6" s="11" t="s">
        <v>20</v>
      </c>
      <c r="J6" s="12" t="s">
        <v>21</v>
      </c>
      <c r="K6" s="124"/>
    </row>
    <row r="7" spans="1:11" ht="12.75" x14ac:dyDescent="0.2">
      <c r="A7" s="13">
        <v>45516</v>
      </c>
      <c r="B7" s="14" t="s">
        <v>3</v>
      </c>
      <c r="C7" s="15">
        <v>1</v>
      </c>
      <c r="D7" s="16" t="s">
        <v>23</v>
      </c>
      <c r="E7" s="17"/>
      <c r="F7" s="17"/>
      <c r="G7" s="18">
        <v>438</v>
      </c>
      <c r="H7" s="19">
        <f t="shared" ref="H7:H215" si="0">G7-(C7*G7)</f>
        <v>0</v>
      </c>
      <c r="I7" s="20">
        <f t="shared" ref="I7:I215" si="1">H7*$H$5</f>
        <v>0</v>
      </c>
      <c r="J7" s="21">
        <v>0</v>
      </c>
      <c r="K7" s="22">
        <f t="shared" ref="K7:K215" si="2">J7-H7</f>
        <v>0</v>
      </c>
    </row>
    <row r="8" spans="1:11" ht="12.75" x14ac:dyDescent="0.2">
      <c r="A8" s="13">
        <v>45517</v>
      </c>
      <c r="B8" s="14" t="s">
        <v>4</v>
      </c>
      <c r="C8" s="15">
        <v>0.99109999999999998</v>
      </c>
      <c r="D8" s="16" t="s">
        <v>23</v>
      </c>
      <c r="E8" s="17"/>
      <c r="F8" s="17"/>
      <c r="G8" s="18">
        <v>449</v>
      </c>
      <c r="H8" s="19">
        <f t="shared" si="0"/>
        <v>3.9961000000000126</v>
      </c>
      <c r="I8" s="20">
        <f t="shared" si="1"/>
        <v>219.7855000000007</v>
      </c>
      <c r="J8" s="21">
        <f t="shared" ref="J8:J215" si="3">G8-(G8*J$3)</f>
        <v>22.450000000000045</v>
      </c>
      <c r="K8" s="22">
        <f t="shared" si="2"/>
        <v>18.453900000000033</v>
      </c>
    </row>
    <row r="9" spans="1:11" ht="12.75" x14ac:dyDescent="0.2">
      <c r="A9" s="13">
        <v>45518</v>
      </c>
      <c r="B9" s="14" t="s">
        <v>5</v>
      </c>
      <c r="C9" s="15">
        <v>0.97340000000000004</v>
      </c>
      <c r="D9" s="16" t="s">
        <v>23</v>
      </c>
      <c r="E9" s="17"/>
      <c r="F9" s="17"/>
      <c r="G9" s="18">
        <v>451</v>
      </c>
      <c r="H9" s="19">
        <f t="shared" si="0"/>
        <v>11.996600000000001</v>
      </c>
      <c r="I9" s="20">
        <f t="shared" si="1"/>
        <v>659.8130000000001</v>
      </c>
      <c r="J9" s="21">
        <f t="shared" si="3"/>
        <v>22.550000000000011</v>
      </c>
      <c r="K9" s="22">
        <f t="shared" si="2"/>
        <v>10.553400000000011</v>
      </c>
    </row>
    <row r="10" spans="1:11" ht="12.75" x14ac:dyDescent="0.2">
      <c r="A10" s="13">
        <v>45519</v>
      </c>
      <c r="B10" s="14" t="s">
        <v>6</v>
      </c>
      <c r="C10" s="15">
        <v>0.98670000000000002</v>
      </c>
      <c r="D10" s="16" t="s">
        <v>23</v>
      </c>
      <c r="E10" s="17"/>
      <c r="F10" s="17"/>
      <c r="G10" s="18">
        <v>452</v>
      </c>
      <c r="H10" s="19">
        <f t="shared" si="0"/>
        <v>6.0115999999999872</v>
      </c>
      <c r="I10" s="20">
        <f t="shared" si="1"/>
        <v>330.63799999999929</v>
      </c>
      <c r="J10" s="21">
        <f t="shared" si="3"/>
        <v>22.600000000000023</v>
      </c>
      <c r="K10" s="22">
        <f t="shared" si="2"/>
        <v>16.588400000000036</v>
      </c>
    </row>
    <row r="11" spans="1:11" ht="12.75" x14ac:dyDescent="0.2">
      <c r="A11" s="13">
        <v>45520</v>
      </c>
      <c r="B11" s="14" t="s">
        <v>7</v>
      </c>
      <c r="C11" s="15">
        <v>0.95799999999999996</v>
      </c>
      <c r="D11" s="16" t="s">
        <v>23</v>
      </c>
      <c r="E11" s="17"/>
      <c r="F11" s="17"/>
      <c r="G11" s="18">
        <v>452</v>
      </c>
      <c r="H11" s="19">
        <f t="shared" si="0"/>
        <v>18.984000000000037</v>
      </c>
      <c r="I11" s="20">
        <f t="shared" si="1"/>
        <v>1044.1200000000022</v>
      </c>
      <c r="J11" s="21">
        <f t="shared" si="3"/>
        <v>22.600000000000023</v>
      </c>
      <c r="K11" s="22">
        <f t="shared" si="2"/>
        <v>3.6159999999999854</v>
      </c>
    </row>
    <row r="12" spans="1:11" ht="12.75" x14ac:dyDescent="0.2">
      <c r="A12" s="13">
        <v>45521</v>
      </c>
      <c r="B12" s="14" t="s">
        <v>3</v>
      </c>
      <c r="C12" s="15">
        <v>0.96479999999999999</v>
      </c>
      <c r="D12" s="16" t="s">
        <v>23</v>
      </c>
      <c r="E12" s="17"/>
      <c r="F12" s="17"/>
      <c r="G12" s="18">
        <v>454</v>
      </c>
      <c r="H12" s="19">
        <f t="shared" si="0"/>
        <v>15.980799999999988</v>
      </c>
      <c r="I12" s="20">
        <f t="shared" si="1"/>
        <v>878.94399999999928</v>
      </c>
      <c r="J12" s="21">
        <f t="shared" si="3"/>
        <v>22.700000000000045</v>
      </c>
      <c r="K12" s="22">
        <f t="shared" si="2"/>
        <v>6.7192000000000576</v>
      </c>
    </row>
    <row r="13" spans="1:11" ht="12.75" x14ac:dyDescent="0.2">
      <c r="A13" s="13">
        <v>45524</v>
      </c>
      <c r="B13" s="14" t="s">
        <v>4</v>
      </c>
      <c r="C13" s="15">
        <v>0.96479999999999999</v>
      </c>
      <c r="D13" s="16" t="s">
        <v>23</v>
      </c>
      <c r="E13" s="17"/>
      <c r="F13" s="17"/>
      <c r="G13" s="18">
        <v>454</v>
      </c>
      <c r="H13" s="19">
        <f t="shared" si="0"/>
        <v>15.980799999999988</v>
      </c>
      <c r="I13" s="20">
        <f t="shared" si="1"/>
        <v>878.94399999999928</v>
      </c>
      <c r="J13" s="21">
        <f t="shared" si="3"/>
        <v>22.700000000000045</v>
      </c>
      <c r="K13" s="22">
        <f t="shared" si="2"/>
        <v>6.7192000000000576</v>
      </c>
    </row>
    <row r="14" spans="1:11" ht="12.75" x14ac:dyDescent="0.2">
      <c r="A14" s="13">
        <v>45525</v>
      </c>
      <c r="B14" s="14" t="s">
        <v>5</v>
      </c>
      <c r="C14" s="15">
        <v>0.9758</v>
      </c>
      <c r="D14" s="16" t="s">
        <v>23</v>
      </c>
      <c r="E14" s="17"/>
      <c r="F14" s="17"/>
      <c r="G14" s="18">
        <v>455</v>
      </c>
      <c r="H14" s="19">
        <f t="shared" si="0"/>
        <v>11.011000000000024</v>
      </c>
      <c r="I14" s="20">
        <f t="shared" si="1"/>
        <v>605.60500000000138</v>
      </c>
      <c r="J14" s="21">
        <f t="shared" si="3"/>
        <v>22.75</v>
      </c>
      <c r="K14" s="22">
        <f t="shared" si="2"/>
        <v>11.738999999999976</v>
      </c>
    </row>
    <row r="15" spans="1:11" ht="12.75" x14ac:dyDescent="0.2">
      <c r="A15" s="13">
        <v>45526</v>
      </c>
      <c r="B15" s="14" t="s">
        <v>6</v>
      </c>
      <c r="C15" s="15">
        <v>0.97809999999999997</v>
      </c>
      <c r="D15" s="16" t="s">
        <v>23</v>
      </c>
      <c r="E15" s="17"/>
      <c r="F15" s="17"/>
      <c r="G15" s="18">
        <v>456</v>
      </c>
      <c r="H15" s="19">
        <f t="shared" si="0"/>
        <v>9.9864000000000033</v>
      </c>
      <c r="I15" s="20">
        <f t="shared" si="1"/>
        <v>549.25200000000018</v>
      </c>
      <c r="J15" s="21">
        <f t="shared" si="3"/>
        <v>22.800000000000011</v>
      </c>
      <c r="K15" s="22">
        <f t="shared" si="2"/>
        <v>12.813600000000008</v>
      </c>
    </row>
    <row r="16" spans="1:11" ht="12.75" x14ac:dyDescent="0.2">
      <c r="A16" s="13">
        <v>45527</v>
      </c>
      <c r="B16" s="14" t="s">
        <v>7</v>
      </c>
      <c r="C16" s="15">
        <v>0.96060000000000001</v>
      </c>
      <c r="D16" s="16" t="s">
        <v>23</v>
      </c>
      <c r="E16" s="17"/>
      <c r="F16" s="17"/>
      <c r="G16" s="18">
        <v>457</v>
      </c>
      <c r="H16" s="19">
        <f t="shared" si="0"/>
        <v>18.005800000000022</v>
      </c>
      <c r="I16" s="20">
        <f t="shared" si="1"/>
        <v>990.31900000000121</v>
      </c>
      <c r="J16" s="21">
        <f t="shared" si="3"/>
        <v>22.850000000000023</v>
      </c>
      <c r="K16" s="22">
        <f t="shared" si="2"/>
        <v>4.8442000000000007</v>
      </c>
    </row>
    <row r="17" spans="1:11" ht="12.75" x14ac:dyDescent="0.2">
      <c r="A17" s="13">
        <v>45530</v>
      </c>
      <c r="B17" s="14" t="s">
        <v>3</v>
      </c>
      <c r="C17" s="15">
        <v>0.96940000000000004</v>
      </c>
      <c r="D17" s="16" t="s">
        <v>23</v>
      </c>
      <c r="E17" s="17"/>
      <c r="F17" s="17"/>
      <c r="G17" s="18">
        <v>457</v>
      </c>
      <c r="H17" s="19">
        <f t="shared" si="0"/>
        <v>13.984199999999987</v>
      </c>
      <c r="I17" s="20">
        <f t="shared" si="1"/>
        <v>769.13099999999929</v>
      </c>
      <c r="J17" s="21">
        <f t="shared" si="3"/>
        <v>22.850000000000023</v>
      </c>
      <c r="K17" s="22">
        <f t="shared" si="2"/>
        <v>8.8658000000000357</v>
      </c>
    </row>
    <row r="18" spans="1:11" ht="12.75" x14ac:dyDescent="0.2">
      <c r="A18" s="13">
        <v>45531</v>
      </c>
      <c r="B18" s="14" t="s">
        <v>4</v>
      </c>
      <c r="C18" s="15">
        <v>0.95609999999999995</v>
      </c>
      <c r="D18" s="16" t="s">
        <v>23</v>
      </c>
      <c r="E18" s="17"/>
      <c r="F18" s="17"/>
      <c r="G18" s="18">
        <v>457</v>
      </c>
      <c r="H18" s="19">
        <f t="shared" si="0"/>
        <v>20.06230000000005</v>
      </c>
      <c r="I18" s="20">
        <f t="shared" si="1"/>
        <v>1103.4265000000028</v>
      </c>
      <c r="J18" s="21">
        <f t="shared" si="3"/>
        <v>22.850000000000023</v>
      </c>
      <c r="K18" s="22">
        <f t="shared" si="2"/>
        <v>2.7876999999999725</v>
      </c>
    </row>
    <row r="19" spans="1:11" ht="12.75" x14ac:dyDescent="0.2">
      <c r="A19" s="13">
        <v>45532</v>
      </c>
      <c r="B19" s="14" t="s">
        <v>5</v>
      </c>
      <c r="C19" s="15">
        <v>0.97150000000000003</v>
      </c>
      <c r="D19" s="16" t="s">
        <v>23</v>
      </c>
      <c r="E19" s="17"/>
      <c r="F19" s="23"/>
      <c r="G19" s="18">
        <v>456</v>
      </c>
      <c r="H19" s="19">
        <f t="shared" si="0"/>
        <v>12.995999999999981</v>
      </c>
      <c r="I19" s="20">
        <f t="shared" si="1"/>
        <v>714.77999999999895</v>
      </c>
      <c r="J19" s="21">
        <f t="shared" si="3"/>
        <v>22.800000000000011</v>
      </c>
      <c r="K19" s="22">
        <f t="shared" si="2"/>
        <v>9.8040000000000305</v>
      </c>
    </row>
    <row r="20" spans="1:11" ht="12.75" x14ac:dyDescent="0.2">
      <c r="A20" s="13">
        <v>45533</v>
      </c>
      <c r="B20" s="14" t="s">
        <v>6</v>
      </c>
      <c r="C20" s="15">
        <v>0.98460000000000003</v>
      </c>
      <c r="D20" s="16" t="s">
        <v>23</v>
      </c>
      <c r="E20" s="17"/>
      <c r="F20" s="17"/>
      <c r="G20" s="18">
        <v>456</v>
      </c>
      <c r="H20" s="19">
        <f t="shared" si="0"/>
        <v>7.0224000000000046</v>
      </c>
      <c r="I20" s="20">
        <f t="shared" si="1"/>
        <v>386.23200000000026</v>
      </c>
      <c r="J20" s="21">
        <f t="shared" si="3"/>
        <v>22.800000000000011</v>
      </c>
      <c r="K20" s="22">
        <f t="shared" si="2"/>
        <v>15.777600000000007</v>
      </c>
    </row>
    <row r="21" spans="1:11" ht="12.75" x14ac:dyDescent="0.2">
      <c r="A21" s="13">
        <v>45534</v>
      </c>
      <c r="B21" s="14" t="s">
        <v>7</v>
      </c>
      <c r="C21" s="15">
        <v>0.96489999999999998</v>
      </c>
      <c r="D21" s="16" t="s">
        <v>23</v>
      </c>
      <c r="E21" s="17"/>
      <c r="F21" s="17"/>
      <c r="G21" s="18">
        <v>456</v>
      </c>
      <c r="H21" s="19">
        <f t="shared" si="0"/>
        <v>16.005600000000015</v>
      </c>
      <c r="I21" s="20">
        <f t="shared" si="1"/>
        <v>880.3080000000009</v>
      </c>
      <c r="J21" s="21">
        <f t="shared" si="3"/>
        <v>22.800000000000011</v>
      </c>
      <c r="K21" s="22">
        <f t="shared" si="2"/>
        <v>6.794399999999996</v>
      </c>
    </row>
    <row r="22" spans="1:11" ht="12.75" x14ac:dyDescent="0.2">
      <c r="A22" s="24">
        <v>45537</v>
      </c>
      <c r="B22" s="25" t="s">
        <v>3</v>
      </c>
      <c r="C22" s="26"/>
      <c r="D22" s="27"/>
      <c r="E22" s="28"/>
      <c r="F22" s="28"/>
      <c r="G22" s="29"/>
      <c r="H22" s="19">
        <f t="shared" si="0"/>
        <v>0</v>
      </c>
      <c r="I22" s="20">
        <f t="shared" si="1"/>
        <v>0</v>
      </c>
      <c r="J22" s="21">
        <f t="shared" si="3"/>
        <v>0</v>
      </c>
      <c r="K22" s="22">
        <f t="shared" si="2"/>
        <v>0</v>
      </c>
    </row>
    <row r="23" spans="1:11" ht="12.75" x14ac:dyDescent="0.2">
      <c r="A23" s="13">
        <v>45538</v>
      </c>
      <c r="B23" s="14" t="s">
        <v>4</v>
      </c>
      <c r="C23" s="15">
        <v>0.96489999999999998</v>
      </c>
      <c r="D23" s="16" t="s">
        <v>23</v>
      </c>
      <c r="E23" s="17"/>
      <c r="F23" s="17"/>
      <c r="G23" s="18">
        <v>456</v>
      </c>
      <c r="H23" s="19">
        <f t="shared" si="0"/>
        <v>16.005600000000015</v>
      </c>
      <c r="I23" s="20">
        <f t="shared" si="1"/>
        <v>880.3080000000009</v>
      </c>
      <c r="J23" s="21">
        <f t="shared" si="3"/>
        <v>22.800000000000011</v>
      </c>
      <c r="K23" s="22">
        <f t="shared" si="2"/>
        <v>6.794399999999996</v>
      </c>
    </row>
    <row r="24" spans="1:11" ht="12.75" x14ac:dyDescent="0.2">
      <c r="A24" s="13">
        <v>45539</v>
      </c>
      <c r="B24" s="14" t="s">
        <v>5</v>
      </c>
      <c r="C24" s="15">
        <v>0.96489999999999998</v>
      </c>
      <c r="D24" s="16" t="s">
        <v>23</v>
      </c>
      <c r="E24" s="17"/>
      <c r="F24" s="17"/>
      <c r="G24" s="18">
        <v>456</v>
      </c>
      <c r="H24" s="19">
        <f t="shared" si="0"/>
        <v>16.005600000000015</v>
      </c>
      <c r="I24" s="20">
        <f t="shared" si="1"/>
        <v>880.3080000000009</v>
      </c>
      <c r="J24" s="21">
        <f t="shared" si="3"/>
        <v>22.800000000000011</v>
      </c>
      <c r="K24" s="22">
        <f t="shared" si="2"/>
        <v>6.794399999999996</v>
      </c>
    </row>
    <row r="25" spans="1:11" ht="12.75" x14ac:dyDescent="0.2">
      <c r="A25" s="13">
        <v>45540</v>
      </c>
      <c r="B25" s="14" t="s">
        <v>6</v>
      </c>
      <c r="C25" s="15">
        <v>0.98460000000000003</v>
      </c>
      <c r="D25" s="16" t="s">
        <v>23</v>
      </c>
      <c r="E25" s="17"/>
      <c r="F25" s="17"/>
      <c r="G25" s="18">
        <v>455</v>
      </c>
      <c r="H25" s="19">
        <f t="shared" si="0"/>
        <v>7.007000000000005</v>
      </c>
      <c r="I25" s="20">
        <f t="shared" si="1"/>
        <v>385.38500000000028</v>
      </c>
      <c r="J25" s="21">
        <f t="shared" si="3"/>
        <v>22.75</v>
      </c>
      <c r="K25" s="22">
        <f t="shared" si="2"/>
        <v>15.742999999999995</v>
      </c>
    </row>
    <row r="26" spans="1:11" ht="12.75" x14ac:dyDescent="0.2">
      <c r="A26" s="13">
        <v>45541</v>
      </c>
      <c r="B26" s="14" t="s">
        <v>7</v>
      </c>
      <c r="C26" s="15">
        <v>0.96040000000000003</v>
      </c>
      <c r="D26" s="16" t="s">
        <v>23</v>
      </c>
      <c r="E26" s="17"/>
      <c r="F26" s="17"/>
      <c r="G26" s="18">
        <v>455</v>
      </c>
      <c r="H26" s="19">
        <f t="shared" si="0"/>
        <v>18.017999999999972</v>
      </c>
      <c r="I26" s="20">
        <f t="shared" si="1"/>
        <v>990.98999999999842</v>
      </c>
      <c r="J26" s="21">
        <f t="shared" si="3"/>
        <v>22.75</v>
      </c>
      <c r="K26" s="22">
        <f t="shared" si="2"/>
        <v>4.7320000000000277</v>
      </c>
    </row>
    <row r="27" spans="1:11" ht="12.75" x14ac:dyDescent="0.2">
      <c r="A27" s="13">
        <v>45544</v>
      </c>
      <c r="B27" s="14" t="s">
        <v>3</v>
      </c>
      <c r="C27" s="15">
        <v>0.97140000000000004</v>
      </c>
      <c r="D27" s="16" t="s">
        <v>23</v>
      </c>
      <c r="E27" s="17"/>
      <c r="F27" s="17"/>
      <c r="G27" s="18">
        <v>455</v>
      </c>
      <c r="H27" s="19">
        <f t="shared" si="0"/>
        <v>13.012999999999977</v>
      </c>
      <c r="I27" s="20">
        <f t="shared" si="1"/>
        <v>715.71499999999878</v>
      </c>
      <c r="J27" s="21">
        <f t="shared" si="3"/>
        <v>22.75</v>
      </c>
      <c r="K27" s="22">
        <f t="shared" si="2"/>
        <v>9.7370000000000232</v>
      </c>
    </row>
    <row r="28" spans="1:11" ht="12.75" x14ac:dyDescent="0.2">
      <c r="A28" s="13">
        <v>45545</v>
      </c>
      <c r="B28" s="14" t="s">
        <v>4</v>
      </c>
      <c r="C28" s="15">
        <v>0.9758</v>
      </c>
      <c r="D28" s="16" t="s">
        <v>23</v>
      </c>
      <c r="E28" s="17"/>
      <c r="F28" s="17"/>
      <c r="G28" s="18">
        <v>455</v>
      </c>
      <c r="H28" s="19">
        <f t="shared" si="0"/>
        <v>11.011000000000024</v>
      </c>
      <c r="I28" s="20">
        <f t="shared" si="1"/>
        <v>605.60500000000138</v>
      </c>
      <c r="J28" s="21">
        <f t="shared" si="3"/>
        <v>22.75</v>
      </c>
      <c r="K28" s="22">
        <f t="shared" si="2"/>
        <v>11.738999999999976</v>
      </c>
    </row>
    <row r="29" spans="1:11" ht="12.75" x14ac:dyDescent="0.2">
      <c r="A29" s="13">
        <v>45546</v>
      </c>
      <c r="B29" s="14" t="s">
        <v>5</v>
      </c>
      <c r="C29" s="15">
        <v>0.97799999999999998</v>
      </c>
      <c r="D29" s="16" t="s">
        <v>23</v>
      </c>
      <c r="E29" s="17"/>
      <c r="F29" s="17"/>
      <c r="G29" s="18">
        <v>455</v>
      </c>
      <c r="H29" s="19">
        <f t="shared" si="0"/>
        <v>10.009999999999991</v>
      </c>
      <c r="I29" s="20">
        <f t="shared" si="1"/>
        <v>550.5499999999995</v>
      </c>
      <c r="J29" s="21">
        <f t="shared" si="3"/>
        <v>22.75</v>
      </c>
      <c r="K29" s="22">
        <f t="shared" si="2"/>
        <v>12.740000000000009</v>
      </c>
    </row>
    <row r="30" spans="1:11" ht="12.75" x14ac:dyDescent="0.2">
      <c r="A30" s="13">
        <v>45547</v>
      </c>
      <c r="B30" s="14" t="s">
        <v>6</v>
      </c>
      <c r="C30" s="15">
        <v>0.97360000000000002</v>
      </c>
      <c r="D30" s="16" t="s">
        <v>23</v>
      </c>
      <c r="E30" s="17"/>
      <c r="F30" s="17"/>
      <c r="G30" s="18">
        <v>455</v>
      </c>
      <c r="H30" s="19">
        <f t="shared" si="0"/>
        <v>12.012</v>
      </c>
      <c r="I30" s="20">
        <f t="shared" si="1"/>
        <v>660.66000000000008</v>
      </c>
      <c r="J30" s="21">
        <f t="shared" si="3"/>
        <v>22.75</v>
      </c>
      <c r="K30" s="22">
        <f t="shared" si="2"/>
        <v>10.738</v>
      </c>
    </row>
    <row r="31" spans="1:11" ht="12.75" x14ac:dyDescent="0.2">
      <c r="A31" s="13">
        <v>45548</v>
      </c>
      <c r="B31" s="14" t="s">
        <v>7</v>
      </c>
      <c r="C31" s="15">
        <v>0.96260000000000001</v>
      </c>
      <c r="D31" s="16" t="s">
        <v>23</v>
      </c>
      <c r="E31" s="17"/>
      <c r="F31" s="17"/>
      <c r="G31" s="18">
        <v>455</v>
      </c>
      <c r="H31" s="19">
        <f t="shared" si="0"/>
        <v>17.016999999999996</v>
      </c>
      <c r="I31" s="20">
        <f t="shared" si="1"/>
        <v>935.93499999999972</v>
      </c>
      <c r="J31" s="21">
        <f t="shared" si="3"/>
        <v>22.75</v>
      </c>
      <c r="K31" s="22">
        <f t="shared" si="2"/>
        <v>5.7330000000000041</v>
      </c>
    </row>
    <row r="32" spans="1:11" ht="12.75" x14ac:dyDescent="0.2">
      <c r="A32" s="30">
        <v>45551</v>
      </c>
      <c r="B32" s="31" t="s">
        <v>3</v>
      </c>
      <c r="C32" s="32"/>
      <c r="D32" s="33"/>
      <c r="E32" s="34"/>
      <c r="F32" s="34"/>
      <c r="G32" s="35"/>
      <c r="H32" s="19">
        <f t="shared" si="0"/>
        <v>0</v>
      </c>
      <c r="I32" s="20">
        <f t="shared" si="1"/>
        <v>0</v>
      </c>
      <c r="J32" s="21">
        <f t="shared" si="3"/>
        <v>0</v>
      </c>
      <c r="K32" s="22">
        <f t="shared" si="2"/>
        <v>0</v>
      </c>
    </row>
    <row r="33" spans="1:11" ht="12.75" x14ac:dyDescent="0.2">
      <c r="A33" s="13">
        <v>45552</v>
      </c>
      <c r="B33" s="14" t="s">
        <v>4</v>
      </c>
      <c r="C33" s="15">
        <v>0.98019999999999996</v>
      </c>
      <c r="D33" s="16" t="s">
        <v>23</v>
      </c>
      <c r="E33" s="17"/>
      <c r="F33" s="17"/>
      <c r="G33" s="18">
        <v>455</v>
      </c>
      <c r="H33" s="19">
        <f t="shared" si="0"/>
        <v>9.0090000000000146</v>
      </c>
      <c r="I33" s="20">
        <f t="shared" si="1"/>
        <v>495.4950000000008</v>
      </c>
      <c r="J33" s="21">
        <f t="shared" si="3"/>
        <v>22.75</v>
      </c>
      <c r="K33" s="22">
        <f t="shared" si="2"/>
        <v>13.740999999999985</v>
      </c>
    </row>
    <row r="34" spans="1:11" ht="12.75" x14ac:dyDescent="0.2">
      <c r="A34" s="13">
        <v>45553</v>
      </c>
      <c r="B34" s="14" t="s">
        <v>5</v>
      </c>
      <c r="C34" s="15">
        <v>0.97140000000000004</v>
      </c>
      <c r="D34" s="16" t="s">
        <v>23</v>
      </c>
      <c r="E34" s="17"/>
      <c r="F34" s="17"/>
      <c r="G34" s="18">
        <v>455</v>
      </c>
      <c r="H34" s="19">
        <f t="shared" si="0"/>
        <v>13.012999999999977</v>
      </c>
      <c r="I34" s="20">
        <f t="shared" si="1"/>
        <v>715.71499999999878</v>
      </c>
      <c r="J34" s="21">
        <f t="shared" si="3"/>
        <v>22.75</v>
      </c>
      <c r="K34" s="22">
        <f t="shared" si="2"/>
        <v>9.7370000000000232</v>
      </c>
    </row>
    <row r="35" spans="1:11" ht="12.75" x14ac:dyDescent="0.2">
      <c r="A35" s="13">
        <v>45554</v>
      </c>
      <c r="B35" s="14" t="s">
        <v>6</v>
      </c>
      <c r="C35" s="15">
        <v>0.96919999999999995</v>
      </c>
      <c r="D35" s="16" t="s">
        <v>23</v>
      </c>
      <c r="E35" s="17"/>
      <c r="F35" s="17"/>
      <c r="G35" s="18">
        <v>455</v>
      </c>
      <c r="H35" s="19">
        <f t="shared" si="0"/>
        <v>14.01400000000001</v>
      </c>
      <c r="I35" s="20">
        <f t="shared" si="1"/>
        <v>770.77000000000055</v>
      </c>
      <c r="J35" s="21">
        <f t="shared" si="3"/>
        <v>22.75</v>
      </c>
      <c r="K35" s="22">
        <f t="shared" si="2"/>
        <v>8.73599999999999</v>
      </c>
    </row>
    <row r="36" spans="1:11" ht="12.75" x14ac:dyDescent="0.2">
      <c r="A36" s="13">
        <v>45555</v>
      </c>
      <c r="B36" s="14" t="s">
        <v>7</v>
      </c>
      <c r="C36" s="15">
        <v>0.9607</v>
      </c>
      <c r="D36" s="16" t="s">
        <v>23</v>
      </c>
      <c r="E36" s="17"/>
      <c r="F36" s="17"/>
      <c r="G36" s="18">
        <v>455</v>
      </c>
      <c r="H36" s="19">
        <f t="shared" si="0"/>
        <v>17.881500000000017</v>
      </c>
      <c r="I36" s="20">
        <f t="shared" si="1"/>
        <v>983.48250000000098</v>
      </c>
      <c r="J36" s="21">
        <f t="shared" si="3"/>
        <v>22.75</v>
      </c>
      <c r="K36" s="22">
        <f t="shared" si="2"/>
        <v>4.8684999999999832</v>
      </c>
    </row>
    <row r="37" spans="1:11" ht="12.75" x14ac:dyDescent="0.2">
      <c r="A37" s="13">
        <v>45558</v>
      </c>
      <c r="B37" s="14" t="s">
        <v>3</v>
      </c>
      <c r="C37" s="15">
        <v>0.96499999999999997</v>
      </c>
      <c r="D37" s="16" t="s">
        <v>23</v>
      </c>
      <c r="E37" s="17"/>
      <c r="F37" s="17"/>
      <c r="G37" s="18">
        <v>455</v>
      </c>
      <c r="H37" s="19">
        <f t="shared" si="0"/>
        <v>15.925000000000011</v>
      </c>
      <c r="I37" s="20">
        <f t="shared" si="1"/>
        <v>875.87500000000068</v>
      </c>
      <c r="J37" s="21">
        <f t="shared" si="3"/>
        <v>22.75</v>
      </c>
      <c r="K37" s="22">
        <f t="shared" si="2"/>
        <v>6.8249999999999886</v>
      </c>
    </row>
    <row r="38" spans="1:11" ht="12.75" x14ac:dyDescent="0.2">
      <c r="A38" s="13">
        <v>45559</v>
      </c>
      <c r="B38" s="14" t="s">
        <v>4</v>
      </c>
      <c r="C38" s="15">
        <v>0.9516</v>
      </c>
      <c r="D38" s="16" t="s">
        <v>23</v>
      </c>
      <c r="E38" s="17"/>
      <c r="F38" s="17"/>
      <c r="G38" s="18">
        <v>455</v>
      </c>
      <c r="H38" s="19">
        <f t="shared" si="0"/>
        <v>22.021999999999991</v>
      </c>
      <c r="I38" s="20">
        <f t="shared" si="1"/>
        <v>1211.2099999999996</v>
      </c>
      <c r="J38" s="21">
        <f t="shared" si="3"/>
        <v>22.75</v>
      </c>
      <c r="K38" s="22">
        <f t="shared" si="2"/>
        <v>0.72800000000000864</v>
      </c>
    </row>
    <row r="39" spans="1:11" ht="12.75" x14ac:dyDescent="0.2">
      <c r="A39" s="13">
        <v>45560</v>
      </c>
      <c r="B39" s="14" t="s">
        <v>5</v>
      </c>
      <c r="C39" s="15">
        <v>0.9758</v>
      </c>
      <c r="D39" s="16" t="s">
        <v>23</v>
      </c>
      <c r="E39" s="17"/>
      <c r="F39" s="17"/>
      <c r="G39" s="18">
        <v>455</v>
      </c>
      <c r="H39" s="19">
        <f t="shared" si="0"/>
        <v>11.011000000000024</v>
      </c>
      <c r="I39" s="20">
        <f t="shared" si="1"/>
        <v>605.60500000000138</v>
      </c>
      <c r="J39" s="21">
        <f t="shared" si="3"/>
        <v>22.75</v>
      </c>
      <c r="K39" s="22">
        <f t="shared" si="2"/>
        <v>11.738999999999976</v>
      </c>
    </row>
    <row r="40" spans="1:11" ht="12.75" x14ac:dyDescent="0.2">
      <c r="A40" s="13">
        <v>45561</v>
      </c>
      <c r="B40" s="14" t="s">
        <v>6</v>
      </c>
      <c r="C40" s="15">
        <v>0.97360000000000002</v>
      </c>
      <c r="D40" s="16" t="s">
        <v>23</v>
      </c>
      <c r="E40" s="17"/>
      <c r="F40" s="17"/>
      <c r="G40" s="18">
        <v>455</v>
      </c>
      <c r="H40" s="19">
        <f t="shared" si="0"/>
        <v>12.012</v>
      </c>
      <c r="I40" s="20">
        <f t="shared" si="1"/>
        <v>660.66000000000008</v>
      </c>
      <c r="J40" s="21">
        <f t="shared" si="3"/>
        <v>22.75</v>
      </c>
      <c r="K40" s="22">
        <f t="shared" si="2"/>
        <v>10.738</v>
      </c>
    </row>
    <row r="41" spans="1:11" ht="12.75" x14ac:dyDescent="0.2">
      <c r="A41" s="13">
        <v>45562</v>
      </c>
      <c r="B41" s="14" t="s">
        <v>7</v>
      </c>
      <c r="C41" s="15">
        <v>0.96699999999999997</v>
      </c>
      <c r="D41" s="16" t="s">
        <v>23</v>
      </c>
      <c r="E41" s="17"/>
      <c r="F41" s="17"/>
      <c r="G41" s="18">
        <v>455</v>
      </c>
      <c r="H41" s="19">
        <f t="shared" si="0"/>
        <v>15.014999999999986</v>
      </c>
      <c r="I41" s="20">
        <f t="shared" si="1"/>
        <v>825.82499999999925</v>
      </c>
      <c r="J41" s="21">
        <f t="shared" si="3"/>
        <v>22.75</v>
      </c>
      <c r="K41" s="22">
        <f t="shared" si="2"/>
        <v>7.7350000000000136</v>
      </c>
    </row>
    <row r="42" spans="1:11" ht="12.75" x14ac:dyDescent="0.2">
      <c r="A42" s="13">
        <v>45565</v>
      </c>
      <c r="B42" s="14" t="s">
        <v>3</v>
      </c>
      <c r="C42" s="15">
        <v>0.95860000000000001</v>
      </c>
      <c r="D42" s="16" t="s">
        <v>23</v>
      </c>
      <c r="E42" s="17"/>
      <c r="F42" s="17"/>
      <c r="G42" s="18">
        <v>455</v>
      </c>
      <c r="H42" s="19">
        <f t="shared" si="0"/>
        <v>18.836999999999989</v>
      </c>
      <c r="I42" s="20">
        <f t="shared" si="1"/>
        <v>1036.0349999999994</v>
      </c>
      <c r="J42" s="21">
        <f t="shared" si="3"/>
        <v>22.75</v>
      </c>
      <c r="K42" s="22">
        <f t="shared" si="2"/>
        <v>3.9130000000000109</v>
      </c>
    </row>
    <row r="43" spans="1:11" ht="12.75" x14ac:dyDescent="0.2">
      <c r="A43" s="13">
        <v>45566</v>
      </c>
      <c r="B43" s="14" t="s">
        <v>4</v>
      </c>
      <c r="C43" s="15">
        <v>0.9758</v>
      </c>
      <c r="D43" s="16" t="s">
        <v>23</v>
      </c>
      <c r="E43" s="17"/>
      <c r="F43" s="17"/>
      <c r="G43" s="18">
        <v>455</v>
      </c>
      <c r="H43" s="19">
        <f t="shared" si="0"/>
        <v>11.011000000000024</v>
      </c>
      <c r="I43" s="20">
        <f t="shared" si="1"/>
        <v>605.60500000000138</v>
      </c>
      <c r="J43" s="21">
        <f t="shared" si="3"/>
        <v>22.75</v>
      </c>
      <c r="K43" s="22">
        <f t="shared" si="2"/>
        <v>11.738999999999976</v>
      </c>
    </row>
    <row r="44" spans="1:11" ht="12.75" x14ac:dyDescent="0.2">
      <c r="A44" s="13">
        <v>45567</v>
      </c>
      <c r="B44" s="14" t="s">
        <v>5</v>
      </c>
      <c r="C44" s="15">
        <v>0.96699999999999997</v>
      </c>
      <c r="D44" s="16" t="s">
        <v>23</v>
      </c>
      <c r="E44" s="17"/>
      <c r="F44" s="17"/>
      <c r="G44" s="18">
        <v>455</v>
      </c>
      <c r="H44" s="19">
        <f t="shared" si="0"/>
        <v>15.014999999999986</v>
      </c>
      <c r="I44" s="20">
        <f t="shared" si="1"/>
        <v>825.82499999999925</v>
      </c>
      <c r="J44" s="21">
        <f t="shared" si="3"/>
        <v>22.75</v>
      </c>
      <c r="K44" s="22">
        <f t="shared" si="2"/>
        <v>7.7350000000000136</v>
      </c>
    </row>
    <row r="45" spans="1:11" ht="12.75" x14ac:dyDescent="0.2">
      <c r="A45" s="13">
        <v>45568</v>
      </c>
      <c r="B45" s="14" t="s">
        <v>6</v>
      </c>
      <c r="C45" s="15">
        <v>0.98460000000000003</v>
      </c>
      <c r="D45" s="16" t="s">
        <v>23</v>
      </c>
      <c r="E45" s="17"/>
      <c r="F45" s="17"/>
      <c r="G45" s="18">
        <v>455</v>
      </c>
      <c r="H45" s="19">
        <f t="shared" si="0"/>
        <v>7.007000000000005</v>
      </c>
      <c r="I45" s="20">
        <f t="shared" si="1"/>
        <v>385.38500000000028</v>
      </c>
      <c r="J45" s="21">
        <f t="shared" si="3"/>
        <v>22.75</v>
      </c>
      <c r="K45" s="22">
        <f t="shared" si="2"/>
        <v>15.742999999999995</v>
      </c>
    </row>
    <row r="46" spans="1:11" ht="12.75" x14ac:dyDescent="0.2">
      <c r="A46" s="13">
        <v>45569</v>
      </c>
      <c r="B46" s="14" t="s">
        <v>7</v>
      </c>
      <c r="C46" s="15">
        <v>0.95599999999999996</v>
      </c>
      <c r="D46" s="16" t="s">
        <v>23</v>
      </c>
      <c r="E46" s="17"/>
      <c r="F46" s="17"/>
      <c r="G46" s="18">
        <v>455</v>
      </c>
      <c r="H46" s="19">
        <f t="shared" si="0"/>
        <v>20.020000000000039</v>
      </c>
      <c r="I46" s="20">
        <f t="shared" si="1"/>
        <v>1101.1000000000022</v>
      </c>
      <c r="J46" s="21">
        <f t="shared" si="3"/>
        <v>22.75</v>
      </c>
      <c r="K46" s="22">
        <f t="shared" si="2"/>
        <v>2.7299999999999613</v>
      </c>
    </row>
    <row r="47" spans="1:11" ht="12.75" x14ac:dyDescent="0.2">
      <c r="A47" s="24">
        <v>45572</v>
      </c>
      <c r="B47" s="25" t="s">
        <v>3</v>
      </c>
      <c r="C47" s="26"/>
      <c r="D47" s="27"/>
      <c r="E47" s="28"/>
      <c r="F47" s="28"/>
      <c r="G47" s="29"/>
      <c r="H47" s="19">
        <f t="shared" si="0"/>
        <v>0</v>
      </c>
      <c r="I47" s="20">
        <f t="shared" si="1"/>
        <v>0</v>
      </c>
      <c r="J47" s="21">
        <f t="shared" si="3"/>
        <v>0</v>
      </c>
      <c r="K47" s="22">
        <f t="shared" si="2"/>
        <v>0</v>
      </c>
    </row>
    <row r="48" spans="1:11" ht="12.75" x14ac:dyDescent="0.2">
      <c r="A48" s="24">
        <v>45573</v>
      </c>
      <c r="B48" s="25" t="s">
        <v>4</v>
      </c>
      <c r="C48" s="26"/>
      <c r="D48" s="27"/>
      <c r="E48" s="28"/>
      <c r="F48" s="28"/>
      <c r="G48" s="29"/>
      <c r="H48" s="19">
        <f t="shared" si="0"/>
        <v>0</v>
      </c>
      <c r="I48" s="20">
        <f t="shared" si="1"/>
        <v>0</v>
      </c>
      <c r="J48" s="21">
        <f t="shared" si="3"/>
        <v>0</v>
      </c>
      <c r="K48" s="22">
        <f t="shared" si="2"/>
        <v>0</v>
      </c>
    </row>
    <row r="49" spans="1:11" ht="12.75" x14ac:dyDescent="0.2">
      <c r="A49" s="24">
        <v>45574</v>
      </c>
      <c r="B49" s="25" t="s">
        <v>5</v>
      </c>
      <c r="C49" s="26"/>
      <c r="D49" s="27"/>
      <c r="E49" s="28"/>
      <c r="F49" s="28"/>
      <c r="G49" s="29"/>
      <c r="H49" s="19">
        <f t="shared" si="0"/>
        <v>0</v>
      </c>
      <c r="I49" s="20">
        <f t="shared" si="1"/>
        <v>0</v>
      </c>
      <c r="J49" s="21">
        <f t="shared" si="3"/>
        <v>0</v>
      </c>
      <c r="K49" s="22">
        <f t="shared" si="2"/>
        <v>0</v>
      </c>
    </row>
    <row r="50" spans="1:11" ht="12.75" x14ac:dyDescent="0.2">
      <c r="A50" s="24">
        <v>45575</v>
      </c>
      <c r="B50" s="25" t="s">
        <v>6</v>
      </c>
      <c r="C50" s="26"/>
      <c r="D50" s="27"/>
      <c r="E50" s="28"/>
      <c r="F50" s="28"/>
      <c r="G50" s="29"/>
      <c r="H50" s="19">
        <f t="shared" si="0"/>
        <v>0</v>
      </c>
      <c r="I50" s="20">
        <f t="shared" si="1"/>
        <v>0</v>
      </c>
      <c r="J50" s="21">
        <f t="shared" si="3"/>
        <v>0</v>
      </c>
      <c r="K50" s="22">
        <f t="shared" si="2"/>
        <v>0</v>
      </c>
    </row>
    <row r="51" spans="1:11" ht="12.75" x14ac:dyDescent="0.2">
      <c r="A51" s="24">
        <v>45576</v>
      </c>
      <c r="B51" s="25" t="s">
        <v>7</v>
      </c>
      <c r="C51" s="26"/>
      <c r="D51" s="27"/>
      <c r="E51" s="28"/>
      <c r="F51" s="28"/>
      <c r="G51" s="29"/>
      <c r="H51" s="19">
        <f t="shared" si="0"/>
        <v>0</v>
      </c>
      <c r="I51" s="20">
        <f t="shared" si="1"/>
        <v>0</v>
      </c>
      <c r="J51" s="21">
        <f t="shared" si="3"/>
        <v>0</v>
      </c>
      <c r="K51" s="22">
        <f t="shared" si="2"/>
        <v>0</v>
      </c>
    </row>
    <row r="52" spans="1:11" ht="12.75" x14ac:dyDescent="0.2">
      <c r="A52" s="13">
        <v>45579</v>
      </c>
      <c r="B52" s="14" t="s">
        <v>3</v>
      </c>
      <c r="C52" s="15">
        <v>0.9516</v>
      </c>
      <c r="D52" s="16" t="s">
        <v>23</v>
      </c>
      <c r="E52" s="17"/>
      <c r="F52" s="17"/>
      <c r="G52" s="18">
        <v>455</v>
      </c>
      <c r="H52" s="19">
        <f t="shared" si="0"/>
        <v>22.021999999999991</v>
      </c>
      <c r="I52" s="20">
        <f t="shared" si="1"/>
        <v>1211.2099999999996</v>
      </c>
      <c r="J52" s="21">
        <f t="shared" si="3"/>
        <v>22.75</v>
      </c>
      <c r="K52" s="22">
        <f t="shared" si="2"/>
        <v>0.72800000000000864</v>
      </c>
    </row>
    <row r="53" spans="1:11" ht="12.75" x14ac:dyDescent="0.2">
      <c r="A53" s="13">
        <v>45580</v>
      </c>
      <c r="B53" s="14" t="s">
        <v>4</v>
      </c>
      <c r="C53" s="15">
        <v>0.96260000000000001</v>
      </c>
      <c r="D53" s="16" t="s">
        <v>23</v>
      </c>
      <c r="E53" s="17"/>
      <c r="F53" s="17"/>
      <c r="G53" s="18">
        <v>455</v>
      </c>
      <c r="H53" s="19">
        <f t="shared" si="0"/>
        <v>17.016999999999996</v>
      </c>
      <c r="I53" s="20">
        <f t="shared" si="1"/>
        <v>935.93499999999972</v>
      </c>
      <c r="J53" s="21">
        <f t="shared" si="3"/>
        <v>22.75</v>
      </c>
      <c r="K53" s="22">
        <f t="shared" si="2"/>
        <v>5.7330000000000041</v>
      </c>
    </row>
    <row r="54" spans="1:11" ht="12.75" x14ac:dyDescent="0.2">
      <c r="A54" s="13">
        <v>45581</v>
      </c>
      <c r="B54" s="14" t="s">
        <v>5</v>
      </c>
      <c r="C54" s="36">
        <v>0.98680000000000001</v>
      </c>
      <c r="D54" s="16" t="s">
        <v>23</v>
      </c>
      <c r="E54" s="17"/>
      <c r="F54" s="37"/>
      <c r="G54" s="18">
        <v>455</v>
      </c>
      <c r="H54" s="19">
        <f t="shared" si="0"/>
        <v>6.0059999999999718</v>
      </c>
      <c r="I54" s="20">
        <f t="shared" si="1"/>
        <v>330.32999999999845</v>
      </c>
      <c r="J54" s="21">
        <f t="shared" si="3"/>
        <v>22.75</v>
      </c>
      <c r="K54" s="22">
        <f t="shared" si="2"/>
        <v>16.744000000000028</v>
      </c>
    </row>
    <row r="55" spans="1:11" ht="12.75" x14ac:dyDescent="0.2">
      <c r="A55" s="13">
        <v>45582</v>
      </c>
      <c r="B55" s="14" t="s">
        <v>6</v>
      </c>
      <c r="C55" s="15">
        <v>0.97360000000000002</v>
      </c>
      <c r="D55" s="16" t="s">
        <v>23</v>
      </c>
      <c r="E55" s="17"/>
      <c r="F55" s="17"/>
      <c r="G55" s="18">
        <v>455</v>
      </c>
      <c r="H55" s="19">
        <f t="shared" si="0"/>
        <v>12.012</v>
      </c>
      <c r="I55" s="20">
        <f t="shared" si="1"/>
        <v>660.66000000000008</v>
      </c>
      <c r="J55" s="21">
        <f t="shared" si="3"/>
        <v>22.75</v>
      </c>
      <c r="K55" s="22">
        <f t="shared" si="2"/>
        <v>10.738</v>
      </c>
    </row>
    <row r="56" spans="1:11" ht="12.75" x14ac:dyDescent="0.2">
      <c r="A56" s="13">
        <v>45583</v>
      </c>
      <c r="B56" s="14" t="s">
        <v>7</v>
      </c>
      <c r="C56" s="15">
        <v>0.96699999999999997</v>
      </c>
      <c r="D56" s="16" t="s">
        <v>23</v>
      </c>
      <c r="E56" s="17"/>
      <c r="F56" s="17"/>
      <c r="G56" s="18">
        <v>455</v>
      </c>
      <c r="H56" s="19">
        <f t="shared" si="0"/>
        <v>15.014999999999986</v>
      </c>
      <c r="I56" s="20">
        <f t="shared" si="1"/>
        <v>825.82499999999925</v>
      </c>
      <c r="J56" s="21">
        <f t="shared" si="3"/>
        <v>22.75</v>
      </c>
      <c r="K56" s="22">
        <f t="shared" si="2"/>
        <v>7.7350000000000136</v>
      </c>
    </row>
    <row r="57" spans="1:11" ht="12.75" x14ac:dyDescent="0.2">
      <c r="A57" s="13">
        <v>45586</v>
      </c>
      <c r="B57" s="14" t="s">
        <v>3</v>
      </c>
      <c r="C57" s="15">
        <v>0.95820000000000005</v>
      </c>
      <c r="D57" s="16" t="s">
        <v>23</v>
      </c>
      <c r="E57" s="17"/>
      <c r="F57" s="17"/>
      <c r="G57" s="18">
        <v>455</v>
      </c>
      <c r="H57" s="19">
        <f t="shared" si="0"/>
        <v>19.018999999999949</v>
      </c>
      <c r="I57" s="20">
        <f t="shared" si="1"/>
        <v>1046.0449999999971</v>
      </c>
      <c r="J57" s="21">
        <f t="shared" si="3"/>
        <v>22.75</v>
      </c>
      <c r="K57" s="22">
        <f t="shared" si="2"/>
        <v>3.7310000000000514</v>
      </c>
    </row>
    <row r="58" spans="1:11" ht="12.75" x14ac:dyDescent="0.2">
      <c r="A58" s="13">
        <v>45587</v>
      </c>
      <c r="B58" s="14" t="s">
        <v>4</v>
      </c>
      <c r="C58" s="15">
        <v>0.96260000000000001</v>
      </c>
      <c r="D58" s="16" t="s">
        <v>23</v>
      </c>
      <c r="E58" s="17"/>
      <c r="F58" s="17"/>
      <c r="G58" s="18">
        <v>455</v>
      </c>
      <c r="H58" s="19">
        <f t="shared" si="0"/>
        <v>17.016999999999996</v>
      </c>
      <c r="I58" s="20">
        <f t="shared" si="1"/>
        <v>935.93499999999972</v>
      </c>
      <c r="J58" s="21">
        <f t="shared" si="3"/>
        <v>22.75</v>
      </c>
      <c r="K58" s="22">
        <f t="shared" si="2"/>
        <v>5.7330000000000041</v>
      </c>
    </row>
    <row r="59" spans="1:11" ht="12.75" x14ac:dyDescent="0.2">
      <c r="A59" s="13">
        <v>45588</v>
      </c>
      <c r="B59" s="14" t="s">
        <v>5</v>
      </c>
      <c r="C59" s="15">
        <v>0.94950000000000001</v>
      </c>
      <c r="D59" s="16" t="s">
        <v>23</v>
      </c>
      <c r="E59" s="17"/>
      <c r="F59" s="17"/>
      <c r="G59" s="18">
        <v>455</v>
      </c>
      <c r="H59" s="19">
        <f t="shared" si="0"/>
        <v>22.97750000000002</v>
      </c>
      <c r="I59" s="20">
        <f t="shared" si="1"/>
        <v>1263.7625000000012</v>
      </c>
      <c r="J59" s="21">
        <f t="shared" si="3"/>
        <v>22.75</v>
      </c>
      <c r="K59" s="22">
        <f t="shared" si="2"/>
        <v>-0.22750000000002046</v>
      </c>
    </row>
    <row r="60" spans="1:11" ht="12.75" x14ac:dyDescent="0.2">
      <c r="A60" s="13">
        <v>45589</v>
      </c>
      <c r="B60" s="14" t="s">
        <v>6</v>
      </c>
      <c r="C60" s="15">
        <v>0.94510000000000005</v>
      </c>
      <c r="D60" s="16" t="s">
        <v>23</v>
      </c>
      <c r="E60" s="17"/>
      <c r="F60" s="17"/>
      <c r="G60" s="18">
        <v>455</v>
      </c>
      <c r="H60" s="19">
        <f t="shared" si="0"/>
        <v>24.979499999999973</v>
      </c>
      <c r="I60" s="20">
        <f t="shared" si="1"/>
        <v>1373.8724999999986</v>
      </c>
      <c r="J60" s="21">
        <f t="shared" si="3"/>
        <v>22.75</v>
      </c>
      <c r="K60" s="22">
        <f t="shared" si="2"/>
        <v>-2.2294999999999732</v>
      </c>
    </row>
    <row r="61" spans="1:11" ht="12.75" x14ac:dyDescent="0.2">
      <c r="A61" s="13">
        <v>45590</v>
      </c>
      <c r="B61" s="14" t="s">
        <v>7</v>
      </c>
      <c r="C61" s="15">
        <v>0.96040000000000003</v>
      </c>
      <c r="D61" s="16" t="s">
        <v>23</v>
      </c>
      <c r="E61" s="17"/>
      <c r="F61" s="17"/>
      <c r="G61" s="18">
        <v>455</v>
      </c>
      <c r="H61" s="19">
        <f t="shared" si="0"/>
        <v>18.017999999999972</v>
      </c>
      <c r="I61" s="20">
        <f t="shared" si="1"/>
        <v>990.98999999999842</v>
      </c>
      <c r="J61" s="21">
        <f t="shared" si="3"/>
        <v>22.75</v>
      </c>
      <c r="K61" s="22">
        <f t="shared" si="2"/>
        <v>4.7320000000000277</v>
      </c>
    </row>
    <row r="62" spans="1:11" ht="12.75" x14ac:dyDescent="0.2">
      <c r="A62" s="13">
        <v>45593</v>
      </c>
      <c r="B62" s="14" t="s">
        <v>3</v>
      </c>
      <c r="C62" s="15">
        <v>0.94289999999999996</v>
      </c>
      <c r="D62" s="16" t="s">
        <v>23</v>
      </c>
      <c r="E62" s="17"/>
      <c r="F62" s="17"/>
      <c r="G62" s="18">
        <v>455</v>
      </c>
      <c r="H62" s="19">
        <f t="shared" si="0"/>
        <v>25.980500000000006</v>
      </c>
      <c r="I62" s="20">
        <f t="shared" si="1"/>
        <v>1428.9275000000002</v>
      </c>
      <c r="J62" s="21">
        <f t="shared" si="3"/>
        <v>22.75</v>
      </c>
      <c r="K62" s="22">
        <f t="shared" si="2"/>
        <v>-3.2305000000000064</v>
      </c>
    </row>
    <row r="63" spans="1:11" ht="12.75" x14ac:dyDescent="0.2">
      <c r="A63" s="13">
        <v>45594</v>
      </c>
      <c r="B63" s="14" t="s">
        <v>4</v>
      </c>
      <c r="C63" s="15">
        <v>0.98019999999999996</v>
      </c>
      <c r="D63" s="16" t="s">
        <v>23</v>
      </c>
      <c r="E63" s="17"/>
      <c r="F63" s="17"/>
      <c r="G63" s="18">
        <v>455</v>
      </c>
      <c r="H63" s="19">
        <f t="shared" si="0"/>
        <v>9.0090000000000146</v>
      </c>
      <c r="I63" s="20">
        <f t="shared" si="1"/>
        <v>495.4950000000008</v>
      </c>
      <c r="J63" s="21">
        <f t="shared" si="3"/>
        <v>22.75</v>
      </c>
      <c r="K63" s="22">
        <f t="shared" si="2"/>
        <v>13.740999999999985</v>
      </c>
    </row>
    <row r="64" spans="1:11" ht="12.75" x14ac:dyDescent="0.2">
      <c r="A64" s="13">
        <v>45595</v>
      </c>
      <c r="B64" s="14" t="s">
        <v>5</v>
      </c>
      <c r="C64" s="15">
        <v>0.97140000000000004</v>
      </c>
      <c r="D64" s="16" t="s">
        <v>23</v>
      </c>
      <c r="E64" s="17"/>
      <c r="F64" s="17"/>
      <c r="G64" s="18">
        <v>455</v>
      </c>
      <c r="H64" s="19">
        <f t="shared" si="0"/>
        <v>13.012999999999977</v>
      </c>
      <c r="I64" s="20">
        <f t="shared" si="1"/>
        <v>715.71499999999878</v>
      </c>
      <c r="J64" s="21">
        <f t="shared" si="3"/>
        <v>22.75</v>
      </c>
      <c r="K64" s="22">
        <f t="shared" si="2"/>
        <v>9.7370000000000232</v>
      </c>
    </row>
    <row r="65" spans="1:11" ht="12.75" x14ac:dyDescent="0.2">
      <c r="A65" s="13">
        <v>45596</v>
      </c>
      <c r="B65" s="14" t="s">
        <v>6</v>
      </c>
      <c r="C65" s="15">
        <v>0.97360000000000002</v>
      </c>
      <c r="D65" s="16" t="s">
        <v>23</v>
      </c>
      <c r="E65" s="17"/>
      <c r="F65" s="17"/>
      <c r="G65" s="18">
        <v>455</v>
      </c>
      <c r="H65" s="19">
        <f t="shared" si="0"/>
        <v>12.012</v>
      </c>
      <c r="I65" s="20">
        <f t="shared" si="1"/>
        <v>660.66000000000008</v>
      </c>
      <c r="J65" s="21">
        <f t="shared" si="3"/>
        <v>22.75</v>
      </c>
      <c r="K65" s="22">
        <f t="shared" si="2"/>
        <v>10.738</v>
      </c>
    </row>
    <row r="66" spans="1:11" ht="12.75" x14ac:dyDescent="0.2">
      <c r="A66" s="13">
        <v>45597</v>
      </c>
      <c r="B66" s="14" t="s">
        <v>7</v>
      </c>
      <c r="C66" s="15">
        <v>0.96040000000000003</v>
      </c>
      <c r="D66" s="16" t="s">
        <v>23</v>
      </c>
      <c r="E66" s="17"/>
      <c r="F66" s="17"/>
      <c r="G66" s="18">
        <v>455</v>
      </c>
      <c r="H66" s="19">
        <f t="shared" si="0"/>
        <v>18.017999999999972</v>
      </c>
      <c r="I66" s="20">
        <f t="shared" si="1"/>
        <v>990.98999999999842</v>
      </c>
      <c r="J66" s="21">
        <f t="shared" si="3"/>
        <v>22.75</v>
      </c>
      <c r="K66" s="22">
        <f t="shared" si="2"/>
        <v>4.7320000000000277</v>
      </c>
    </row>
    <row r="67" spans="1:11" ht="12.75" x14ac:dyDescent="0.2">
      <c r="A67" s="38">
        <v>45600</v>
      </c>
      <c r="B67" s="39" t="s">
        <v>3</v>
      </c>
      <c r="C67" s="40"/>
      <c r="D67" s="41"/>
      <c r="E67" s="42"/>
      <c r="F67" s="42"/>
      <c r="G67" s="43"/>
      <c r="H67" s="19">
        <f t="shared" si="0"/>
        <v>0</v>
      </c>
      <c r="I67" s="20">
        <f t="shared" si="1"/>
        <v>0</v>
      </c>
      <c r="J67" s="21">
        <f t="shared" si="3"/>
        <v>0</v>
      </c>
      <c r="K67" s="22">
        <f t="shared" si="2"/>
        <v>0</v>
      </c>
    </row>
    <row r="68" spans="1:11" ht="12.75" x14ac:dyDescent="0.2">
      <c r="A68" s="30">
        <v>45601</v>
      </c>
      <c r="B68" s="31" t="s">
        <v>4</v>
      </c>
      <c r="C68" s="32"/>
      <c r="D68" s="33"/>
      <c r="E68" s="34"/>
      <c r="F68" s="34"/>
      <c r="G68" s="35"/>
      <c r="H68" s="19">
        <f t="shared" si="0"/>
        <v>0</v>
      </c>
      <c r="I68" s="20">
        <f t="shared" si="1"/>
        <v>0</v>
      </c>
      <c r="J68" s="21">
        <f t="shared" si="3"/>
        <v>0</v>
      </c>
      <c r="K68" s="22">
        <f t="shared" si="2"/>
        <v>0</v>
      </c>
    </row>
    <row r="69" spans="1:11" ht="12.75" x14ac:dyDescent="0.2">
      <c r="A69" s="13">
        <v>45602</v>
      </c>
      <c r="B69" s="14" t="s">
        <v>5</v>
      </c>
      <c r="C69" s="15">
        <v>0.98460000000000003</v>
      </c>
      <c r="D69" s="16" t="s">
        <v>23</v>
      </c>
      <c r="E69" s="17"/>
      <c r="F69" s="17"/>
      <c r="G69" s="18">
        <v>455</v>
      </c>
      <c r="H69" s="19">
        <f t="shared" si="0"/>
        <v>7.007000000000005</v>
      </c>
      <c r="I69" s="20">
        <f t="shared" si="1"/>
        <v>385.38500000000028</v>
      </c>
      <c r="J69" s="21">
        <f t="shared" si="3"/>
        <v>22.75</v>
      </c>
      <c r="K69" s="22">
        <f t="shared" si="2"/>
        <v>15.742999999999995</v>
      </c>
    </row>
    <row r="70" spans="1:11" ht="12.75" x14ac:dyDescent="0.2">
      <c r="A70" s="13">
        <v>45603</v>
      </c>
      <c r="B70" s="14" t="s">
        <v>6</v>
      </c>
      <c r="C70" s="15">
        <v>0.98019999999999996</v>
      </c>
      <c r="D70" s="23" t="s">
        <v>23</v>
      </c>
      <c r="E70" s="17"/>
      <c r="F70" s="17"/>
      <c r="G70" s="18">
        <v>455</v>
      </c>
      <c r="H70" s="19">
        <f t="shared" si="0"/>
        <v>9.0090000000000146</v>
      </c>
      <c r="I70" s="20">
        <f t="shared" si="1"/>
        <v>495.4950000000008</v>
      </c>
      <c r="J70" s="21">
        <f t="shared" si="3"/>
        <v>22.75</v>
      </c>
      <c r="K70" s="22">
        <f t="shared" si="2"/>
        <v>13.740999999999985</v>
      </c>
    </row>
    <row r="71" spans="1:11" ht="12.75" x14ac:dyDescent="0.2">
      <c r="A71" s="13">
        <v>45604</v>
      </c>
      <c r="B71" s="14" t="s">
        <v>7</v>
      </c>
      <c r="C71" s="15">
        <v>0.95820000000000005</v>
      </c>
      <c r="D71" s="23" t="s">
        <v>23</v>
      </c>
      <c r="E71" s="17"/>
      <c r="F71" s="17"/>
      <c r="G71" s="18">
        <v>455</v>
      </c>
      <c r="H71" s="19">
        <f t="shared" si="0"/>
        <v>19.018999999999949</v>
      </c>
      <c r="I71" s="20">
        <f t="shared" si="1"/>
        <v>1046.0449999999971</v>
      </c>
      <c r="J71" s="21">
        <f t="shared" si="3"/>
        <v>22.75</v>
      </c>
      <c r="K71" s="22">
        <f t="shared" si="2"/>
        <v>3.7310000000000514</v>
      </c>
    </row>
    <row r="72" spans="1:11" ht="12.75" x14ac:dyDescent="0.2">
      <c r="A72" s="13">
        <v>45607</v>
      </c>
      <c r="B72" s="14" t="s">
        <v>3</v>
      </c>
      <c r="C72" s="15">
        <v>0.94069999999999998</v>
      </c>
      <c r="D72" s="23" t="s">
        <v>23</v>
      </c>
      <c r="E72" s="17"/>
      <c r="F72" s="17"/>
      <c r="G72" s="18">
        <v>455</v>
      </c>
      <c r="H72" s="19">
        <f t="shared" si="0"/>
        <v>26.981499999999983</v>
      </c>
      <c r="I72" s="20">
        <f t="shared" si="1"/>
        <v>1483.9824999999992</v>
      </c>
      <c r="J72" s="21">
        <f t="shared" si="3"/>
        <v>22.75</v>
      </c>
      <c r="K72" s="22">
        <f t="shared" si="2"/>
        <v>-4.2314999999999827</v>
      </c>
    </row>
    <row r="73" spans="1:11" ht="25.5" x14ac:dyDescent="0.2">
      <c r="A73" s="13">
        <v>45608</v>
      </c>
      <c r="B73" s="14" t="s">
        <v>4</v>
      </c>
      <c r="C73" s="15">
        <v>0.93610000000000004</v>
      </c>
      <c r="D73" s="16" t="s">
        <v>23</v>
      </c>
      <c r="E73" s="17" t="s">
        <v>30</v>
      </c>
      <c r="F73" s="17" t="s">
        <v>267</v>
      </c>
      <c r="G73" s="18">
        <v>454</v>
      </c>
      <c r="H73" s="19">
        <f t="shared" si="0"/>
        <v>29.010599999999954</v>
      </c>
      <c r="I73" s="20">
        <f t="shared" si="1"/>
        <v>1595.5829999999974</v>
      </c>
      <c r="J73" s="21">
        <f t="shared" si="3"/>
        <v>22.700000000000045</v>
      </c>
      <c r="K73" s="22">
        <f t="shared" si="2"/>
        <v>-6.3105999999999085</v>
      </c>
    </row>
    <row r="74" spans="1:11" ht="12.75" x14ac:dyDescent="0.2">
      <c r="A74" s="13">
        <v>45609</v>
      </c>
      <c r="B74" s="14" t="s">
        <v>5</v>
      </c>
      <c r="C74" s="15">
        <v>0.95369999999999999</v>
      </c>
      <c r="D74" s="16" t="s">
        <v>23</v>
      </c>
      <c r="E74" s="17"/>
      <c r="F74" s="17"/>
      <c r="G74" s="18">
        <v>454</v>
      </c>
      <c r="H74" s="19">
        <f t="shared" si="0"/>
        <v>21.020199999999988</v>
      </c>
      <c r="I74" s="20">
        <f t="shared" si="1"/>
        <v>1156.1109999999994</v>
      </c>
      <c r="J74" s="21">
        <f t="shared" si="3"/>
        <v>22.700000000000045</v>
      </c>
      <c r="K74" s="22">
        <f t="shared" si="2"/>
        <v>1.679800000000057</v>
      </c>
    </row>
    <row r="75" spans="1:11" ht="12.75" x14ac:dyDescent="0.2">
      <c r="A75" s="13">
        <v>45610</v>
      </c>
      <c r="B75" s="14" t="s">
        <v>6</v>
      </c>
      <c r="C75" s="15">
        <v>0.96479999999999999</v>
      </c>
      <c r="D75" s="16" t="s">
        <v>23</v>
      </c>
      <c r="E75" s="17"/>
      <c r="F75" s="17"/>
      <c r="G75" s="18">
        <v>454</v>
      </c>
      <c r="H75" s="19">
        <f t="shared" si="0"/>
        <v>15.980799999999988</v>
      </c>
      <c r="I75" s="20">
        <f t="shared" si="1"/>
        <v>878.94399999999928</v>
      </c>
      <c r="J75" s="21">
        <f t="shared" si="3"/>
        <v>22.700000000000045</v>
      </c>
      <c r="K75" s="22">
        <f t="shared" si="2"/>
        <v>6.7192000000000576</v>
      </c>
    </row>
    <row r="76" spans="1:11" ht="12.75" x14ac:dyDescent="0.2">
      <c r="A76" s="13">
        <v>45611</v>
      </c>
      <c r="B76" s="14" t="s">
        <v>7</v>
      </c>
      <c r="C76" s="15">
        <v>0.96919999999999995</v>
      </c>
      <c r="D76" s="16" t="s">
        <v>23</v>
      </c>
      <c r="E76" s="17"/>
      <c r="F76" s="17"/>
      <c r="G76" s="18">
        <v>454</v>
      </c>
      <c r="H76" s="19">
        <f t="shared" si="0"/>
        <v>13.983200000000011</v>
      </c>
      <c r="I76" s="20">
        <f t="shared" si="1"/>
        <v>769.07600000000059</v>
      </c>
      <c r="J76" s="21">
        <f t="shared" si="3"/>
        <v>22.700000000000045</v>
      </c>
      <c r="K76" s="22">
        <f t="shared" si="2"/>
        <v>8.7168000000000347</v>
      </c>
    </row>
    <row r="77" spans="1:11" ht="12.75" x14ac:dyDescent="0.2">
      <c r="A77" s="13">
        <v>45614</v>
      </c>
      <c r="B77" s="14" t="s">
        <v>3</v>
      </c>
      <c r="C77" s="15">
        <v>0.96040000000000003</v>
      </c>
      <c r="D77" s="16" t="s">
        <v>23</v>
      </c>
      <c r="E77" s="17"/>
      <c r="F77" s="17"/>
      <c r="G77" s="18">
        <v>454</v>
      </c>
      <c r="H77" s="19">
        <f t="shared" si="0"/>
        <v>17.978399999999965</v>
      </c>
      <c r="I77" s="20">
        <f t="shared" si="1"/>
        <v>988.81199999999808</v>
      </c>
      <c r="J77" s="21">
        <f t="shared" si="3"/>
        <v>22.700000000000045</v>
      </c>
      <c r="K77" s="22">
        <f t="shared" si="2"/>
        <v>4.7216000000000804</v>
      </c>
    </row>
    <row r="78" spans="1:11" ht="12.75" x14ac:dyDescent="0.2">
      <c r="A78" s="13">
        <v>45615</v>
      </c>
      <c r="B78" s="14" t="s">
        <v>4</v>
      </c>
      <c r="C78" s="15">
        <v>0.97799999999999998</v>
      </c>
      <c r="D78" s="16" t="s">
        <v>23</v>
      </c>
      <c r="E78" s="17"/>
      <c r="F78" s="17"/>
      <c r="G78" s="18">
        <v>454</v>
      </c>
      <c r="H78" s="19">
        <f t="shared" si="0"/>
        <v>9.9879999999999995</v>
      </c>
      <c r="I78" s="20">
        <f t="shared" si="1"/>
        <v>549.33999999999992</v>
      </c>
      <c r="J78" s="21">
        <f t="shared" si="3"/>
        <v>22.700000000000045</v>
      </c>
      <c r="K78" s="22">
        <f t="shared" si="2"/>
        <v>12.712000000000046</v>
      </c>
    </row>
    <row r="79" spans="1:11" ht="12.75" x14ac:dyDescent="0.2">
      <c r="A79" s="13">
        <v>45616</v>
      </c>
      <c r="B79" s="14" t="s">
        <v>5</v>
      </c>
      <c r="C79" s="15">
        <v>0.95809999999999995</v>
      </c>
      <c r="D79" s="16" t="s">
        <v>23</v>
      </c>
      <c r="E79" s="17"/>
      <c r="F79" s="17"/>
      <c r="G79" s="18">
        <v>454</v>
      </c>
      <c r="H79" s="19">
        <f t="shared" si="0"/>
        <v>19.022600000000011</v>
      </c>
      <c r="I79" s="20">
        <f t="shared" si="1"/>
        <v>1046.2430000000006</v>
      </c>
      <c r="J79" s="21">
        <f t="shared" si="3"/>
        <v>22.700000000000045</v>
      </c>
      <c r="K79" s="22">
        <f t="shared" si="2"/>
        <v>3.6774000000000342</v>
      </c>
    </row>
    <row r="80" spans="1:11" ht="12.75" x14ac:dyDescent="0.2">
      <c r="A80" s="13">
        <v>45617</v>
      </c>
      <c r="B80" s="14" t="s">
        <v>6</v>
      </c>
      <c r="C80" s="15">
        <v>0.9758</v>
      </c>
      <c r="D80" s="16" t="s">
        <v>23</v>
      </c>
      <c r="E80" s="17"/>
      <c r="F80" s="17"/>
      <c r="G80" s="18">
        <v>454</v>
      </c>
      <c r="H80" s="19">
        <f t="shared" si="0"/>
        <v>10.986800000000017</v>
      </c>
      <c r="I80" s="20">
        <f t="shared" si="1"/>
        <v>604.27400000000091</v>
      </c>
      <c r="J80" s="21">
        <f t="shared" si="3"/>
        <v>22.700000000000045</v>
      </c>
      <c r="K80" s="22">
        <f t="shared" si="2"/>
        <v>11.713200000000029</v>
      </c>
    </row>
    <row r="81" spans="1:11" ht="38.25" x14ac:dyDescent="0.2">
      <c r="A81" s="13">
        <v>45618</v>
      </c>
      <c r="B81" s="14" t="s">
        <v>7</v>
      </c>
      <c r="C81" s="15">
        <v>0.90310000000000001</v>
      </c>
      <c r="D81" s="16" t="s">
        <v>23</v>
      </c>
      <c r="E81" s="17" t="s">
        <v>30</v>
      </c>
      <c r="F81" s="17" t="s">
        <v>268</v>
      </c>
      <c r="G81" s="18">
        <v>454</v>
      </c>
      <c r="H81" s="19">
        <f t="shared" si="0"/>
        <v>43.992599999999982</v>
      </c>
      <c r="I81" s="20">
        <f t="shared" si="1"/>
        <v>2419.5929999999989</v>
      </c>
      <c r="J81" s="21">
        <f t="shared" si="3"/>
        <v>22.700000000000045</v>
      </c>
      <c r="K81" s="22">
        <f t="shared" si="2"/>
        <v>-21.292599999999936</v>
      </c>
    </row>
    <row r="82" spans="1:11" ht="12.75" x14ac:dyDescent="0.2">
      <c r="A82" s="30">
        <v>45621</v>
      </c>
      <c r="B82" s="31" t="s">
        <v>3</v>
      </c>
      <c r="C82" s="32"/>
      <c r="D82" s="33"/>
      <c r="E82" s="34"/>
      <c r="F82" s="34"/>
      <c r="G82" s="35"/>
      <c r="H82" s="19">
        <f t="shared" si="0"/>
        <v>0</v>
      </c>
      <c r="I82" s="20">
        <f t="shared" si="1"/>
        <v>0</v>
      </c>
      <c r="J82" s="21">
        <f t="shared" si="3"/>
        <v>0</v>
      </c>
      <c r="K82" s="22">
        <f t="shared" si="2"/>
        <v>0</v>
      </c>
    </row>
    <row r="83" spans="1:11" ht="12.75" x14ac:dyDescent="0.2">
      <c r="A83" s="30">
        <v>45622</v>
      </c>
      <c r="B83" s="31" t="s">
        <v>4</v>
      </c>
      <c r="C83" s="32"/>
      <c r="D83" s="33"/>
      <c r="E83" s="34"/>
      <c r="F83" s="34"/>
      <c r="G83" s="35"/>
      <c r="H83" s="19">
        <f t="shared" si="0"/>
        <v>0</v>
      </c>
      <c r="I83" s="20">
        <f t="shared" si="1"/>
        <v>0</v>
      </c>
      <c r="J83" s="21">
        <f t="shared" si="3"/>
        <v>0</v>
      </c>
      <c r="K83" s="22">
        <f t="shared" si="2"/>
        <v>0</v>
      </c>
    </row>
    <row r="84" spans="1:11" ht="12.75" x14ac:dyDescent="0.2">
      <c r="A84" s="30">
        <v>45623</v>
      </c>
      <c r="B84" s="31" t="s">
        <v>5</v>
      </c>
      <c r="C84" s="32"/>
      <c r="D84" s="33"/>
      <c r="E84" s="34"/>
      <c r="F84" s="34"/>
      <c r="G84" s="35"/>
      <c r="H84" s="19">
        <f t="shared" si="0"/>
        <v>0</v>
      </c>
      <c r="I84" s="20">
        <f t="shared" si="1"/>
        <v>0</v>
      </c>
      <c r="J84" s="21">
        <f t="shared" si="3"/>
        <v>0</v>
      </c>
      <c r="K84" s="22">
        <f t="shared" si="2"/>
        <v>0</v>
      </c>
    </row>
    <row r="85" spans="1:11" ht="12.75" x14ac:dyDescent="0.2">
      <c r="A85" s="30">
        <v>45624</v>
      </c>
      <c r="B85" s="31" t="s">
        <v>6</v>
      </c>
      <c r="C85" s="32"/>
      <c r="D85" s="33"/>
      <c r="E85" s="34"/>
      <c r="F85" s="34"/>
      <c r="G85" s="35"/>
      <c r="H85" s="19">
        <f t="shared" si="0"/>
        <v>0</v>
      </c>
      <c r="I85" s="20">
        <f t="shared" si="1"/>
        <v>0</v>
      </c>
      <c r="J85" s="21">
        <f t="shared" si="3"/>
        <v>0</v>
      </c>
      <c r="K85" s="22">
        <f t="shared" si="2"/>
        <v>0</v>
      </c>
    </row>
    <row r="86" spans="1:11" ht="12.75" x14ac:dyDescent="0.2">
      <c r="A86" s="30">
        <v>45625</v>
      </c>
      <c r="B86" s="31" t="s">
        <v>7</v>
      </c>
      <c r="C86" s="32"/>
      <c r="D86" s="33"/>
      <c r="E86" s="34"/>
      <c r="F86" s="34"/>
      <c r="G86" s="35"/>
      <c r="H86" s="19">
        <f t="shared" si="0"/>
        <v>0</v>
      </c>
      <c r="I86" s="20">
        <f t="shared" si="1"/>
        <v>0</v>
      </c>
      <c r="J86" s="21">
        <f t="shared" si="3"/>
        <v>0</v>
      </c>
      <c r="K86" s="22">
        <f t="shared" si="2"/>
        <v>0</v>
      </c>
    </row>
    <row r="87" spans="1:11" ht="12.75" x14ac:dyDescent="0.2">
      <c r="A87" s="13">
        <v>45628</v>
      </c>
      <c r="B87" s="14" t="s">
        <v>3</v>
      </c>
      <c r="C87" s="15">
        <v>0.94710000000000005</v>
      </c>
      <c r="D87" s="16" t="s">
        <v>23</v>
      </c>
      <c r="E87" s="17"/>
      <c r="F87" s="17"/>
      <c r="G87" s="18">
        <v>454</v>
      </c>
      <c r="H87" s="19">
        <f t="shared" si="0"/>
        <v>24.016599999999983</v>
      </c>
      <c r="I87" s="20">
        <f t="shared" si="1"/>
        <v>1320.9129999999991</v>
      </c>
      <c r="J87" s="21">
        <f t="shared" si="3"/>
        <v>22.700000000000045</v>
      </c>
      <c r="K87" s="22">
        <f t="shared" si="2"/>
        <v>-1.3165999999999372</v>
      </c>
    </row>
    <row r="88" spans="1:11" ht="12.75" x14ac:dyDescent="0.2">
      <c r="A88" s="13">
        <v>45629</v>
      </c>
      <c r="B88" s="14" t="s">
        <v>4</v>
      </c>
      <c r="C88" s="15">
        <v>0.9758</v>
      </c>
      <c r="D88" s="16" t="s">
        <v>23</v>
      </c>
      <c r="E88" s="17"/>
      <c r="F88" s="17"/>
      <c r="G88" s="18">
        <v>454</v>
      </c>
      <c r="H88" s="19">
        <f t="shared" si="0"/>
        <v>10.986800000000017</v>
      </c>
      <c r="I88" s="20">
        <f t="shared" si="1"/>
        <v>604.27400000000091</v>
      </c>
      <c r="J88" s="21">
        <f t="shared" si="3"/>
        <v>22.700000000000045</v>
      </c>
      <c r="K88" s="22">
        <f t="shared" si="2"/>
        <v>11.713200000000029</v>
      </c>
    </row>
    <row r="89" spans="1:11" ht="12.75" x14ac:dyDescent="0.2">
      <c r="A89" s="13">
        <v>45630</v>
      </c>
      <c r="B89" s="14" t="s">
        <v>5</v>
      </c>
      <c r="C89" s="15">
        <v>0.96040000000000003</v>
      </c>
      <c r="D89" s="16" t="s">
        <v>22</v>
      </c>
      <c r="E89" s="17"/>
      <c r="F89" s="17"/>
      <c r="G89" s="18">
        <v>454</v>
      </c>
      <c r="H89" s="19">
        <f t="shared" si="0"/>
        <v>17.978399999999965</v>
      </c>
      <c r="I89" s="20">
        <f t="shared" si="1"/>
        <v>988.81199999999808</v>
      </c>
      <c r="J89" s="21">
        <f t="shared" si="3"/>
        <v>22.700000000000045</v>
      </c>
      <c r="K89" s="22">
        <f t="shared" si="2"/>
        <v>4.7216000000000804</v>
      </c>
    </row>
    <row r="90" spans="1:11" ht="12.75" x14ac:dyDescent="0.2">
      <c r="A90" s="13">
        <v>45631</v>
      </c>
      <c r="B90" s="14" t="s">
        <v>6</v>
      </c>
      <c r="C90" s="15">
        <v>0.97140000000000004</v>
      </c>
      <c r="D90" s="16" t="s">
        <v>23</v>
      </c>
      <c r="E90" s="17"/>
      <c r="F90" s="17"/>
      <c r="G90" s="18">
        <v>454</v>
      </c>
      <c r="H90" s="19">
        <f t="shared" si="0"/>
        <v>12.984399999999994</v>
      </c>
      <c r="I90" s="20">
        <f t="shared" si="1"/>
        <v>714.1419999999996</v>
      </c>
      <c r="J90" s="21">
        <f t="shared" si="3"/>
        <v>22.700000000000045</v>
      </c>
      <c r="K90" s="22">
        <f t="shared" si="2"/>
        <v>9.7156000000000518</v>
      </c>
    </row>
    <row r="91" spans="1:11" ht="12.75" x14ac:dyDescent="0.2">
      <c r="A91" s="13">
        <v>45632</v>
      </c>
      <c r="B91" s="14" t="s">
        <v>7</v>
      </c>
      <c r="C91" s="15">
        <v>0.93389999999999995</v>
      </c>
      <c r="D91" s="16" t="s">
        <v>23</v>
      </c>
      <c r="E91" s="17"/>
      <c r="F91" s="17"/>
      <c r="G91" s="18">
        <v>454</v>
      </c>
      <c r="H91" s="19">
        <f t="shared" si="0"/>
        <v>30.009400000000028</v>
      </c>
      <c r="I91" s="20">
        <f t="shared" si="1"/>
        <v>1650.5170000000016</v>
      </c>
      <c r="J91" s="21">
        <f t="shared" si="3"/>
        <v>22.700000000000045</v>
      </c>
      <c r="K91" s="22">
        <f t="shared" si="2"/>
        <v>-7.3093999999999824</v>
      </c>
    </row>
    <row r="92" spans="1:11" ht="12.75" x14ac:dyDescent="0.2">
      <c r="A92" s="13">
        <v>45635</v>
      </c>
      <c r="B92" s="14" t="s">
        <v>3</v>
      </c>
      <c r="C92" s="15">
        <v>0.95150000000000001</v>
      </c>
      <c r="D92" s="16" t="s">
        <v>23</v>
      </c>
      <c r="E92" s="17"/>
      <c r="F92" s="17"/>
      <c r="G92" s="18">
        <v>454</v>
      </c>
      <c r="H92" s="19">
        <f t="shared" si="0"/>
        <v>22.019000000000005</v>
      </c>
      <c r="I92" s="20">
        <f t="shared" si="1"/>
        <v>1211.0450000000003</v>
      </c>
      <c r="J92" s="21">
        <f t="shared" si="3"/>
        <v>22.700000000000045</v>
      </c>
      <c r="K92" s="22">
        <f t="shared" si="2"/>
        <v>0.68100000000004002</v>
      </c>
    </row>
    <row r="93" spans="1:11" ht="12.75" x14ac:dyDescent="0.2">
      <c r="A93" s="13">
        <v>45636</v>
      </c>
      <c r="B93" s="14" t="s">
        <v>4</v>
      </c>
      <c r="C93" s="15">
        <v>0.96479999999999999</v>
      </c>
      <c r="D93" s="16" t="s">
        <v>23</v>
      </c>
      <c r="E93" s="17"/>
      <c r="F93" s="17"/>
      <c r="G93" s="18">
        <v>454</v>
      </c>
      <c r="H93" s="19">
        <f t="shared" si="0"/>
        <v>15.980799999999988</v>
      </c>
      <c r="I93" s="20">
        <f t="shared" si="1"/>
        <v>878.94399999999928</v>
      </c>
      <c r="J93" s="21">
        <f t="shared" si="3"/>
        <v>22.700000000000045</v>
      </c>
      <c r="K93" s="22">
        <f t="shared" si="2"/>
        <v>6.7192000000000576</v>
      </c>
    </row>
    <row r="94" spans="1:11" ht="12.75" x14ac:dyDescent="0.2">
      <c r="A94" s="13">
        <v>45637</v>
      </c>
      <c r="B94" s="14" t="s">
        <v>5</v>
      </c>
      <c r="C94" s="15">
        <v>0.96919999999999995</v>
      </c>
      <c r="D94" s="16" t="s">
        <v>23</v>
      </c>
      <c r="E94" s="17"/>
      <c r="F94" s="17"/>
      <c r="G94" s="18">
        <v>454</v>
      </c>
      <c r="H94" s="19">
        <f t="shared" si="0"/>
        <v>13.983200000000011</v>
      </c>
      <c r="I94" s="20">
        <f t="shared" si="1"/>
        <v>769.07600000000059</v>
      </c>
      <c r="J94" s="21">
        <f t="shared" si="3"/>
        <v>22.700000000000045</v>
      </c>
      <c r="K94" s="22">
        <f t="shared" si="2"/>
        <v>8.7168000000000347</v>
      </c>
    </row>
    <row r="95" spans="1:11" ht="12.75" x14ac:dyDescent="0.2">
      <c r="A95" s="13">
        <v>45638</v>
      </c>
      <c r="B95" s="14" t="s">
        <v>6</v>
      </c>
      <c r="C95" s="15">
        <v>0.96699999999999997</v>
      </c>
      <c r="D95" s="16" t="s">
        <v>23</v>
      </c>
      <c r="E95" s="17"/>
      <c r="F95" s="17"/>
      <c r="G95" s="18">
        <v>454</v>
      </c>
      <c r="H95" s="19">
        <f t="shared" si="0"/>
        <v>14.982000000000028</v>
      </c>
      <c r="I95" s="20">
        <f t="shared" si="1"/>
        <v>824.01000000000158</v>
      </c>
      <c r="J95" s="21">
        <f t="shared" si="3"/>
        <v>22.700000000000045</v>
      </c>
      <c r="K95" s="22">
        <f t="shared" si="2"/>
        <v>7.7180000000000177</v>
      </c>
    </row>
    <row r="96" spans="1:11" ht="12.75" x14ac:dyDescent="0.2">
      <c r="A96" s="13">
        <v>45639</v>
      </c>
      <c r="B96" s="14" t="s">
        <v>7</v>
      </c>
      <c r="C96" s="15">
        <v>0.94710000000000005</v>
      </c>
      <c r="D96" s="16" t="s">
        <v>23</v>
      </c>
      <c r="E96" s="17"/>
      <c r="F96" s="17"/>
      <c r="G96" s="18">
        <v>454</v>
      </c>
      <c r="H96" s="19">
        <f t="shared" si="0"/>
        <v>24.016599999999983</v>
      </c>
      <c r="I96" s="20">
        <f t="shared" si="1"/>
        <v>1320.9129999999991</v>
      </c>
      <c r="J96" s="21">
        <f t="shared" si="3"/>
        <v>22.700000000000045</v>
      </c>
      <c r="K96" s="22">
        <f t="shared" si="2"/>
        <v>-1.3165999999999372</v>
      </c>
    </row>
    <row r="97" spans="1:11" ht="12.75" x14ac:dyDescent="0.2">
      <c r="A97" s="13">
        <v>45642</v>
      </c>
      <c r="B97" s="14" t="s">
        <v>3</v>
      </c>
      <c r="C97" s="15">
        <v>0.93830000000000002</v>
      </c>
      <c r="D97" s="16" t="s">
        <v>23</v>
      </c>
      <c r="E97" s="17"/>
      <c r="F97" s="17"/>
      <c r="G97" s="18">
        <v>454</v>
      </c>
      <c r="H97" s="19">
        <f t="shared" si="0"/>
        <v>28.011799999999994</v>
      </c>
      <c r="I97" s="20">
        <f t="shared" si="1"/>
        <v>1540.6489999999997</v>
      </c>
      <c r="J97" s="21">
        <f t="shared" si="3"/>
        <v>22.700000000000045</v>
      </c>
      <c r="K97" s="22">
        <f t="shared" si="2"/>
        <v>-5.3117999999999483</v>
      </c>
    </row>
    <row r="98" spans="1:11" ht="12.75" x14ac:dyDescent="0.2">
      <c r="A98" s="13">
        <v>45643</v>
      </c>
      <c r="B98" s="14" t="s">
        <v>4</v>
      </c>
      <c r="C98" s="15">
        <v>0.96040000000000003</v>
      </c>
      <c r="D98" s="16" t="s">
        <v>23</v>
      </c>
      <c r="E98" s="17"/>
      <c r="F98" s="17"/>
      <c r="G98" s="18">
        <v>454</v>
      </c>
      <c r="H98" s="19">
        <f t="shared" si="0"/>
        <v>17.978399999999965</v>
      </c>
      <c r="I98" s="20">
        <f t="shared" si="1"/>
        <v>988.81199999999808</v>
      </c>
      <c r="J98" s="21">
        <f t="shared" si="3"/>
        <v>22.700000000000045</v>
      </c>
      <c r="K98" s="22">
        <f t="shared" si="2"/>
        <v>4.7216000000000804</v>
      </c>
    </row>
    <row r="99" spans="1:11" ht="12.75" x14ac:dyDescent="0.2">
      <c r="A99" s="13">
        <v>45644</v>
      </c>
      <c r="B99" s="14" t="s">
        <v>5</v>
      </c>
      <c r="C99" s="15">
        <v>0.96260000000000001</v>
      </c>
      <c r="D99" s="16" t="s">
        <v>23</v>
      </c>
      <c r="E99" s="17"/>
      <c r="F99" s="17"/>
      <c r="G99" s="18">
        <v>454</v>
      </c>
      <c r="H99" s="19">
        <f t="shared" si="0"/>
        <v>16.979600000000005</v>
      </c>
      <c r="I99" s="20">
        <f t="shared" si="1"/>
        <v>933.87800000000027</v>
      </c>
      <c r="J99" s="21">
        <f t="shared" si="3"/>
        <v>22.700000000000045</v>
      </c>
      <c r="K99" s="22">
        <f t="shared" si="2"/>
        <v>5.7204000000000406</v>
      </c>
    </row>
    <row r="100" spans="1:11" ht="12.75" x14ac:dyDescent="0.2">
      <c r="A100" s="13">
        <v>45645</v>
      </c>
      <c r="B100" s="14" t="s">
        <v>6</v>
      </c>
      <c r="C100" s="15">
        <v>0.97360000000000002</v>
      </c>
      <c r="D100" s="16" t="s">
        <v>23</v>
      </c>
      <c r="E100" s="17"/>
      <c r="F100" s="17"/>
      <c r="G100" s="18">
        <v>454</v>
      </c>
      <c r="H100" s="19">
        <f t="shared" si="0"/>
        <v>11.985599999999977</v>
      </c>
      <c r="I100" s="20">
        <f t="shared" si="1"/>
        <v>659.20799999999872</v>
      </c>
      <c r="J100" s="21">
        <f t="shared" si="3"/>
        <v>22.700000000000045</v>
      </c>
      <c r="K100" s="22">
        <f t="shared" si="2"/>
        <v>10.714400000000069</v>
      </c>
    </row>
    <row r="101" spans="1:11" ht="12.75" x14ac:dyDescent="0.2">
      <c r="A101" s="13">
        <v>45646</v>
      </c>
      <c r="B101" s="14" t="s">
        <v>7</v>
      </c>
      <c r="C101" s="15">
        <v>0.95369999999999999</v>
      </c>
      <c r="D101" s="16" t="s">
        <v>23</v>
      </c>
      <c r="E101" s="17"/>
      <c r="F101" s="17"/>
      <c r="G101" s="18">
        <v>454</v>
      </c>
      <c r="H101" s="19">
        <f t="shared" si="0"/>
        <v>21.020199999999988</v>
      </c>
      <c r="I101" s="20">
        <f t="shared" si="1"/>
        <v>1156.1109999999994</v>
      </c>
      <c r="J101" s="21">
        <f t="shared" si="3"/>
        <v>22.700000000000045</v>
      </c>
      <c r="K101" s="22">
        <f t="shared" si="2"/>
        <v>1.679800000000057</v>
      </c>
    </row>
    <row r="102" spans="1:11" ht="12.75" x14ac:dyDescent="0.2">
      <c r="A102" s="24">
        <v>45649</v>
      </c>
      <c r="B102" s="25" t="s">
        <v>3</v>
      </c>
      <c r="C102" s="26"/>
      <c r="D102" s="27"/>
      <c r="E102" s="28"/>
      <c r="F102" s="28"/>
      <c r="G102" s="29"/>
      <c r="H102" s="19">
        <f t="shared" si="0"/>
        <v>0</v>
      </c>
      <c r="I102" s="20">
        <f t="shared" si="1"/>
        <v>0</v>
      </c>
      <c r="J102" s="21">
        <f t="shared" si="3"/>
        <v>0</v>
      </c>
      <c r="K102" s="22">
        <f t="shared" si="2"/>
        <v>0</v>
      </c>
    </row>
    <row r="103" spans="1:11" ht="12.75" x14ac:dyDescent="0.2">
      <c r="A103" s="24">
        <v>45650</v>
      </c>
      <c r="B103" s="25" t="s">
        <v>4</v>
      </c>
      <c r="C103" s="26"/>
      <c r="D103" s="27"/>
      <c r="E103" s="28"/>
      <c r="F103" s="28"/>
      <c r="G103" s="29"/>
      <c r="H103" s="19">
        <f t="shared" si="0"/>
        <v>0</v>
      </c>
      <c r="I103" s="20">
        <f t="shared" si="1"/>
        <v>0</v>
      </c>
      <c r="J103" s="21">
        <f t="shared" si="3"/>
        <v>0</v>
      </c>
      <c r="K103" s="22">
        <f t="shared" si="2"/>
        <v>0</v>
      </c>
    </row>
    <row r="104" spans="1:11" ht="12.75" x14ac:dyDescent="0.2">
      <c r="A104" s="24">
        <v>45651</v>
      </c>
      <c r="B104" s="25" t="s">
        <v>5</v>
      </c>
      <c r="C104" s="26"/>
      <c r="D104" s="27"/>
      <c r="E104" s="28"/>
      <c r="F104" s="28"/>
      <c r="G104" s="29"/>
      <c r="H104" s="19">
        <f t="shared" si="0"/>
        <v>0</v>
      </c>
      <c r="I104" s="20">
        <f t="shared" si="1"/>
        <v>0</v>
      </c>
      <c r="J104" s="21">
        <f t="shared" si="3"/>
        <v>0</v>
      </c>
      <c r="K104" s="22">
        <f t="shared" si="2"/>
        <v>0</v>
      </c>
    </row>
    <row r="105" spans="1:11" ht="12.75" x14ac:dyDescent="0.2">
      <c r="A105" s="24">
        <v>45652</v>
      </c>
      <c r="B105" s="25" t="s">
        <v>6</v>
      </c>
      <c r="C105" s="26"/>
      <c r="D105" s="27"/>
      <c r="E105" s="28"/>
      <c r="F105" s="28"/>
      <c r="G105" s="29"/>
      <c r="H105" s="19">
        <f t="shared" si="0"/>
        <v>0</v>
      </c>
      <c r="I105" s="20">
        <f t="shared" si="1"/>
        <v>0</v>
      </c>
      <c r="J105" s="21">
        <f t="shared" si="3"/>
        <v>0</v>
      </c>
      <c r="K105" s="22">
        <f t="shared" si="2"/>
        <v>0</v>
      </c>
    </row>
    <row r="106" spans="1:11" ht="12.75" x14ac:dyDescent="0.2">
      <c r="A106" s="24">
        <v>45653</v>
      </c>
      <c r="B106" s="25" t="s">
        <v>7</v>
      </c>
      <c r="C106" s="26"/>
      <c r="D106" s="27"/>
      <c r="E106" s="28"/>
      <c r="F106" s="28"/>
      <c r="G106" s="29"/>
      <c r="H106" s="19">
        <f t="shared" si="0"/>
        <v>0</v>
      </c>
      <c r="I106" s="20">
        <f t="shared" si="1"/>
        <v>0</v>
      </c>
      <c r="J106" s="21">
        <f t="shared" si="3"/>
        <v>0</v>
      </c>
      <c r="K106" s="22">
        <f t="shared" si="2"/>
        <v>0</v>
      </c>
    </row>
    <row r="107" spans="1:11" ht="12.75" x14ac:dyDescent="0.2">
      <c r="A107" s="24">
        <v>45656</v>
      </c>
      <c r="B107" s="25" t="s">
        <v>3</v>
      </c>
      <c r="C107" s="26"/>
      <c r="D107" s="27"/>
      <c r="E107" s="28"/>
      <c r="F107" s="28"/>
      <c r="G107" s="29"/>
      <c r="H107" s="19">
        <f t="shared" si="0"/>
        <v>0</v>
      </c>
      <c r="I107" s="20">
        <f t="shared" si="1"/>
        <v>0</v>
      </c>
      <c r="J107" s="21">
        <f t="shared" si="3"/>
        <v>0</v>
      </c>
      <c r="K107" s="22">
        <f t="shared" si="2"/>
        <v>0</v>
      </c>
    </row>
    <row r="108" spans="1:11" ht="12.75" x14ac:dyDescent="0.2">
      <c r="A108" s="24">
        <v>45657</v>
      </c>
      <c r="B108" s="25" t="s">
        <v>4</v>
      </c>
      <c r="C108" s="26"/>
      <c r="D108" s="27"/>
      <c r="E108" s="28"/>
      <c r="F108" s="28"/>
      <c r="G108" s="29"/>
      <c r="H108" s="19">
        <f t="shared" si="0"/>
        <v>0</v>
      </c>
      <c r="I108" s="20">
        <f t="shared" si="1"/>
        <v>0</v>
      </c>
      <c r="J108" s="21">
        <f t="shared" si="3"/>
        <v>0</v>
      </c>
      <c r="K108" s="22">
        <f t="shared" si="2"/>
        <v>0</v>
      </c>
    </row>
    <row r="109" spans="1:11" ht="12.75" x14ac:dyDescent="0.2">
      <c r="A109" s="24">
        <v>45658</v>
      </c>
      <c r="B109" s="25" t="s">
        <v>5</v>
      </c>
      <c r="C109" s="26"/>
      <c r="D109" s="27"/>
      <c r="E109" s="28"/>
      <c r="F109" s="28"/>
      <c r="G109" s="29"/>
      <c r="H109" s="19">
        <f t="shared" si="0"/>
        <v>0</v>
      </c>
      <c r="I109" s="20">
        <f t="shared" si="1"/>
        <v>0</v>
      </c>
      <c r="J109" s="21">
        <f t="shared" si="3"/>
        <v>0</v>
      </c>
      <c r="K109" s="22">
        <f t="shared" si="2"/>
        <v>0</v>
      </c>
    </row>
    <row r="110" spans="1:11" ht="12.75" x14ac:dyDescent="0.2">
      <c r="A110" s="24">
        <v>45659</v>
      </c>
      <c r="B110" s="25" t="s">
        <v>6</v>
      </c>
      <c r="C110" s="26"/>
      <c r="D110" s="27"/>
      <c r="E110" s="28"/>
      <c r="F110" s="28"/>
      <c r="G110" s="29"/>
      <c r="H110" s="19">
        <f t="shared" si="0"/>
        <v>0</v>
      </c>
      <c r="I110" s="20">
        <f t="shared" si="1"/>
        <v>0</v>
      </c>
      <c r="J110" s="21">
        <f t="shared" si="3"/>
        <v>0</v>
      </c>
      <c r="K110" s="22">
        <f t="shared" si="2"/>
        <v>0</v>
      </c>
    </row>
    <row r="111" spans="1:11" ht="12.75" x14ac:dyDescent="0.2">
      <c r="A111" s="24">
        <v>45660</v>
      </c>
      <c r="B111" s="25" t="s">
        <v>7</v>
      </c>
      <c r="C111" s="26"/>
      <c r="D111" s="27"/>
      <c r="E111" s="28"/>
      <c r="F111" s="28"/>
      <c r="G111" s="29"/>
      <c r="H111" s="19">
        <f t="shared" si="0"/>
        <v>0</v>
      </c>
      <c r="I111" s="20">
        <f t="shared" si="1"/>
        <v>0</v>
      </c>
      <c r="J111" s="21">
        <f t="shared" si="3"/>
        <v>0</v>
      </c>
      <c r="K111" s="22">
        <f t="shared" si="2"/>
        <v>0</v>
      </c>
    </row>
    <row r="112" spans="1:11" ht="12.75" x14ac:dyDescent="0.2">
      <c r="A112" s="30">
        <v>45663</v>
      </c>
      <c r="B112" s="31" t="s">
        <v>3</v>
      </c>
      <c r="C112" s="32"/>
      <c r="D112" s="33"/>
      <c r="E112" s="34"/>
      <c r="F112" s="34"/>
      <c r="G112" s="35"/>
      <c r="H112" s="19">
        <f t="shared" si="0"/>
        <v>0</v>
      </c>
      <c r="I112" s="20">
        <f t="shared" si="1"/>
        <v>0</v>
      </c>
      <c r="J112" s="21">
        <f t="shared" si="3"/>
        <v>0</v>
      </c>
      <c r="K112" s="22">
        <f t="shared" si="2"/>
        <v>0</v>
      </c>
    </row>
    <row r="113" spans="1:11" ht="12.75" x14ac:dyDescent="0.2">
      <c r="A113" s="30">
        <v>45664</v>
      </c>
      <c r="B113" s="31" t="s">
        <v>4</v>
      </c>
      <c r="C113" s="32"/>
      <c r="D113" s="33"/>
      <c r="E113" s="34"/>
      <c r="F113" s="34"/>
      <c r="G113" s="35"/>
      <c r="H113" s="19">
        <f t="shared" si="0"/>
        <v>0</v>
      </c>
      <c r="I113" s="20">
        <f t="shared" si="1"/>
        <v>0</v>
      </c>
      <c r="J113" s="21">
        <f t="shared" si="3"/>
        <v>0</v>
      </c>
      <c r="K113" s="22">
        <f t="shared" si="2"/>
        <v>0</v>
      </c>
    </row>
    <row r="114" spans="1:11" ht="12.75" x14ac:dyDescent="0.2">
      <c r="A114" s="13">
        <v>45665</v>
      </c>
      <c r="B114" s="14" t="s">
        <v>5</v>
      </c>
      <c r="C114" s="15">
        <v>0.94269999999999998</v>
      </c>
      <c r="D114" s="16" t="s">
        <v>23</v>
      </c>
      <c r="E114" s="17"/>
      <c r="F114" s="17"/>
      <c r="G114" s="18">
        <v>454</v>
      </c>
      <c r="H114" s="19">
        <f t="shared" si="0"/>
        <v>26.014200000000017</v>
      </c>
      <c r="I114" s="20">
        <f t="shared" si="1"/>
        <v>1430.7810000000009</v>
      </c>
      <c r="J114" s="21">
        <f t="shared" si="3"/>
        <v>22.700000000000045</v>
      </c>
      <c r="K114" s="22">
        <f t="shared" si="2"/>
        <v>-3.3141999999999712</v>
      </c>
    </row>
    <row r="115" spans="1:11" ht="12.75" x14ac:dyDescent="0.2">
      <c r="A115" s="13">
        <v>45666</v>
      </c>
      <c r="B115" s="14" t="s">
        <v>6</v>
      </c>
      <c r="C115" s="15">
        <v>0.97130000000000005</v>
      </c>
      <c r="D115" s="16" t="s">
        <v>23</v>
      </c>
      <c r="E115" s="17"/>
      <c r="F115" s="17"/>
      <c r="G115" s="18">
        <v>453</v>
      </c>
      <c r="H115" s="19">
        <f t="shared" si="0"/>
        <v>13.001099999999951</v>
      </c>
      <c r="I115" s="20">
        <f t="shared" si="1"/>
        <v>715.06049999999732</v>
      </c>
      <c r="J115" s="21">
        <f t="shared" si="3"/>
        <v>22.650000000000034</v>
      </c>
      <c r="K115" s="22">
        <f t="shared" si="2"/>
        <v>9.6489000000000829</v>
      </c>
    </row>
    <row r="116" spans="1:11" ht="12.75" x14ac:dyDescent="0.2">
      <c r="A116" s="13">
        <v>45667</v>
      </c>
      <c r="B116" s="14" t="s">
        <v>7</v>
      </c>
      <c r="C116" s="15">
        <v>0.94899999999999995</v>
      </c>
      <c r="D116" s="16" t="s">
        <v>23</v>
      </c>
      <c r="E116" s="17"/>
      <c r="F116" s="17"/>
      <c r="G116" s="18">
        <v>451</v>
      </c>
      <c r="H116" s="19">
        <f t="shared" si="0"/>
        <v>23.001000000000033</v>
      </c>
      <c r="I116" s="20">
        <f t="shared" si="1"/>
        <v>1265.0550000000019</v>
      </c>
      <c r="J116" s="21">
        <f t="shared" si="3"/>
        <v>22.550000000000011</v>
      </c>
      <c r="K116" s="22">
        <f t="shared" si="2"/>
        <v>-0.45100000000002183</v>
      </c>
    </row>
    <row r="117" spans="1:11" ht="12.75" x14ac:dyDescent="0.2">
      <c r="A117" s="13">
        <v>45670</v>
      </c>
      <c r="B117" s="14" t="s">
        <v>3</v>
      </c>
      <c r="C117" s="15">
        <v>0.95789999999999997</v>
      </c>
      <c r="D117" s="16" t="s">
        <v>23</v>
      </c>
      <c r="E117" s="17"/>
      <c r="F117" s="17"/>
      <c r="G117" s="18">
        <v>451</v>
      </c>
      <c r="H117" s="19">
        <f t="shared" si="0"/>
        <v>18.987099999999998</v>
      </c>
      <c r="I117" s="20">
        <f t="shared" si="1"/>
        <v>1044.2904999999998</v>
      </c>
      <c r="J117" s="21">
        <f t="shared" si="3"/>
        <v>22.550000000000011</v>
      </c>
      <c r="K117" s="22">
        <f t="shared" si="2"/>
        <v>3.5629000000000133</v>
      </c>
    </row>
    <row r="118" spans="1:11" ht="12.75" x14ac:dyDescent="0.2">
      <c r="A118" s="13">
        <v>45671</v>
      </c>
      <c r="B118" s="14" t="s">
        <v>4</v>
      </c>
      <c r="C118" s="15">
        <v>0.96009999999999995</v>
      </c>
      <c r="D118" s="16"/>
      <c r="E118" s="17"/>
      <c r="F118" s="17"/>
      <c r="G118" s="18">
        <v>451</v>
      </c>
      <c r="H118" s="19">
        <f t="shared" si="0"/>
        <v>17.99490000000003</v>
      </c>
      <c r="I118" s="20">
        <f t="shared" si="1"/>
        <v>989.71950000000163</v>
      </c>
      <c r="J118" s="21">
        <f t="shared" si="3"/>
        <v>22.550000000000011</v>
      </c>
      <c r="K118" s="22">
        <f t="shared" si="2"/>
        <v>4.5550999999999817</v>
      </c>
    </row>
    <row r="119" spans="1:11" ht="12.75" x14ac:dyDescent="0.2">
      <c r="A119" s="13">
        <v>45672</v>
      </c>
      <c r="B119" s="14" t="s">
        <v>5</v>
      </c>
      <c r="C119" s="15">
        <v>0.95789999999999997</v>
      </c>
      <c r="D119" s="16" t="s">
        <v>23</v>
      </c>
      <c r="E119" s="17"/>
      <c r="F119" s="17"/>
      <c r="G119" s="18">
        <v>451</v>
      </c>
      <c r="H119" s="19">
        <f t="shared" si="0"/>
        <v>18.987099999999998</v>
      </c>
      <c r="I119" s="20">
        <f t="shared" si="1"/>
        <v>1044.2904999999998</v>
      </c>
      <c r="J119" s="21">
        <f t="shared" si="3"/>
        <v>22.550000000000011</v>
      </c>
      <c r="K119" s="22">
        <f t="shared" si="2"/>
        <v>3.5629000000000133</v>
      </c>
    </row>
    <row r="120" spans="1:11" ht="12.75" x14ac:dyDescent="0.2">
      <c r="A120" s="13">
        <v>45673</v>
      </c>
      <c r="B120" s="14" t="s">
        <v>6</v>
      </c>
      <c r="C120" s="15">
        <v>0.92459999999999998</v>
      </c>
      <c r="D120" s="16" t="s">
        <v>23</v>
      </c>
      <c r="E120" s="17"/>
      <c r="F120" s="17"/>
      <c r="G120" s="18">
        <v>451</v>
      </c>
      <c r="H120" s="19">
        <f t="shared" si="0"/>
        <v>34.005400000000009</v>
      </c>
      <c r="I120" s="20">
        <f t="shared" si="1"/>
        <v>1870.2970000000005</v>
      </c>
      <c r="J120" s="21">
        <f t="shared" si="3"/>
        <v>22.550000000000011</v>
      </c>
      <c r="K120" s="22">
        <f t="shared" si="2"/>
        <v>-11.455399999999997</v>
      </c>
    </row>
    <row r="121" spans="1:11" ht="25.5" x14ac:dyDescent="0.2">
      <c r="A121" s="13">
        <v>45674</v>
      </c>
      <c r="B121" s="14" t="s">
        <v>7</v>
      </c>
      <c r="C121" s="15">
        <v>0.95109999999999995</v>
      </c>
      <c r="D121" s="16" t="s">
        <v>23</v>
      </c>
      <c r="E121" s="17" t="s">
        <v>30</v>
      </c>
      <c r="F121" s="17" t="s">
        <v>269</v>
      </c>
      <c r="G121" s="18">
        <v>450</v>
      </c>
      <c r="H121" s="19">
        <f t="shared" si="0"/>
        <v>22.005000000000052</v>
      </c>
      <c r="I121" s="20">
        <f t="shared" si="1"/>
        <v>1210.2750000000028</v>
      </c>
      <c r="J121" s="21">
        <f t="shared" si="3"/>
        <v>22.5</v>
      </c>
      <c r="K121" s="22">
        <f t="shared" si="2"/>
        <v>0.4949999999999477</v>
      </c>
    </row>
    <row r="122" spans="1:11" ht="12.75" x14ac:dyDescent="0.2">
      <c r="A122" s="24">
        <v>45677</v>
      </c>
      <c r="B122" s="25" t="s">
        <v>3</v>
      </c>
      <c r="C122" s="26"/>
      <c r="D122" s="27"/>
      <c r="E122" s="28"/>
      <c r="F122" s="28"/>
      <c r="G122" s="29"/>
      <c r="H122" s="19">
        <f t="shared" si="0"/>
        <v>0</v>
      </c>
      <c r="I122" s="20">
        <f t="shared" si="1"/>
        <v>0</v>
      </c>
      <c r="J122" s="21">
        <f t="shared" si="3"/>
        <v>0</v>
      </c>
      <c r="K122" s="22">
        <f t="shared" si="2"/>
        <v>0</v>
      </c>
    </row>
    <row r="123" spans="1:11" ht="12.75" x14ac:dyDescent="0.2">
      <c r="A123" s="13">
        <v>45678</v>
      </c>
      <c r="B123" s="14" t="s">
        <v>4</v>
      </c>
      <c r="C123" s="16"/>
      <c r="D123" s="16"/>
      <c r="E123" s="17" t="s">
        <v>43</v>
      </c>
      <c r="F123" s="17" t="s">
        <v>270</v>
      </c>
      <c r="H123" s="19">
        <f t="shared" si="0"/>
        <v>0</v>
      </c>
      <c r="I123" s="20">
        <f t="shared" si="1"/>
        <v>0</v>
      </c>
      <c r="J123" s="21">
        <f t="shared" si="3"/>
        <v>0</v>
      </c>
      <c r="K123" s="22">
        <f t="shared" si="2"/>
        <v>0</v>
      </c>
    </row>
    <row r="124" spans="1:11" ht="12.75" x14ac:dyDescent="0.2">
      <c r="A124" s="13">
        <v>45679</v>
      </c>
      <c r="B124" s="14" t="s">
        <v>5</v>
      </c>
      <c r="C124" s="16"/>
      <c r="D124" s="16"/>
      <c r="E124" s="17" t="s">
        <v>43</v>
      </c>
      <c r="F124" s="17" t="s">
        <v>271</v>
      </c>
      <c r="H124" s="19">
        <f t="shared" si="0"/>
        <v>0</v>
      </c>
      <c r="I124" s="20">
        <f t="shared" si="1"/>
        <v>0</v>
      </c>
      <c r="J124" s="21">
        <f t="shared" si="3"/>
        <v>0</v>
      </c>
      <c r="K124" s="22">
        <f t="shared" si="2"/>
        <v>0</v>
      </c>
    </row>
    <row r="125" spans="1:11" ht="12.75" x14ac:dyDescent="0.2">
      <c r="A125" s="13">
        <v>45680</v>
      </c>
      <c r="B125" s="14" t="s">
        <v>6</v>
      </c>
      <c r="C125" s="15">
        <v>0.91110000000000002</v>
      </c>
      <c r="D125" s="16" t="s">
        <v>23</v>
      </c>
      <c r="E125" s="17" t="s">
        <v>43</v>
      </c>
      <c r="F125" s="17" t="s">
        <v>272</v>
      </c>
      <c r="G125" s="18">
        <v>450</v>
      </c>
      <c r="H125" s="19">
        <f t="shared" si="0"/>
        <v>40.004999999999995</v>
      </c>
      <c r="I125" s="20">
        <f t="shared" si="1"/>
        <v>2200.2749999999996</v>
      </c>
      <c r="J125" s="21">
        <f t="shared" si="3"/>
        <v>22.5</v>
      </c>
      <c r="K125" s="22">
        <f t="shared" si="2"/>
        <v>-17.504999999999995</v>
      </c>
    </row>
    <row r="126" spans="1:11" ht="12.75" x14ac:dyDescent="0.2">
      <c r="A126" s="13">
        <v>45681</v>
      </c>
      <c r="B126" s="14" t="s">
        <v>7</v>
      </c>
      <c r="C126" s="15">
        <v>0.94220000000000004</v>
      </c>
      <c r="D126" s="16" t="s">
        <v>23</v>
      </c>
      <c r="E126" s="17"/>
      <c r="F126" s="17"/>
      <c r="G126" s="18">
        <v>450</v>
      </c>
      <c r="H126" s="19">
        <f t="shared" si="0"/>
        <v>26.009999999999991</v>
      </c>
      <c r="I126" s="20">
        <f t="shared" si="1"/>
        <v>1430.5499999999995</v>
      </c>
      <c r="J126" s="21">
        <f t="shared" si="3"/>
        <v>22.5</v>
      </c>
      <c r="K126" s="22">
        <f t="shared" si="2"/>
        <v>-3.5099999999999909</v>
      </c>
    </row>
    <row r="127" spans="1:11" ht="12.75" x14ac:dyDescent="0.2">
      <c r="A127" s="13">
        <v>45684</v>
      </c>
      <c r="B127" s="14" t="s">
        <v>3</v>
      </c>
      <c r="C127" s="15">
        <v>0.96220000000000006</v>
      </c>
      <c r="D127" s="16" t="s">
        <v>23</v>
      </c>
      <c r="E127" s="17"/>
      <c r="F127" s="17"/>
      <c r="G127" s="18">
        <v>450</v>
      </c>
      <c r="H127" s="19">
        <f t="shared" si="0"/>
        <v>17.009999999999991</v>
      </c>
      <c r="I127" s="20">
        <f t="shared" si="1"/>
        <v>935.5499999999995</v>
      </c>
      <c r="J127" s="21">
        <f t="shared" si="3"/>
        <v>22.5</v>
      </c>
      <c r="K127" s="22">
        <f t="shared" si="2"/>
        <v>5.4900000000000091</v>
      </c>
    </row>
    <row r="128" spans="1:11" ht="12.75" x14ac:dyDescent="0.2">
      <c r="A128" s="13">
        <v>45685</v>
      </c>
      <c r="B128" s="14" t="s">
        <v>4</v>
      </c>
      <c r="C128" s="15">
        <v>0.9778</v>
      </c>
      <c r="D128" s="16" t="s">
        <v>23</v>
      </c>
      <c r="E128" s="17"/>
      <c r="F128" s="17"/>
      <c r="G128" s="18">
        <v>450</v>
      </c>
      <c r="H128" s="19">
        <f t="shared" si="0"/>
        <v>9.9900000000000091</v>
      </c>
      <c r="I128" s="20">
        <f t="shared" si="1"/>
        <v>549.4500000000005</v>
      </c>
      <c r="J128" s="21">
        <f t="shared" si="3"/>
        <v>22.5</v>
      </c>
      <c r="K128" s="22">
        <f t="shared" si="2"/>
        <v>12.509999999999991</v>
      </c>
    </row>
    <row r="129" spans="1:11" ht="12.75" x14ac:dyDescent="0.2">
      <c r="A129" s="13">
        <v>45686</v>
      </c>
      <c r="B129" s="14" t="s">
        <v>5</v>
      </c>
      <c r="C129" s="15">
        <v>0.97560000000000002</v>
      </c>
      <c r="D129" s="16" t="s">
        <v>23</v>
      </c>
      <c r="E129" s="17"/>
      <c r="F129" s="17"/>
      <c r="G129" s="18">
        <v>450</v>
      </c>
      <c r="H129" s="19">
        <f t="shared" si="0"/>
        <v>10.980000000000018</v>
      </c>
      <c r="I129" s="20">
        <f t="shared" si="1"/>
        <v>603.900000000001</v>
      </c>
      <c r="J129" s="21">
        <f t="shared" si="3"/>
        <v>22.5</v>
      </c>
      <c r="K129" s="22">
        <f t="shared" si="2"/>
        <v>11.519999999999982</v>
      </c>
    </row>
    <row r="130" spans="1:11" ht="12.75" x14ac:dyDescent="0.2">
      <c r="A130" s="13">
        <v>45687</v>
      </c>
      <c r="B130" s="14" t="s">
        <v>6</v>
      </c>
      <c r="C130" s="15">
        <v>0.98</v>
      </c>
      <c r="D130" s="16" t="s">
        <v>23</v>
      </c>
      <c r="E130" s="17"/>
      <c r="F130" s="17"/>
      <c r="G130" s="18">
        <v>450</v>
      </c>
      <c r="H130" s="19">
        <f t="shared" si="0"/>
        <v>9</v>
      </c>
      <c r="I130" s="20">
        <f t="shared" si="1"/>
        <v>495</v>
      </c>
      <c r="J130" s="21">
        <f t="shared" si="3"/>
        <v>22.5</v>
      </c>
      <c r="K130" s="22">
        <f t="shared" si="2"/>
        <v>13.5</v>
      </c>
    </row>
    <row r="131" spans="1:11" ht="12.75" x14ac:dyDescent="0.2">
      <c r="A131" s="13">
        <v>45688</v>
      </c>
      <c r="B131" s="14" t="s">
        <v>7</v>
      </c>
      <c r="C131" s="15">
        <v>0.96</v>
      </c>
      <c r="D131" s="16" t="s">
        <v>23</v>
      </c>
      <c r="E131" s="17"/>
      <c r="F131" s="17"/>
      <c r="G131" s="18">
        <v>450</v>
      </c>
      <c r="H131" s="19">
        <f t="shared" si="0"/>
        <v>18</v>
      </c>
      <c r="I131" s="20">
        <f t="shared" si="1"/>
        <v>990</v>
      </c>
      <c r="J131" s="21">
        <f t="shared" si="3"/>
        <v>22.5</v>
      </c>
      <c r="K131" s="22">
        <f t="shared" si="2"/>
        <v>4.5</v>
      </c>
    </row>
    <row r="132" spans="1:11" ht="25.5" x14ac:dyDescent="0.2">
      <c r="A132" s="13">
        <v>45691</v>
      </c>
      <c r="B132" s="14" t="s">
        <v>3</v>
      </c>
      <c r="C132" s="15">
        <v>0.8911</v>
      </c>
      <c r="D132" s="16" t="s">
        <v>24</v>
      </c>
      <c r="E132" s="17" t="s">
        <v>30</v>
      </c>
      <c r="F132" s="17" t="s">
        <v>273</v>
      </c>
      <c r="G132" s="18">
        <v>450</v>
      </c>
      <c r="H132" s="19">
        <f t="shared" si="0"/>
        <v>49.004999999999995</v>
      </c>
      <c r="I132" s="20">
        <f t="shared" si="1"/>
        <v>2695.2749999999996</v>
      </c>
      <c r="J132" s="21">
        <f t="shared" si="3"/>
        <v>22.5</v>
      </c>
      <c r="K132" s="22">
        <f t="shared" si="2"/>
        <v>-26.504999999999995</v>
      </c>
    </row>
    <row r="133" spans="1:11" ht="12.75" x14ac:dyDescent="0.2">
      <c r="A133" s="13">
        <v>45692</v>
      </c>
      <c r="B133" s="14" t="s">
        <v>4</v>
      </c>
      <c r="C133" s="15">
        <v>0.9667</v>
      </c>
      <c r="D133" s="16" t="s">
        <v>23</v>
      </c>
      <c r="E133" s="17"/>
      <c r="F133" s="17"/>
      <c r="G133" s="18">
        <v>450</v>
      </c>
      <c r="H133" s="19">
        <f t="shared" si="0"/>
        <v>14.985000000000014</v>
      </c>
      <c r="I133" s="20">
        <f t="shared" si="1"/>
        <v>824.17500000000075</v>
      </c>
      <c r="J133" s="21">
        <f t="shared" si="3"/>
        <v>22.5</v>
      </c>
      <c r="K133" s="22">
        <f t="shared" si="2"/>
        <v>7.5149999999999864</v>
      </c>
    </row>
    <row r="134" spans="1:11" ht="12.75" x14ac:dyDescent="0.2">
      <c r="A134" s="13">
        <v>45693</v>
      </c>
      <c r="B134" s="14" t="s">
        <v>5</v>
      </c>
      <c r="C134" s="15">
        <v>0.96760000000000002</v>
      </c>
      <c r="D134" s="16" t="s">
        <v>23</v>
      </c>
      <c r="E134" s="17"/>
      <c r="F134" s="17"/>
      <c r="G134" s="18">
        <v>450</v>
      </c>
      <c r="H134" s="19">
        <f t="shared" si="0"/>
        <v>14.579999999999984</v>
      </c>
      <c r="I134" s="20">
        <f t="shared" si="1"/>
        <v>801.89999999999918</v>
      </c>
      <c r="J134" s="21">
        <f t="shared" si="3"/>
        <v>22.5</v>
      </c>
      <c r="K134" s="22">
        <f t="shared" si="2"/>
        <v>7.9200000000000159</v>
      </c>
    </row>
    <row r="135" spans="1:11" ht="12.75" x14ac:dyDescent="0.2">
      <c r="A135" s="13">
        <v>45694</v>
      </c>
      <c r="B135" s="14" t="s">
        <v>6</v>
      </c>
      <c r="C135" s="15">
        <v>0.98</v>
      </c>
      <c r="D135" s="16" t="s">
        <v>23</v>
      </c>
      <c r="E135" s="17"/>
      <c r="F135" s="17"/>
      <c r="G135" s="18">
        <v>450</v>
      </c>
      <c r="H135" s="19">
        <f t="shared" si="0"/>
        <v>9</v>
      </c>
      <c r="I135" s="20">
        <f t="shared" si="1"/>
        <v>495</v>
      </c>
      <c r="J135" s="21">
        <f t="shared" si="3"/>
        <v>22.5</v>
      </c>
      <c r="K135" s="22">
        <f t="shared" si="2"/>
        <v>13.5</v>
      </c>
    </row>
    <row r="136" spans="1:11" ht="12.75" x14ac:dyDescent="0.2">
      <c r="A136" s="13">
        <v>45695</v>
      </c>
      <c r="B136" s="14" t="s">
        <v>7</v>
      </c>
      <c r="C136" s="15">
        <v>0.9667</v>
      </c>
      <c r="D136" s="16" t="s">
        <v>23</v>
      </c>
      <c r="E136" s="17"/>
      <c r="F136" s="17"/>
      <c r="G136" s="18">
        <v>450</v>
      </c>
      <c r="H136" s="19">
        <f t="shared" si="0"/>
        <v>14.985000000000014</v>
      </c>
      <c r="I136" s="20">
        <f t="shared" si="1"/>
        <v>824.17500000000075</v>
      </c>
      <c r="J136" s="21">
        <f t="shared" si="3"/>
        <v>22.5</v>
      </c>
      <c r="K136" s="22">
        <f t="shared" si="2"/>
        <v>7.5149999999999864</v>
      </c>
    </row>
    <row r="137" spans="1:11" ht="12.75" x14ac:dyDescent="0.2">
      <c r="A137" s="30">
        <v>45698</v>
      </c>
      <c r="B137" s="31" t="s">
        <v>3</v>
      </c>
      <c r="C137" s="32"/>
      <c r="D137" s="33"/>
      <c r="E137" s="34"/>
      <c r="F137" s="34"/>
      <c r="G137" s="35"/>
      <c r="H137" s="19">
        <f t="shared" si="0"/>
        <v>0</v>
      </c>
      <c r="I137" s="20">
        <f t="shared" si="1"/>
        <v>0</v>
      </c>
      <c r="J137" s="21">
        <f t="shared" si="3"/>
        <v>0</v>
      </c>
      <c r="K137" s="22">
        <f t="shared" si="2"/>
        <v>0</v>
      </c>
    </row>
    <row r="138" spans="1:11" ht="12.75" x14ac:dyDescent="0.2">
      <c r="A138" s="30">
        <v>45699</v>
      </c>
      <c r="B138" s="31" t="s">
        <v>4</v>
      </c>
      <c r="C138" s="32"/>
      <c r="D138" s="33"/>
      <c r="E138" s="34"/>
      <c r="F138" s="34"/>
      <c r="G138" s="35"/>
      <c r="H138" s="19">
        <f t="shared" si="0"/>
        <v>0</v>
      </c>
      <c r="I138" s="20">
        <f t="shared" si="1"/>
        <v>0</v>
      </c>
      <c r="J138" s="21">
        <f t="shared" si="3"/>
        <v>0</v>
      </c>
      <c r="K138" s="22">
        <f t="shared" si="2"/>
        <v>0</v>
      </c>
    </row>
    <row r="139" spans="1:11" ht="12.75" x14ac:dyDescent="0.2">
      <c r="A139" s="13">
        <v>45700</v>
      </c>
      <c r="B139" s="14" t="s">
        <v>5</v>
      </c>
      <c r="C139" s="15">
        <v>0.9556</v>
      </c>
      <c r="D139" s="16" t="s">
        <v>23</v>
      </c>
      <c r="E139" s="17"/>
      <c r="F139" s="17"/>
      <c r="G139" s="18">
        <v>450</v>
      </c>
      <c r="H139" s="19">
        <f t="shared" si="0"/>
        <v>19.980000000000018</v>
      </c>
      <c r="I139" s="20">
        <f t="shared" si="1"/>
        <v>1098.900000000001</v>
      </c>
      <c r="J139" s="21">
        <f t="shared" si="3"/>
        <v>22.5</v>
      </c>
      <c r="K139" s="22">
        <f t="shared" si="2"/>
        <v>2.5199999999999818</v>
      </c>
    </row>
    <row r="140" spans="1:11" ht="12.75" x14ac:dyDescent="0.2">
      <c r="A140" s="13">
        <v>45701</v>
      </c>
      <c r="B140" s="14" t="s">
        <v>6</v>
      </c>
      <c r="C140" s="15">
        <v>0.98</v>
      </c>
      <c r="D140" s="16" t="s">
        <v>23</v>
      </c>
      <c r="E140" s="17"/>
      <c r="F140" s="17"/>
      <c r="G140" s="18">
        <v>450</v>
      </c>
      <c r="H140" s="19">
        <f t="shared" si="0"/>
        <v>9</v>
      </c>
      <c r="I140" s="20">
        <f t="shared" si="1"/>
        <v>495</v>
      </c>
      <c r="J140" s="21">
        <f t="shared" si="3"/>
        <v>22.5</v>
      </c>
      <c r="K140" s="22">
        <f t="shared" si="2"/>
        <v>13.5</v>
      </c>
    </row>
    <row r="141" spans="1:11" ht="12.75" x14ac:dyDescent="0.2">
      <c r="A141" s="13">
        <v>45702</v>
      </c>
      <c r="B141" s="14" t="s">
        <v>7</v>
      </c>
      <c r="C141" s="15">
        <v>0.94440000000000002</v>
      </c>
      <c r="D141" s="16" t="s">
        <v>23</v>
      </c>
      <c r="E141" s="17"/>
      <c r="F141" s="17"/>
      <c r="G141" s="18">
        <v>450</v>
      </c>
      <c r="H141" s="19">
        <f t="shared" si="0"/>
        <v>25.019999999999982</v>
      </c>
      <c r="I141" s="20">
        <f t="shared" si="1"/>
        <v>1376.099999999999</v>
      </c>
      <c r="J141" s="21">
        <f t="shared" si="3"/>
        <v>22.5</v>
      </c>
      <c r="K141" s="22">
        <f t="shared" si="2"/>
        <v>-2.5199999999999818</v>
      </c>
    </row>
    <row r="142" spans="1:11" ht="12.75" x14ac:dyDescent="0.2">
      <c r="A142" s="38">
        <v>45705</v>
      </c>
      <c r="B142" s="39" t="s">
        <v>3</v>
      </c>
      <c r="C142" s="40"/>
      <c r="D142" s="41"/>
      <c r="E142" s="42"/>
      <c r="F142" s="42"/>
      <c r="G142" s="43"/>
      <c r="H142" s="19">
        <f t="shared" si="0"/>
        <v>0</v>
      </c>
      <c r="I142" s="20">
        <f t="shared" si="1"/>
        <v>0</v>
      </c>
      <c r="J142" s="21">
        <f t="shared" si="3"/>
        <v>0</v>
      </c>
      <c r="K142" s="22">
        <f t="shared" si="2"/>
        <v>0</v>
      </c>
    </row>
    <row r="143" spans="1:11" ht="12.75" x14ac:dyDescent="0.2">
      <c r="A143" s="13">
        <v>45706</v>
      </c>
      <c r="B143" s="14" t="s">
        <v>4</v>
      </c>
      <c r="C143" s="15">
        <v>0.98</v>
      </c>
      <c r="D143" s="16" t="s">
        <v>23</v>
      </c>
      <c r="E143" s="17"/>
      <c r="F143" s="17"/>
      <c r="G143" s="18">
        <v>449</v>
      </c>
      <c r="H143" s="19">
        <f t="shared" si="0"/>
        <v>8.9800000000000182</v>
      </c>
      <c r="I143" s="20">
        <f t="shared" si="1"/>
        <v>493.900000000001</v>
      </c>
      <c r="J143" s="21">
        <f t="shared" si="3"/>
        <v>22.450000000000045</v>
      </c>
      <c r="K143" s="22">
        <f t="shared" si="2"/>
        <v>13.470000000000027</v>
      </c>
    </row>
    <row r="144" spans="1:11" ht="12.75" x14ac:dyDescent="0.2">
      <c r="A144" s="13">
        <v>45707</v>
      </c>
      <c r="B144" s="14" t="s">
        <v>5</v>
      </c>
      <c r="C144" s="15">
        <v>0.9889</v>
      </c>
      <c r="D144" s="16" t="s">
        <v>23</v>
      </c>
      <c r="E144" s="17"/>
      <c r="F144" s="17"/>
      <c r="G144" s="18">
        <v>449</v>
      </c>
      <c r="H144" s="19">
        <f t="shared" si="0"/>
        <v>4.9839000000000055</v>
      </c>
      <c r="I144" s="20">
        <f t="shared" si="1"/>
        <v>274.11450000000031</v>
      </c>
      <c r="J144" s="21">
        <f t="shared" si="3"/>
        <v>22.450000000000045</v>
      </c>
      <c r="K144" s="22">
        <f t="shared" si="2"/>
        <v>17.46610000000004</v>
      </c>
    </row>
    <row r="145" spans="1:11" ht="12.75" x14ac:dyDescent="0.2">
      <c r="A145" s="13">
        <v>45708</v>
      </c>
      <c r="B145" s="14" t="s">
        <v>6</v>
      </c>
      <c r="C145" s="15">
        <v>0.96660000000000001</v>
      </c>
      <c r="D145" s="16" t="s">
        <v>23</v>
      </c>
      <c r="E145" s="17"/>
      <c r="F145" s="17"/>
      <c r="G145" s="18">
        <v>449</v>
      </c>
      <c r="H145" s="19">
        <f t="shared" si="0"/>
        <v>14.996600000000001</v>
      </c>
      <c r="I145" s="20">
        <f t="shared" si="1"/>
        <v>824.8130000000001</v>
      </c>
      <c r="J145" s="21">
        <f t="shared" si="3"/>
        <v>22.450000000000045</v>
      </c>
      <c r="K145" s="22">
        <f t="shared" si="2"/>
        <v>7.4534000000000447</v>
      </c>
    </row>
    <row r="146" spans="1:11" ht="25.5" x14ac:dyDescent="0.2">
      <c r="A146" s="13">
        <v>45709</v>
      </c>
      <c r="B146" s="14" t="s">
        <v>7</v>
      </c>
      <c r="C146" s="15">
        <v>0.94869999999999999</v>
      </c>
      <c r="D146" s="16" t="s">
        <v>23</v>
      </c>
      <c r="E146" s="17" t="s">
        <v>43</v>
      </c>
      <c r="F146" s="17" t="s">
        <v>274</v>
      </c>
      <c r="G146" s="18">
        <v>448</v>
      </c>
      <c r="H146" s="19">
        <f t="shared" si="0"/>
        <v>22.982399999999984</v>
      </c>
      <c r="I146" s="20">
        <f t="shared" si="1"/>
        <v>1264.0319999999992</v>
      </c>
      <c r="J146" s="21">
        <f t="shared" si="3"/>
        <v>22.400000000000034</v>
      </c>
      <c r="K146" s="22">
        <f t="shared" si="2"/>
        <v>-0.58239999999995007</v>
      </c>
    </row>
    <row r="147" spans="1:11" ht="12.75" x14ac:dyDescent="0.2">
      <c r="A147" s="13">
        <v>45712</v>
      </c>
      <c r="B147" s="14" t="s">
        <v>3</v>
      </c>
      <c r="C147" s="15">
        <v>0.95760000000000001</v>
      </c>
      <c r="D147" s="16" t="s">
        <v>23</v>
      </c>
      <c r="E147" s="17"/>
      <c r="F147" s="17"/>
      <c r="G147" s="18">
        <v>448</v>
      </c>
      <c r="H147" s="19">
        <f t="shared" si="0"/>
        <v>18.995200000000011</v>
      </c>
      <c r="I147" s="20">
        <f t="shared" si="1"/>
        <v>1044.7360000000006</v>
      </c>
      <c r="J147" s="21">
        <f t="shared" si="3"/>
        <v>22.400000000000034</v>
      </c>
      <c r="K147" s="22">
        <f t="shared" si="2"/>
        <v>3.4048000000000229</v>
      </c>
    </row>
    <row r="148" spans="1:11" ht="12.75" x14ac:dyDescent="0.2">
      <c r="A148" s="13">
        <v>45713</v>
      </c>
      <c r="B148" s="14" t="s">
        <v>4</v>
      </c>
      <c r="C148" s="15">
        <v>0.97319999999999995</v>
      </c>
      <c r="D148" s="16" t="s">
        <v>23</v>
      </c>
      <c r="E148" s="17"/>
      <c r="F148" s="17"/>
      <c r="G148" s="18">
        <v>448</v>
      </c>
      <c r="H148" s="19">
        <f t="shared" si="0"/>
        <v>12.006400000000042</v>
      </c>
      <c r="I148" s="20">
        <f t="shared" si="1"/>
        <v>660.35200000000236</v>
      </c>
      <c r="J148" s="21">
        <f t="shared" si="3"/>
        <v>22.400000000000034</v>
      </c>
      <c r="K148" s="22">
        <f t="shared" si="2"/>
        <v>10.393599999999992</v>
      </c>
    </row>
    <row r="149" spans="1:11" ht="12.75" x14ac:dyDescent="0.2">
      <c r="A149" s="13">
        <v>45714</v>
      </c>
      <c r="B149" s="14" t="s">
        <v>5</v>
      </c>
      <c r="C149" s="15">
        <v>0.94869999999999999</v>
      </c>
      <c r="D149" s="16" t="s">
        <v>23</v>
      </c>
      <c r="E149" s="17"/>
      <c r="F149" s="17"/>
      <c r="G149" s="18">
        <v>448</v>
      </c>
      <c r="H149" s="19">
        <f t="shared" si="0"/>
        <v>22.982399999999984</v>
      </c>
      <c r="I149" s="20">
        <f t="shared" si="1"/>
        <v>1264.0319999999992</v>
      </c>
      <c r="J149" s="21">
        <f t="shared" si="3"/>
        <v>22.400000000000034</v>
      </c>
      <c r="K149" s="22">
        <f t="shared" si="2"/>
        <v>-0.58239999999995007</v>
      </c>
    </row>
    <row r="150" spans="1:11" ht="12.75" x14ac:dyDescent="0.2">
      <c r="A150" s="13">
        <v>45715</v>
      </c>
      <c r="B150" s="14" t="s">
        <v>6</v>
      </c>
      <c r="C150" s="15">
        <v>0.94869999999999999</v>
      </c>
      <c r="D150" s="16" t="s">
        <v>23</v>
      </c>
      <c r="E150" s="17"/>
      <c r="F150" s="17"/>
      <c r="G150" s="18">
        <v>448</v>
      </c>
      <c r="H150" s="19">
        <f t="shared" si="0"/>
        <v>22.982399999999984</v>
      </c>
      <c r="I150" s="20">
        <f t="shared" si="1"/>
        <v>1264.0319999999992</v>
      </c>
      <c r="J150" s="21">
        <f t="shared" si="3"/>
        <v>22.400000000000034</v>
      </c>
      <c r="K150" s="22">
        <f t="shared" si="2"/>
        <v>-0.58239999999995007</v>
      </c>
    </row>
    <row r="151" spans="1:11" ht="12.75" x14ac:dyDescent="0.2">
      <c r="A151" s="13">
        <v>45716</v>
      </c>
      <c r="B151" s="14" t="s">
        <v>7</v>
      </c>
      <c r="C151" s="15">
        <v>0.94420000000000004</v>
      </c>
      <c r="D151" s="16" t="s">
        <v>23</v>
      </c>
      <c r="E151" s="17"/>
      <c r="F151" s="17"/>
      <c r="G151" s="18">
        <v>448</v>
      </c>
      <c r="H151" s="19">
        <f t="shared" si="0"/>
        <v>24.998400000000004</v>
      </c>
      <c r="I151" s="20">
        <f t="shared" si="1"/>
        <v>1374.9120000000003</v>
      </c>
      <c r="J151" s="21">
        <f t="shared" si="3"/>
        <v>22.400000000000034</v>
      </c>
      <c r="K151" s="22">
        <f t="shared" si="2"/>
        <v>-2.5983999999999696</v>
      </c>
    </row>
    <row r="152" spans="1:11" ht="12.75" x14ac:dyDescent="0.2">
      <c r="A152" s="13">
        <v>45719</v>
      </c>
      <c r="B152" s="14" t="s">
        <v>3</v>
      </c>
      <c r="C152" s="15">
        <v>0.93740000000000001</v>
      </c>
      <c r="D152" s="16" t="s">
        <v>23</v>
      </c>
      <c r="E152" s="17"/>
      <c r="F152" s="17"/>
      <c r="G152" s="18">
        <v>447</v>
      </c>
      <c r="H152" s="19">
        <f t="shared" si="0"/>
        <v>27.982199999999978</v>
      </c>
      <c r="I152" s="20">
        <f t="shared" si="1"/>
        <v>1539.0209999999988</v>
      </c>
      <c r="J152" s="21">
        <f t="shared" si="3"/>
        <v>22.350000000000023</v>
      </c>
      <c r="K152" s="22">
        <f t="shared" si="2"/>
        <v>-5.6321999999999548</v>
      </c>
    </row>
    <row r="153" spans="1:11" ht="12.75" x14ac:dyDescent="0.2">
      <c r="A153" s="13">
        <v>45720</v>
      </c>
      <c r="B153" s="14" t="s">
        <v>4</v>
      </c>
      <c r="C153" s="15">
        <v>0.93530000000000002</v>
      </c>
      <c r="D153" s="16" t="s">
        <v>23</v>
      </c>
      <c r="E153" s="17"/>
      <c r="F153" s="17"/>
      <c r="G153" s="18">
        <v>448</v>
      </c>
      <c r="H153" s="19">
        <f t="shared" si="0"/>
        <v>28.985599999999977</v>
      </c>
      <c r="I153" s="20">
        <f t="shared" si="1"/>
        <v>1594.2079999999987</v>
      </c>
      <c r="J153" s="21">
        <f t="shared" si="3"/>
        <v>22.400000000000034</v>
      </c>
      <c r="K153" s="22">
        <f t="shared" si="2"/>
        <v>-6.5855999999999426</v>
      </c>
    </row>
    <row r="154" spans="1:11" ht="12.75" x14ac:dyDescent="0.2">
      <c r="A154" s="13">
        <v>45721</v>
      </c>
      <c r="B154" s="14" t="s">
        <v>5</v>
      </c>
      <c r="C154" s="15">
        <v>0.98209999999999997</v>
      </c>
      <c r="D154" s="16" t="s">
        <v>23</v>
      </c>
      <c r="E154" s="17"/>
      <c r="F154" s="17"/>
      <c r="G154" s="18">
        <v>448</v>
      </c>
      <c r="H154" s="19">
        <f t="shared" si="0"/>
        <v>8.0192000000000121</v>
      </c>
      <c r="I154" s="20">
        <f t="shared" si="1"/>
        <v>441.05600000000067</v>
      </c>
      <c r="J154" s="21">
        <f t="shared" si="3"/>
        <v>22.400000000000034</v>
      </c>
      <c r="K154" s="22">
        <f t="shared" si="2"/>
        <v>14.380800000000022</v>
      </c>
    </row>
    <row r="155" spans="1:11" ht="12.75" x14ac:dyDescent="0.2">
      <c r="A155" s="13">
        <v>45722</v>
      </c>
      <c r="B155" s="14" t="s">
        <v>6</v>
      </c>
      <c r="C155" s="15">
        <v>0.96209999999999996</v>
      </c>
      <c r="D155" s="16" t="s">
        <v>23</v>
      </c>
      <c r="E155" s="17"/>
      <c r="F155" s="17"/>
      <c r="G155" s="18">
        <v>448</v>
      </c>
      <c r="H155" s="19">
        <f t="shared" si="0"/>
        <v>16.979199999999992</v>
      </c>
      <c r="I155" s="20">
        <f t="shared" si="1"/>
        <v>933.85599999999954</v>
      </c>
      <c r="J155" s="21">
        <f t="shared" si="3"/>
        <v>22.400000000000034</v>
      </c>
      <c r="K155" s="22">
        <f t="shared" si="2"/>
        <v>5.4208000000000425</v>
      </c>
    </row>
    <row r="156" spans="1:11" ht="12.75" x14ac:dyDescent="0.2">
      <c r="A156" s="13">
        <v>45723</v>
      </c>
      <c r="B156" s="14" t="s">
        <v>7</v>
      </c>
      <c r="C156" s="15">
        <v>0.91069999999999995</v>
      </c>
      <c r="D156" s="16" t="s">
        <v>23</v>
      </c>
      <c r="E156" s="17" t="s">
        <v>30</v>
      </c>
      <c r="F156" s="17" t="s">
        <v>275</v>
      </c>
      <c r="G156" s="18">
        <v>448</v>
      </c>
      <c r="H156" s="19">
        <f t="shared" si="0"/>
        <v>40.006400000000042</v>
      </c>
      <c r="I156" s="20">
        <f t="shared" si="1"/>
        <v>2200.3520000000021</v>
      </c>
      <c r="J156" s="21">
        <f t="shared" si="3"/>
        <v>22.400000000000034</v>
      </c>
      <c r="K156" s="22">
        <f t="shared" si="2"/>
        <v>-17.606400000000008</v>
      </c>
    </row>
    <row r="157" spans="1:11" ht="12.75" x14ac:dyDescent="0.2">
      <c r="A157" s="44">
        <v>45726</v>
      </c>
      <c r="B157" s="45" t="s">
        <v>3</v>
      </c>
      <c r="C157" s="15">
        <v>0.95979999999999999</v>
      </c>
      <c r="D157" s="16" t="s">
        <v>23</v>
      </c>
      <c r="E157" s="17"/>
      <c r="F157" s="17"/>
      <c r="G157" s="18">
        <v>448</v>
      </c>
      <c r="H157" s="19">
        <f t="shared" si="0"/>
        <v>18.009599999999978</v>
      </c>
      <c r="I157" s="20">
        <f t="shared" si="1"/>
        <v>990.52799999999877</v>
      </c>
      <c r="J157" s="21">
        <f t="shared" si="3"/>
        <v>22.400000000000034</v>
      </c>
      <c r="K157" s="22">
        <f t="shared" si="2"/>
        <v>4.3904000000000565</v>
      </c>
    </row>
    <row r="158" spans="1:11" ht="12.75" x14ac:dyDescent="0.2">
      <c r="A158" s="44">
        <v>45727</v>
      </c>
      <c r="B158" s="45" t="s">
        <v>4</v>
      </c>
      <c r="C158" s="15">
        <v>0.96879999999999999</v>
      </c>
      <c r="D158" s="16" t="s">
        <v>23</v>
      </c>
      <c r="E158" s="17"/>
      <c r="F158" s="17"/>
      <c r="G158" s="18">
        <v>448</v>
      </c>
      <c r="H158" s="19">
        <f t="shared" si="0"/>
        <v>13.977599999999995</v>
      </c>
      <c r="I158" s="20">
        <f t="shared" si="1"/>
        <v>768.7679999999998</v>
      </c>
      <c r="J158" s="21">
        <f t="shared" si="3"/>
        <v>22.400000000000034</v>
      </c>
      <c r="K158" s="22">
        <f t="shared" si="2"/>
        <v>8.4224000000000387</v>
      </c>
    </row>
    <row r="159" spans="1:11" ht="12.75" x14ac:dyDescent="0.2">
      <c r="A159" s="44">
        <v>45728</v>
      </c>
      <c r="B159" s="45" t="s">
        <v>5</v>
      </c>
      <c r="C159" s="15"/>
      <c r="D159" s="16"/>
      <c r="E159" s="17"/>
      <c r="F159" s="17"/>
      <c r="H159" s="19">
        <f t="shared" si="0"/>
        <v>0</v>
      </c>
      <c r="I159" s="20">
        <f t="shared" si="1"/>
        <v>0</v>
      </c>
      <c r="J159" s="21">
        <f t="shared" si="3"/>
        <v>0</v>
      </c>
      <c r="K159" s="22">
        <f t="shared" si="2"/>
        <v>0</v>
      </c>
    </row>
    <row r="160" spans="1:11" ht="12.75" x14ac:dyDescent="0.2">
      <c r="A160" s="44">
        <v>45729</v>
      </c>
      <c r="B160" s="45" t="s">
        <v>6</v>
      </c>
      <c r="C160" s="15"/>
      <c r="D160" s="16"/>
      <c r="E160" s="17"/>
      <c r="F160" s="17"/>
      <c r="H160" s="19">
        <f t="shared" si="0"/>
        <v>0</v>
      </c>
      <c r="I160" s="20">
        <f t="shared" si="1"/>
        <v>0</v>
      </c>
      <c r="J160" s="21">
        <f t="shared" si="3"/>
        <v>0</v>
      </c>
      <c r="K160" s="22">
        <f t="shared" si="2"/>
        <v>0</v>
      </c>
    </row>
    <row r="161" spans="1:11" ht="12.75" x14ac:dyDescent="0.2">
      <c r="A161" s="44">
        <v>45730</v>
      </c>
      <c r="B161" s="45" t="s">
        <v>7</v>
      </c>
      <c r="C161" s="15"/>
      <c r="D161" s="16"/>
      <c r="E161" s="17"/>
      <c r="F161" s="17"/>
      <c r="H161" s="19">
        <f t="shared" si="0"/>
        <v>0</v>
      </c>
      <c r="I161" s="20">
        <f t="shared" si="1"/>
        <v>0</v>
      </c>
      <c r="J161" s="21">
        <f t="shared" si="3"/>
        <v>0</v>
      </c>
      <c r="K161" s="22">
        <f t="shared" si="2"/>
        <v>0</v>
      </c>
    </row>
    <row r="162" spans="1:11" ht="12.75" x14ac:dyDescent="0.2">
      <c r="A162" s="24">
        <v>45733</v>
      </c>
      <c r="B162" s="25" t="s">
        <v>3</v>
      </c>
      <c r="C162" s="26"/>
      <c r="D162" s="27"/>
      <c r="E162" s="28"/>
      <c r="F162" s="28"/>
      <c r="G162" s="29"/>
      <c r="H162" s="19">
        <f t="shared" si="0"/>
        <v>0</v>
      </c>
      <c r="I162" s="20">
        <f t="shared" si="1"/>
        <v>0</v>
      </c>
      <c r="J162" s="21">
        <f t="shared" si="3"/>
        <v>0</v>
      </c>
      <c r="K162" s="22">
        <f t="shared" si="2"/>
        <v>0</v>
      </c>
    </row>
    <row r="163" spans="1:11" ht="12.75" x14ac:dyDescent="0.2">
      <c r="A163" s="24">
        <v>45734</v>
      </c>
      <c r="B163" s="25" t="s">
        <v>4</v>
      </c>
      <c r="C163" s="26"/>
      <c r="D163" s="27"/>
      <c r="E163" s="28"/>
      <c r="F163" s="28"/>
      <c r="G163" s="29"/>
      <c r="H163" s="19">
        <f t="shared" si="0"/>
        <v>0</v>
      </c>
      <c r="I163" s="20">
        <f t="shared" si="1"/>
        <v>0</v>
      </c>
      <c r="J163" s="21">
        <f t="shared" si="3"/>
        <v>0</v>
      </c>
      <c r="K163" s="22">
        <f t="shared" si="2"/>
        <v>0</v>
      </c>
    </row>
    <row r="164" spans="1:11" ht="12.75" x14ac:dyDescent="0.2">
      <c r="A164" s="24">
        <v>45735</v>
      </c>
      <c r="B164" s="25" t="s">
        <v>5</v>
      </c>
      <c r="C164" s="26"/>
      <c r="D164" s="27"/>
      <c r="E164" s="28"/>
      <c r="F164" s="28"/>
      <c r="G164" s="29"/>
      <c r="H164" s="19">
        <f t="shared" si="0"/>
        <v>0</v>
      </c>
      <c r="I164" s="20">
        <f t="shared" si="1"/>
        <v>0</v>
      </c>
      <c r="J164" s="21">
        <f t="shared" si="3"/>
        <v>0</v>
      </c>
      <c r="K164" s="22">
        <f t="shared" si="2"/>
        <v>0</v>
      </c>
    </row>
    <row r="165" spans="1:11" ht="12.75" x14ac:dyDescent="0.2">
      <c r="A165" s="24">
        <v>45736</v>
      </c>
      <c r="B165" s="25" t="s">
        <v>6</v>
      </c>
      <c r="C165" s="26"/>
      <c r="D165" s="27"/>
      <c r="E165" s="28"/>
      <c r="F165" s="28"/>
      <c r="G165" s="29"/>
      <c r="H165" s="19">
        <f t="shared" si="0"/>
        <v>0</v>
      </c>
      <c r="I165" s="20">
        <f t="shared" si="1"/>
        <v>0</v>
      </c>
      <c r="J165" s="21">
        <f t="shared" si="3"/>
        <v>0</v>
      </c>
      <c r="K165" s="22">
        <f t="shared" si="2"/>
        <v>0</v>
      </c>
    </row>
    <row r="166" spans="1:11" ht="12.75" x14ac:dyDescent="0.2">
      <c r="A166" s="24">
        <v>45737</v>
      </c>
      <c r="B166" s="25" t="s">
        <v>7</v>
      </c>
      <c r="C166" s="26"/>
      <c r="D166" s="27"/>
      <c r="E166" s="28"/>
      <c r="F166" s="28"/>
      <c r="G166" s="29"/>
      <c r="H166" s="19">
        <f t="shared" si="0"/>
        <v>0</v>
      </c>
      <c r="I166" s="20">
        <f t="shared" si="1"/>
        <v>0</v>
      </c>
      <c r="J166" s="21">
        <f t="shared" si="3"/>
        <v>0</v>
      </c>
      <c r="K166" s="22">
        <f t="shared" si="2"/>
        <v>0</v>
      </c>
    </row>
    <row r="167" spans="1:11" ht="12.75" x14ac:dyDescent="0.2">
      <c r="A167" s="13">
        <v>45740</v>
      </c>
      <c r="B167" s="14" t="s">
        <v>3</v>
      </c>
      <c r="C167" s="15"/>
      <c r="D167" s="16"/>
      <c r="E167" s="17"/>
      <c r="F167" s="17"/>
      <c r="H167" s="19">
        <f t="shared" si="0"/>
        <v>0</v>
      </c>
      <c r="I167" s="20">
        <f t="shared" si="1"/>
        <v>0</v>
      </c>
      <c r="J167" s="21">
        <f t="shared" si="3"/>
        <v>0</v>
      </c>
      <c r="K167" s="22">
        <f t="shared" si="2"/>
        <v>0</v>
      </c>
    </row>
    <row r="168" spans="1:11" ht="12.75" x14ac:dyDescent="0.2">
      <c r="A168" s="13">
        <v>45741</v>
      </c>
      <c r="B168" s="14" t="s">
        <v>4</v>
      </c>
      <c r="C168" s="15"/>
      <c r="D168" s="16"/>
      <c r="E168" s="17"/>
      <c r="F168" s="17"/>
      <c r="H168" s="19">
        <f t="shared" si="0"/>
        <v>0</v>
      </c>
      <c r="I168" s="20">
        <f t="shared" si="1"/>
        <v>0</v>
      </c>
      <c r="J168" s="21">
        <f t="shared" si="3"/>
        <v>0</v>
      </c>
      <c r="K168" s="22">
        <f t="shared" si="2"/>
        <v>0</v>
      </c>
    </row>
    <row r="169" spans="1:11" ht="12.75" x14ac:dyDescent="0.2">
      <c r="A169" s="13">
        <v>45742</v>
      </c>
      <c r="B169" s="14" t="s">
        <v>5</v>
      </c>
      <c r="C169" s="15"/>
      <c r="D169" s="16"/>
      <c r="E169" s="17"/>
      <c r="F169" s="17"/>
      <c r="H169" s="19">
        <f t="shared" si="0"/>
        <v>0</v>
      </c>
      <c r="I169" s="20">
        <f t="shared" si="1"/>
        <v>0</v>
      </c>
      <c r="J169" s="21">
        <f t="shared" si="3"/>
        <v>0</v>
      </c>
      <c r="K169" s="22">
        <f t="shared" si="2"/>
        <v>0</v>
      </c>
    </row>
    <row r="170" spans="1:11" ht="12.75" x14ac:dyDescent="0.2">
      <c r="A170" s="13">
        <v>45743</v>
      </c>
      <c r="B170" s="14" t="s">
        <v>6</v>
      </c>
      <c r="C170" s="15"/>
      <c r="D170" s="16"/>
      <c r="E170" s="17"/>
      <c r="F170" s="17"/>
      <c r="H170" s="19">
        <f t="shared" si="0"/>
        <v>0</v>
      </c>
      <c r="I170" s="20">
        <f t="shared" si="1"/>
        <v>0</v>
      </c>
      <c r="J170" s="21">
        <f t="shared" si="3"/>
        <v>0</v>
      </c>
      <c r="K170" s="22">
        <f t="shared" si="2"/>
        <v>0</v>
      </c>
    </row>
    <row r="171" spans="1:11" ht="12.75" x14ac:dyDescent="0.2">
      <c r="A171" s="13">
        <v>45744</v>
      </c>
      <c r="B171" s="14" t="s">
        <v>7</v>
      </c>
      <c r="C171" s="15"/>
      <c r="D171" s="16"/>
      <c r="E171" s="17"/>
      <c r="F171" s="17"/>
      <c r="H171" s="19">
        <f t="shared" si="0"/>
        <v>0</v>
      </c>
      <c r="I171" s="20">
        <f t="shared" si="1"/>
        <v>0</v>
      </c>
      <c r="J171" s="21">
        <f t="shared" si="3"/>
        <v>0</v>
      </c>
      <c r="K171" s="22">
        <f t="shared" si="2"/>
        <v>0</v>
      </c>
    </row>
    <row r="172" spans="1:11" ht="12.75" x14ac:dyDescent="0.2">
      <c r="A172" s="13">
        <v>45747</v>
      </c>
      <c r="B172" s="14" t="s">
        <v>3</v>
      </c>
      <c r="C172" s="15"/>
      <c r="D172" s="16"/>
      <c r="E172" s="17"/>
      <c r="F172" s="17"/>
      <c r="H172" s="19">
        <f t="shared" si="0"/>
        <v>0</v>
      </c>
      <c r="I172" s="20">
        <f t="shared" si="1"/>
        <v>0</v>
      </c>
      <c r="J172" s="21">
        <f t="shared" si="3"/>
        <v>0</v>
      </c>
      <c r="K172" s="22">
        <f t="shared" si="2"/>
        <v>0</v>
      </c>
    </row>
    <row r="173" spans="1:11" ht="12.75" x14ac:dyDescent="0.2">
      <c r="A173" s="13">
        <v>45748</v>
      </c>
      <c r="B173" s="14" t="s">
        <v>4</v>
      </c>
      <c r="C173" s="15"/>
      <c r="D173" s="16"/>
      <c r="E173" s="17"/>
      <c r="F173" s="17"/>
      <c r="H173" s="19">
        <f t="shared" si="0"/>
        <v>0</v>
      </c>
      <c r="I173" s="20">
        <f t="shared" si="1"/>
        <v>0</v>
      </c>
      <c r="J173" s="21">
        <f t="shared" si="3"/>
        <v>0</v>
      </c>
      <c r="K173" s="22">
        <f t="shared" si="2"/>
        <v>0</v>
      </c>
    </row>
    <row r="174" spans="1:11" ht="12.75" x14ac:dyDescent="0.2">
      <c r="A174" s="13">
        <v>45749</v>
      </c>
      <c r="B174" s="14" t="s">
        <v>5</v>
      </c>
      <c r="C174" s="15"/>
      <c r="D174" s="16"/>
      <c r="E174" s="17"/>
      <c r="F174" s="17"/>
      <c r="H174" s="19">
        <f t="shared" si="0"/>
        <v>0</v>
      </c>
      <c r="I174" s="20">
        <f t="shared" si="1"/>
        <v>0</v>
      </c>
      <c r="J174" s="21">
        <f t="shared" si="3"/>
        <v>0</v>
      </c>
      <c r="K174" s="22">
        <f t="shared" si="2"/>
        <v>0</v>
      </c>
    </row>
    <row r="175" spans="1:11" ht="12.75" x14ac:dyDescent="0.2">
      <c r="A175" s="13">
        <v>45750</v>
      </c>
      <c r="B175" s="14" t="s">
        <v>6</v>
      </c>
      <c r="C175" s="15"/>
      <c r="D175" s="16"/>
      <c r="E175" s="17"/>
      <c r="F175" s="17"/>
      <c r="H175" s="19">
        <f t="shared" si="0"/>
        <v>0</v>
      </c>
      <c r="I175" s="20">
        <f t="shared" si="1"/>
        <v>0</v>
      </c>
      <c r="J175" s="21">
        <f t="shared" si="3"/>
        <v>0</v>
      </c>
      <c r="K175" s="22">
        <f t="shared" si="2"/>
        <v>0</v>
      </c>
    </row>
    <row r="176" spans="1:11" ht="12.75" x14ac:dyDescent="0.2">
      <c r="A176" s="13">
        <v>45751</v>
      </c>
      <c r="B176" s="14" t="s">
        <v>7</v>
      </c>
      <c r="C176" s="15"/>
      <c r="D176" s="16"/>
      <c r="E176" s="17"/>
      <c r="F176" s="17"/>
      <c r="H176" s="19">
        <f t="shared" si="0"/>
        <v>0</v>
      </c>
      <c r="I176" s="20">
        <f t="shared" si="1"/>
        <v>0</v>
      </c>
      <c r="J176" s="21">
        <f t="shared" si="3"/>
        <v>0</v>
      </c>
      <c r="K176" s="22">
        <f t="shared" si="2"/>
        <v>0</v>
      </c>
    </row>
    <row r="177" spans="1:11" ht="12.75" x14ac:dyDescent="0.2">
      <c r="A177" s="13">
        <v>45754</v>
      </c>
      <c r="B177" s="14" t="s">
        <v>3</v>
      </c>
      <c r="C177" s="15"/>
      <c r="D177" s="16"/>
      <c r="E177" s="17"/>
      <c r="F177" s="17"/>
      <c r="H177" s="19">
        <f t="shared" si="0"/>
        <v>0</v>
      </c>
      <c r="I177" s="20">
        <f t="shared" si="1"/>
        <v>0</v>
      </c>
      <c r="J177" s="21">
        <f t="shared" si="3"/>
        <v>0</v>
      </c>
      <c r="K177" s="22">
        <f t="shared" si="2"/>
        <v>0</v>
      </c>
    </row>
    <row r="178" spans="1:11" ht="12.75" x14ac:dyDescent="0.2">
      <c r="A178" s="13">
        <v>45755</v>
      </c>
      <c r="B178" s="14" t="s">
        <v>4</v>
      </c>
      <c r="C178" s="15"/>
      <c r="D178" s="16"/>
      <c r="E178" s="17"/>
      <c r="F178" s="17"/>
      <c r="H178" s="19">
        <f t="shared" si="0"/>
        <v>0</v>
      </c>
      <c r="I178" s="20">
        <f t="shared" si="1"/>
        <v>0</v>
      </c>
      <c r="J178" s="21">
        <f t="shared" si="3"/>
        <v>0</v>
      </c>
      <c r="K178" s="22">
        <f t="shared" si="2"/>
        <v>0</v>
      </c>
    </row>
    <row r="179" spans="1:11" ht="12.75" x14ac:dyDescent="0.2">
      <c r="A179" s="13">
        <v>45756</v>
      </c>
      <c r="B179" s="14" t="s">
        <v>5</v>
      </c>
      <c r="C179" s="15"/>
      <c r="D179" s="16"/>
      <c r="E179" s="17"/>
      <c r="F179" s="17"/>
      <c r="H179" s="19">
        <f t="shared" si="0"/>
        <v>0</v>
      </c>
      <c r="I179" s="20">
        <f t="shared" si="1"/>
        <v>0</v>
      </c>
      <c r="J179" s="21">
        <f t="shared" si="3"/>
        <v>0</v>
      </c>
      <c r="K179" s="22">
        <f t="shared" si="2"/>
        <v>0</v>
      </c>
    </row>
    <row r="180" spans="1:11" ht="12.75" x14ac:dyDescent="0.2">
      <c r="A180" s="13">
        <v>45757</v>
      </c>
      <c r="B180" s="14" t="s">
        <v>6</v>
      </c>
      <c r="C180" s="15"/>
      <c r="D180" s="16"/>
      <c r="E180" s="17"/>
      <c r="F180" s="17"/>
      <c r="H180" s="19">
        <f t="shared" si="0"/>
        <v>0</v>
      </c>
      <c r="I180" s="20">
        <f t="shared" si="1"/>
        <v>0</v>
      </c>
      <c r="J180" s="21">
        <f t="shared" si="3"/>
        <v>0</v>
      </c>
      <c r="K180" s="22">
        <f t="shared" si="2"/>
        <v>0</v>
      </c>
    </row>
    <row r="181" spans="1:11" ht="12.75" x14ac:dyDescent="0.2">
      <c r="A181" s="13">
        <v>45758</v>
      </c>
      <c r="B181" s="14" t="s">
        <v>7</v>
      </c>
      <c r="C181" s="15"/>
      <c r="D181" s="16"/>
      <c r="E181" s="17"/>
      <c r="F181" s="17"/>
      <c r="H181" s="19">
        <f t="shared" si="0"/>
        <v>0</v>
      </c>
      <c r="I181" s="20">
        <f t="shared" si="1"/>
        <v>0</v>
      </c>
      <c r="J181" s="21">
        <f t="shared" si="3"/>
        <v>0</v>
      </c>
      <c r="K181" s="22">
        <f t="shared" si="2"/>
        <v>0</v>
      </c>
    </row>
    <row r="182" spans="1:11" ht="12.75" x14ac:dyDescent="0.2">
      <c r="A182" s="13">
        <v>45761</v>
      </c>
      <c r="B182" s="14" t="s">
        <v>3</v>
      </c>
      <c r="C182" s="15"/>
      <c r="D182" s="16"/>
      <c r="E182" s="17"/>
      <c r="F182" s="17"/>
      <c r="H182" s="19">
        <f t="shared" si="0"/>
        <v>0</v>
      </c>
      <c r="I182" s="20">
        <f t="shared" si="1"/>
        <v>0</v>
      </c>
      <c r="J182" s="21">
        <f t="shared" si="3"/>
        <v>0</v>
      </c>
      <c r="K182" s="22">
        <f t="shared" si="2"/>
        <v>0</v>
      </c>
    </row>
    <row r="183" spans="1:11" ht="12.75" x14ac:dyDescent="0.2">
      <c r="A183" s="13">
        <v>45762</v>
      </c>
      <c r="B183" s="14" t="s">
        <v>4</v>
      </c>
      <c r="C183" s="15"/>
      <c r="D183" s="16"/>
      <c r="E183" s="17"/>
      <c r="F183" s="17"/>
      <c r="H183" s="19">
        <f t="shared" si="0"/>
        <v>0</v>
      </c>
      <c r="I183" s="20">
        <f t="shared" si="1"/>
        <v>0</v>
      </c>
      <c r="J183" s="21">
        <f t="shared" si="3"/>
        <v>0</v>
      </c>
      <c r="K183" s="22">
        <f t="shared" si="2"/>
        <v>0</v>
      </c>
    </row>
    <row r="184" spans="1:11" ht="12.75" x14ac:dyDescent="0.2">
      <c r="A184" s="13">
        <v>45763</v>
      </c>
      <c r="B184" s="14" t="s">
        <v>5</v>
      </c>
      <c r="C184" s="15"/>
      <c r="D184" s="16"/>
      <c r="E184" s="17"/>
      <c r="F184" s="17"/>
      <c r="H184" s="19">
        <f t="shared" si="0"/>
        <v>0</v>
      </c>
      <c r="I184" s="20">
        <f t="shared" si="1"/>
        <v>0</v>
      </c>
      <c r="J184" s="21">
        <f t="shared" si="3"/>
        <v>0</v>
      </c>
      <c r="K184" s="22">
        <f t="shared" si="2"/>
        <v>0</v>
      </c>
    </row>
    <row r="185" spans="1:11" ht="12.75" x14ac:dyDescent="0.2">
      <c r="A185" s="13">
        <v>45764</v>
      </c>
      <c r="B185" s="14" t="s">
        <v>6</v>
      </c>
      <c r="C185" s="15"/>
      <c r="D185" s="16"/>
      <c r="E185" s="17"/>
      <c r="F185" s="17"/>
      <c r="H185" s="19">
        <f t="shared" si="0"/>
        <v>0</v>
      </c>
      <c r="I185" s="20">
        <f t="shared" si="1"/>
        <v>0</v>
      </c>
      <c r="J185" s="21">
        <f t="shared" si="3"/>
        <v>0</v>
      </c>
      <c r="K185" s="22">
        <f t="shared" si="2"/>
        <v>0</v>
      </c>
    </row>
    <row r="186" spans="1:11" ht="12.75" x14ac:dyDescent="0.2">
      <c r="A186" s="24">
        <v>45765</v>
      </c>
      <c r="B186" s="25" t="s">
        <v>7</v>
      </c>
      <c r="C186" s="26"/>
      <c r="D186" s="27"/>
      <c r="E186" s="28"/>
      <c r="F186" s="28"/>
      <c r="G186" s="29"/>
      <c r="H186" s="19">
        <f t="shared" si="0"/>
        <v>0</v>
      </c>
      <c r="I186" s="20">
        <f t="shared" si="1"/>
        <v>0</v>
      </c>
      <c r="J186" s="21">
        <f t="shared" si="3"/>
        <v>0</v>
      </c>
      <c r="K186" s="22">
        <f t="shared" si="2"/>
        <v>0</v>
      </c>
    </row>
    <row r="187" spans="1:11" ht="12.75" x14ac:dyDescent="0.2">
      <c r="A187" s="24">
        <v>45768</v>
      </c>
      <c r="B187" s="25" t="s">
        <v>3</v>
      </c>
      <c r="C187" s="26"/>
      <c r="D187" s="27"/>
      <c r="E187" s="28"/>
      <c r="F187" s="28"/>
      <c r="G187" s="29"/>
      <c r="H187" s="19">
        <f t="shared" si="0"/>
        <v>0</v>
      </c>
      <c r="I187" s="20">
        <f t="shared" si="1"/>
        <v>0</v>
      </c>
      <c r="J187" s="21">
        <f t="shared" si="3"/>
        <v>0</v>
      </c>
      <c r="K187" s="22">
        <f t="shared" si="2"/>
        <v>0</v>
      </c>
    </row>
    <row r="188" spans="1:11" ht="12.75" x14ac:dyDescent="0.2">
      <c r="A188" s="13">
        <v>45769</v>
      </c>
      <c r="B188" s="14" t="s">
        <v>4</v>
      </c>
      <c r="C188" s="15"/>
      <c r="D188" s="16"/>
      <c r="E188" s="17"/>
      <c r="F188" s="17"/>
      <c r="H188" s="19">
        <f t="shared" si="0"/>
        <v>0</v>
      </c>
      <c r="I188" s="20">
        <f t="shared" si="1"/>
        <v>0</v>
      </c>
      <c r="J188" s="21">
        <f t="shared" si="3"/>
        <v>0</v>
      </c>
      <c r="K188" s="22">
        <f t="shared" si="2"/>
        <v>0</v>
      </c>
    </row>
    <row r="189" spans="1:11" ht="12.75" x14ac:dyDescent="0.2">
      <c r="A189" s="13">
        <v>45770</v>
      </c>
      <c r="B189" s="14" t="s">
        <v>5</v>
      </c>
      <c r="C189" s="15"/>
      <c r="D189" s="16"/>
      <c r="E189" s="17"/>
      <c r="F189" s="17"/>
      <c r="H189" s="19">
        <f t="shared" si="0"/>
        <v>0</v>
      </c>
      <c r="I189" s="20">
        <f t="shared" si="1"/>
        <v>0</v>
      </c>
      <c r="J189" s="21">
        <f t="shared" si="3"/>
        <v>0</v>
      </c>
      <c r="K189" s="22">
        <f t="shared" si="2"/>
        <v>0</v>
      </c>
    </row>
    <row r="190" spans="1:11" ht="12.75" x14ac:dyDescent="0.2">
      <c r="A190" s="13">
        <v>45771</v>
      </c>
      <c r="B190" s="14" t="s">
        <v>6</v>
      </c>
      <c r="C190" s="15"/>
      <c r="D190" s="16"/>
      <c r="E190" s="17"/>
      <c r="F190" s="17"/>
      <c r="H190" s="19">
        <f t="shared" si="0"/>
        <v>0</v>
      </c>
      <c r="I190" s="20">
        <f t="shared" si="1"/>
        <v>0</v>
      </c>
      <c r="J190" s="21">
        <f t="shared" si="3"/>
        <v>0</v>
      </c>
      <c r="K190" s="22">
        <f t="shared" si="2"/>
        <v>0</v>
      </c>
    </row>
    <row r="191" spans="1:11" ht="12.75" x14ac:dyDescent="0.2">
      <c r="A191" s="13">
        <v>45772</v>
      </c>
      <c r="B191" s="14" t="s">
        <v>7</v>
      </c>
      <c r="C191" s="15"/>
      <c r="D191" s="16"/>
      <c r="E191" s="17"/>
      <c r="F191" s="17"/>
      <c r="H191" s="19">
        <f t="shared" si="0"/>
        <v>0</v>
      </c>
      <c r="I191" s="20">
        <f t="shared" si="1"/>
        <v>0</v>
      </c>
      <c r="J191" s="21">
        <f t="shared" si="3"/>
        <v>0</v>
      </c>
      <c r="K191" s="22">
        <f t="shared" si="2"/>
        <v>0</v>
      </c>
    </row>
    <row r="192" spans="1:11" ht="12.75" x14ac:dyDescent="0.2">
      <c r="A192" s="13">
        <v>45775</v>
      </c>
      <c r="B192" s="14" t="s">
        <v>3</v>
      </c>
      <c r="C192" s="15"/>
      <c r="D192" s="16"/>
      <c r="E192" s="17"/>
      <c r="F192" s="17"/>
      <c r="H192" s="19">
        <f t="shared" si="0"/>
        <v>0</v>
      </c>
      <c r="I192" s="20">
        <f t="shared" si="1"/>
        <v>0</v>
      </c>
      <c r="J192" s="21">
        <f t="shared" si="3"/>
        <v>0</v>
      </c>
      <c r="K192" s="22">
        <f t="shared" si="2"/>
        <v>0</v>
      </c>
    </row>
    <row r="193" spans="1:11" ht="12.75" x14ac:dyDescent="0.2">
      <c r="A193" s="13">
        <v>45776</v>
      </c>
      <c r="B193" s="14" t="s">
        <v>4</v>
      </c>
      <c r="C193" s="15"/>
      <c r="D193" s="16"/>
      <c r="E193" s="17"/>
      <c r="F193" s="17"/>
      <c r="H193" s="19">
        <f t="shared" si="0"/>
        <v>0</v>
      </c>
      <c r="I193" s="20">
        <f t="shared" si="1"/>
        <v>0</v>
      </c>
      <c r="J193" s="21">
        <f t="shared" si="3"/>
        <v>0</v>
      </c>
      <c r="K193" s="22">
        <f t="shared" si="2"/>
        <v>0</v>
      </c>
    </row>
    <row r="194" spans="1:11" ht="12.75" x14ac:dyDescent="0.2">
      <c r="A194" s="13">
        <v>45777</v>
      </c>
      <c r="B194" s="14" t="s">
        <v>5</v>
      </c>
      <c r="C194" s="15"/>
      <c r="D194" s="16"/>
      <c r="E194" s="17"/>
      <c r="F194" s="17"/>
      <c r="H194" s="19">
        <f t="shared" si="0"/>
        <v>0</v>
      </c>
      <c r="I194" s="20">
        <f t="shared" si="1"/>
        <v>0</v>
      </c>
      <c r="J194" s="21">
        <f t="shared" si="3"/>
        <v>0</v>
      </c>
      <c r="K194" s="22">
        <f t="shared" si="2"/>
        <v>0</v>
      </c>
    </row>
    <row r="195" spans="1:11" ht="12.75" x14ac:dyDescent="0.2">
      <c r="A195" s="13">
        <v>45778</v>
      </c>
      <c r="B195" s="14" t="s">
        <v>6</v>
      </c>
      <c r="C195" s="15"/>
      <c r="D195" s="16"/>
      <c r="E195" s="17"/>
      <c r="F195" s="17"/>
      <c r="H195" s="19">
        <f t="shared" si="0"/>
        <v>0</v>
      </c>
      <c r="I195" s="20">
        <f t="shared" si="1"/>
        <v>0</v>
      </c>
      <c r="J195" s="21">
        <f t="shared" si="3"/>
        <v>0</v>
      </c>
      <c r="K195" s="22">
        <f t="shared" si="2"/>
        <v>0</v>
      </c>
    </row>
    <row r="196" spans="1:11" ht="12.75" x14ac:dyDescent="0.2">
      <c r="A196" s="13">
        <v>45779</v>
      </c>
      <c r="B196" s="14" t="s">
        <v>7</v>
      </c>
      <c r="C196" s="15"/>
      <c r="D196" s="16"/>
      <c r="E196" s="17"/>
      <c r="F196" s="17"/>
      <c r="H196" s="19">
        <f t="shared" si="0"/>
        <v>0</v>
      </c>
      <c r="I196" s="20">
        <f t="shared" si="1"/>
        <v>0</v>
      </c>
      <c r="J196" s="21">
        <f t="shared" si="3"/>
        <v>0</v>
      </c>
      <c r="K196" s="22">
        <f t="shared" si="2"/>
        <v>0</v>
      </c>
    </row>
    <row r="197" spans="1:11" ht="12.75" x14ac:dyDescent="0.2">
      <c r="A197" s="13">
        <v>45782</v>
      </c>
      <c r="B197" s="14" t="s">
        <v>3</v>
      </c>
      <c r="C197" s="15"/>
      <c r="D197" s="16"/>
      <c r="E197" s="17"/>
      <c r="F197" s="17"/>
      <c r="H197" s="19">
        <f t="shared" si="0"/>
        <v>0</v>
      </c>
      <c r="I197" s="20">
        <f t="shared" si="1"/>
        <v>0</v>
      </c>
      <c r="J197" s="21">
        <f t="shared" si="3"/>
        <v>0</v>
      </c>
      <c r="K197" s="22">
        <f t="shared" si="2"/>
        <v>0</v>
      </c>
    </row>
    <row r="198" spans="1:11" ht="12.75" x14ac:dyDescent="0.2">
      <c r="A198" s="13">
        <v>45783</v>
      </c>
      <c r="B198" s="14" t="s">
        <v>4</v>
      </c>
      <c r="C198" s="15"/>
      <c r="D198" s="16"/>
      <c r="E198" s="17"/>
      <c r="F198" s="17"/>
      <c r="H198" s="19">
        <f t="shared" si="0"/>
        <v>0</v>
      </c>
      <c r="I198" s="20">
        <f t="shared" si="1"/>
        <v>0</v>
      </c>
      <c r="J198" s="21">
        <f t="shared" si="3"/>
        <v>0</v>
      </c>
      <c r="K198" s="22">
        <f t="shared" si="2"/>
        <v>0</v>
      </c>
    </row>
    <row r="199" spans="1:11" ht="12.75" x14ac:dyDescent="0.2">
      <c r="A199" s="13">
        <v>45784</v>
      </c>
      <c r="B199" s="14" t="s">
        <v>5</v>
      </c>
      <c r="C199" s="15"/>
      <c r="D199" s="16"/>
      <c r="E199" s="17"/>
      <c r="F199" s="17"/>
      <c r="H199" s="19">
        <f t="shared" si="0"/>
        <v>0</v>
      </c>
      <c r="I199" s="20">
        <f t="shared" si="1"/>
        <v>0</v>
      </c>
      <c r="J199" s="21">
        <f t="shared" si="3"/>
        <v>0</v>
      </c>
      <c r="K199" s="22">
        <f t="shared" si="2"/>
        <v>0</v>
      </c>
    </row>
    <row r="200" spans="1:11" ht="12.75" x14ac:dyDescent="0.2">
      <c r="A200" s="13">
        <v>45785</v>
      </c>
      <c r="B200" s="14" t="s">
        <v>6</v>
      </c>
      <c r="C200" s="15"/>
      <c r="D200" s="16"/>
      <c r="E200" s="17"/>
      <c r="F200" s="17"/>
      <c r="H200" s="19">
        <f t="shared" si="0"/>
        <v>0</v>
      </c>
      <c r="I200" s="20">
        <f t="shared" si="1"/>
        <v>0</v>
      </c>
      <c r="J200" s="21">
        <f t="shared" si="3"/>
        <v>0</v>
      </c>
      <c r="K200" s="22">
        <f t="shared" si="2"/>
        <v>0</v>
      </c>
    </row>
    <row r="201" spans="1:11" ht="12.75" x14ac:dyDescent="0.2">
      <c r="A201" s="13">
        <v>45786</v>
      </c>
      <c r="B201" s="14" t="s">
        <v>7</v>
      </c>
      <c r="C201" s="15"/>
      <c r="D201" s="16"/>
      <c r="E201" s="17"/>
      <c r="F201" s="17"/>
      <c r="H201" s="19">
        <f t="shared" si="0"/>
        <v>0</v>
      </c>
      <c r="I201" s="20">
        <f t="shared" si="1"/>
        <v>0</v>
      </c>
      <c r="J201" s="21">
        <f t="shared" si="3"/>
        <v>0</v>
      </c>
      <c r="K201" s="22">
        <f t="shared" si="2"/>
        <v>0</v>
      </c>
    </row>
    <row r="202" spans="1:11" ht="12.75" x14ac:dyDescent="0.2">
      <c r="A202" s="13">
        <v>45789</v>
      </c>
      <c r="B202" s="14" t="s">
        <v>3</v>
      </c>
      <c r="C202" s="15"/>
      <c r="D202" s="16"/>
      <c r="E202" s="17"/>
      <c r="F202" s="17"/>
      <c r="H202" s="19">
        <f t="shared" si="0"/>
        <v>0</v>
      </c>
      <c r="I202" s="20">
        <f t="shared" si="1"/>
        <v>0</v>
      </c>
      <c r="J202" s="21">
        <f t="shared" si="3"/>
        <v>0</v>
      </c>
      <c r="K202" s="22">
        <f t="shared" si="2"/>
        <v>0</v>
      </c>
    </row>
    <row r="203" spans="1:11" ht="12.75" x14ac:dyDescent="0.2">
      <c r="A203" s="13">
        <v>45790</v>
      </c>
      <c r="B203" s="14" t="s">
        <v>4</v>
      </c>
      <c r="C203" s="15"/>
      <c r="D203" s="16"/>
      <c r="E203" s="17"/>
      <c r="F203" s="17"/>
      <c r="H203" s="19">
        <f t="shared" si="0"/>
        <v>0</v>
      </c>
      <c r="I203" s="20">
        <f t="shared" si="1"/>
        <v>0</v>
      </c>
      <c r="J203" s="21">
        <f t="shared" si="3"/>
        <v>0</v>
      </c>
      <c r="K203" s="22">
        <f t="shared" si="2"/>
        <v>0</v>
      </c>
    </row>
    <row r="204" spans="1:11" ht="12.75" x14ac:dyDescent="0.2">
      <c r="A204" s="13">
        <v>45791</v>
      </c>
      <c r="B204" s="14" t="s">
        <v>5</v>
      </c>
      <c r="C204" s="15"/>
      <c r="D204" s="16"/>
      <c r="E204" s="17"/>
      <c r="F204" s="17"/>
      <c r="H204" s="19">
        <f t="shared" si="0"/>
        <v>0</v>
      </c>
      <c r="I204" s="20">
        <f t="shared" si="1"/>
        <v>0</v>
      </c>
      <c r="J204" s="21">
        <f t="shared" si="3"/>
        <v>0</v>
      </c>
      <c r="K204" s="22">
        <f t="shared" si="2"/>
        <v>0</v>
      </c>
    </row>
    <row r="205" spans="1:11" ht="12.75" x14ac:dyDescent="0.2">
      <c r="A205" s="13">
        <v>45792</v>
      </c>
      <c r="B205" s="14" t="s">
        <v>6</v>
      </c>
      <c r="C205" s="15"/>
      <c r="D205" s="16"/>
      <c r="E205" s="17"/>
      <c r="F205" s="17"/>
      <c r="H205" s="19">
        <f t="shared" si="0"/>
        <v>0</v>
      </c>
      <c r="I205" s="20">
        <f t="shared" si="1"/>
        <v>0</v>
      </c>
      <c r="J205" s="21">
        <f t="shared" si="3"/>
        <v>0</v>
      </c>
      <c r="K205" s="22">
        <f t="shared" si="2"/>
        <v>0</v>
      </c>
    </row>
    <row r="206" spans="1:11" ht="12.75" x14ac:dyDescent="0.2">
      <c r="A206" s="13">
        <v>45793</v>
      </c>
      <c r="B206" s="14" t="s">
        <v>7</v>
      </c>
      <c r="C206" s="15"/>
      <c r="D206" s="16"/>
      <c r="E206" s="17"/>
      <c r="F206" s="17"/>
      <c r="H206" s="19">
        <f t="shared" si="0"/>
        <v>0</v>
      </c>
      <c r="I206" s="20">
        <f t="shared" si="1"/>
        <v>0</v>
      </c>
      <c r="J206" s="21">
        <f t="shared" si="3"/>
        <v>0</v>
      </c>
      <c r="K206" s="22">
        <f t="shared" si="2"/>
        <v>0</v>
      </c>
    </row>
    <row r="207" spans="1:11" ht="12.75" x14ac:dyDescent="0.2">
      <c r="A207" s="13">
        <v>45796</v>
      </c>
      <c r="B207" s="14" t="s">
        <v>3</v>
      </c>
      <c r="C207" s="15"/>
      <c r="D207" s="16"/>
      <c r="E207" s="17"/>
      <c r="F207" s="17"/>
      <c r="H207" s="19">
        <f t="shared" si="0"/>
        <v>0</v>
      </c>
      <c r="I207" s="20">
        <f t="shared" si="1"/>
        <v>0</v>
      </c>
      <c r="J207" s="21">
        <f t="shared" si="3"/>
        <v>0</v>
      </c>
      <c r="K207" s="22">
        <f t="shared" si="2"/>
        <v>0</v>
      </c>
    </row>
    <row r="208" spans="1:11" ht="12.75" x14ac:dyDescent="0.2">
      <c r="A208" s="13">
        <v>45797</v>
      </c>
      <c r="B208" s="14" t="s">
        <v>4</v>
      </c>
      <c r="C208" s="15"/>
      <c r="D208" s="16"/>
      <c r="E208" s="17"/>
      <c r="F208" s="17"/>
      <c r="H208" s="19">
        <f t="shared" si="0"/>
        <v>0</v>
      </c>
      <c r="I208" s="20">
        <f t="shared" si="1"/>
        <v>0</v>
      </c>
      <c r="J208" s="21">
        <f t="shared" si="3"/>
        <v>0</v>
      </c>
      <c r="K208" s="22">
        <f t="shared" si="2"/>
        <v>0</v>
      </c>
    </row>
    <row r="209" spans="1:11" ht="12.75" x14ac:dyDescent="0.2">
      <c r="A209" s="13">
        <v>45798</v>
      </c>
      <c r="B209" s="14" t="s">
        <v>5</v>
      </c>
      <c r="C209" s="15"/>
      <c r="D209" s="16"/>
      <c r="E209" s="17"/>
      <c r="F209" s="17"/>
      <c r="H209" s="19">
        <f t="shared" si="0"/>
        <v>0</v>
      </c>
      <c r="I209" s="20">
        <f t="shared" si="1"/>
        <v>0</v>
      </c>
      <c r="J209" s="21">
        <f t="shared" si="3"/>
        <v>0</v>
      </c>
      <c r="K209" s="22">
        <f t="shared" si="2"/>
        <v>0</v>
      </c>
    </row>
    <row r="210" spans="1:11" ht="12.75" x14ac:dyDescent="0.2">
      <c r="A210" s="13">
        <v>45799</v>
      </c>
      <c r="B210" s="14" t="s">
        <v>6</v>
      </c>
      <c r="C210" s="15"/>
      <c r="D210" s="16"/>
      <c r="E210" s="17"/>
      <c r="F210" s="17"/>
      <c r="H210" s="19">
        <f t="shared" si="0"/>
        <v>0</v>
      </c>
      <c r="I210" s="20">
        <f t="shared" si="1"/>
        <v>0</v>
      </c>
      <c r="J210" s="21">
        <f t="shared" si="3"/>
        <v>0</v>
      </c>
      <c r="K210" s="22">
        <f t="shared" si="2"/>
        <v>0</v>
      </c>
    </row>
    <row r="211" spans="1:11" ht="12.75" x14ac:dyDescent="0.2">
      <c r="A211" s="13">
        <v>45800</v>
      </c>
      <c r="B211" s="14" t="s">
        <v>7</v>
      </c>
      <c r="C211" s="15"/>
      <c r="D211" s="16"/>
      <c r="E211" s="17"/>
      <c r="F211" s="17"/>
      <c r="H211" s="19">
        <f t="shared" si="0"/>
        <v>0</v>
      </c>
      <c r="I211" s="20">
        <f t="shared" si="1"/>
        <v>0</v>
      </c>
      <c r="J211" s="21">
        <f t="shared" si="3"/>
        <v>0</v>
      </c>
      <c r="K211" s="22">
        <f t="shared" si="2"/>
        <v>0</v>
      </c>
    </row>
    <row r="212" spans="1:11" ht="12.75" x14ac:dyDescent="0.2">
      <c r="A212" s="24">
        <v>45803</v>
      </c>
      <c r="B212" s="25" t="s">
        <v>3</v>
      </c>
      <c r="C212" s="26"/>
      <c r="D212" s="27"/>
      <c r="E212" s="28"/>
      <c r="F212" s="28"/>
      <c r="G212" s="29"/>
      <c r="H212" s="19">
        <f t="shared" si="0"/>
        <v>0</v>
      </c>
      <c r="I212" s="20">
        <f t="shared" si="1"/>
        <v>0</v>
      </c>
      <c r="J212" s="21">
        <f t="shared" si="3"/>
        <v>0</v>
      </c>
      <c r="K212" s="22">
        <f t="shared" si="2"/>
        <v>0</v>
      </c>
    </row>
    <row r="213" spans="1:11" ht="12.75" x14ac:dyDescent="0.2">
      <c r="A213" s="13">
        <v>45804</v>
      </c>
      <c r="B213" s="14" t="s">
        <v>4</v>
      </c>
      <c r="C213" s="15"/>
      <c r="D213" s="16"/>
      <c r="E213" s="17"/>
      <c r="F213" s="17"/>
      <c r="H213" s="19">
        <f t="shared" si="0"/>
        <v>0</v>
      </c>
      <c r="I213" s="20">
        <f t="shared" si="1"/>
        <v>0</v>
      </c>
      <c r="J213" s="21">
        <f t="shared" si="3"/>
        <v>0</v>
      </c>
      <c r="K213" s="22">
        <f t="shared" si="2"/>
        <v>0</v>
      </c>
    </row>
    <row r="214" spans="1:11" ht="12.75" x14ac:dyDescent="0.2">
      <c r="A214" s="13">
        <v>45805</v>
      </c>
      <c r="B214" s="14" t="s">
        <v>5</v>
      </c>
      <c r="C214" s="15"/>
      <c r="D214" s="16"/>
      <c r="E214" s="17"/>
      <c r="F214" s="17"/>
      <c r="H214" s="19">
        <f t="shared" si="0"/>
        <v>0</v>
      </c>
      <c r="I214" s="20">
        <f t="shared" si="1"/>
        <v>0</v>
      </c>
      <c r="J214" s="21">
        <f t="shared" si="3"/>
        <v>0</v>
      </c>
      <c r="K214" s="22">
        <f t="shared" si="2"/>
        <v>0</v>
      </c>
    </row>
    <row r="215" spans="1:11" ht="12.75" x14ac:dyDescent="0.2">
      <c r="A215" s="13">
        <v>45806</v>
      </c>
      <c r="B215" s="46" t="s">
        <v>6</v>
      </c>
      <c r="C215" s="15"/>
      <c r="D215" s="16"/>
      <c r="E215" s="17"/>
      <c r="F215" s="17"/>
      <c r="H215" s="19">
        <f t="shared" si="0"/>
        <v>0</v>
      </c>
      <c r="I215" s="20">
        <f t="shared" si="1"/>
        <v>0</v>
      </c>
      <c r="J215" s="21">
        <f t="shared" si="3"/>
        <v>0</v>
      </c>
      <c r="K215" s="22">
        <f t="shared" si="2"/>
        <v>0</v>
      </c>
    </row>
    <row r="216" spans="1:11" ht="12.75" hidden="1" x14ac:dyDescent="0.2">
      <c r="A216" s="16"/>
      <c r="B216" s="16"/>
      <c r="C216" s="15"/>
      <c r="D216" s="16"/>
      <c r="E216" s="17"/>
      <c r="F216" s="17"/>
      <c r="H216" s="19"/>
      <c r="I216" s="47"/>
      <c r="J216" s="48"/>
      <c r="K216" s="49"/>
    </row>
    <row r="217" spans="1:11" ht="12.75" hidden="1" x14ac:dyDescent="0.2">
      <c r="A217" s="16"/>
      <c r="B217" s="16"/>
      <c r="C217" s="15"/>
      <c r="D217" s="16"/>
      <c r="E217" s="17"/>
      <c r="F217" s="17"/>
      <c r="H217" s="19"/>
      <c r="I217" s="47"/>
      <c r="J217" s="48"/>
      <c r="K217" s="49"/>
    </row>
    <row r="218" spans="1:11" ht="12.75" hidden="1" x14ac:dyDescent="0.2">
      <c r="A218" s="16"/>
      <c r="B218" s="16"/>
      <c r="C218" s="15"/>
      <c r="D218" s="16"/>
      <c r="E218" s="17"/>
      <c r="F218" s="17"/>
      <c r="H218" s="19"/>
      <c r="I218" s="47"/>
      <c r="J218" s="48"/>
      <c r="K218" s="49"/>
    </row>
    <row r="219" spans="1:11" ht="12.75" hidden="1" x14ac:dyDescent="0.2">
      <c r="A219" s="16"/>
      <c r="B219" s="16"/>
      <c r="C219" s="15"/>
      <c r="D219" s="16"/>
      <c r="E219" s="17"/>
      <c r="F219" s="17"/>
      <c r="H219" s="19"/>
      <c r="I219" s="47"/>
      <c r="J219" s="48"/>
      <c r="K219" s="49"/>
    </row>
    <row r="220" spans="1:11" ht="12.75" hidden="1" x14ac:dyDescent="0.2">
      <c r="A220" s="16"/>
      <c r="B220" s="16"/>
      <c r="C220" s="15"/>
      <c r="D220" s="16"/>
      <c r="E220" s="17"/>
      <c r="F220" s="17"/>
      <c r="H220" s="19"/>
      <c r="I220" s="47"/>
      <c r="J220" s="48"/>
      <c r="K220" s="49"/>
    </row>
    <row r="221" spans="1:11" ht="12.75" hidden="1" x14ac:dyDescent="0.2">
      <c r="A221" s="16"/>
      <c r="B221" s="16"/>
      <c r="C221" s="15"/>
      <c r="D221" s="16"/>
      <c r="E221" s="17"/>
      <c r="F221" s="17"/>
      <c r="H221" s="19"/>
      <c r="I221" s="47"/>
      <c r="J221" s="48"/>
      <c r="K221" s="49"/>
    </row>
    <row r="222" spans="1:11" ht="12.75" hidden="1" x14ac:dyDescent="0.2">
      <c r="A222" s="16"/>
      <c r="B222" s="16"/>
      <c r="C222" s="15"/>
      <c r="D222" s="16"/>
      <c r="E222" s="17"/>
      <c r="F222" s="17"/>
      <c r="H222" s="19"/>
      <c r="I222" s="47"/>
      <c r="J222" s="48"/>
      <c r="K222" s="49"/>
    </row>
    <row r="223" spans="1:11" ht="12.75" hidden="1" x14ac:dyDescent="0.2">
      <c r="A223" s="16"/>
      <c r="B223" s="16"/>
      <c r="C223" s="15"/>
      <c r="D223" s="16"/>
      <c r="E223" s="17"/>
      <c r="F223" s="17"/>
      <c r="H223" s="19"/>
      <c r="I223" s="47"/>
      <c r="J223" s="48"/>
      <c r="K223" s="49"/>
    </row>
    <row r="224" spans="1:11" ht="12.75" hidden="1" x14ac:dyDescent="0.2">
      <c r="A224" s="16"/>
      <c r="B224" s="16"/>
      <c r="C224" s="15"/>
      <c r="D224" s="16"/>
      <c r="E224" s="17"/>
      <c r="F224" s="17"/>
      <c r="H224" s="19"/>
      <c r="I224" s="47"/>
      <c r="J224" s="48"/>
      <c r="K224" s="49"/>
    </row>
    <row r="225" spans="1:11" ht="12.75" hidden="1" x14ac:dyDescent="0.2">
      <c r="A225" s="16"/>
      <c r="B225" s="16"/>
      <c r="C225" s="15"/>
      <c r="D225" s="16"/>
      <c r="E225" s="17"/>
      <c r="F225" s="17"/>
      <c r="H225" s="19"/>
      <c r="I225" s="47"/>
      <c r="J225" s="48"/>
      <c r="K225" s="49"/>
    </row>
    <row r="226" spans="1:11" ht="12.75" hidden="1" x14ac:dyDescent="0.2">
      <c r="A226" s="16"/>
      <c r="B226" s="16"/>
      <c r="C226" s="15"/>
      <c r="D226" s="16"/>
      <c r="E226" s="17"/>
      <c r="F226" s="17"/>
      <c r="H226" s="19"/>
      <c r="I226" s="47"/>
      <c r="J226" s="48"/>
      <c r="K226" s="49"/>
    </row>
    <row r="227" spans="1:11" ht="12.75" hidden="1" x14ac:dyDescent="0.2">
      <c r="A227" s="16"/>
      <c r="B227" s="16"/>
      <c r="C227" s="15"/>
      <c r="D227" s="16"/>
      <c r="E227" s="17"/>
      <c r="F227" s="17"/>
      <c r="H227" s="19"/>
      <c r="I227" s="47"/>
      <c r="J227" s="48"/>
      <c r="K227" s="49"/>
    </row>
    <row r="228" spans="1:11" ht="12.75" hidden="1" x14ac:dyDescent="0.2">
      <c r="A228" s="16"/>
      <c r="B228" s="16"/>
      <c r="C228" s="15"/>
      <c r="D228" s="16"/>
      <c r="E228" s="17"/>
      <c r="F228" s="17"/>
      <c r="H228" s="19"/>
      <c r="I228" s="47"/>
      <c r="J228" s="48"/>
      <c r="K228" s="49"/>
    </row>
    <row r="229" spans="1:11" ht="12.75" hidden="1" x14ac:dyDescent="0.2">
      <c r="A229" s="16"/>
      <c r="B229" s="16"/>
      <c r="C229" s="15"/>
      <c r="D229" s="16"/>
      <c r="E229" s="17"/>
      <c r="F229" s="17"/>
      <c r="H229" s="19"/>
      <c r="I229" s="47"/>
      <c r="J229" s="48"/>
      <c r="K229" s="49"/>
    </row>
    <row r="230" spans="1:11" ht="12.75" hidden="1" x14ac:dyDescent="0.2">
      <c r="A230" s="16"/>
      <c r="B230" s="16"/>
      <c r="C230" s="15"/>
      <c r="D230" s="16"/>
      <c r="E230" s="17"/>
      <c r="F230" s="17"/>
      <c r="H230" s="19"/>
      <c r="I230" s="47"/>
      <c r="J230" s="48"/>
      <c r="K230" s="49"/>
    </row>
    <row r="231" spans="1:11" ht="12.75" hidden="1" x14ac:dyDescent="0.2">
      <c r="A231" s="16"/>
      <c r="B231" s="16"/>
      <c r="C231" s="15"/>
      <c r="D231" s="16"/>
      <c r="E231" s="17"/>
      <c r="F231" s="17"/>
      <c r="H231" s="19"/>
      <c r="I231" s="47"/>
      <c r="J231" s="48"/>
      <c r="K231" s="49"/>
    </row>
    <row r="232" spans="1:11" ht="12.75" hidden="1" x14ac:dyDescent="0.2">
      <c r="A232" s="16"/>
      <c r="B232" s="16"/>
      <c r="C232" s="15"/>
      <c r="D232" s="16"/>
      <c r="E232" s="17"/>
      <c r="F232" s="17"/>
      <c r="H232" s="19"/>
      <c r="I232" s="47"/>
      <c r="J232" s="48"/>
      <c r="K232" s="49"/>
    </row>
    <row r="233" spans="1:11" ht="12.75" hidden="1" x14ac:dyDescent="0.2">
      <c r="A233" s="16"/>
      <c r="B233" s="16"/>
      <c r="C233" s="15"/>
      <c r="D233" s="16"/>
      <c r="E233" s="17"/>
      <c r="F233" s="17"/>
      <c r="H233" s="19"/>
      <c r="I233" s="47"/>
      <c r="J233" s="48"/>
      <c r="K233" s="49"/>
    </row>
    <row r="234" spans="1:11" ht="12.75" hidden="1" x14ac:dyDescent="0.2">
      <c r="A234" s="16"/>
      <c r="B234" s="16"/>
      <c r="C234" s="15"/>
      <c r="D234" s="16"/>
      <c r="E234" s="17"/>
      <c r="F234" s="17"/>
      <c r="H234" s="19"/>
      <c r="I234" s="47"/>
      <c r="J234" s="48"/>
      <c r="K234" s="49"/>
    </row>
    <row r="235" spans="1:11" ht="12.75" hidden="1" x14ac:dyDescent="0.2">
      <c r="A235" s="16"/>
      <c r="B235" s="16"/>
      <c r="C235" s="15"/>
      <c r="D235" s="16"/>
      <c r="E235" s="17"/>
      <c r="F235" s="17"/>
      <c r="H235" s="19"/>
      <c r="I235" s="47"/>
      <c r="J235" s="48"/>
      <c r="K235" s="49"/>
    </row>
    <row r="236" spans="1:11" ht="12.75" hidden="1" x14ac:dyDescent="0.2">
      <c r="A236" s="16"/>
      <c r="B236" s="16"/>
      <c r="C236" s="15"/>
      <c r="D236" s="16"/>
      <c r="E236" s="17"/>
      <c r="F236" s="17"/>
      <c r="H236" s="19"/>
      <c r="I236" s="47"/>
      <c r="J236" s="48"/>
      <c r="K236" s="49"/>
    </row>
    <row r="237" spans="1:11" ht="12.75" hidden="1" x14ac:dyDescent="0.2">
      <c r="A237" s="16"/>
      <c r="B237" s="16"/>
      <c r="C237" s="15"/>
      <c r="D237" s="16"/>
      <c r="E237" s="17"/>
      <c r="F237" s="17"/>
      <c r="H237" s="19"/>
      <c r="I237" s="47"/>
      <c r="J237" s="48"/>
      <c r="K237" s="49"/>
    </row>
    <row r="238" spans="1:11" ht="12.75" hidden="1" x14ac:dyDescent="0.2">
      <c r="A238" s="16"/>
      <c r="B238" s="16"/>
      <c r="C238" s="15"/>
      <c r="D238" s="16"/>
      <c r="E238" s="17"/>
      <c r="F238" s="17"/>
      <c r="H238" s="19"/>
      <c r="I238" s="47"/>
      <c r="J238" s="48"/>
      <c r="K238" s="49"/>
    </row>
    <row r="239" spans="1:11" ht="12.75" hidden="1" x14ac:dyDescent="0.2">
      <c r="A239" s="16"/>
      <c r="B239" s="16"/>
      <c r="C239" s="15"/>
      <c r="D239" s="16"/>
      <c r="E239" s="17"/>
      <c r="F239" s="17"/>
      <c r="H239" s="19"/>
      <c r="I239" s="47"/>
      <c r="J239" s="48"/>
      <c r="K239" s="49"/>
    </row>
    <row r="240" spans="1:11" ht="12.75" hidden="1" x14ac:dyDescent="0.2">
      <c r="A240" s="16"/>
      <c r="B240" s="16"/>
      <c r="C240" s="15"/>
      <c r="D240" s="16"/>
      <c r="E240" s="17"/>
      <c r="F240" s="17"/>
      <c r="H240" s="19"/>
      <c r="I240" s="47"/>
      <c r="J240" s="48"/>
      <c r="K240" s="49"/>
    </row>
    <row r="241" spans="1:11" ht="12.75" hidden="1" x14ac:dyDescent="0.2">
      <c r="A241" s="16"/>
      <c r="B241" s="16"/>
      <c r="C241" s="15"/>
      <c r="D241" s="16"/>
      <c r="E241" s="17"/>
      <c r="F241" s="17"/>
      <c r="H241" s="19"/>
      <c r="I241" s="47"/>
      <c r="J241" s="48"/>
      <c r="K241" s="49"/>
    </row>
    <row r="242" spans="1:11" ht="12.75" hidden="1" x14ac:dyDescent="0.2">
      <c r="A242" s="16"/>
      <c r="B242" s="16"/>
      <c r="C242" s="15"/>
      <c r="D242" s="16"/>
      <c r="E242" s="17"/>
      <c r="F242" s="17"/>
      <c r="H242" s="19"/>
      <c r="I242" s="47"/>
      <c r="J242" s="48"/>
      <c r="K242" s="49"/>
    </row>
    <row r="243" spans="1:11" ht="12.75" hidden="1" x14ac:dyDescent="0.2">
      <c r="A243" s="16"/>
      <c r="B243" s="16"/>
      <c r="C243" s="15"/>
      <c r="D243" s="16"/>
      <c r="E243" s="17"/>
      <c r="F243" s="17"/>
      <c r="H243" s="19"/>
      <c r="I243" s="47"/>
      <c r="J243" s="48"/>
      <c r="K243" s="49"/>
    </row>
    <row r="244" spans="1:11" ht="12.75" hidden="1" x14ac:dyDescent="0.2">
      <c r="A244" s="16"/>
      <c r="B244" s="16"/>
      <c r="C244" s="15"/>
      <c r="D244" s="16"/>
      <c r="E244" s="17"/>
      <c r="F244" s="17"/>
      <c r="H244" s="19"/>
      <c r="I244" s="47"/>
      <c r="J244" s="48"/>
      <c r="K244" s="49"/>
    </row>
    <row r="245" spans="1:11" ht="12.75" hidden="1" x14ac:dyDescent="0.2">
      <c r="A245" s="16"/>
      <c r="B245" s="16"/>
      <c r="C245" s="15"/>
      <c r="D245" s="16"/>
      <c r="E245" s="17"/>
      <c r="F245" s="17"/>
      <c r="H245" s="19"/>
      <c r="I245" s="47"/>
      <c r="J245" s="48"/>
      <c r="K245" s="49"/>
    </row>
    <row r="246" spans="1:11" ht="12.75" hidden="1" x14ac:dyDescent="0.2">
      <c r="A246" s="16"/>
      <c r="B246" s="16"/>
      <c r="C246" s="15"/>
      <c r="D246" s="16"/>
      <c r="E246" s="17"/>
      <c r="F246" s="17"/>
      <c r="H246" s="19"/>
      <c r="I246" s="47"/>
      <c r="J246" s="48"/>
      <c r="K246" s="49"/>
    </row>
    <row r="247" spans="1:11" ht="12.75" hidden="1" x14ac:dyDescent="0.2">
      <c r="A247" s="16"/>
      <c r="B247" s="16"/>
      <c r="C247" s="15"/>
      <c r="D247" s="16"/>
      <c r="E247" s="17"/>
      <c r="F247" s="17"/>
      <c r="H247" s="19"/>
      <c r="I247" s="47"/>
      <c r="J247" s="48"/>
      <c r="K247" s="49"/>
    </row>
    <row r="248" spans="1:11" ht="12.75" hidden="1" x14ac:dyDescent="0.2">
      <c r="A248" s="16"/>
      <c r="B248" s="16"/>
      <c r="C248" s="15"/>
      <c r="D248" s="16"/>
      <c r="E248" s="17"/>
      <c r="F248" s="17"/>
      <c r="H248" s="19"/>
      <c r="I248" s="47"/>
      <c r="J248" s="48"/>
      <c r="K248" s="49"/>
    </row>
    <row r="249" spans="1:11" ht="12.75" hidden="1" x14ac:dyDescent="0.2">
      <c r="A249" s="16"/>
      <c r="B249" s="16"/>
      <c r="C249" s="15"/>
      <c r="D249" s="16"/>
      <c r="E249" s="17"/>
      <c r="F249" s="17"/>
      <c r="H249" s="19"/>
      <c r="I249" s="47"/>
      <c r="J249" s="48"/>
      <c r="K249" s="49"/>
    </row>
    <row r="250" spans="1:11" ht="12.75" hidden="1" x14ac:dyDescent="0.2">
      <c r="A250" s="16"/>
      <c r="B250" s="16"/>
      <c r="C250" s="15"/>
      <c r="D250" s="16"/>
      <c r="E250" s="17"/>
      <c r="F250" s="17"/>
      <c r="H250" s="19"/>
      <c r="I250" s="47"/>
      <c r="J250" s="48"/>
      <c r="K250" s="49"/>
    </row>
    <row r="251" spans="1:11" ht="12.75" hidden="1" x14ac:dyDescent="0.2">
      <c r="A251" s="16"/>
      <c r="B251" s="16"/>
      <c r="C251" s="15"/>
      <c r="D251" s="16"/>
      <c r="E251" s="17"/>
      <c r="F251" s="17"/>
      <c r="H251" s="19"/>
      <c r="I251" s="47"/>
      <c r="J251" s="48"/>
      <c r="K251" s="49"/>
    </row>
    <row r="252" spans="1:11" ht="12.75" hidden="1" x14ac:dyDescent="0.2">
      <c r="A252" s="16"/>
      <c r="B252" s="16"/>
      <c r="C252" s="15"/>
      <c r="D252" s="16"/>
      <c r="E252" s="17"/>
      <c r="F252" s="17"/>
      <c r="H252" s="19"/>
      <c r="I252" s="47"/>
      <c r="J252" s="48"/>
      <c r="K252" s="49"/>
    </row>
    <row r="253" spans="1:11" ht="12.75" hidden="1" x14ac:dyDescent="0.2">
      <c r="A253" s="16"/>
      <c r="B253" s="16"/>
      <c r="C253" s="15"/>
      <c r="D253" s="16"/>
      <c r="E253" s="17"/>
      <c r="F253" s="17"/>
      <c r="H253" s="19"/>
      <c r="I253" s="47"/>
      <c r="J253" s="48"/>
      <c r="K253" s="49"/>
    </row>
    <row r="254" spans="1:11" ht="12.75" hidden="1" x14ac:dyDescent="0.2">
      <c r="A254" s="16"/>
      <c r="B254" s="16"/>
      <c r="C254" s="15"/>
      <c r="D254" s="16"/>
      <c r="E254" s="17"/>
      <c r="F254" s="17"/>
      <c r="H254" s="19"/>
      <c r="I254" s="47"/>
      <c r="J254" s="48"/>
      <c r="K254" s="49"/>
    </row>
    <row r="255" spans="1:11" ht="12.75" hidden="1" x14ac:dyDescent="0.2">
      <c r="A255" s="16"/>
      <c r="B255" s="16"/>
      <c r="C255" s="15"/>
      <c r="D255" s="16"/>
      <c r="E255" s="17"/>
      <c r="F255" s="17"/>
      <c r="H255" s="19"/>
      <c r="I255" s="47"/>
      <c r="J255" s="48"/>
      <c r="K255" s="49"/>
    </row>
    <row r="256" spans="1:11" ht="12.75" hidden="1" x14ac:dyDescent="0.2">
      <c r="A256" s="16"/>
      <c r="B256" s="16"/>
      <c r="C256" s="15"/>
      <c r="D256" s="16"/>
      <c r="E256" s="17"/>
      <c r="F256" s="17"/>
      <c r="H256" s="19"/>
      <c r="I256" s="47"/>
      <c r="J256" s="48"/>
      <c r="K256" s="49"/>
    </row>
    <row r="257" spans="1:11" ht="12.75" hidden="1" x14ac:dyDescent="0.2">
      <c r="A257" s="16"/>
      <c r="B257" s="16"/>
      <c r="C257" s="15"/>
      <c r="D257" s="16"/>
      <c r="E257" s="17"/>
      <c r="F257" s="17"/>
      <c r="H257" s="19"/>
      <c r="I257" s="47"/>
      <c r="J257" s="48"/>
      <c r="K257" s="49"/>
    </row>
    <row r="258" spans="1:11" ht="12.75" hidden="1" x14ac:dyDescent="0.2">
      <c r="A258" s="16"/>
      <c r="B258" s="16"/>
      <c r="C258" s="15"/>
      <c r="D258" s="16"/>
      <c r="E258" s="17"/>
      <c r="F258" s="17"/>
      <c r="H258" s="19"/>
      <c r="I258" s="47"/>
      <c r="J258" s="48"/>
      <c r="K258" s="49"/>
    </row>
    <row r="259" spans="1:11" ht="12.75" hidden="1" x14ac:dyDescent="0.2">
      <c r="A259" s="16"/>
      <c r="B259" s="16"/>
      <c r="C259" s="15"/>
      <c r="D259" s="16"/>
      <c r="E259" s="17"/>
      <c r="F259" s="17"/>
      <c r="H259" s="19"/>
      <c r="I259" s="47"/>
      <c r="J259" s="48"/>
      <c r="K259" s="49"/>
    </row>
    <row r="260" spans="1:11" ht="12.75" hidden="1" x14ac:dyDescent="0.2">
      <c r="A260" s="16"/>
      <c r="B260" s="16"/>
      <c r="C260" s="15"/>
      <c r="D260" s="16"/>
      <c r="E260" s="17"/>
      <c r="F260" s="17"/>
      <c r="H260" s="19"/>
      <c r="I260" s="47"/>
      <c r="J260" s="48"/>
      <c r="K260" s="49"/>
    </row>
    <row r="261" spans="1:11" ht="12.75" hidden="1" x14ac:dyDescent="0.2">
      <c r="A261" s="16"/>
      <c r="B261" s="16"/>
      <c r="C261" s="15"/>
      <c r="D261" s="16"/>
      <c r="E261" s="17"/>
      <c r="F261" s="17"/>
      <c r="H261" s="19"/>
      <c r="I261" s="47"/>
      <c r="J261" s="48"/>
      <c r="K261" s="49"/>
    </row>
    <row r="262" spans="1:11" ht="12.75" hidden="1" x14ac:dyDescent="0.2">
      <c r="A262" s="16"/>
      <c r="B262" s="16"/>
      <c r="C262" s="15"/>
      <c r="D262" s="16"/>
      <c r="E262" s="17"/>
      <c r="F262" s="17"/>
      <c r="H262" s="19"/>
      <c r="I262" s="47"/>
      <c r="J262" s="48"/>
      <c r="K262" s="49"/>
    </row>
    <row r="263" spans="1:11" ht="12.75" hidden="1" x14ac:dyDescent="0.2">
      <c r="A263" s="16"/>
      <c r="B263" s="16"/>
      <c r="C263" s="15"/>
      <c r="D263" s="16"/>
      <c r="E263" s="17"/>
      <c r="F263" s="17"/>
      <c r="H263" s="19"/>
      <c r="I263" s="47"/>
      <c r="J263" s="48"/>
      <c r="K263" s="49"/>
    </row>
    <row r="264" spans="1:11" ht="12.75" hidden="1" x14ac:dyDescent="0.2">
      <c r="A264" s="16"/>
      <c r="B264" s="16"/>
      <c r="C264" s="15"/>
      <c r="D264" s="16"/>
      <c r="E264" s="17"/>
      <c r="F264" s="17"/>
      <c r="H264" s="19"/>
      <c r="I264" s="47"/>
      <c r="J264" s="48"/>
      <c r="K264" s="49"/>
    </row>
    <row r="265" spans="1:11" ht="12.75" hidden="1" x14ac:dyDescent="0.2">
      <c r="A265" s="16"/>
      <c r="B265" s="16"/>
      <c r="C265" s="15"/>
      <c r="D265" s="16"/>
      <c r="E265" s="17"/>
      <c r="F265" s="17"/>
      <c r="H265" s="19"/>
      <c r="I265" s="47"/>
      <c r="J265" s="48"/>
      <c r="K265" s="49"/>
    </row>
    <row r="266" spans="1:11" ht="12.75" hidden="1" x14ac:dyDescent="0.2">
      <c r="A266" s="16"/>
      <c r="B266" s="16"/>
      <c r="C266" s="15"/>
      <c r="D266" s="16"/>
      <c r="E266" s="17"/>
      <c r="F266" s="17"/>
      <c r="H266" s="19"/>
      <c r="I266" s="47"/>
      <c r="J266" s="48"/>
      <c r="K266" s="49"/>
    </row>
    <row r="267" spans="1:11" ht="12.75" hidden="1" x14ac:dyDescent="0.2">
      <c r="A267" s="16"/>
      <c r="B267" s="16"/>
      <c r="C267" s="15"/>
      <c r="D267" s="16"/>
      <c r="E267" s="17"/>
      <c r="F267" s="17"/>
      <c r="H267" s="19"/>
      <c r="I267" s="47"/>
      <c r="J267" s="48"/>
      <c r="K267" s="49"/>
    </row>
    <row r="268" spans="1:11" ht="12.75" hidden="1" x14ac:dyDescent="0.2">
      <c r="A268" s="16"/>
      <c r="B268" s="16"/>
      <c r="C268" s="15"/>
      <c r="D268" s="16"/>
      <c r="E268" s="17"/>
      <c r="F268" s="17"/>
      <c r="H268" s="19"/>
      <c r="I268" s="47"/>
      <c r="J268" s="48"/>
      <c r="K268" s="49"/>
    </row>
    <row r="269" spans="1:11" ht="12.75" hidden="1" x14ac:dyDescent="0.2">
      <c r="A269" s="16"/>
      <c r="B269" s="16"/>
      <c r="C269" s="15"/>
      <c r="D269" s="16"/>
      <c r="E269" s="17"/>
      <c r="F269" s="17"/>
      <c r="H269" s="19"/>
      <c r="I269" s="47"/>
      <c r="J269" s="48"/>
      <c r="K269" s="49"/>
    </row>
    <row r="270" spans="1:11" ht="12.75" hidden="1" x14ac:dyDescent="0.2">
      <c r="A270" s="16"/>
      <c r="B270" s="16"/>
      <c r="C270" s="15"/>
      <c r="D270" s="16"/>
      <c r="E270" s="17"/>
      <c r="F270" s="17"/>
      <c r="H270" s="19"/>
      <c r="I270" s="47"/>
      <c r="J270" s="48"/>
      <c r="K270" s="49"/>
    </row>
    <row r="271" spans="1:11" ht="12.75" hidden="1" x14ac:dyDescent="0.2">
      <c r="A271" s="16"/>
      <c r="B271" s="16"/>
      <c r="C271" s="15"/>
      <c r="D271" s="16"/>
      <c r="E271" s="17"/>
      <c r="F271" s="17"/>
      <c r="H271" s="19"/>
      <c r="I271" s="47"/>
      <c r="J271" s="48"/>
      <c r="K271" s="49"/>
    </row>
    <row r="272" spans="1:11" ht="12.75" hidden="1" x14ac:dyDescent="0.2">
      <c r="A272" s="16"/>
      <c r="B272" s="16"/>
      <c r="C272" s="15"/>
      <c r="D272" s="16"/>
      <c r="E272" s="17"/>
      <c r="F272" s="17"/>
      <c r="H272" s="19"/>
      <c r="I272" s="47"/>
      <c r="J272" s="48"/>
      <c r="K272" s="49"/>
    </row>
    <row r="273" spans="1:11" ht="12.75" hidden="1" x14ac:dyDescent="0.2">
      <c r="A273" s="16"/>
      <c r="B273" s="16"/>
      <c r="C273" s="15"/>
      <c r="D273" s="16"/>
      <c r="E273" s="17"/>
      <c r="F273" s="17"/>
      <c r="H273" s="19"/>
      <c r="I273" s="47"/>
      <c r="J273" s="48"/>
      <c r="K273" s="49"/>
    </row>
    <row r="274" spans="1:11" ht="12.75" hidden="1" x14ac:dyDescent="0.2">
      <c r="A274" s="16"/>
      <c r="B274" s="16"/>
      <c r="C274" s="15"/>
      <c r="D274" s="16"/>
      <c r="E274" s="17"/>
      <c r="F274" s="17"/>
      <c r="H274" s="19"/>
      <c r="I274" s="47"/>
      <c r="J274" s="48"/>
      <c r="K274" s="49"/>
    </row>
    <row r="275" spans="1:11" ht="12.75" hidden="1" x14ac:dyDescent="0.2">
      <c r="A275" s="16"/>
      <c r="B275" s="16"/>
      <c r="C275" s="15"/>
      <c r="D275" s="16"/>
      <c r="E275" s="17"/>
      <c r="F275" s="17"/>
      <c r="H275" s="19"/>
      <c r="I275" s="47"/>
      <c r="J275" s="48"/>
      <c r="K275" s="49"/>
    </row>
    <row r="276" spans="1:11" ht="12.75" hidden="1" x14ac:dyDescent="0.2">
      <c r="A276" s="16"/>
      <c r="B276" s="16"/>
      <c r="C276" s="15"/>
      <c r="D276" s="16"/>
      <c r="E276" s="17"/>
      <c r="F276" s="17"/>
      <c r="H276" s="19"/>
      <c r="I276" s="47"/>
      <c r="J276" s="48"/>
      <c r="K276" s="49"/>
    </row>
    <row r="277" spans="1:11" ht="12.75" hidden="1" x14ac:dyDescent="0.2">
      <c r="A277" s="16"/>
      <c r="B277" s="16"/>
      <c r="C277" s="15"/>
      <c r="D277" s="16"/>
      <c r="E277" s="17"/>
      <c r="F277" s="17"/>
      <c r="H277" s="19"/>
      <c r="I277" s="47"/>
      <c r="J277" s="48"/>
      <c r="K277" s="49"/>
    </row>
    <row r="278" spans="1:11" ht="12.75" hidden="1" x14ac:dyDescent="0.2">
      <c r="A278" s="16"/>
      <c r="B278" s="16"/>
      <c r="C278" s="15"/>
      <c r="D278" s="16"/>
      <c r="E278" s="17"/>
      <c r="F278" s="17"/>
      <c r="H278" s="19"/>
      <c r="I278" s="47"/>
      <c r="J278" s="48"/>
      <c r="K278" s="49"/>
    </row>
    <row r="279" spans="1:11" ht="12.75" hidden="1" x14ac:dyDescent="0.2">
      <c r="A279" s="16"/>
      <c r="B279" s="16"/>
      <c r="C279" s="15"/>
      <c r="D279" s="16"/>
      <c r="E279" s="17"/>
      <c r="F279" s="17"/>
      <c r="H279" s="19"/>
      <c r="I279" s="47"/>
      <c r="J279" s="48"/>
      <c r="K279" s="49"/>
    </row>
    <row r="280" spans="1:11" ht="12.75" hidden="1" x14ac:dyDescent="0.2">
      <c r="A280" s="16"/>
      <c r="B280" s="16"/>
      <c r="C280" s="15"/>
      <c r="D280" s="16"/>
      <c r="E280" s="17"/>
      <c r="F280" s="17"/>
      <c r="H280" s="19"/>
      <c r="I280" s="47"/>
      <c r="J280" s="48"/>
      <c r="K280" s="49"/>
    </row>
    <row r="281" spans="1:11" ht="12.75" hidden="1" x14ac:dyDescent="0.2">
      <c r="A281" s="16"/>
      <c r="B281" s="16"/>
      <c r="C281" s="15"/>
      <c r="D281" s="16"/>
      <c r="E281" s="17"/>
      <c r="F281" s="17"/>
      <c r="H281" s="19"/>
      <c r="I281" s="47"/>
      <c r="J281" s="48"/>
      <c r="K281" s="49"/>
    </row>
    <row r="282" spans="1:11" ht="12.75" hidden="1" x14ac:dyDescent="0.2">
      <c r="A282" s="16"/>
      <c r="B282" s="16"/>
      <c r="C282" s="15"/>
      <c r="D282" s="16"/>
      <c r="E282" s="17"/>
      <c r="F282" s="17"/>
      <c r="H282" s="19"/>
      <c r="I282" s="47"/>
      <c r="J282" s="48"/>
      <c r="K282" s="49"/>
    </row>
    <row r="283" spans="1:11" ht="12.75" hidden="1" x14ac:dyDescent="0.2">
      <c r="A283" s="16"/>
      <c r="B283" s="16"/>
      <c r="C283" s="15"/>
      <c r="D283" s="16"/>
      <c r="E283" s="17"/>
      <c r="F283" s="17"/>
      <c r="H283" s="19"/>
      <c r="I283" s="47"/>
      <c r="J283" s="48"/>
      <c r="K283" s="49"/>
    </row>
    <row r="284" spans="1:11" ht="12.75" hidden="1" x14ac:dyDescent="0.2">
      <c r="A284" s="16"/>
      <c r="B284" s="16"/>
      <c r="C284" s="15"/>
      <c r="D284" s="16"/>
      <c r="E284" s="17"/>
      <c r="F284" s="17"/>
      <c r="H284" s="19"/>
      <c r="I284" s="47"/>
      <c r="J284" s="48"/>
      <c r="K284" s="49"/>
    </row>
    <row r="285" spans="1:11" ht="12.75" hidden="1" x14ac:dyDescent="0.2">
      <c r="A285" s="16"/>
      <c r="B285" s="16"/>
      <c r="C285" s="15"/>
      <c r="D285" s="16"/>
      <c r="E285" s="17"/>
      <c r="F285" s="17"/>
      <c r="H285" s="19"/>
      <c r="I285" s="47"/>
      <c r="J285" s="48"/>
      <c r="K285" s="49"/>
    </row>
    <row r="286" spans="1:11" ht="12.75" hidden="1" x14ac:dyDescent="0.2">
      <c r="A286" s="16"/>
      <c r="B286" s="16"/>
      <c r="C286" s="15"/>
      <c r="D286" s="16"/>
      <c r="E286" s="17"/>
      <c r="F286" s="17"/>
      <c r="H286" s="19"/>
      <c r="I286" s="47"/>
      <c r="J286" s="48"/>
      <c r="K286" s="49"/>
    </row>
    <row r="287" spans="1:11" ht="12.75" hidden="1" x14ac:dyDescent="0.2">
      <c r="A287" s="16"/>
      <c r="B287" s="16"/>
      <c r="C287" s="15"/>
      <c r="D287" s="16"/>
      <c r="E287" s="17"/>
      <c r="F287" s="17"/>
      <c r="H287" s="19"/>
      <c r="I287" s="47"/>
      <c r="J287" s="48"/>
      <c r="K287" s="49"/>
    </row>
    <row r="288" spans="1:11" ht="12.75" hidden="1" x14ac:dyDescent="0.2">
      <c r="A288" s="16"/>
      <c r="B288" s="16"/>
      <c r="C288" s="15"/>
      <c r="D288" s="16"/>
      <c r="E288" s="17"/>
      <c r="F288" s="17"/>
      <c r="H288" s="19"/>
      <c r="I288" s="47"/>
      <c r="J288" s="48"/>
      <c r="K288" s="49"/>
    </row>
    <row r="289" spans="1:11" ht="12.75" hidden="1" x14ac:dyDescent="0.2">
      <c r="A289" s="16"/>
      <c r="B289" s="16"/>
      <c r="C289" s="15"/>
      <c r="D289" s="16"/>
      <c r="E289" s="17"/>
      <c r="F289" s="17"/>
      <c r="H289" s="19"/>
      <c r="I289" s="47"/>
      <c r="J289" s="48"/>
      <c r="K289" s="49"/>
    </row>
    <row r="290" spans="1:11" ht="12.75" hidden="1" x14ac:dyDescent="0.2">
      <c r="A290" s="16"/>
      <c r="B290" s="16"/>
      <c r="C290" s="15"/>
      <c r="D290" s="16"/>
      <c r="E290" s="17"/>
      <c r="F290" s="17"/>
      <c r="H290" s="19"/>
      <c r="I290" s="47"/>
      <c r="J290" s="48"/>
      <c r="K290" s="49"/>
    </row>
    <row r="291" spans="1:11" ht="12.75" hidden="1" x14ac:dyDescent="0.2">
      <c r="A291" s="16"/>
      <c r="B291" s="16"/>
      <c r="C291" s="15"/>
      <c r="D291" s="16"/>
      <c r="E291" s="17"/>
      <c r="F291" s="17"/>
      <c r="H291" s="19"/>
      <c r="I291" s="47"/>
      <c r="J291" s="48"/>
      <c r="K291" s="49"/>
    </row>
    <row r="292" spans="1:11" ht="12.75" hidden="1" x14ac:dyDescent="0.2">
      <c r="A292" s="16"/>
      <c r="B292" s="16"/>
      <c r="C292" s="15"/>
      <c r="D292" s="16"/>
      <c r="E292" s="17"/>
      <c r="F292" s="17"/>
      <c r="H292" s="19"/>
      <c r="I292" s="47"/>
      <c r="J292" s="48"/>
      <c r="K292" s="49"/>
    </row>
    <row r="293" spans="1:11" ht="12.75" hidden="1" x14ac:dyDescent="0.2">
      <c r="A293" s="16"/>
      <c r="B293" s="16"/>
      <c r="C293" s="15"/>
      <c r="D293" s="16"/>
      <c r="E293" s="17"/>
      <c r="F293" s="17"/>
      <c r="H293" s="19"/>
      <c r="I293" s="47"/>
      <c r="J293" s="48"/>
      <c r="K293" s="49"/>
    </row>
    <row r="294" spans="1:11" ht="12.75" hidden="1" x14ac:dyDescent="0.2">
      <c r="A294" s="16"/>
      <c r="B294" s="16"/>
      <c r="C294" s="15"/>
      <c r="D294" s="16"/>
      <c r="E294" s="17"/>
      <c r="F294" s="17"/>
      <c r="H294" s="19"/>
      <c r="I294" s="47"/>
      <c r="J294" s="48"/>
      <c r="K294" s="49"/>
    </row>
    <row r="295" spans="1:11" ht="12.75" hidden="1" x14ac:dyDescent="0.2">
      <c r="A295" s="16"/>
      <c r="B295" s="16"/>
      <c r="C295" s="15"/>
      <c r="D295" s="16"/>
      <c r="E295" s="17"/>
      <c r="F295" s="17"/>
      <c r="H295" s="19"/>
      <c r="I295" s="47"/>
      <c r="J295" s="48"/>
      <c r="K295" s="49"/>
    </row>
    <row r="296" spans="1:11" ht="12.75" hidden="1" x14ac:dyDescent="0.2">
      <c r="A296" s="16"/>
      <c r="B296" s="16"/>
      <c r="C296" s="15"/>
      <c r="D296" s="16"/>
      <c r="E296" s="17"/>
      <c r="F296" s="17"/>
      <c r="H296" s="19"/>
      <c r="I296" s="47"/>
      <c r="J296" s="48"/>
      <c r="K296" s="49"/>
    </row>
    <row r="297" spans="1:11" ht="12.75" hidden="1" x14ac:dyDescent="0.2">
      <c r="A297" s="16"/>
      <c r="B297" s="16"/>
      <c r="C297" s="15"/>
      <c r="D297" s="16"/>
      <c r="E297" s="17"/>
      <c r="F297" s="17"/>
      <c r="H297" s="19"/>
      <c r="I297" s="47"/>
      <c r="J297" s="48"/>
      <c r="K297" s="49"/>
    </row>
    <row r="298" spans="1:11" ht="12.75" hidden="1" x14ac:dyDescent="0.2">
      <c r="A298" s="16"/>
      <c r="B298" s="16"/>
      <c r="C298" s="15"/>
      <c r="D298" s="16"/>
      <c r="E298" s="17"/>
      <c r="F298" s="17"/>
      <c r="H298" s="19"/>
      <c r="I298" s="47"/>
      <c r="J298" s="48"/>
      <c r="K298" s="49"/>
    </row>
    <row r="299" spans="1:11" ht="12.75" hidden="1" x14ac:dyDescent="0.2">
      <c r="A299" s="16"/>
      <c r="B299" s="16"/>
      <c r="C299" s="15"/>
      <c r="D299" s="16"/>
      <c r="E299" s="17"/>
      <c r="F299" s="17"/>
      <c r="H299" s="19"/>
      <c r="I299" s="47"/>
      <c r="J299" s="48"/>
      <c r="K299" s="49"/>
    </row>
    <row r="300" spans="1:11" ht="12.75" hidden="1" x14ac:dyDescent="0.2">
      <c r="A300" s="16"/>
      <c r="B300" s="16"/>
      <c r="C300" s="15"/>
      <c r="D300" s="16"/>
      <c r="E300" s="17"/>
      <c r="F300" s="17"/>
      <c r="H300" s="19"/>
      <c r="I300" s="47"/>
      <c r="J300" s="48"/>
      <c r="K300" s="49"/>
    </row>
    <row r="301" spans="1:11" ht="12.75" hidden="1" x14ac:dyDescent="0.2">
      <c r="A301" s="16"/>
      <c r="B301" s="16"/>
      <c r="C301" s="15"/>
      <c r="D301" s="16"/>
      <c r="E301" s="17"/>
      <c r="F301" s="17"/>
      <c r="H301" s="19"/>
      <c r="I301" s="47"/>
      <c r="J301" s="48"/>
      <c r="K301" s="49"/>
    </row>
    <row r="302" spans="1:11" ht="12.75" hidden="1" x14ac:dyDescent="0.2">
      <c r="A302" s="16"/>
      <c r="B302" s="16"/>
      <c r="C302" s="15"/>
      <c r="D302" s="16"/>
      <c r="E302" s="17"/>
      <c r="F302" s="17"/>
      <c r="H302" s="19"/>
      <c r="I302" s="47"/>
      <c r="J302" s="48"/>
      <c r="K302" s="49"/>
    </row>
    <row r="303" spans="1:11" ht="12.75" hidden="1" x14ac:dyDescent="0.2">
      <c r="A303" s="16"/>
      <c r="B303" s="16"/>
      <c r="C303" s="15"/>
      <c r="D303" s="16"/>
      <c r="E303" s="17"/>
      <c r="F303" s="17"/>
      <c r="H303" s="19"/>
      <c r="I303" s="47"/>
      <c r="J303" s="48"/>
      <c r="K303" s="49"/>
    </row>
    <row r="304" spans="1:11" ht="12.75" hidden="1" x14ac:dyDescent="0.2">
      <c r="A304" s="16"/>
      <c r="B304" s="16"/>
      <c r="C304" s="15"/>
      <c r="D304" s="16"/>
      <c r="E304" s="17"/>
      <c r="F304" s="17"/>
      <c r="H304" s="19"/>
      <c r="I304" s="47"/>
      <c r="J304" s="48"/>
      <c r="K304" s="49"/>
    </row>
    <row r="305" spans="1:11" ht="12.75" hidden="1" x14ac:dyDescent="0.2">
      <c r="A305" s="16"/>
      <c r="B305" s="16"/>
      <c r="C305" s="15"/>
      <c r="D305" s="16"/>
      <c r="E305" s="17"/>
      <c r="F305" s="17"/>
      <c r="H305" s="19"/>
      <c r="I305" s="47"/>
      <c r="J305" s="48"/>
      <c r="K305" s="49"/>
    </row>
    <row r="306" spans="1:11" ht="12.75" hidden="1" x14ac:dyDescent="0.2">
      <c r="A306" s="16"/>
      <c r="B306" s="16"/>
      <c r="C306" s="15"/>
      <c r="D306" s="16"/>
      <c r="E306" s="17"/>
      <c r="F306" s="17"/>
      <c r="H306" s="19"/>
      <c r="I306" s="47"/>
      <c r="J306" s="48"/>
      <c r="K306" s="49"/>
    </row>
    <row r="307" spans="1:11" ht="12.75" hidden="1" x14ac:dyDescent="0.2">
      <c r="A307" s="16"/>
      <c r="B307" s="16"/>
      <c r="C307" s="15"/>
      <c r="D307" s="16"/>
      <c r="E307" s="17"/>
      <c r="F307" s="17"/>
      <c r="H307" s="19"/>
      <c r="I307" s="47"/>
      <c r="J307" s="48"/>
      <c r="K307" s="49"/>
    </row>
    <row r="308" spans="1:11" ht="12.75" hidden="1" x14ac:dyDescent="0.2">
      <c r="A308" s="16"/>
      <c r="B308" s="16"/>
      <c r="C308" s="15"/>
      <c r="D308" s="16"/>
      <c r="E308" s="17"/>
      <c r="F308" s="17"/>
      <c r="H308" s="19"/>
      <c r="I308" s="47"/>
      <c r="J308" s="48"/>
      <c r="K308" s="49"/>
    </row>
    <row r="309" spans="1:11" ht="12.75" hidden="1" x14ac:dyDescent="0.2">
      <c r="A309" s="16"/>
      <c r="B309" s="16"/>
      <c r="C309" s="15"/>
      <c r="D309" s="16"/>
      <c r="E309" s="17"/>
      <c r="F309" s="17"/>
      <c r="H309" s="19"/>
      <c r="I309" s="47"/>
      <c r="J309" s="48"/>
      <c r="K309" s="49"/>
    </row>
    <row r="310" spans="1:11" ht="12.75" hidden="1" x14ac:dyDescent="0.2">
      <c r="A310" s="16"/>
      <c r="B310" s="16"/>
      <c r="C310" s="15"/>
      <c r="D310" s="16"/>
      <c r="E310" s="17"/>
      <c r="F310" s="17"/>
      <c r="H310" s="19"/>
      <c r="I310" s="47"/>
      <c r="J310" s="48"/>
      <c r="K310" s="49"/>
    </row>
    <row r="311" spans="1:11" ht="12.75" hidden="1" x14ac:dyDescent="0.2">
      <c r="A311" s="16"/>
      <c r="B311" s="16"/>
      <c r="C311" s="15"/>
      <c r="D311" s="16"/>
      <c r="E311" s="17"/>
      <c r="F311" s="17"/>
      <c r="H311" s="19"/>
      <c r="I311" s="47"/>
      <c r="J311" s="48"/>
      <c r="K311" s="49"/>
    </row>
    <row r="312" spans="1:11" ht="12.75" hidden="1" x14ac:dyDescent="0.2">
      <c r="A312" s="16"/>
      <c r="B312" s="16"/>
      <c r="C312" s="15"/>
      <c r="D312" s="16"/>
      <c r="E312" s="17"/>
      <c r="F312" s="17"/>
      <c r="H312" s="19"/>
      <c r="I312" s="47"/>
      <c r="J312" s="48"/>
      <c r="K312" s="49"/>
    </row>
    <row r="313" spans="1:11" ht="12.75" hidden="1" x14ac:dyDescent="0.2">
      <c r="A313" s="16"/>
      <c r="B313" s="16"/>
      <c r="C313" s="15"/>
      <c r="D313" s="16"/>
      <c r="E313" s="17"/>
      <c r="F313" s="17"/>
      <c r="H313" s="19"/>
      <c r="I313" s="47"/>
      <c r="J313" s="48"/>
      <c r="K313" s="49"/>
    </row>
    <row r="314" spans="1:11" ht="12.75" hidden="1" x14ac:dyDescent="0.2">
      <c r="A314" s="16"/>
      <c r="B314" s="16"/>
      <c r="C314" s="15"/>
      <c r="D314" s="16"/>
      <c r="E314" s="17"/>
      <c r="F314" s="17"/>
      <c r="H314" s="19"/>
      <c r="I314" s="47"/>
      <c r="J314" s="48"/>
      <c r="K314" s="49"/>
    </row>
    <row r="315" spans="1:11" ht="12.75" hidden="1" x14ac:dyDescent="0.2">
      <c r="A315" s="16"/>
      <c r="B315" s="16"/>
      <c r="C315" s="15"/>
      <c r="D315" s="16"/>
      <c r="E315" s="17"/>
      <c r="F315" s="17"/>
      <c r="H315" s="19"/>
      <c r="I315" s="47"/>
      <c r="J315" s="48"/>
      <c r="K315" s="49"/>
    </row>
    <row r="316" spans="1:11" ht="12.75" hidden="1" x14ac:dyDescent="0.2">
      <c r="A316" s="16"/>
      <c r="B316" s="16"/>
      <c r="C316" s="15"/>
      <c r="D316" s="16"/>
      <c r="E316" s="17"/>
      <c r="F316" s="17"/>
      <c r="H316" s="19"/>
      <c r="I316" s="47"/>
      <c r="J316" s="48"/>
      <c r="K316" s="49"/>
    </row>
    <row r="317" spans="1:11" ht="12.75" hidden="1" x14ac:dyDescent="0.2">
      <c r="A317" s="16"/>
      <c r="B317" s="16"/>
      <c r="C317" s="15"/>
      <c r="D317" s="16"/>
      <c r="E317" s="17"/>
      <c r="F317" s="17"/>
      <c r="H317" s="19"/>
      <c r="I317" s="47"/>
      <c r="J317" s="48"/>
      <c r="K317" s="49"/>
    </row>
    <row r="318" spans="1:11" ht="12.75" hidden="1" x14ac:dyDescent="0.2">
      <c r="A318" s="16"/>
      <c r="B318" s="16"/>
      <c r="C318" s="15"/>
      <c r="D318" s="16"/>
      <c r="E318" s="17"/>
      <c r="F318" s="17"/>
      <c r="H318" s="19"/>
      <c r="I318" s="47"/>
      <c r="J318" s="48"/>
      <c r="K318" s="49"/>
    </row>
    <row r="319" spans="1:11" ht="12.75" hidden="1" x14ac:dyDescent="0.2">
      <c r="A319" s="16"/>
      <c r="B319" s="16"/>
      <c r="C319" s="15"/>
      <c r="D319" s="16"/>
      <c r="E319" s="17"/>
      <c r="F319" s="17"/>
      <c r="H319" s="19"/>
      <c r="I319" s="47"/>
      <c r="J319" s="48"/>
      <c r="K319" s="49"/>
    </row>
    <row r="320" spans="1:11" ht="12.75" hidden="1" x14ac:dyDescent="0.2">
      <c r="A320" s="16"/>
      <c r="B320" s="16"/>
      <c r="C320" s="15"/>
      <c r="D320" s="16"/>
      <c r="E320" s="17"/>
      <c r="F320" s="17"/>
      <c r="H320" s="19"/>
      <c r="I320" s="47"/>
      <c r="J320" s="48"/>
      <c r="K320" s="49"/>
    </row>
    <row r="321" spans="1:11" ht="12.75" hidden="1" x14ac:dyDescent="0.2">
      <c r="A321" s="16"/>
      <c r="B321" s="16"/>
      <c r="C321" s="15"/>
      <c r="D321" s="16"/>
      <c r="E321" s="17"/>
      <c r="F321" s="17"/>
      <c r="H321" s="19"/>
      <c r="I321" s="47"/>
      <c r="J321" s="48"/>
      <c r="K321" s="49"/>
    </row>
    <row r="322" spans="1:11" ht="12.75" hidden="1" x14ac:dyDescent="0.2">
      <c r="A322" s="16"/>
      <c r="B322" s="16"/>
      <c r="C322" s="15"/>
      <c r="D322" s="16"/>
      <c r="E322" s="17"/>
      <c r="F322" s="17"/>
      <c r="H322" s="19"/>
      <c r="I322" s="47"/>
      <c r="J322" s="48"/>
      <c r="K322" s="49"/>
    </row>
    <row r="323" spans="1:11" ht="12.75" hidden="1" x14ac:dyDescent="0.2">
      <c r="A323" s="16"/>
      <c r="B323" s="16"/>
      <c r="C323" s="15"/>
      <c r="D323" s="16"/>
      <c r="E323" s="17"/>
      <c r="F323" s="17"/>
      <c r="H323" s="19"/>
      <c r="I323" s="47"/>
      <c r="J323" s="48"/>
      <c r="K323" s="49"/>
    </row>
    <row r="324" spans="1:11" ht="12.75" hidden="1" x14ac:dyDescent="0.2">
      <c r="A324" s="16"/>
      <c r="B324" s="16"/>
      <c r="C324" s="15"/>
      <c r="D324" s="16"/>
      <c r="E324" s="17"/>
      <c r="F324" s="17"/>
      <c r="H324" s="19"/>
      <c r="I324" s="47"/>
      <c r="J324" s="48"/>
      <c r="K324" s="49"/>
    </row>
    <row r="325" spans="1:11" ht="12.75" hidden="1" x14ac:dyDescent="0.2">
      <c r="A325" s="16"/>
      <c r="B325" s="16"/>
      <c r="C325" s="15"/>
      <c r="D325" s="16"/>
      <c r="E325" s="17"/>
      <c r="F325" s="17"/>
      <c r="H325" s="19"/>
      <c r="I325" s="47"/>
      <c r="J325" s="48"/>
      <c r="K325" s="49"/>
    </row>
    <row r="326" spans="1:11" ht="12.75" hidden="1" x14ac:dyDescent="0.2">
      <c r="A326" s="16"/>
      <c r="B326" s="16"/>
      <c r="C326" s="15"/>
      <c r="D326" s="16"/>
      <c r="E326" s="17"/>
      <c r="F326" s="17"/>
      <c r="H326" s="19"/>
      <c r="I326" s="47"/>
      <c r="J326" s="48"/>
      <c r="K326" s="49"/>
    </row>
    <row r="327" spans="1:11" ht="12.75" hidden="1" x14ac:dyDescent="0.2">
      <c r="A327" s="16"/>
      <c r="B327" s="16"/>
      <c r="C327" s="15"/>
      <c r="D327" s="16"/>
      <c r="E327" s="17"/>
      <c r="F327" s="17"/>
      <c r="H327" s="19"/>
      <c r="I327" s="47"/>
      <c r="J327" s="48"/>
      <c r="K327" s="49"/>
    </row>
    <row r="328" spans="1:11" ht="12.75" hidden="1" x14ac:dyDescent="0.2">
      <c r="A328" s="16"/>
      <c r="B328" s="16"/>
      <c r="C328" s="15"/>
      <c r="D328" s="16"/>
      <c r="E328" s="17"/>
      <c r="F328" s="17"/>
      <c r="H328" s="19"/>
      <c r="I328" s="47"/>
      <c r="J328" s="48"/>
      <c r="K328" s="49"/>
    </row>
    <row r="329" spans="1:11" ht="12.75" hidden="1" x14ac:dyDescent="0.2">
      <c r="A329" s="16"/>
      <c r="B329" s="16"/>
      <c r="C329" s="15"/>
      <c r="D329" s="16"/>
      <c r="E329" s="17"/>
      <c r="F329" s="17"/>
      <c r="H329" s="19"/>
      <c r="I329" s="47"/>
      <c r="J329" s="48"/>
      <c r="K329" s="49"/>
    </row>
    <row r="330" spans="1:11" ht="12.75" hidden="1" x14ac:dyDescent="0.2">
      <c r="A330" s="16"/>
      <c r="B330" s="16"/>
      <c r="C330" s="15"/>
      <c r="D330" s="16"/>
      <c r="E330" s="17"/>
      <c r="F330" s="17"/>
      <c r="H330" s="19"/>
      <c r="I330" s="47"/>
      <c r="J330" s="48"/>
      <c r="K330" s="49"/>
    </row>
    <row r="331" spans="1:11" ht="12.75" hidden="1" x14ac:dyDescent="0.2">
      <c r="A331" s="16"/>
      <c r="B331" s="16"/>
      <c r="C331" s="15"/>
      <c r="D331" s="16"/>
      <c r="E331" s="17"/>
      <c r="F331" s="17"/>
      <c r="H331" s="19"/>
      <c r="I331" s="47"/>
      <c r="J331" s="48"/>
      <c r="K331" s="49"/>
    </row>
    <row r="332" spans="1:11" ht="12.75" hidden="1" x14ac:dyDescent="0.2">
      <c r="A332" s="16"/>
      <c r="B332" s="16"/>
      <c r="C332" s="15"/>
      <c r="D332" s="16"/>
      <c r="E332" s="17"/>
      <c r="F332" s="17"/>
      <c r="H332" s="19"/>
      <c r="I332" s="47"/>
      <c r="J332" s="48"/>
      <c r="K332" s="49"/>
    </row>
    <row r="333" spans="1:11" ht="12.75" hidden="1" x14ac:dyDescent="0.2">
      <c r="A333" s="16"/>
      <c r="B333" s="16"/>
      <c r="C333" s="15"/>
      <c r="D333" s="16"/>
      <c r="E333" s="17"/>
      <c r="F333" s="17"/>
      <c r="H333" s="19"/>
      <c r="I333" s="47"/>
      <c r="J333" s="48"/>
      <c r="K333" s="49"/>
    </row>
    <row r="334" spans="1:11" ht="12.75" hidden="1" x14ac:dyDescent="0.2">
      <c r="A334" s="16"/>
      <c r="B334" s="16"/>
      <c r="C334" s="15"/>
      <c r="D334" s="16"/>
      <c r="E334" s="17"/>
      <c r="F334" s="17"/>
      <c r="H334" s="19"/>
      <c r="I334" s="47"/>
      <c r="J334" s="48"/>
      <c r="K334" s="49"/>
    </row>
    <row r="335" spans="1:11" ht="12.75" hidden="1" x14ac:dyDescent="0.2">
      <c r="A335" s="16"/>
      <c r="B335" s="16"/>
      <c r="C335" s="15"/>
      <c r="D335" s="16"/>
      <c r="E335" s="17"/>
      <c r="F335" s="17"/>
      <c r="H335" s="19"/>
      <c r="I335" s="47"/>
      <c r="J335" s="48"/>
      <c r="K335" s="49"/>
    </row>
    <row r="336" spans="1:11" ht="12.75" hidden="1" x14ac:dyDescent="0.2">
      <c r="A336" s="16"/>
      <c r="B336" s="16"/>
      <c r="C336" s="15"/>
      <c r="D336" s="16"/>
      <c r="E336" s="17"/>
      <c r="F336" s="17"/>
      <c r="H336" s="19"/>
      <c r="I336" s="47"/>
      <c r="J336" s="48"/>
      <c r="K336" s="49"/>
    </row>
    <row r="337" spans="1:11" ht="12.75" hidden="1" x14ac:dyDescent="0.2">
      <c r="A337" s="16"/>
      <c r="B337" s="16"/>
      <c r="C337" s="15"/>
      <c r="D337" s="16"/>
      <c r="E337" s="17"/>
      <c r="F337" s="17"/>
      <c r="H337" s="19"/>
      <c r="I337" s="47"/>
      <c r="J337" s="48"/>
      <c r="K337" s="49"/>
    </row>
    <row r="338" spans="1:11" ht="12.75" hidden="1" x14ac:dyDescent="0.2">
      <c r="A338" s="16"/>
      <c r="B338" s="16"/>
      <c r="C338" s="15"/>
      <c r="D338" s="16"/>
      <c r="E338" s="17"/>
      <c r="F338" s="17"/>
      <c r="H338" s="19"/>
      <c r="I338" s="47"/>
      <c r="J338" s="48"/>
      <c r="K338" s="49"/>
    </row>
    <row r="339" spans="1:11" ht="12.75" hidden="1" x14ac:dyDescent="0.2">
      <c r="A339" s="16"/>
      <c r="B339" s="16"/>
      <c r="C339" s="15"/>
      <c r="D339" s="16"/>
      <c r="E339" s="17"/>
      <c r="F339" s="17"/>
      <c r="H339" s="19"/>
      <c r="I339" s="47"/>
      <c r="J339" s="48"/>
      <c r="K339" s="49"/>
    </row>
    <row r="340" spans="1:11" ht="12.75" hidden="1" x14ac:dyDescent="0.2">
      <c r="A340" s="16"/>
      <c r="B340" s="16"/>
      <c r="C340" s="15"/>
      <c r="D340" s="16"/>
      <c r="E340" s="17"/>
      <c r="F340" s="17"/>
      <c r="H340" s="19"/>
      <c r="I340" s="47"/>
      <c r="J340" s="48"/>
      <c r="K340" s="49"/>
    </row>
    <row r="341" spans="1:11" ht="12.75" hidden="1" x14ac:dyDescent="0.2">
      <c r="A341" s="16"/>
      <c r="B341" s="16"/>
      <c r="C341" s="15"/>
      <c r="D341" s="16"/>
      <c r="E341" s="17"/>
      <c r="F341" s="17"/>
      <c r="H341" s="19"/>
      <c r="I341" s="47"/>
      <c r="J341" s="48"/>
      <c r="K341" s="49"/>
    </row>
    <row r="342" spans="1:11" ht="12.75" hidden="1" x14ac:dyDescent="0.2">
      <c r="A342" s="16"/>
      <c r="B342" s="16"/>
      <c r="C342" s="15"/>
      <c r="D342" s="16"/>
      <c r="E342" s="17"/>
      <c r="F342" s="17"/>
      <c r="H342" s="19"/>
      <c r="I342" s="47"/>
      <c r="J342" s="48"/>
      <c r="K342" s="49"/>
    </row>
    <row r="343" spans="1:11" ht="12.75" hidden="1" x14ac:dyDescent="0.2">
      <c r="A343" s="16"/>
      <c r="B343" s="16"/>
      <c r="C343" s="15"/>
      <c r="D343" s="16"/>
      <c r="E343" s="17"/>
      <c r="F343" s="17"/>
      <c r="H343" s="19"/>
      <c r="I343" s="47"/>
      <c r="J343" s="48"/>
      <c r="K343" s="49"/>
    </row>
    <row r="344" spans="1:11" ht="12.75" hidden="1" x14ac:dyDescent="0.2">
      <c r="A344" s="16"/>
      <c r="B344" s="16"/>
      <c r="C344" s="15"/>
      <c r="D344" s="16"/>
      <c r="E344" s="17"/>
      <c r="F344" s="17"/>
      <c r="H344" s="19"/>
      <c r="I344" s="47"/>
      <c r="J344" s="48"/>
      <c r="K344" s="49"/>
    </row>
    <row r="345" spans="1:11" ht="12.75" hidden="1" x14ac:dyDescent="0.2">
      <c r="A345" s="16"/>
      <c r="B345" s="16"/>
      <c r="C345" s="15"/>
      <c r="D345" s="16"/>
      <c r="E345" s="17"/>
      <c r="F345" s="17"/>
      <c r="H345" s="19"/>
      <c r="I345" s="47"/>
      <c r="J345" s="48"/>
      <c r="K345" s="49"/>
    </row>
    <row r="346" spans="1:11" ht="12.75" hidden="1" x14ac:dyDescent="0.2">
      <c r="A346" s="16"/>
      <c r="B346" s="16"/>
      <c r="C346" s="15"/>
      <c r="D346" s="16"/>
      <c r="E346" s="17"/>
      <c r="F346" s="17"/>
      <c r="H346" s="19"/>
      <c r="I346" s="47"/>
      <c r="J346" s="48"/>
      <c r="K346" s="49"/>
    </row>
    <row r="347" spans="1:11" ht="12.75" hidden="1" x14ac:dyDescent="0.2">
      <c r="A347" s="16"/>
      <c r="B347" s="16"/>
      <c r="C347" s="15"/>
      <c r="D347" s="16"/>
      <c r="E347" s="17"/>
      <c r="F347" s="17"/>
      <c r="H347" s="19"/>
      <c r="I347" s="47"/>
      <c r="J347" s="48"/>
      <c r="K347" s="49"/>
    </row>
    <row r="348" spans="1:11" ht="12.75" hidden="1" x14ac:dyDescent="0.2">
      <c r="A348" s="16"/>
      <c r="B348" s="16"/>
      <c r="C348" s="15"/>
      <c r="D348" s="16"/>
      <c r="E348" s="17"/>
      <c r="F348" s="17"/>
      <c r="H348" s="19"/>
      <c r="I348" s="47"/>
      <c r="J348" s="48"/>
      <c r="K348" s="49"/>
    </row>
    <row r="349" spans="1:11" ht="12.75" hidden="1" x14ac:dyDescent="0.2">
      <c r="A349" s="16"/>
      <c r="B349" s="16"/>
      <c r="C349" s="15"/>
      <c r="D349" s="16"/>
      <c r="E349" s="17"/>
      <c r="F349" s="17"/>
      <c r="H349" s="19"/>
      <c r="I349" s="47"/>
      <c r="J349" s="48"/>
      <c r="K349" s="49"/>
    </row>
    <row r="350" spans="1:11" ht="12.75" hidden="1" x14ac:dyDescent="0.2">
      <c r="A350" s="16"/>
      <c r="B350" s="16"/>
      <c r="C350" s="15"/>
      <c r="D350" s="16"/>
      <c r="E350" s="17"/>
      <c r="F350" s="17"/>
      <c r="H350" s="19"/>
      <c r="I350" s="47"/>
      <c r="J350" s="48"/>
      <c r="K350" s="49"/>
    </row>
    <row r="351" spans="1:11" ht="12.75" hidden="1" x14ac:dyDescent="0.2">
      <c r="A351" s="16"/>
      <c r="B351" s="16"/>
      <c r="C351" s="15"/>
      <c r="D351" s="16"/>
      <c r="E351" s="17"/>
      <c r="F351" s="17"/>
      <c r="H351" s="19"/>
      <c r="I351" s="47"/>
      <c r="J351" s="48"/>
      <c r="K351" s="49"/>
    </row>
    <row r="352" spans="1:11" ht="12.75" hidden="1" x14ac:dyDescent="0.2">
      <c r="A352" s="16"/>
      <c r="B352" s="16"/>
      <c r="C352" s="15"/>
      <c r="D352" s="16"/>
      <c r="E352" s="17"/>
      <c r="F352" s="17"/>
      <c r="H352" s="19"/>
      <c r="I352" s="47"/>
      <c r="J352" s="48"/>
      <c r="K352" s="49"/>
    </row>
    <row r="353" spans="1:11" ht="12.75" hidden="1" x14ac:dyDescent="0.2">
      <c r="A353" s="16"/>
      <c r="B353" s="16"/>
      <c r="C353" s="15"/>
      <c r="D353" s="16"/>
      <c r="E353" s="17"/>
      <c r="F353" s="17"/>
      <c r="H353" s="19"/>
      <c r="I353" s="47"/>
      <c r="J353" s="48"/>
      <c r="K353" s="49"/>
    </row>
    <row r="354" spans="1:11" ht="12.75" hidden="1" x14ac:dyDescent="0.2">
      <c r="A354" s="16"/>
      <c r="B354" s="16"/>
      <c r="C354" s="15"/>
      <c r="D354" s="16"/>
      <c r="E354" s="17"/>
      <c r="F354" s="17"/>
      <c r="H354" s="19"/>
      <c r="I354" s="47"/>
      <c r="J354" s="48"/>
      <c r="K354" s="49"/>
    </row>
    <row r="355" spans="1:11" ht="12.75" hidden="1" x14ac:dyDescent="0.2">
      <c r="A355" s="16"/>
      <c r="B355" s="16"/>
      <c r="C355" s="15"/>
      <c r="D355" s="16"/>
      <c r="E355" s="17"/>
      <c r="F355" s="17"/>
      <c r="H355" s="19"/>
      <c r="I355" s="47"/>
      <c r="J355" s="48"/>
      <c r="K355" s="49"/>
    </row>
    <row r="356" spans="1:11" ht="12.75" hidden="1" x14ac:dyDescent="0.2">
      <c r="A356" s="16"/>
      <c r="B356" s="16"/>
      <c r="C356" s="15"/>
      <c r="D356" s="16"/>
      <c r="E356" s="17"/>
      <c r="F356" s="17"/>
      <c r="H356" s="19"/>
      <c r="I356" s="47"/>
      <c r="J356" s="48"/>
      <c r="K356" s="49"/>
    </row>
    <row r="357" spans="1:11" ht="12.75" hidden="1" x14ac:dyDescent="0.2">
      <c r="A357" s="16"/>
      <c r="B357" s="16"/>
      <c r="C357" s="15"/>
      <c r="D357" s="16"/>
      <c r="E357" s="17"/>
      <c r="F357" s="17"/>
      <c r="H357" s="19"/>
      <c r="I357" s="47"/>
      <c r="J357" s="48"/>
      <c r="K357" s="49"/>
    </row>
    <row r="358" spans="1:11" ht="12.75" hidden="1" x14ac:dyDescent="0.2">
      <c r="A358" s="16"/>
      <c r="B358" s="16"/>
      <c r="C358" s="15"/>
      <c r="D358" s="16"/>
      <c r="E358" s="17"/>
      <c r="F358" s="17"/>
      <c r="H358" s="19"/>
      <c r="I358" s="47"/>
      <c r="J358" s="48"/>
      <c r="K358" s="49"/>
    </row>
    <row r="359" spans="1:11" ht="12.75" hidden="1" x14ac:dyDescent="0.2">
      <c r="A359" s="16"/>
      <c r="B359" s="16"/>
      <c r="C359" s="15"/>
      <c r="D359" s="16"/>
      <c r="E359" s="17"/>
      <c r="F359" s="17"/>
      <c r="H359" s="19"/>
      <c r="I359" s="47"/>
      <c r="J359" s="48"/>
      <c r="K359" s="49"/>
    </row>
    <row r="360" spans="1:11" ht="12.75" hidden="1" x14ac:dyDescent="0.2">
      <c r="A360" s="16"/>
      <c r="B360" s="16"/>
      <c r="C360" s="15"/>
      <c r="D360" s="16"/>
      <c r="E360" s="17"/>
      <c r="F360" s="17"/>
      <c r="H360" s="19"/>
      <c r="I360" s="47"/>
      <c r="J360" s="48"/>
      <c r="K360" s="49"/>
    </row>
    <row r="361" spans="1:11" ht="12.75" hidden="1" x14ac:dyDescent="0.2">
      <c r="A361" s="16"/>
      <c r="B361" s="16"/>
      <c r="C361" s="15"/>
      <c r="D361" s="16"/>
      <c r="E361" s="17"/>
      <c r="F361" s="17"/>
      <c r="H361" s="19"/>
      <c r="I361" s="47"/>
      <c r="J361" s="48"/>
      <c r="K361" s="49"/>
    </row>
    <row r="362" spans="1:11" ht="12.75" hidden="1" x14ac:dyDescent="0.2">
      <c r="A362" s="16"/>
      <c r="B362" s="16"/>
      <c r="C362" s="15"/>
      <c r="D362" s="16"/>
      <c r="E362" s="17"/>
      <c r="F362" s="17"/>
      <c r="H362" s="19"/>
      <c r="I362" s="47"/>
      <c r="J362" s="48"/>
      <c r="K362" s="49"/>
    </row>
    <row r="363" spans="1:11" ht="12.75" hidden="1" x14ac:dyDescent="0.2">
      <c r="A363" s="16"/>
      <c r="B363" s="16"/>
      <c r="C363" s="15"/>
      <c r="D363" s="16"/>
      <c r="E363" s="17"/>
      <c r="F363" s="17"/>
      <c r="H363" s="19"/>
      <c r="I363" s="47"/>
      <c r="J363" s="48"/>
      <c r="K363" s="49"/>
    </row>
    <row r="364" spans="1:11" ht="12.75" hidden="1" x14ac:dyDescent="0.2">
      <c r="A364" s="16"/>
      <c r="B364" s="16"/>
      <c r="C364" s="15"/>
      <c r="D364" s="16"/>
      <c r="E364" s="17"/>
      <c r="F364" s="17"/>
      <c r="H364" s="19"/>
      <c r="I364" s="47"/>
      <c r="J364" s="48"/>
      <c r="K364" s="49"/>
    </row>
    <row r="365" spans="1:11" ht="12.75" hidden="1" x14ac:dyDescent="0.2">
      <c r="A365" s="16"/>
      <c r="B365" s="16"/>
      <c r="C365" s="15"/>
      <c r="D365" s="16"/>
      <c r="E365" s="17"/>
      <c r="F365" s="17"/>
      <c r="H365" s="19"/>
      <c r="I365" s="47"/>
      <c r="J365" s="48"/>
      <c r="K365" s="49"/>
    </row>
    <row r="366" spans="1:11" ht="12.75" hidden="1" x14ac:dyDescent="0.2">
      <c r="A366" s="16"/>
      <c r="B366" s="16"/>
      <c r="C366" s="15"/>
      <c r="D366" s="16"/>
      <c r="E366" s="17"/>
      <c r="F366" s="17"/>
      <c r="H366" s="19"/>
      <c r="I366" s="47"/>
      <c r="J366" s="48"/>
      <c r="K366" s="49"/>
    </row>
    <row r="367" spans="1:11" ht="12.75" hidden="1" x14ac:dyDescent="0.2">
      <c r="A367" s="16"/>
      <c r="B367" s="16"/>
      <c r="C367" s="15"/>
      <c r="D367" s="16"/>
      <c r="E367" s="17"/>
      <c r="F367" s="17"/>
      <c r="H367" s="19"/>
      <c r="I367" s="47"/>
      <c r="J367" s="48"/>
      <c r="K367" s="49"/>
    </row>
    <row r="368" spans="1:11" ht="12.75" hidden="1" x14ac:dyDescent="0.2">
      <c r="A368" s="16"/>
      <c r="B368" s="16"/>
      <c r="C368" s="15"/>
      <c r="D368" s="16"/>
      <c r="E368" s="17"/>
      <c r="F368" s="17"/>
      <c r="H368" s="19"/>
      <c r="I368" s="47"/>
      <c r="J368" s="48"/>
      <c r="K368" s="49"/>
    </row>
    <row r="369" spans="1:11" ht="12.75" hidden="1" x14ac:dyDescent="0.2">
      <c r="A369" s="16"/>
      <c r="B369" s="16"/>
      <c r="C369" s="15"/>
      <c r="D369" s="16"/>
      <c r="E369" s="17"/>
      <c r="F369" s="17"/>
      <c r="H369" s="19"/>
      <c r="I369" s="47"/>
      <c r="J369" s="48"/>
      <c r="K369" s="49"/>
    </row>
    <row r="370" spans="1:11" ht="12.75" hidden="1" x14ac:dyDescent="0.2">
      <c r="A370" s="16"/>
      <c r="B370" s="16"/>
      <c r="C370" s="15"/>
      <c r="D370" s="16"/>
      <c r="E370" s="17"/>
      <c r="F370" s="17"/>
      <c r="H370" s="19"/>
      <c r="I370" s="47"/>
      <c r="J370" s="48"/>
      <c r="K370" s="49"/>
    </row>
    <row r="371" spans="1:11" ht="12.75" hidden="1" x14ac:dyDescent="0.2">
      <c r="A371" s="16"/>
      <c r="B371" s="16"/>
      <c r="C371" s="15"/>
      <c r="D371" s="16"/>
      <c r="E371" s="17"/>
      <c r="F371" s="17"/>
      <c r="H371" s="19"/>
      <c r="I371" s="47"/>
      <c r="J371" s="48"/>
      <c r="K371" s="49"/>
    </row>
    <row r="372" spans="1:11" ht="12.75" hidden="1" x14ac:dyDescent="0.2">
      <c r="A372" s="16"/>
      <c r="B372" s="16"/>
      <c r="C372" s="15"/>
      <c r="D372" s="16"/>
      <c r="E372" s="17"/>
      <c r="F372" s="17"/>
      <c r="H372" s="19"/>
      <c r="I372" s="47"/>
      <c r="J372" s="48"/>
      <c r="K372" s="49"/>
    </row>
    <row r="373" spans="1:11" ht="12.75" hidden="1" x14ac:dyDescent="0.2">
      <c r="A373" s="16"/>
      <c r="B373" s="16"/>
      <c r="C373" s="15"/>
      <c r="D373" s="16"/>
      <c r="E373" s="17"/>
      <c r="F373" s="17"/>
      <c r="H373" s="19"/>
      <c r="I373" s="47"/>
      <c r="J373" s="48"/>
      <c r="K373" s="49"/>
    </row>
    <row r="374" spans="1:11" ht="12.75" hidden="1" x14ac:dyDescent="0.2">
      <c r="A374" s="16"/>
      <c r="B374" s="16"/>
      <c r="C374" s="15"/>
      <c r="D374" s="16"/>
      <c r="E374" s="17"/>
      <c r="F374" s="17"/>
      <c r="H374" s="19"/>
      <c r="I374" s="47"/>
      <c r="J374" s="48"/>
      <c r="K374" s="49"/>
    </row>
    <row r="375" spans="1:11" ht="12.75" hidden="1" x14ac:dyDescent="0.2">
      <c r="A375" s="16"/>
      <c r="B375" s="16"/>
      <c r="C375" s="15"/>
      <c r="D375" s="16"/>
      <c r="E375" s="17"/>
      <c r="F375" s="17"/>
      <c r="H375" s="19"/>
      <c r="I375" s="47"/>
      <c r="J375" s="48"/>
      <c r="K375" s="49"/>
    </row>
    <row r="376" spans="1:11" ht="12.75" hidden="1" x14ac:dyDescent="0.2">
      <c r="A376" s="16"/>
      <c r="B376" s="16"/>
      <c r="C376" s="15"/>
      <c r="D376" s="16"/>
      <c r="E376" s="17"/>
      <c r="F376" s="17"/>
      <c r="H376" s="19"/>
      <c r="I376" s="47"/>
      <c r="J376" s="48"/>
      <c r="K376" s="49"/>
    </row>
    <row r="377" spans="1:11" ht="12.75" hidden="1" x14ac:dyDescent="0.2">
      <c r="A377" s="16"/>
      <c r="B377" s="16"/>
      <c r="C377" s="15"/>
      <c r="D377" s="16"/>
      <c r="E377" s="17"/>
      <c r="F377" s="17"/>
      <c r="H377" s="19"/>
      <c r="I377" s="47"/>
      <c r="J377" s="48"/>
      <c r="K377" s="49"/>
    </row>
    <row r="378" spans="1:11" ht="12.75" hidden="1" x14ac:dyDescent="0.2">
      <c r="A378" s="16"/>
      <c r="B378" s="16"/>
      <c r="C378" s="15"/>
      <c r="D378" s="16"/>
      <c r="E378" s="17"/>
      <c r="F378" s="17"/>
      <c r="H378" s="19"/>
      <c r="I378" s="47"/>
      <c r="J378" s="48"/>
      <c r="K378" s="49"/>
    </row>
    <row r="379" spans="1:11" ht="12.75" hidden="1" x14ac:dyDescent="0.2">
      <c r="A379" s="16"/>
      <c r="B379" s="16"/>
      <c r="C379" s="15"/>
      <c r="D379" s="16"/>
      <c r="E379" s="17"/>
      <c r="F379" s="17"/>
      <c r="H379" s="19"/>
      <c r="I379" s="47"/>
      <c r="J379" s="48"/>
      <c r="K379" s="49"/>
    </row>
    <row r="380" spans="1:11" ht="12.75" hidden="1" x14ac:dyDescent="0.2">
      <c r="A380" s="16"/>
      <c r="B380" s="16"/>
      <c r="C380" s="15"/>
      <c r="D380" s="16"/>
      <c r="E380" s="17"/>
      <c r="F380" s="17"/>
      <c r="H380" s="19"/>
      <c r="I380" s="47"/>
      <c r="J380" s="48"/>
      <c r="K380" s="49"/>
    </row>
    <row r="381" spans="1:11" ht="12.75" hidden="1" x14ac:dyDescent="0.2">
      <c r="A381" s="16"/>
      <c r="B381" s="16"/>
      <c r="C381" s="15"/>
      <c r="D381" s="16"/>
      <c r="E381" s="17"/>
      <c r="F381" s="17"/>
      <c r="H381" s="19"/>
      <c r="I381" s="47"/>
      <c r="J381" s="48"/>
      <c r="K381" s="49"/>
    </row>
    <row r="382" spans="1:11" ht="12.75" hidden="1" x14ac:dyDescent="0.2">
      <c r="A382" s="16"/>
      <c r="B382" s="16"/>
      <c r="C382" s="15"/>
      <c r="D382" s="16"/>
      <c r="E382" s="17"/>
      <c r="F382" s="17"/>
      <c r="H382" s="19"/>
      <c r="I382" s="47"/>
      <c r="J382" s="48"/>
      <c r="K382" s="49"/>
    </row>
    <row r="383" spans="1:11" ht="12.75" hidden="1" x14ac:dyDescent="0.2">
      <c r="A383" s="16"/>
      <c r="B383" s="16"/>
      <c r="C383" s="15"/>
      <c r="D383" s="16"/>
      <c r="E383" s="17"/>
      <c r="F383" s="17"/>
      <c r="H383" s="19"/>
      <c r="I383" s="47"/>
      <c r="J383" s="48"/>
      <c r="K383" s="49"/>
    </row>
    <row r="384" spans="1:11" ht="12.75" hidden="1" x14ac:dyDescent="0.2">
      <c r="A384" s="16"/>
      <c r="B384" s="16"/>
      <c r="C384" s="15"/>
      <c r="D384" s="16"/>
      <c r="E384" s="17"/>
      <c r="F384" s="17"/>
      <c r="H384" s="19"/>
      <c r="I384" s="47"/>
      <c r="J384" s="48"/>
      <c r="K384" s="49"/>
    </row>
    <row r="385" spans="1:11" ht="12.75" hidden="1" x14ac:dyDescent="0.2">
      <c r="A385" s="16"/>
      <c r="B385" s="16"/>
      <c r="C385" s="15"/>
      <c r="D385" s="16"/>
      <c r="E385" s="17"/>
      <c r="F385" s="17"/>
      <c r="H385" s="19"/>
      <c r="I385" s="47"/>
      <c r="J385" s="48"/>
      <c r="K385" s="49"/>
    </row>
    <row r="386" spans="1:11" ht="12.75" hidden="1" x14ac:dyDescent="0.2">
      <c r="A386" s="16"/>
      <c r="B386" s="16"/>
      <c r="C386" s="15"/>
      <c r="D386" s="16"/>
      <c r="E386" s="17"/>
      <c r="F386" s="17"/>
      <c r="H386" s="19"/>
      <c r="I386" s="47"/>
      <c r="J386" s="48"/>
      <c r="K386" s="49"/>
    </row>
    <row r="387" spans="1:11" ht="12.75" hidden="1" x14ac:dyDescent="0.2">
      <c r="A387" s="16"/>
      <c r="B387" s="16"/>
      <c r="C387" s="15"/>
      <c r="D387" s="16"/>
      <c r="E387" s="17"/>
      <c r="F387" s="17"/>
      <c r="H387" s="19"/>
      <c r="I387" s="47"/>
      <c r="J387" s="48"/>
      <c r="K387" s="49"/>
    </row>
    <row r="388" spans="1:11" ht="12.75" hidden="1" x14ac:dyDescent="0.2">
      <c r="A388" s="16"/>
      <c r="B388" s="16"/>
      <c r="C388" s="15"/>
      <c r="D388" s="16"/>
      <c r="E388" s="17"/>
      <c r="F388" s="17"/>
      <c r="H388" s="19"/>
      <c r="I388" s="47"/>
      <c r="J388" s="48"/>
      <c r="K388" s="49"/>
    </row>
    <row r="389" spans="1:11" ht="12.75" hidden="1" x14ac:dyDescent="0.2">
      <c r="A389" s="16"/>
      <c r="B389" s="16"/>
      <c r="C389" s="15"/>
      <c r="D389" s="16"/>
      <c r="E389" s="17"/>
      <c r="F389" s="17"/>
      <c r="H389" s="19"/>
      <c r="I389" s="47"/>
      <c r="J389" s="48"/>
      <c r="K389" s="49"/>
    </row>
    <row r="390" spans="1:11" ht="12.75" hidden="1" x14ac:dyDescent="0.2">
      <c r="A390" s="16"/>
      <c r="B390" s="16"/>
      <c r="C390" s="15"/>
      <c r="D390" s="16"/>
      <c r="E390" s="17"/>
      <c r="F390" s="17"/>
      <c r="H390" s="19"/>
      <c r="I390" s="47"/>
      <c r="J390" s="48"/>
      <c r="K390" s="49"/>
    </row>
    <row r="391" spans="1:11" ht="12.75" hidden="1" x14ac:dyDescent="0.2">
      <c r="A391" s="16"/>
      <c r="B391" s="16"/>
      <c r="C391" s="15"/>
      <c r="D391" s="16"/>
      <c r="E391" s="17"/>
      <c r="F391" s="17"/>
      <c r="H391" s="19"/>
      <c r="I391" s="47"/>
      <c r="J391" s="48"/>
      <c r="K391" s="49"/>
    </row>
    <row r="392" spans="1:11" ht="12.75" hidden="1" x14ac:dyDescent="0.2">
      <c r="A392" s="16"/>
      <c r="B392" s="16"/>
      <c r="C392" s="15"/>
      <c r="D392" s="16"/>
      <c r="E392" s="17"/>
      <c r="F392" s="17"/>
      <c r="H392" s="19"/>
      <c r="I392" s="47"/>
      <c r="J392" s="48"/>
      <c r="K392" s="49"/>
    </row>
    <row r="393" spans="1:11" ht="12.75" hidden="1" x14ac:dyDescent="0.2">
      <c r="A393" s="16"/>
      <c r="B393" s="16"/>
      <c r="C393" s="15"/>
      <c r="D393" s="16"/>
      <c r="E393" s="17"/>
      <c r="F393" s="17"/>
      <c r="H393" s="19"/>
      <c r="I393" s="47"/>
      <c r="J393" s="48"/>
      <c r="K393" s="49"/>
    </row>
    <row r="394" spans="1:11" ht="12.75" hidden="1" x14ac:dyDescent="0.2">
      <c r="A394" s="16"/>
      <c r="B394" s="16"/>
      <c r="C394" s="15"/>
      <c r="D394" s="16"/>
      <c r="E394" s="17"/>
      <c r="F394" s="17"/>
      <c r="H394" s="19"/>
      <c r="I394" s="47"/>
      <c r="J394" s="48"/>
      <c r="K394" s="49"/>
    </row>
    <row r="395" spans="1:11" ht="12.75" hidden="1" x14ac:dyDescent="0.2">
      <c r="A395" s="16"/>
      <c r="B395" s="16"/>
      <c r="C395" s="15"/>
      <c r="D395" s="16"/>
      <c r="E395" s="17"/>
      <c r="F395" s="17"/>
      <c r="H395" s="19"/>
      <c r="I395" s="47"/>
      <c r="J395" s="48"/>
      <c r="K395" s="49"/>
    </row>
    <row r="396" spans="1:11" ht="12.75" hidden="1" x14ac:dyDescent="0.2">
      <c r="A396" s="16"/>
      <c r="B396" s="16"/>
      <c r="C396" s="15"/>
      <c r="D396" s="16"/>
      <c r="E396" s="17"/>
      <c r="F396" s="17"/>
      <c r="H396" s="19"/>
      <c r="I396" s="47"/>
      <c r="J396" s="48"/>
      <c r="K396" s="49"/>
    </row>
    <row r="397" spans="1:11" ht="12.75" hidden="1" x14ac:dyDescent="0.2">
      <c r="A397" s="16"/>
      <c r="B397" s="16"/>
      <c r="C397" s="15"/>
      <c r="D397" s="16"/>
      <c r="E397" s="17"/>
      <c r="F397" s="17"/>
      <c r="H397" s="19"/>
      <c r="I397" s="47"/>
      <c r="J397" s="48"/>
      <c r="K397" s="49"/>
    </row>
    <row r="398" spans="1:11" ht="12.75" hidden="1" x14ac:dyDescent="0.2">
      <c r="A398" s="16"/>
      <c r="B398" s="16"/>
      <c r="C398" s="15"/>
      <c r="D398" s="16"/>
      <c r="E398" s="17"/>
      <c r="F398" s="17"/>
      <c r="H398" s="19"/>
      <c r="I398" s="47"/>
      <c r="J398" s="48"/>
      <c r="K398" s="49"/>
    </row>
    <row r="399" spans="1:11" ht="12.75" hidden="1" x14ac:dyDescent="0.2">
      <c r="A399" s="16"/>
      <c r="B399" s="16"/>
      <c r="C399" s="15"/>
      <c r="D399" s="16"/>
      <c r="E399" s="17"/>
      <c r="F399" s="17"/>
      <c r="H399" s="19"/>
      <c r="I399" s="47"/>
      <c r="J399" s="48"/>
      <c r="K399" s="49"/>
    </row>
    <row r="400" spans="1:11" ht="12.75" hidden="1" x14ac:dyDescent="0.2">
      <c r="A400" s="16"/>
      <c r="B400" s="16"/>
      <c r="C400" s="15"/>
      <c r="D400" s="16"/>
      <c r="E400" s="17"/>
      <c r="F400" s="17"/>
      <c r="H400" s="19"/>
      <c r="I400" s="47"/>
      <c r="J400" s="48"/>
      <c r="K400" s="49"/>
    </row>
    <row r="401" spans="1:11" ht="12.75" hidden="1" x14ac:dyDescent="0.2">
      <c r="A401" s="16"/>
      <c r="B401" s="16"/>
      <c r="C401" s="15"/>
      <c r="D401" s="16"/>
      <c r="E401" s="17"/>
      <c r="F401" s="17"/>
      <c r="H401" s="19"/>
      <c r="I401" s="47"/>
      <c r="J401" s="48"/>
      <c r="K401" s="49"/>
    </row>
    <row r="402" spans="1:11" ht="12.75" hidden="1" x14ac:dyDescent="0.2">
      <c r="A402" s="16"/>
      <c r="B402" s="16"/>
      <c r="C402" s="15"/>
      <c r="D402" s="16"/>
      <c r="E402" s="17"/>
      <c r="F402" s="17"/>
      <c r="H402" s="19"/>
      <c r="I402" s="47"/>
      <c r="J402" s="48"/>
      <c r="K402" s="49"/>
    </row>
    <row r="403" spans="1:11" ht="12.75" hidden="1" x14ac:dyDescent="0.2">
      <c r="A403" s="16"/>
      <c r="B403" s="16"/>
      <c r="C403" s="15"/>
      <c r="D403" s="16"/>
      <c r="E403" s="17"/>
      <c r="F403" s="17"/>
      <c r="H403" s="19"/>
      <c r="I403" s="47"/>
      <c r="J403" s="48"/>
      <c r="K403" s="49"/>
    </row>
    <row r="404" spans="1:11" ht="12.75" hidden="1" x14ac:dyDescent="0.2">
      <c r="A404" s="16"/>
      <c r="B404" s="16"/>
      <c r="C404" s="15"/>
      <c r="D404" s="16"/>
      <c r="E404" s="17"/>
      <c r="F404" s="17"/>
      <c r="H404" s="19"/>
      <c r="I404" s="47"/>
      <c r="J404" s="48"/>
      <c r="K404" s="49"/>
    </row>
    <row r="405" spans="1:11" ht="12.75" hidden="1" x14ac:dyDescent="0.2">
      <c r="A405" s="16"/>
      <c r="B405" s="16"/>
      <c r="C405" s="15"/>
      <c r="D405" s="16"/>
      <c r="E405" s="17"/>
      <c r="F405" s="17"/>
      <c r="H405" s="19"/>
      <c r="I405" s="47"/>
      <c r="J405" s="48"/>
      <c r="K405" s="49"/>
    </row>
    <row r="406" spans="1:11" ht="12.75" hidden="1" x14ac:dyDescent="0.2">
      <c r="A406" s="16"/>
      <c r="B406" s="16"/>
      <c r="C406" s="15"/>
      <c r="D406" s="16"/>
      <c r="E406" s="17"/>
      <c r="F406" s="17"/>
      <c r="H406" s="19"/>
      <c r="I406" s="47"/>
      <c r="J406" s="48"/>
      <c r="K406" s="49"/>
    </row>
    <row r="407" spans="1:11" ht="12.75" hidden="1" x14ac:dyDescent="0.2">
      <c r="A407" s="16"/>
      <c r="B407" s="16"/>
      <c r="C407" s="15"/>
      <c r="D407" s="16"/>
      <c r="E407" s="17"/>
      <c r="F407" s="17"/>
      <c r="H407" s="19"/>
      <c r="I407" s="47"/>
      <c r="J407" s="48"/>
      <c r="K407" s="49"/>
    </row>
    <row r="408" spans="1:11" ht="12.75" hidden="1" x14ac:dyDescent="0.2">
      <c r="A408" s="16"/>
      <c r="B408" s="16"/>
      <c r="C408" s="15"/>
      <c r="D408" s="16"/>
      <c r="E408" s="17"/>
      <c r="F408" s="17"/>
      <c r="H408" s="19"/>
      <c r="I408" s="47"/>
      <c r="J408" s="48"/>
      <c r="K408" s="49"/>
    </row>
    <row r="409" spans="1:11" ht="12.75" hidden="1" x14ac:dyDescent="0.2">
      <c r="A409" s="16"/>
      <c r="B409" s="16"/>
      <c r="C409" s="15"/>
      <c r="D409" s="16"/>
      <c r="E409" s="17"/>
      <c r="F409" s="17"/>
      <c r="H409" s="19"/>
      <c r="I409" s="47"/>
      <c r="J409" s="48"/>
      <c r="K409" s="49"/>
    </row>
    <row r="410" spans="1:11" ht="12.75" hidden="1" x14ac:dyDescent="0.2">
      <c r="A410" s="16"/>
      <c r="B410" s="16"/>
      <c r="C410" s="15"/>
      <c r="D410" s="16"/>
      <c r="E410" s="17"/>
      <c r="F410" s="17"/>
      <c r="H410" s="19"/>
      <c r="I410" s="47"/>
      <c r="J410" s="48"/>
      <c r="K410" s="49"/>
    </row>
    <row r="411" spans="1:11" ht="12.75" hidden="1" x14ac:dyDescent="0.2">
      <c r="A411" s="16"/>
      <c r="B411" s="16"/>
      <c r="C411" s="15"/>
      <c r="D411" s="16"/>
      <c r="E411" s="17"/>
      <c r="F411" s="17"/>
      <c r="H411" s="19"/>
      <c r="I411" s="47"/>
      <c r="J411" s="48"/>
      <c r="K411" s="49"/>
    </row>
    <row r="412" spans="1:11" ht="12.75" hidden="1" x14ac:dyDescent="0.2">
      <c r="A412" s="16"/>
      <c r="B412" s="16"/>
      <c r="C412" s="15"/>
      <c r="D412" s="16"/>
      <c r="E412" s="17"/>
      <c r="F412" s="17"/>
      <c r="H412" s="19"/>
      <c r="I412" s="47"/>
      <c r="J412" s="48"/>
      <c r="K412" s="49"/>
    </row>
    <row r="413" spans="1:11" ht="12.75" hidden="1" x14ac:dyDescent="0.2">
      <c r="A413" s="16"/>
      <c r="B413" s="16"/>
      <c r="C413" s="15"/>
      <c r="D413" s="16"/>
      <c r="E413" s="17"/>
      <c r="F413" s="17"/>
      <c r="H413" s="19"/>
      <c r="I413" s="47"/>
      <c r="J413" s="48"/>
      <c r="K413" s="49"/>
    </row>
    <row r="414" spans="1:11" ht="12.75" hidden="1" x14ac:dyDescent="0.2">
      <c r="A414" s="16"/>
      <c r="B414" s="16"/>
      <c r="C414" s="15"/>
      <c r="D414" s="16"/>
      <c r="E414" s="17"/>
      <c r="F414" s="17"/>
      <c r="H414" s="19"/>
      <c r="I414" s="47"/>
      <c r="J414" s="48"/>
      <c r="K414" s="49"/>
    </row>
    <row r="415" spans="1:11" ht="12.75" hidden="1" x14ac:dyDescent="0.2">
      <c r="A415" s="16"/>
      <c r="B415" s="16"/>
      <c r="C415" s="15"/>
      <c r="D415" s="16"/>
      <c r="E415" s="17"/>
      <c r="F415" s="17"/>
      <c r="H415" s="19"/>
      <c r="I415" s="47"/>
      <c r="J415" s="48"/>
      <c r="K415" s="49"/>
    </row>
    <row r="416" spans="1:11" ht="12.75" hidden="1" x14ac:dyDescent="0.2">
      <c r="A416" s="16"/>
      <c r="B416" s="16"/>
      <c r="C416" s="15"/>
      <c r="D416" s="16"/>
      <c r="E416" s="17"/>
      <c r="F416" s="17"/>
      <c r="H416" s="19"/>
      <c r="I416" s="47"/>
      <c r="J416" s="48"/>
      <c r="K416" s="49"/>
    </row>
    <row r="417" spans="1:11" ht="12.75" hidden="1" x14ac:dyDescent="0.2">
      <c r="A417" s="16"/>
      <c r="B417" s="16"/>
      <c r="C417" s="15"/>
      <c r="D417" s="16"/>
      <c r="E417" s="17"/>
      <c r="F417" s="17"/>
      <c r="H417" s="19"/>
      <c r="I417" s="47"/>
      <c r="J417" s="48"/>
      <c r="K417" s="49"/>
    </row>
    <row r="418" spans="1:11" ht="12.75" hidden="1" x14ac:dyDescent="0.2">
      <c r="A418" s="16"/>
      <c r="B418" s="16"/>
      <c r="C418" s="15"/>
      <c r="D418" s="16"/>
      <c r="E418" s="17"/>
      <c r="F418" s="17"/>
      <c r="H418" s="19"/>
      <c r="I418" s="47"/>
      <c r="J418" s="48"/>
      <c r="K418" s="49"/>
    </row>
    <row r="419" spans="1:11" ht="12.75" hidden="1" x14ac:dyDescent="0.2">
      <c r="A419" s="16"/>
      <c r="B419" s="16"/>
      <c r="C419" s="15"/>
      <c r="D419" s="16"/>
      <c r="E419" s="17"/>
      <c r="F419" s="17"/>
      <c r="H419" s="19"/>
      <c r="I419" s="47"/>
      <c r="J419" s="48"/>
      <c r="K419" s="49"/>
    </row>
    <row r="420" spans="1:11" ht="12.75" hidden="1" x14ac:dyDescent="0.2">
      <c r="A420" s="16"/>
      <c r="B420" s="16"/>
      <c r="C420" s="15"/>
      <c r="D420" s="16"/>
      <c r="E420" s="17"/>
      <c r="F420" s="17"/>
      <c r="H420" s="19"/>
      <c r="I420" s="47"/>
      <c r="J420" s="48"/>
      <c r="K420" s="49"/>
    </row>
    <row r="421" spans="1:11" ht="12.75" hidden="1" x14ac:dyDescent="0.2">
      <c r="A421" s="16"/>
      <c r="B421" s="16"/>
      <c r="C421" s="15"/>
      <c r="D421" s="16"/>
      <c r="E421" s="17"/>
      <c r="F421" s="17"/>
      <c r="H421" s="19"/>
      <c r="I421" s="47"/>
      <c r="J421" s="48"/>
      <c r="K421" s="49"/>
    </row>
    <row r="422" spans="1:11" ht="12.75" hidden="1" x14ac:dyDescent="0.2">
      <c r="A422" s="16"/>
      <c r="B422" s="16"/>
      <c r="C422" s="15"/>
      <c r="D422" s="16"/>
      <c r="E422" s="17"/>
      <c r="F422" s="17"/>
      <c r="H422" s="19"/>
      <c r="I422" s="47"/>
      <c r="J422" s="48"/>
      <c r="K422" s="49"/>
    </row>
    <row r="423" spans="1:11" ht="12.75" hidden="1" x14ac:dyDescent="0.2">
      <c r="A423" s="16"/>
      <c r="B423" s="16"/>
      <c r="C423" s="15"/>
      <c r="D423" s="16"/>
      <c r="E423" s="17"/>
      <c r="F423" s="17"/>
      <c r="H423" s="19"/>
      <c r="I423" s="47"/>
      <c r="J423" s="48"/>
      <c r="K423" s="49"/>
    </row>
    <row r="424" spans="1:11" ht="12.75" hidden="1" x14ac:dyDescent="0.2">
      <c r="A424" s="16"/>
      <c r="B424" s="16"/>
      <c r="C424" s="15"/>
      <c r="D424" s="16"/>
      <c r="E424" s="17"/>
      <c r="F424" s="17"/>
      <c r="H424" s="19"/>
      <c r="I424" s="47"/>
      <c r="J424" s="48"/>
      <c r="K424" s="49"/>
    </row>
    <row r="425" spans="1:11" ht="12.75" hidden="1" x14ac:dyDescent="0.2">
      <c r="A425" s="16"/>
      <c r="B425" s="16"/>
      <c r="C425" s="15"/>
      <c r="D425" s="16"/>
      <c r="E425" s="17"/>
      <c r="F425" s="17"/>
      <c r="H425" s="19"/>
      <c r="I425" s="47"/>
      <c r="J425" s="48"/>
      <c r="K425" s="49"/>
    </row>
    <row r="426" spans="1:11" ht="12.75" hidden="1" x14ac:dyDescent="0.2">
      <c r="A426" s="16"/>
      <c r="B426" s="16"/>
      <c r="C426" s="15"/>
      <c r="D426" s="16"/>
      <c r="E426" s="17"/>
      <c r="F426" s="17"/>
      <c r="H426" s="19"/>
      <c r="I426" s="47"/>
      <c r="J426" s="48"/>
      <c r="K426" s="49"/>
    </row>
    <row r="427" spans="1:11" ht="12.75" hidden="1" x14ac:dyDescent="0.2">
      <c r="A427" s="16"/>
      <c r="B427" s="16"/>
      <c r="C427" s="15"/>
      <c r="D427" s="16"/>
      <c r="E427" s="17"/>
      <c r="F427" s="17"/>
      <c r="H427" s="19"/>
      <c r="I427" s="47"/>
      <c r="J427" s="48"/>
      <c r="K427" s="49"/>
    </row>
    <row r="428" spans="1:11" ht="12.75" hidden="1" x14ac:dyDescent="0.2">
      <c r="A428" s="16"/>
      <c r="B428" s="16"/>
      <c r="C428" s="15"/>
      <c r="D428" s="16"/>
      <c r="E428" s="17"/>
      <c r="F428" s="17"/>
      <c r="H428" s="19"/>
      <c r="I428" s="47"/>
      <c r="J428" s="48"/>
      <c r="K428" s="49"/>
    </row>
    <row r="429" spans="1:11" ht="12.75" hidden="1" x14ac:dyDescent="0.2">
      <c r="A429" s="16"/>
      <c r="B429" s="16"/>
      <c r="C429" s="15"/>
      <c r="D429" s="16"/>
      <c r="E429" s="17"/>
      <c r="F429" s="17"/>
      <c r="H429" s="19"/>
      <c r="I429" s="47"/>
      <c r="J429" s="48"/>
      <c r="K429" s="49"/>
    </row>
    <row r="430" spans="1:11" ht="12.75" hidden="1" x14ac:dyDescent="0.2">
      <c r="A430" s="16"/>
      <c r="B430" s="16"/>
      <c r="C430" s="15"/>
      <c r="D430" s="16"/>
      <c r="E430" s="17"/>
      <c r="F430" s="17"/>
      <c r="H430" s="19"/>
      <c r="I430" s="47"/>
      <c r="J430" s="48"/>
      <c r="K430" s="49"/>
    </row>
    <row r="431" spans="1:11" ht="12.75" hidden="1" x14ac:dyDescent="0.2">
      <c r="A431" s="16"/>
      <c r="B431" s="16"/>
      <c r="C431" s="15"/>
      <c r="D431" s="16"/>
      <c r="E431" s="17"/>
      <c r="F431" s="17"/>
      <c r="H431" s="19"/>
      <c r="I431" s="47"/>
      <c r="J431" s="48"/>
      <c r="K431" s="49"/>
    </row>
    <row r="432" spans="1:11" ht="12.75" hidden="1" x14ac:dyDescent="0.2">
      <c r="A432" s="16"/>
      <c r="B432" s="16"/>
      <c r="C432" s="15"/>
      <c r="D432" s="16"/>
      <c r="E432" s="17"/>
      <c r="F432" s="17"/>
      <c r="H432" s="19"/>
      <c r="I432" s="47"/>
      <c r="J432" s="48"/>
      <c r="K432" s="49"/>
    </row>
    <row r="433" spans="1:11" ht="12.75" hidden="1" x14ac:dyDescent="0.2">
      <c r="A433" s="16"/>
      <c r="B433" s="16"/>
      <c r="C433" s="15"/>
      <c r="D433" s="16"/>
      <c r="E433" s="17"/>
      <c r="F433" s="17"/>
      <c r="H433" s="19"/>
      <c r="I433" s="47"/>
      <c r="J433" s="48"/>
      <c r="K433" s="49"/>
    </row>
    <row r="434" spans="1:11" ht="12.75" hidden="1" x14ac:dyDescent="0.2">
      <c r="A434" s="16"/>
      <c r="B434" s="16"/>
      <c r="C434" s="15"/>
      <c r="D434" s="16"/>
      <c r="E434" s="17"/>
      <c r="F434" s="17"/>
      <c r="H434" s="19"/>
      <c r="I434" s="47"/>
      <c r="J434" s="48"/>
      <c r="K434" s="49"/>
    </row>
    <row r="435" spans="1:11" ht="12.75" hidden="1" x14ac:dyDescent="0.2">
      <c r="A435" s="16"/>
      <c r="B435" s="16"/>
      <c r="C435" s="15"/>
      <c r="D435" s="16"/>
      <c r="E435" s="17"/>
      <c r="F435" s="17"/>
      <c r="H435" s="19"/>
      <c r="I435" s="47"/>
      <c r="J435" s="48"/>
      <c r="K435" s="49"/>
    </row>
    <row r="436" spans="1:11" ht="12.75" hidden="1" x14ac:dyDescent="0.2">
      <c r="A436" s="16"/>
      <c r="B436" s="16"/>
      <c r="C436" s="15"/>
      <c r="D436" s="16"/>
      <c r="E436" s="17"/>
      <c r="F436" s="17"/>
      <c r="H436" s="19"/>
      <c r="I436" s="47"/>
      <c r="J436" s="48"/>
      <c r="K436" s="49"/>
    </row>
    <row r="437" spans="1:11" ht="12.75" hidden="1" x14ac:dyDescent="0.2">
      <c r="A437" s="16"/>
      <c r="B437" s="16"/>
      <c r="C437" s="15"/>
      <c r="D437" s="16"/>
      <c r="E437" s="17"/>
      <c r="F437" s="17"/>
      <c r="H437" s="19"/>
      <c r="I437" s="47"/>
      <c r="J437" s="48"/>
      <c r="K437" s="49"/>
    </row>
    <row r="438" spans="1:11" ht="12.75" hidden="1" x14ac:dyDescent="0.2">
      <c r="A438" s="16"/>
      <c r="B438" s="16"/>
      <c r="C438" s="15"/>
      <c r="D438" s="16"/>
      <c r="E438" s="17"/>
      <c r="F438" s="17"/>
      <c r="H438" s="19"/>
      <c r="I438" s="47"/>
      <c r="J438" s="48"/>
      <c r="K438" s="49"/>
    </row>
    <row r="439" spans="1:11" ht="12.75" hidden="1" x14ac:dyDescent="0.2">
      <c r="A439" s="16"/>
      <c r="B439" s="16"/>
      <c r="C439" s="15"/>
      <c r="D439" s="16"/>
      <c r="E439" s="17"/>
      <c r="F439" s="17"/>
      <c r="H439" s="19"/>
      <c r="I439" s="47"/>
      <c r="J439" s="48"/>
      <c r="K439" s="49"/>
    </row>
    <row r="440" spans="1:11" ht="12.75" hidden="1" x14ac:dyDescent="0.2">
      <c r="A440" s="16"/>
      <c r="B440" s="16"/>
      <c r="C440" s="15"/>
      <c r="D440" s="16"/>
      <c r="E440" s="17"/>
      <c r="F440" s="17"/>
      <c r="H440" s="19"/>
      <c r="I440" s="47"/>
      <c r="J440" s="48"/>
      <c r="K440" s="49"/>
    </row>
    <row r="441" spans="1:11" ht="12.75" hidden="1" x14ac:dyDescent="0.2">
      <c r="A441" s="16"/>
      <c r="B441" s="16"/>
      <c r="C441" s="15"/>
      <c r="D441" s="16"/>
      <c r="E441" s="17"/>
      <c r="F441" s="17"/>
      <c r="H441" s="19"/>
      <c r="I441" s="47"/>
      <c r="J441" s="48"/>
      <c r="K441" s="49"/>
    </row>
    <row r="442" spans="1:11" ht="12.75" hidden="1" x14ac:dyDescent="0.2">
      <c r="A442" s="16"/>
      <c r="B442" s="16"/>
      <c r="C442" s="15"/>
      <c r="D442" s="16"/>
      <c r="E442" s="17"/>
      <c r="F442" s="17"/>
      <c r="H442" s="19"/>
      <c r="I442" s="47"/>
      <c r="J442" s="48"/>
      <c r="K442" s="49"/>
    </row>
    <row r="443" spans="1:11" ht="12.75" hidden="1" x14ac:dyDescent="0.2">
      <c r="A443" s="16"/>
      <c r="B443" s="16"/>
      <c r="C443" s="15"/>
      <c r="D443" s="16"/>
      <c r="E443" s="17"/>
      <c r="F443" s="17"/>
      <c r="H443" s="19"/>
      <c r="I443" s="47"/>
      <c r="J443" s="48"/>
      <c r="K443" s="49"/>
    </row>
    <row r="444" spans="1:11" ht="12.75" hidden="1" x14ac:dyDescent="0.2">
      <c r="A444" s="16"/>
      <c r="B444" s="16"/>
      <c r="C444" s="15"/>
      <c r="D444" s="16"/>
      <c r="E444" s="17"/>
      <c r="F444" s="17"/>
      <c r="H444" s="19"/>
      <c r="I444" s="47"/>
      <c r="J444" s="48"/>
      <c r="K444" s="49"/>
    </row>
    <row r="445" spans="1:11" ht="12.75" hidden="1" x14ac:dyDescent="0.2">
      <c r="A445" s="16"/>
      <c r="B445" s="16"/>
      <c r="C445" s="15"/>
      <c r="D445" s="16"/>
      <c r="E445" s="17"/>
      <c r="F445" s="17"/>
      <c r="H445" s="19"/>
      <c r="I445" s="47"/>
      <c r="J445" s="48"/>
      <c r="K445" s="49"/>
    </row>
    <row r="446" spans="1:11" ht="12.75" hidden="1" x14ac:dyDescent="0.2">
      <c r="A446" s="16"/>
      <c r="B446" s="16"/>
      <c r="C446" s="15"/>
      <c r="D446" s="16"/>
      <c r="E446" s="17"/>
      <c r="F446" s="17"/>
      <c r="H446" s="19"/>
      <c r="I446" s="47"/>
      <c r="J446" s="48"/>
      <c r="K446" s="49"/>
    </row>
    <row r="447" spans="1:11" ht="12.75" hidden="1" x14ac:dyDescent="0.2">
      <c r="A447" s="16"/>
      <c r="B447" s="16"/>
      <c r="C447" s="15"/>
      <c r="D447" s="16"/>
      <c r="E447" s="17"/>
      <c r="F447" s="17"/>
      <c r="H447" s="19"/>
      <c r="I447" s="47"/>
      <c r="J447" s="48"/>
      <c r="K447" s="49"/>
    </row>
    <row r="448" spans="1:11" ht="12.75" hidden="1" x14ac:dyDescent="0.2">
      <c r="A448" s="16"/>
      <c r="B448" s="16"/>
      <c r="C448" s="15"/>
      <c r="D448" s="16"/>
      <c r="E448" s="17"/>
      <c r="F448" s="17"/>
      <c r="H448" s="19"/>
      <c r="I448" s="47"/>
      <c r="J448" s="48"/>
      <c r="K448" s="49"/>
    </row>
    <row r="449" spans="1:11" ht="12.75" hidden="1" x14ac:dyDescent="0.2">
      <c r="A449" s="16"/>
      <c r="B449" s="16"/>
      <c r="C449" s="15"/>
      <c r="D449" s="16"/>
      <c r="E449" s="17"/>
      <c r="F449" s="17"/>
      <c r="H449" s="19"/>
      <c r="I449" s="47"/>
      <c r="J449" s="48"/>
      <c r="K449" s="49"/>
    </row>
    <row r="450" spans="1:11" ht="12.75" hidden="1" x14ac:dyDescent="0.2">
      <c r="A450" s="16"/>
      <c r="B450" s="16"/>
      <c r="C450" s="15"/>
      <c r="D450" s="16"/>
      <c r="E450" s="17"/>
      <c r="F450" s="17"/>
      <c r="H450" s="19"/>
      <c r="I450" s="47"/>
      <c r="J450" s="48"/>
      <c r="K450" s="49"/>
    </row>
    <row r="451" spans="1:11" ht="12.75" hidden="1" x14ac:dyDescent="0.2">
      <c r="A451" s="16"/>
      <c r="B451" s="16"/>
      <c r="C451" s="15"/>
      <c r="D451" s="16"/>
      <c r="E451" s="17"/>
      <c r="F451" s="17"/>
      <c r="H451" s="19"/>
      <c r="I451" s="47"/>
      <c r="J451" s="48"/>
      <c r="K451" s="49"/>
    </row>
    <row r="452" spans="1:11" ht="12.75" hidden="1" x14ac:dyDescent="0.2">
      <c r="A452" s="16"/>
      <c r="B452" s="16"/>
      <c r="C452" s="15"/>
      <c r="D452" s="16"/>
      <c r="E452" s="17"/>
      <c r="F452" s="17"/>
      <c r="H452" s="19"/>
      <c r="I452" s="47"/>
      <c r="J452" s="48"/>
      <c r="K452" s="49"/>
    </row>
    <row r="453" spans="1:11" ht="12.75" hidden="1" x14ac:dyDescent="0.2">
      <c r="A453" s="16"/>
      <c r="B453" s="16"/>
      <c r="C453" s="15"/>
      <c r="D453" s="16"/>
      <c r="E453" s="17"/>
      <c r="F453" s="17"/>
      <c r="H453" s="19"/>
      <c r="I453" s="47"/>
      <c r="J453" s="48"/>
      <c r="K453" s="49"/>
    </row>
    <row r="454" spans="1:11" ht="12.75" hidden="1" x14ac:dyDescent="0.2">
      <c r="A454" s="16"/>
      <c r="B454" s="16"/>
      <c r="C454" s="15"/>
      <c r="D454" s="16"/>
      <c r="E454" s="17"/>
      <c r="F454" s="17"/>
      <c r="H454" s="19"/>
      <c r="I454" s="47"/>
      <c r="J454" s="48"/>
      <c r="K454" s="49"/>
    </row>
    <row r="455" spans="1:11" ht="12.75" hidden="1" x14ac:dyDescent="0.2">
      <c r="A455" s="16"/>
      <c r="B455" s="16"/>
      <c r="C455" s="15"/>
      <c r="D455" s="16"/>
      <c r="E455" s="17"/>
      <c r="F455" s="17"/>
      <c r="H455" s="19"/>
      <c r="I455" s="47"/>
      <c r="J455" s="48"/>
      <c r="K455" s="49"/>
    </row>
    <row r="456" spans="1:11" ht="12.75" hidden="1" x14ac:dyDescent="0.2">
      <c r="A456" s="16"/>
      <c r="B456" s="16"/>
      <c r="C456" s="15"/>
      <c r="D456" s="16"/>
      <c r="E456" s="17"/>
      <c r="F456" s="17"/>
      <c r="H456" s="19"/>
      <c r="I456" s="47"/>
      <c r="J456" s="48"/>
      <c r="K456" s="49"/>
    </row>
    <row r="457" spans="1:11" ht="12.75" hidden="1" x14ac:dyDescent="0.2">
      <c r="A457" s="16"/>
      <c r="B457" s="16"/>
      <c r="C457" s="15"/>
      <c r="D457" s="16"/>
      <c r="E457" s="17"/>
      <c r="F457" s="17"/>
      <c r="H457" s="19"/>
      <c r="I457" s="47"/>
      <c r="J457" s="48"/>
      <c r="K457" s="49"/>
    </row>
    <row r="458" spans="1:11" ht="12.75" hidden="1" x14ac:dyDescent="0.2">
      <c r="A458" s="16"/>
      <c r="B458" s="16"/>
      <c r="C458" s="15"/>
      <c r="D458" s="16"/>
      <c r="E458" s="17"/>
      <c r="F458" s="17"/>
      <c r="H458" s="19"/>
      <c r="I458" s="47"/>
      <c r="J458" s="48"/>
      <c r="K458" s="49"/>
    </row>
    <row r="459" spans="1:11" ht="12.75" hidden="1" x14ac:dyDescent="0.2">
      <c r="A459" s="16"/>
      <c r="B459" s="16"/>
      <c r="C459" s="15"/>
      <c r="D459" s="16"/>
      <c r="E459" s="17"/>
      <c r="F459" s="17"/>
      <c r="H459" s="19"/>
      <c r="I459" s="47"/>
      <c r="J459" s="48"/>
      <c r="K459" s="49"/>
    </row>
    <row r="460" spans="1:11" ht="12.75" hidden="1" x14ac:dyDescent="0.2">
      <c r="A460" s="16"/>
      <c r="B460" s="16"/>
      <c r="C460" s="15"/>
      <c r="D460" s="16"/>
      <c r="E460" s="17"/>
      <c r="F460" s="17"/>
      <c r="H460" s="19"/>
      <c r="I460" s="47"/>
      <c r="J460" s="48"/>
      <c r="K460" s="49"/>
    </row>
    <row r="461" spans="1:11" ht="12.75" hidden="1" x14ac:dyDescent="0.2">
      <c r="A461" s="16"/>
      <c r="B461" s="16"/>
      <c r="C461" s="15"/>
      <c r="D461" s="16"/>
      <c r="E461" s="17"/>
      <c r="F461" s="17"/>
      <c r="H461" s="19"/>
      <c r="I461" s="47"/>
      <c r="J461" s="48"/>
      <c r="K461" s="49"/>
    </row>
    <row r="462" spans="1:11" ht="12.75" hidden="1" x14ac:dyDescent="0.2">
      <c r="A462" s="16"/>
      <c r="B462" s="16"/>
      <c r="C462" s="15"/>
      <c r="D462" s="16"/>
      <c r="E462" s="17"/>
      <c r="F462" s="17"/>
      <c r="H462" s="19"/>
      <c r="I462" s="47"/>
      <c r="J462" s="48"/>
      <c r="K462" s="49"/>
    </row>
    <row r="463" spans="1:11" ht="12.75" hidden="1" x14ac:dyDescent="0.2">
      <c r="A463" s="16"/>
      <c r="B463" s="16"/>
      <c r="C463" s="15"/>
      <c r="D463" s="16"/>
      <c r="E463" s="17"/>
      <c r="F463" s="17"/>
      <c r="H463" s="19"/>
      <c r="I463" s="47"/>
      <c r="J463" s="48"/>
      <c r="K463" s="49"/>
    </row>
    <row r="464" spans="1:11" ht="12.75" hidden="1" x14ac:dyDescent="0.2">
      <c r="A464" s="16"/>
      <c r="B464" s="16"/>
      <c r="C464" s="15"/>
      <c r="D464" s="16"/>
      <c r="E464" s="17"/>
      <c r="F464" s="17"/>
      <c r="H464" s="19"/>
      <c r="I464" s="47"/>
      <c r="J464" s="48"/>
      <c r="K464" s="49"/>
    </row>
    <row r="465" spans="1:11" ht="12.75" hidden="1" x14ac:dyDescent="0.2">
      <c r="A465" s="16"/>
      <c r="B465" s="16"/>
      <c r="C465" s="15"/>
      <c r="D465" s="16"/>
      <c r="E465" s="17"/>
      <c r="F465" s="17"/>
      <c r="H465" s="19"/>
      <c r="I465" s="47"/>
      <c r="J465" s="48"/>
      <c r="K465" s="49"/>
    </row>
    <row r="466" spans="1:11" ht="12.75" hidden="1" x14ac:dyDescent="0.2">
      <c r="A466" s="16"/>
      <c r="B466" s="16"/>
      <c r="C466" s="15"/>
      <c r="D466" s="16"/>
      <c r="E466" s="17"/>
      <c r="F466" s="17"/>
      <c r="H466" s="19"/>
      <c r="I466" s="47"/>
      <c r="J466" s="48"/>
      <c r="K466" s="49"/>
    </row>
    <row r="467" spans="1:11" ht="12.75" hidden="1" x14ac:dyDescent="0.2">
      <c r="A467" s="16"/>
      <c r="B467" s="16"/>
      <c r="C467" s="15"/>
      <c r="D467" s="16"/>
      <c r="E467" s="17"/>
      <c r="F467" s="17"/>
      <c r="H467" s="19"/>
      <c r="I467" s="47"/>
      <c r="J467" s="48"/>
      <c r="K467" s="49"/>
    </row>
    <row r="468" spans="1:11" ht="12.75" hidden="1" x14ac:dyDescent="0.2">
      <c r="A468" s="16"/>
      <c r="B468" s="16"/>
      <c r="C468" s="15"/>
      <c r="D468" s="16"/>
      <c r="E468" s="17"/>
      <c r="F468" s="17"/>
      <c r="H468" s="19"/>
      <c r="I468" s="47"/>
      <c r="J468" s="48"/>
      <c r="K468" s="49"/>
    </row>
    <row r="469" spans="1:11" ht="12.75" hidden="1" x14ac:dyDescent="0.2">
      <c r="A469" s="16"/>
      <c r="B469" s="16"/>
      <c r="C469" s="15"/>
      <c r="D469" s="16"/>
      <c r="E469" s="17"/>
      <c r="F469" s="17"/>
      <c r="H469" s="19"/>
      <c r="I469" s="47"/>
      <c r="J469" s="48"/>
      <c r="K469" s="49"/>
    </row>
    <row r="470" spans="1:11" ht="12.75" hidden="1" x14ac:dyDescent="0.2">
      <c r="A470" s="16"/>
      <c r="B470" s="16"/>
      <c r="C470" s="15"/>
      <c r="D470" s="16"/>
      <c r="E470" s="17"/>
      <c r="F470" s="17"/>
      <c r="H470" s="19"/>
      <c r="I470" s="47"/>
      <c r="J470" s="48"/>
      <c r="K470" s="49"/>
    </row>
    <row r="471" spans="1:11" ht="12.75" hidden="1" x14ac:dyDescent="0.2">
      <c r="A471" s="16"/>
      <c r="B471" s="16"/>
      <c r="C471" s="15"/>
      <c r="D471" s="16"/>
      <c r="E471" s="17"/>
      <c r="F471" s="17"/>
      <c r="H471" s="19"/>
      <c r="I471" s="47"/>
      <c r="J471" s="48"/>
      <c r="K471" s="49"/>
    </row>
    <row r="472" spans="1:11" ht="12.75" hidden="1" x14ac:dyDescent="0.2">
      <c r="A472" s="16"/>
      <c r="B472" s="16"/>
      <c r="C472" s="15"/>
      <c r="D472" s="16"/>
      <c r="E472" s="17"/>
      <c r="F472" s="17"/>
      <c r="H472" s="19"/>
      <c r="I472" s="47"/>
      <c r="J472" s="48"/>
      <c r="K472" s="49"/>
    </row>
    <row r="473" spans="1:11" ht="12.75" hidden="1" x14ac:dyDescent="0.2">
      <c r="A473" s="16"/>
      <c r="B473" s="16"/>
      <c r="C473" s="15"/>
      <c r="D473" s="16"/>
      <c r="E473" s="17"/>
      <c r="F473" s="17"/>
      <c r="H473" s="19"/>
      <c r="I473" s="47"/>
      <c r="J473" s="48"/>
      <c r="K473" s="49"/>
    </row>
    <row r="474" spans="1:11" ht="12.75" hidden="1" x14ac:dyDescent="0.2">
      <c r="A474" s="16"/>
      <c r="B474" s="16"/>
      <c r="C474" s="15"/>
      <c r="D474" s="16"/>
      <c r="E474" s="17"/>
      <c r="F474" s="17"/>
      <c r="H474" s="19"/>
      <c r="I474" s="47"/>
      <c r="J474" s="48"/>
      <c r="K474" s="49"/>
    </row>
    <row r="475" spans="1:11" ht="12.75" hidden="1" x14ac:dyDescent="0.2">
      <c r="A475" s="16"/>
      <c r="B475" s="16"/>
      <c r="C475" s="15"/>
      <c r="D475" s="16"/>
      <c r="E475" s="17"/>
      <c r="F475" s="17"/>
      <c r="H475" s="19"/>
      <c r="I475" s="47"/>
      <c r="J475" s="48"/>
      <c r="K475" s="49"/>
    </row>
    <row r="476" spans="1:11" ht="12.75" hidden="1" x14ac:dyDescent="0.2">
      <c r="A476" s="16"/>
      <c r="B476" s="16"/>
      <c r="C476" s="15"/>
      <c r="D476" s="16"/>
      <c r="E476" s="17"/>
      <c r="F476" s="17"/>
      <c r="H476" s="19"/>
      <c r="I476" s="47"/>
      <c r="J476" s="48"/>
      <c r="K476" s="49"/>
    </row>
    <row r="477" spans="1:11" ht="12.75" hidden="1" x14ac:dyDescent="0.2">
      <c r="A477" s="16"/>
      <c r="B477" s="16"/>
      <c r="C477" s="15"/>
      <c r="D477" s="16"/>
      <c r="E477" s="17"/>
      <c r="F477" s="17"/>
      <c r="H477" s="19"/>
      <c r="I477" s="47"/>
      <c r="J477" s="48"/>
      <c r="K477" s="49"/>
    </row>
    <row r="478" spans="1:11" ht="12.75" hidden="1" x14ac:dyDescent="0.2">
      <c r="A478" s="16"/>
      <c r="B478" s="16"/>
      <c r="C478" s="15"/>
      <c r="D478" s="16"/>
      <c r="E478" s="17"/>
      <c r="F478" s="17"/>
      <c r="H478" s="19"/>
      <c r="I478" s="47"/>
      <c r="J478" s="48"/>
      <c r="K478" s="49"/>
    </row>
    <row r="479" spans="1:11" ht="12.75" hidden="1" x14ac:dyDescent="0.2">
      <c r="A479" s="16"/>
      <c r="B479" s="16"/>
      <c r="C479" s="15"/>
      <c r="D479" s="16"/>
      <c r="E479" s="17"/>
      <c r="F479" s="17"/>
      <c r="H479" s="19"/>
      <c r="I479" s="47"/>
      <c r="J479" s="48"/>
      <c r="K479" s="49"/>
    </row>
    <row r="480" spans="1:11" ht="12.75" hidden="1" x14ac:dyDescent="0.2">
      <c r="A480" s="16"/>
      <c r="B480" s="16"/>
      <c r="C480" s="15"/>
      <c r="D480" s="16"/>
      <c r="E480" s="17"/>
      <c r="F480" s="17"/>
      <c r="H480" s="19"/>
      <c r="I480" s="47"/>
      <c r="J480" s="48"/>
      <c r="K480" s="49"/>
    </row>
    <row r="481" spans="1:11" ht="12.75" hidden="1" x14ac:dyDescent="0.2">
      <c r="A481" s="16"/>
      <c r="B481" s="16"/>
      <c r="C481" s="15"/>
      <c r="D481" s="16"/>
      <c r="E481" s="17"/>
      <c r="F481" s="17"/>
      <c r="H481" s="19"/>
      <c r="I481" s="47"/>
      <c r="J481" s="48"/>
      <c r="K481" s="49"/>
    </row>
    <row r="482" spans="1:11" ht="12.75" hidden="1" x14ac:dyDescent="0.2">
      <c r="A482" s="16"/>
      <c r="B482" s="16"/>
      <c r="C482" s="15"/>
      <c r="D482" s="16"/>
      <c r="E482" s="17"/>
      <c r="F482" s="17"/>
      <c r="H482" s="19"/>
      <c r="I482" s="47"/>
      <c r="J482" s="48"/>
      <c r="K482" s="49"/>
    </row>
    <row r="483" spans="1:11" ht="12.75" hidden="1" x14ac:dyDescent="0.2">
      <c r="A483" s="16"/>
      <c r="B483" s="16"/>
      <c r="C483" s="15"/>
      <c r="D483" s="16"/>
      <c r="E483" s="17"/>
      <c r="F483" s="17"/>
      <c r="H483" s="19"/>
      <c r="I483" s="47"/>
      <c r="J483" s="48"/>
      <c r="K483" s="49"/>
    </row>
    <row r="484" spans="1:11" ht="12.75" hidden="1" x14ac:dyDescent="0.2">
      <c r="A484" s="16"/>
      <c r="B484" s="16"/>
      <c r="C484" s="15"/>
      <c r="D484" s="16"/>
      <c r="E484" s="17"/>
      <c r="F484" s="17"/>
      <c r="H484" s="19"/>
      <c r="I484" s="47"/>
      <c r="J484" s="48"/>
      <c r="K484" s="49"/>
    </row>
    <row r="485" spans="1:11" ht="12.75" hidden="1" x14ac:dyDescent="0.2">
      <c r="A485" s="16"/>
      <c r="B485" s="16"/>
      <c r="C485" s="15"/>
      <c r="D485" s="16"/>
      <c r="E485" s="17"/>
      <c r="F485" s="17"/>
      <c r="H485" s="19"/>
      <c r="I485" s="47"/>
      <c r="J485" s="48"/>
      <c r="K485" s="49"/>
    </row>
    <row r="486" spans="1:11" ht="12.75" hidden="1" x14ac:dyDescent="0.2">
      <c r="A486" s="16"/>
      <c r="B486" s="16"/>
      <c r="C486" s="15"/>
      <c r="D486" s="16"/>
      <c r="E486" s="17"/>
      <c r="F486" s="17"/>
      <c r="H486" s="19"/>
      <c r="I486" s="47"/>
      <c r="J486" s="48"/>
      <c r="K486" s="49"/>
    </row>
    <row r="487" spans="1:11" ht="12.75" hidden="1" x14ac:dyDescent="0.2">
      <c r="A487" s="16"/>
      <c r="B487" s="16"/>
      <c r="C487" s="15"/>
      <c r="D487" s="16"/>
      <c r="E487" s="17"/>
      <c r="F487" s="17"/>
      <c r="H487" s="19"/>
      <c r="I487" s="47"/>
      <c r="J487" s="48"/>
      <c r="K487" s="49"/>
    </row>
    <row r="488" spans="1:11" ht="12.75" hidden="1" x14ac:dyDescent="0.2">
      <c r="A488" s="16"/>
      <c r="B488" s="16"/>
      <c r="C488" s="15"/>
      <c r="D488" s="16"/>
      <c r="E488" s="17"/>
      <c r="F488" s="17"/>
      <c r="H488" s="19"/>
      <c r="I488" s="47"/>
      <c r="J488" s="48"/>
      <c r="K488" s="49"/>
    </row>
    <row r="489" spans="1:11" ht="12.75" hidden="1" x14ac:dyDescent="0.2">
      <c r="A489" s="16"/>
      <c r="B489" s="16"/>
      <c r="C489" s="15"/>
      <c r="D489" s="16"/>
      <c r="E489" s="17"/>
      <c r="F489" s="17"/>
      <c r="H489" s="19"/>
      <c r="I489" s="47"/>
      <c r="J489" s="48"/>
      <c r="K489" s="49"/>
    </row>
    <row r="490" spans="1:11" ht="12.75" hidden="1" x14ac:dyDescent="0.2">
      <c r="A490" s="16"/>
      <c r="B490" s="16"/>
      <c r="C490" s="15"/>
      <c r="D490" s="16"/>
      <c r="E490" s="17"/>
      <c r="F490" s="17"/>
      <c r="H490" s="19"/>
      <c r="I490" s="47"/>
      <c r="J490" s="48"/>
      <c r="K490" s="49"/>
    </row>
    <row r="491" spans="1:11" ht="12.75" hidden="1" x14ac:dyDescent="0.2">
      <c r="A491" s="16"/>
      <c r="B491" s="16"/>
      <c r="C491" s="15"/>
      <c r="D491" s="16"/>
      <c r="E491" s="17"/>
      <c r="F491" s="17"/>
      <c r="H491" s="19"/>
      <c r="I491" s="47"/>
      <c r="J491" s="48"/>
      <c r="K491" s="49"/>
    </row>
    <row r="492" spans="1:11" ht="12.75" hidden="1" x14ac:dyDescent="0.2">
      <c r="A492" s="16"/>
      <c r="B492" s="16"/>
      <c r="C492" s="15"/>
      <c r="D492" s="16"/>
      <c r="E492" s="17"/>
      <c r="F492" s="17"/>
      <c r="H492" s="19"/>
      <c r="I492" s="47"/>
      <c r="J492" s="48"/>
      <c r="K492" s="49"/>
    </row>
    <row r="493" spans="1:11" ht="12.75" hidden="1" x14ac:dyDescent="0.2">
      <c r="A493" s="16"/>
      <c r="B493" s="16"/>
      <c r="C493" s="15"/>
      <c r="D493" s="16"/>
      <c r="E493" s="17"/>
      <c r="F493" s="17"/>
      <c r="H493" s="19"/>
      <c r="I493" s="47"/>
      <c r="J493" s="48"/>
      <c r="K493" s="49"/>
    </row>
    <row r="494" spans="1:11" ht="12.75" hidden="1" x14ac:dyDescent="0.2">
      <c r="A494" s="16"/>
      <c r="B494" s="16"/>
      <c r="C494" s="15"/>
      <c r="D494" s="16"/>
      <c r="E494" s="17"/>
      <c r="F494" s="17"/>
      <c r="H494" s="19"/>
      <c r="I494" s="47"/>
      <c r="J494" s="48"/>
      <c r="K494" s="49"/>
    </row>
    <row r="495" spans="1:11" ht="12.75" hidden="1" x14ac:dyDescent="0.2">
      <c r="A495" s="16"/>
      <c r="B495" s="16"/>
      <c r="C495" s="15"/>
      <c r="D495" s="16"/>
      <c r="E495" s="17"/>
      <c r="F495" s="17"/>
      <c r="H495" s="19"/>
      <c r="I495" s="47"/>
      <c r="J495" s="48"/>
      <c r="K495" s="49"/>
    </row>
    <row r="496" spans="1:11" ht="12.75" hidden="1" x14ac:dyDescent="0.2">
      <c r="A496" s="16"/>
      <c r="B496" s="16"/>
      <c r="C496" s="15"/>
      <c r="D496" s="16"/>
      <c r="E496" s="17"/>
      <c r="F496" s="17"/>
      <c r="H496" s="19"/>
      <c r="I496" s="47"/>
      <c r="J496" s="48"/>
      <c r="K496" s="49"/>
    </row>
    <row r="497" spans="1:11" ht="12.75" hidden="1" x14ac:dyDescent="0.2">
      <c r="A497" s="16"/>
      <c r="B497" s="16"/>
      <c r="C497" s="15"/>
      <c r="D497" s="16"/>
      <c r="E497" s="17"/>
      <c r="F497" s="17"/>
      <c r="H497" s="19"/>
      <c r="I497" s="47"/>
      <c r="J497" s="48"/>
      <c r="K497" s="49"/>
    </row>
    <row r="498" spans="1:11" ht="12.75" hidden="1" x14ac:dyDescent="0.2">
      <c r="A498" s="16"/>
      <c r="B498" s="16"/>
      <c r="C498" s="15"/>
      <c r="D498" s="16"/>
      <c r="E498" s="17"/>
      <c r="F498" s="17"/>
      <c r="H498" s="19"/>
      <c r="I498" s="47"/>
      <c r="J498" s="48"/>
      <c r="K498" s="49"/>
    </row>
    <row r="499" spans="1:11" ht="12.75" hidden="1" x14ac:dyDescent="0.2">
      <c r="A499" s="16"/>
      <c r="B499" s="16"/>
      <c r="C499" s="15"/>
      <c r="D499" s="16"/>
      <c r="E499" s="17"/>
      <c r="F499" s="17"/>
      <c r="H499" s="19"/>
      <c r="I499" s="47"/>
      <c r="J499" s="48"/>
      <c r="K499" s="49"/>
    </row>
    <row r="500" spans="1:11" ht="12.75" hidden="1" x14ac:dyDescent="0.2">
      <c r="A500" s="16"/>
      <c r="B500" s="16"/>
      <c r="C500" s="15"/>
      <c r="D500" s="16"/>
      <c r="E500" s="17"/>
      <c r="F500" s="17"/>
      <c r="H500" s="19"/>
      <c r="I500" s="47"/>
      <c r="J500" s="48"/>
      <c r="K500" s="49"/>
    </row>
    <row r="501" spans="1:11" ht="12.75" hidden="1" x14ac:dyDescent="0.2">
      <c r="A501" s="16"/>
      <c r="B501" s="16"/>
      <c r="C501" s="15"/>
      <c r="D501" s="16"/>
      <c r="E501" s="17"/>
      <c r="F501" s="17"/>
      <c r="H501" s="19"/>
      <c r="I501" s="47"/>
      <c r="J501" s="48"/>
      <c r="K501" s="49"/>
    </row>
    <row r="502" spans="1:11" ht="12.75" hidden="1" x14ac:dyDescent="0.2">
      <c r="A502" s="16"/>
      <c r="B502" s="16"/>
      <c r="C502" s="15"/>
      <c r="D502" s="16"/>
      <c r="E502" s="17"/>
      <c r="F502" s="17"/>
      <c r="H502" s="19"/>
      <c r="I502" s="47"/>
      <c r="J502" s="48"/>
      <c r="K502" s="49"/>
    </row>
    <row r="503" spans="1:11" ht="12.75" hidden="1" x14ac:dyDescent="0.2">
      <c r="A503" s="16"/>
      <c r="B503" s="16"/>
      <c r="C503" s="15"/>
      <c r="D503" s="16"/>
      <c r="E503" s="17"/>
      <c r="F503" s="17"/>
      <c r="H503" s="19"/>
      <c r="I503" s="47"/>
      <c r="J503" s="48"/>
      <c r="K503" s="49"/>
    </row>
    <row r="504" spans="1:11" ht="12.75" hidden="1" x14ac:dyDescent="0.2">
      <c r="A504" s="16"/>
      <c r="B504" s="16"/>
      <c r="C504" s="15"/>
      <c r="D504" s="16"/>
      <c r="E504" s="17"/>
      <c r="F504" s="17"/>
      <c r="H504" s="19"/>
      <c r="I504" s="47"/>
      <c r="J504" s="48"/>
      <c r="K504" s="49"/>
    </row>
    <row r="505" spans="1:11" ht="12.75" hidden="1" x14ac:dyDescent="0.2">
      <c r="A505" s="16"/>
      <c r="B505" s="16"/>
      <c r="C505" s="15"/>
      <c r="D505" s="16"/>
      <c r="E505" s="17"/>
      <c r="F505" s="17"/>
      <c r="H505" s="19"/>
      <c r="I505" s="47"/>
      <c r="J505" s="48"/>
      <c r="K505" s="49"/>
    </row>
    <row r="506" spans="1:11" ht="12.75" hidden="1" x14ac:dyDescent="0.2">
      <c r="A506" s="16"/>
      <c r="B506" s="16"/>
      <c r="C506" s="15"/>
      <c r="D506" s="16"/>
      <c r="E506" s="17"/>
      <c r="F506" s="17"/>
      <c r="H506" s="19"/>
      <c r="I506" s="47"/>
      <c r="J506" s="48"/>
      <c r="K506" s="49"/>
    </row>
    <row r="507" spans="1:11" ht="12.75" hidden="1" x14ac:dyDescent="0.2">
      <c r="A507" s="16"/>
      <c r="B507" s="16"/>
      <c r="C507" s="15"/>
      <c r="D507" s="16"/>
      <c r="E507" s="17"/>
      <c r="F507" s="17"/>
      <c r="H507" s="19"/>
      <c r="I507" s="47"/>
      <c r="J507" s="48"/>
      <c r="K507" s="49"/>
    </row>
    <row r="508" spans="1:11" ht="12.75" hidden="1" x14ac:dyDescent="0.2">
      <c r="A508" s="16"/>
      <c r="B508" s="16"/>
      <c r="C508" s="15"/>
      <c r="D508" s="16"/>
      <c r="E508" s="17"/>
      <c r="F508" s="17"/>
      <c r="H508" s="19"/>
      <c r="I508" s="47"/>
      <c r="J508" s="48"/>
      <c r="K508" s="49"/>
    </row>
    <row r="509" spans="1:11" ht="12.75" hidden="1" x14ac:dyDescent="0.2">
      <c r="A509" s="16"/>
      <c r="B509" s="16"/>
      <c r="C509" s="15"/>
      <c r="D509" s="16"/>
      <c r="E509" s="17"/>
      <c r="F509" s="17"/>
      <c r="H509" s="19"/>
      <c r="I509" s="47"/>
      <c r="J509" s="48"/>
      <c r="K509" s="49"/>
    </row>
    <row r="510" spans="1:11" ht="12.75" hidden="1" x14ac:dyDescent="0.2">
      <c r="A510" s="16"/>
      <c r="B510" s="16"/>
      <c r="C510" s="15"/>
      <c r="D510" s="16"/>
      <c r="E510" s="17"/>
      <c r="F510" s="17"/>
      <c r="H510" s="19"/>
      <c r="I510" s="47"/>
      <c r="J510" s="48"/>
      <c r="K510" s="49"/>
    </row>
    <row r="511" spans="1:11" ht="12.75" hidden="1" x14ac:dyDescent="0.2">
      <c r="A511" s="16"/>
      <c r="B511" s="16"/>
      <c r="C511" s="15"/>
      <c r="D511" s="16"/>
      <c r="E511" s="17"/>
      <c r="F511" s="17"/>
      <c r="H511" s="19"/>
      <c r="I511" s="47"/>
      <c r="J511" s="48"/>
      <c r="K511" s="49"/>
    </row>
    <row r="512" spans="1:11" ht="12.75" hidden="1" x14ac:dyDescent="0.2">
      <c r="A512" s="16"/>
      <c r="B512" s="16"/>
      <c r="C512" s="15"/>
      <c r="D512" s="16"/>
      <c r="E512" s="17"/>
      <c r="F512" s="17"/>
      <c r="H512" s="19"/>
      <c r="I512" s="47"/>
      <c r="J512" s="48"/>
      <c r="K512" s="49"/>
    </row>
    <row r="513" spans="1:11" ht="12.75" hidden="1" x14ac:dyDescent="0.2">
      <c r="A513" s="16"/>
      <c r="B513" s="16"/>
      <c r="C513" s="15"/>
      <c r="D513" s="16"/>
      <c r="E513" s="17"/>
      <c r="F513" s="17"/>
      <c r="H513" s="19"/>
      <c r="I513" s="47"/>
      <c r="J513" s="48"/>
      <c r="K513" s="49"/>
    </row>
    <row r="514" spans="1:11" ht="12.75" hidden="1" x14ac:dyDescent="0.2">
      <c r="A514" s="16"/>
      <c r="B514" s="16"/>
      <c r="C514" s="15"/>
      <c r="D514" s="16"/>
      <c r="E514" s="17"/>
      <c r="F514" s="17"/>
      <c r="H514" s="19"/>
      <c r="I514" s="47"/>
      <c r="J514" s="48"/>
      <c r="K514" s="49"/>
    </row>
    <row r="515" spans="1:11" ht="12.75" hidden="1" x14ac:dyDescent="0.2">
      <c r="A515" s="16"/>
      <c r="B515" s="16"/>
      <c r="C515" s="15"/>
      <c r="D515" s="16"/>
      <c r="E515" s="17"/>
      <c r="F515" s="17"/>
      <c r="H515" s="19"/>
      <c r="I515" s="47"/>
      <c r="J515" s="48"/>
      <c r="K515" s="49"/>
    </row>
    <row r="516" spans="1:11" ht="12.75" hidden="1" x14ac:dyDescent="0.2">
      <c r="A516" s="16"/>
      <c r="B516" s="16"/>
      <c r="C516" s="15"/>
      <c r="D516" s="16"/>
      <c r="E516" s="17"/>
      <c r="F516" s="17"/>
      <c r="H516" s="19"/>
      <c r="I516" s="47"/>
      <c r="J516" s="48"/>
      <c r="K516" s="49"/>
    </row>
    <row r="517" spans="1:11" ht="12.75" hidden="1" x14ac:dyDescent="0.2">
      <c r="A517" s="16"/>
      <c r="B517" s="16"/>
      <c r="C517" s="15"/>
      <c r="D517" s="16"/>
      <c r="E517" s="17"/>
      <c r="F517" s="17"/>
      <c r="H517" s="19"/>
      <c r="I517" s="47"/>
      <c r="J517" s="48"/>
      <c r="K517" s="49"/>
    </row>
    <row r="518" spans="1:11" ht="12.75" hidden="1" x14ac:dyDescent="0.2">
      <c r="A518" s="16"/>
      <c r="B518" s="16"/>
      <c r="C518" s="15"/>
      <c r="D518" s="16"/>
      <c r="E518" s="17"/>
      <c r="F518" s="17"/>
      <c r="H518" s="19"/>
      <c r="I518" s="47"/>
      <c r="J518" s="48"/>
      <c r="K518" s="49"/>
    </row>
    <row r="519" spans="1:11" ht="12.75" hidden="1" x14ac:dyDescent="0.2">
      <c r="A519" s="16"/>
      <c r="B519" s="16"/>
      <c r="C519" s="15"/>
      <c r="D519" s="16"/>
      <c r="E519" s="17"/>
      <c r="F519" s="17"/>
      <c r="H519" s="19"/>
      <c r="I519" s="47"/>
      <c r="J519" s="48"/>
      <c r="K519" s="49"/>
    </row>
    <row r="520" spans="1:11" ht="12.75" hidden="1" x14ac:dyDescent="0.2">
      <c r="A520" s="16"/>
      <c r="B520" s="16"/>
      <c r="C520" s="15"/>
      <c r="D520" s="16"/>
      <c r="E520" s="17"/>
      <c r="F520" s="17"/>
      <c r="H520" s="19"/>
      <c r="I520" s="47"/>
      <c r="J520" s="48"/>
      <c r="K520" s="49"/>
    </row>
    <row r="521" spans="1:11" ht="12.75" hidden="1" x14ac:dyDescent="0.2">
      <c r="A521" s="16"/>
      <c r="B521" s="16"/>
      <c r="C521" s="15"/>
      <c r="D521" s="16"/>
      <c r="E521" s="17"/>
      <c r="F521" s="17"/>
      <c r="H521" s="19"/>
      <c r="I521" s="47"/>
      <c r="J521" s="48"/>
      <c r="K521" s="49"/>
    </row>
    <row r="522" spans="1:11" ht="12.75" hidden="1" x14ac:dyDescent="0.2">
      <c r="A522" s="16"/>
      <c r="B522" s="16"/>
      <c r="C522" s="15"/>
      <c r="D522" s="16"/>
      <c r="E522" s="17"/>
      <c r="F522" s="17"/>
      <c r="H522" s="19"/>
      <c r="I522" s="47"/>
      <c r="J522" s="48"/>
      <c r="K522" s="49"/>
    </row>
    <row r="523" spans="1:11" ht="12.75" hidden="1" x14ac:dyDescent="0.2">
      <c r="A523" s="16"/>
      <c r="B523" s="16"/>
      <c r="C523" s="15"/>
      <c r="D523" s="16"/>
      <c r="E523" s="17"/>
      <c r="F523" s="17"/>
      <c r="H523" s="19"/>
      <c r="I523" s="47"/>
      <c r="J523" s="48"/>
      <c r="K523" s="49"/>
    </row>
    <row r="524" spans="1:11" ht="12.75" hidden="1" x14ac:dyDescent="0.2">
      <c r="A524" s="16"/>
      <c r="B524" s="16"/>
      <c r="C524" s="15"/>
      <c r="D524" s="16"/>
      <c r="E524" s="17"/>
      <c r="F524" s="17"/>
      <c r="H524" s="19"/>
      <c r="I524" s="47"/>
      <c r="J524" s="48"/>
      <c r="K524" s="49"/>
    </row>
    <row r="525" spans="1:11" ht="12.75" hidden="1" x14ac:dyDescent="0.2">
      <c r="A525" s="16"/>
      <c r="B525" s="16"/>
      <c r="C525" s="15"/>
      <c r="D525" s="16"/>
      <c r="E525" s="17"/>
      <c r="F525" s="17"/>
      <c r="H525" s="19"/>
      <c r="I525" s="47"/>
      <c r="J525" s="48"/>
      <c r="K525" s="49"/>
    </row>
    <row r="526" spans="1:11" ht="12.75" hidden="1" x14ac:dyDescent="0.2">
      <c r="A526" s="16"/>
      <c r="B526" s="16"/>
      <c r="C526" s="15"/>
      <c r="D526" s="16"/>
      <c r="E526" s="17"/>
      <c r="F526" s="17"/>
      <c r="H526" s="19"/>
      <c r="I526" s="47"/>
      <c r="J526" s="48"/>
      <c r="K526" s="49"/>
    </row>
    <row r="527" spans="1:11" ht="12.75" hidden="1" x14ac:dyDescent="0.2">
      <c r="A527" s="16"/>
      <c r="B527" s="16"/>
      <c r="C527" s="15"/>
      <c r="D527" s="16"/>
      <c r="E527" s="17"/>
      <c r="F527" s="17"/>
      <c r="H527" s="19"/>
      <c r="I527" s="47"/>
      <c r="J527" s="48"/>
      <c r="K527" s="49"/>
    </row>
    <row r="528" spans="1:11" ht="12.75" hidden="1" x14ac:dyDescent="0.2">
      <c r="A528" s="16"/>
      <c r="B528" s="16"/>
      <c r="C528" s="15"/>
      <c r="D528" s="16"/>
      <c r="E528" s="17"/>
      <c r="F528" s="17"/>
      <c r="H528" s="19"/>
      <c r="I528" s="47"/>
      <c r="J528" s="48"/>
      <c r="K528" s="49"/>
    </row>
    <row r="529" spans="1:11" ht="12.75" hidden="1" x14ac:dyDescent="0.2">
      <c r="A529" s="16"/>
      <c r="B529" s="16"/>
      <c r="C529" s="15"/>
      <c r="D529" s="16"/>
      <c r="E529" s="17"/>
      <c r="F529" s="17"/>
      <c r="H529" s="19"/>
      <c r="I529" s="47"/>
      <c r="J529" s="48"/>
      <c r="K529" s="49"/>
    </row>
    <row r="530" spans="1:11" ht="12.75" hidden="1" x14ac:dyDescent="0.2">
      <c r="A530" s="16"/>
      <c r="B530" s="16"/>
      <c r="C530" s="15"/>
      <c r="D530" s="16"/>
      <c r="E530" s="17"/>
      <c r="F530" s="17"/>
      <c r="H530" s="19"/>
      <c r="I530" s="47"/>
      <c r="J530" s="48"/>
      <c r="K530" s="49"/>
    </row>
    <row r="531" spans="1:11" ht="12.75" hidden="1" x14ac:dyDescent="0.2">
      <c r="A531" s="16"/>
      <c r="B531" s="16"/>
      <c r="C531" s="15"/>
      <c r="D531" s="16"/>
      <c r="E531" s="17"/>
      <c r="F531" s="17"/>
      <c r="H531" s="19"/>
      <c r="I531" s="47"/>
      <c r="J531" s="48"/>
      <c r="K531" s="49"/>
    </row>
    <row r="532" spans="1:11" ht="12.75" hidden="1" x14ac:dyDescent="0.2">
      <c r="A532" s="16"/>
      <c r="B532" s="16"/>
      <c r="C532" s="15"/>
      <c r="D532" s="16"/>
      <c r="E532" s="17"/>
      <c r="F532" s="17"/>
      <c r="H532" s="19"/>
      <c r="I532" s="47"/>
      <c r="J532" s="48"/>
      <c r="K532" s="49"/>
    </row>
    <row r="533" spans="1:11" ht="12.75" hidden="1" x14ac:dyDescent="0.2">
      <c r="A533" s="16"/>
      <c r="B533" s="16"/>
      <c r="C533" s="15"/>
      <c r="D533" s="16"/>
      <c r="E533" s="17"/>
      <c r="F533" s="17"/>
      <c r="H533" s="19"/>
      <c r="I533" s="47"/>
      <c r="J533" s="48"/>
      <c r="K533" s="49"/>
    </row>
    <row r="534" spans="1:11" ht="12.75" hidden="1" x14ac:dyDescent="0.2">
      <c r="A534" s="16"/>
      <c r="B534" s="16"/>
      <c r="C534" s="15"/>
      <c r="D534" s="16"/>
      <c r="E534" s="17"/>
      <c r="F534" s="17"/>
      <c r="H534" s="19"/>
      <c r="I534" s="47"/>
      <c r="J534" s="48"/>
      <c r="K534" s="49"/>
    </row>
    <row r="535" spans="1:11" ht="12.75" hidden="1" x14ac:dyDescent="0.2">
      <c r="A535" s="16"/>
      <c r="B535" s="16"/>
      <c r="C535" s="15"/>
      <c r="D535" s="16"/>
      <c r="E535" s="17"/>
      <c r="F535" s="17"/>
      <c r="H535" s="19"/>
      <c r="I535" s="47"/>
      <c r="J535" s="48"/>
      <c r="K535" s="49"/>
    </row>
    <row r="536" spans="1:11" ht="12.75" hidden="1" x14ac:dyDescent="0.2">
      <c r="A536" s="16"/>
      <c r="B536" s="16"/>
      <c r="C536" s="15"/>
      <c r="D536" s="16"/>
      <c r="E536" s="17"/>
      <c r="F536" s="17"/>
      <c r="H536" s="19"/>
      <c r="I536" s="47"/>
      <c r="J536" s="48"/>
      <c r="K536" s="49"/>
    </row>
    <row r="537" spans="1:11" ht="12.75" hidden="1" x14ac:dyDescent="0.2">
      <c r="A537" s="16"/>
      <c r="B537" s="16"/>
      <c r="C537" s="15"/>
      <c r="D537" s="16"/>
      <c r="E537" s="17"/>
      <c r="F537" s="17"/>
      <c r="H537" s="19"/>
      <c r="I537" s="47"/>
      <c r="J537" s="48"/>
      <c r="K537" s="49"/>
    </row>
    <row r="538" spans="1:11" ht="12.75" hidden="1" x14ac:dyDescent="0.2">
      <c r="A538" s="16"/>
      <c r="B538" s="16"/>
      <c r="C538" s="15"/>
      <c r="D538" s="16"/>
      <c r="E538" s="17"/>
      <c r="F538" s="17"/>
      <c r="H538" s="19"/>
      <c r="I538" s="47"/>
      <c r="J538" s="48"/>
      <c r="K538" s="49"/>
    </row>
    <row r="539" spans="1:11" ht="12.75" hidden="1" x14ac:dyDescent="0.2">
      <c r="A539" s="16"/>
      <c r="B539" s="16"/>
      <c r="C539" s="15"/>
      <c r="D539" s="16"/>
      <c r="E539" s="17"/>
      <c r="F539" s="17"/>
      <c r="H539" s="19"/>
      <c r="I539" s="47"/>
      <c r="J539" s="48"/>
      <c r="K539" s="49"/>
    </row>
    <row r="540" spans="1:11" ht="12.75" hidden="1" x14ac:dyDescent="0.2">
      <c r="A540" s="16"/>
      <c r="B540" s="16"/>
      <c r="C540" s="15"/>
      <c r="D540" s="16"/>
      <c r="E540" s="17"/>
      <c r="F540" s="17"/>
      <c r="H540" s="19"/>
      <c r="I540" s="47"/>
      <c r="J540" s="48"/>
      <c r="K540" s="49"/>
    </row>
    <row r="541" spans="1:11" ht="12.75" hidden="1" x14ac:dyDescent="0.2">
      <c r="A541" s="16"/>
      <c r="B541" s="16"/>
      <c r="C541" s="15"/>
      <c r="D541" s="16"/>
      <c r="E541" s="17"/>
      <c r="F541" s="17"/>
      <c r="H541" s="19"/>
      <c r="I541" s="47"/>
      <c r="J541" s="48"/>
      <c r="K541" s="49"/>
    </row>
    <row r="542" spans="1:11" ht="12.75" hidden="1" x14ac:dyDescent="0.2">
      <c r="A542" s="16"/>
      <c r="B542" s="16"/>
      <c r="C542" s="15"/>
      <c r="D542" s="16"/>
      <c r="E542" s="17"/>
      <c r="F542" s="17"/>
      <c r="H542" s="19"/>
      <c r="I542" s="47"/>
      <c r="J542" s="48"/>
      <c r="K542" s="49"/>
    </row>
    <row r="543" spans="1:11" ht="12.75" hidden="1" x14ac:dyDescent="0.2">
      <c r="A543" s="16"/>
      <c r="B543" s="16"/>
      <c r="C543" s="15"/>
      <c r="D543" s="16"/>
      <c r="E543" s="17"/>
      <c r="F543" s="17"/>
      <c r="H543" s="19"/>
      <c r="I543" s="47"/>
      <c r="J543" s="48"/>
      <c r="K543" s="49"/>
    </row>
    <row r="544" spans="1:11" ht="12.75" hidden="1" x14ac:dyDescent="0.2">
      <c r="A544" s="16"/>
      <c r="B544" s="16"/>
      <c r="C544" s="15"/>
      <c r="D544" s="16"/>
      <c r="E544" s="17"/>
      <c r="F544" s="17"/>
      <c r="H544" s="19"/>
      <c r="I544" s="47"/>
      <c r="J544" s="48"/>
      <c r="K544" s="49"/>
    </row>
    <row r="545" spans="1:11" ht="12.75" hidden="1" x14ac:dyDescent="0.2">
      <c r="A545" s="16"/>
      <c r="B545" s="16"/>
      <c r="C545" s="15"/>
      <c r="D545" s="16"/>
      <c r="E545" s="17"/>
      <c r="F545" s="17"/>
      <c r="H545" s="19"/>
      <c r="I545" s="47"/>
      <c r="J545" s="48"/>
      <c r="K545" s="49"/>
    </row>
    <row r="546" spans="1:11" ht="12.75" hidden="1" x14ac:dyDescent="0.2">
      <c r="A546" s="16"/>
      <c r="B546" s="16"/>
      <c r="C546" s="15"/>
      <c r="D546" s="16"/>
      <c r="E546" s="17"/>
      <c r="F546" s="17"/>
      <c r="H546" s="19"/>
      <c r="I546" s="47"/>
      <c r="J546" s="48"/>
      <c r="K546" s="49"/>
    </row>
    <row r="547" spans="1:11" ht="12.75" hidden="1" x14ac:dyDescent="0.2">
      <c r="A547" s="16"/>
      <c r="B547" s="16"/>
      <c r="C547" s="15"/>
      <c r="D547" s="16"/>
      <c r="E547" s="17"/>
      <c r="F547" s="17"/>
      <c r="H547" s="19"/>
      <c r="I547" s="47"/>
      <c r="J547" s="48"/>
      <c r="K547" s="49"/>
    </row>
    <row r="548" spans="1:11" ht="12.75" hidden="1" x14ac:dyDescent="0.2">
      <c r="A548" s="16"/>
      <c r="B548" s="16"/>
      <c r="C548" s="15"/>
      <c r="D548" s="16"/>
      <c r="E548" s="17"/>
      <c r="F548" s="17"/>
      <c r="H548" s="19"/>
      <c r="I548" s="47"/>
      <c r="J548" s="48"/>
      <c r="K548" s="49"/>
    </row>
    <row r="549" spans="1:11" ht="12.75" hidden="1" x14ac:dyDescent="0.2">
      <c r="A549" s="16"/>
      <c r="B549" s="16"/>
      <c r="C549" s="15"/>
      <c r="D549" s="16"/>
      <c r="E549" s="17"/>
      <c r="F549" s="17"/>
      <c r="H549" s="19"/>
      <c r="I549" s="47"/>
      <c r="J549" s="48"/>
      <c r="K549" s="49"/>
    </row>
    <row r="550" spans="1:11" ht="12.75" hidden="1" x14ac:dyDescent="0.2">
      <c r="A550" s="16"/>
      <c r="B550" s="16"/>
      <c r="C550" s="15"/>
      <c r="D550" s="16"/>
      <c r="E550" s="17"/>
      <c r="F550" s="17"/>
      <c r="H550" s="19"/>
      <c r="I550" s="47"/>
      <c r="J550" s="48"/>
      <c r="K550" s="49"/>
    </row>
    <row r="551" spans="1:11" ht="12.75" hidden="1" x14ac:dyDescent="0.2">
      <c r="A551" s="16"/>
      <c r="B551" s="16"/>
      <c r="C551" s="15"/>
      <c r="D551" s="16"/>
      <c r="E551" s="17"/>
      <c r="F551" s="17"/>
      <c r="H551" s="19"/>
      <c r="I551" s="47"/>
      <c r="J551" s="48"/>
      <c r="K551" s="49"/>
    </row>
    <row r="552" spans="1:11" ht="12.75" hidden="1" x14ac:dyDescent="0.2">
      <c r="A552" s="16"/>
      <c r="B552" s="16"/>
      <c r="C552" s="15"/>
      <c r="D552" s="16"/>
      <c r="E552" s="17"/>
      <c r="F552" s="17"/>
      <c r="H552" s="19"/>
      <c r="I552" s="47"/>
      <c r="J552" s="48"/>
      <c r="K552" s="49"/>
    </row>
    <row r="553" spans="1:11" ht="12.75" hidden="1" x14ac:dyDescent="0.2">
      <c r="A553" s="16"/>
      <c r="B553" s="16"/>
      <c r="C553" s="15"/>
      <c r="D553" s="16"/>
      <c r="E553" s="17"/>
      <c r="F553" s="17"/>
      <c r="H553" s="19"/>
      <c r="I553" s="47"/>
      <c r="J553" s="48"/>
      <c r="K553" s="49"/>
    </row>
    <row r="554" spans="1:11" ht="12.75" hidden="1" x14ac:dyDescent="0.2">
      <c r="A554" s="16"/>
      <c r="B554" s="16"/>
      <c r="C554" s="15"/>
      <c r="D554" s="16"/>
      <c r="E554" s="17"/>
      <c r="F554" s="17"/>
      <c r="H554" s="19"/>
      <c r="I554" s="47"/>
      <c r="J554" s="48"/>
      <c r="K554" s="49"/>
    </row>
    <row r="555" spans="1:11" ht="12.75" hidden="1" x14ac:dyDescent="0.2">
      <c r="A555" s="16"/>
      <c r="B555" s="16"/>
      <c r="C555" s="15"/>
      <c r="D555" s="16"/>
      <c r="E555" s="17"/>
      <c r="F555" s="17"/>
      <c r="H555" s="19"/>
      <c r="I555" s="47"/>
      <c r="J555" s="48"/>
      <c r="K555" s="49"/>
    </row>
    <row r="556" spans="1:11" ht="12.75" hidden="1" x14ac:dyDescent="0.2">
      <c r="A556" s="16"/>
      <c r="B556" s="16"/>
      <c r="C556" s="15"/>
      <c r="D556" s="16"/>
      <c r="E556" s="17"/>
      <c r="F556" s="17"/>
      <c r="H556" s="19"/>
      <c r="I556" s="47"/>
      <c r="J556" s="48"/>
      <c r="K556" s="49"/>
    </row>
    <row r="557" spans="1:11" ht="12.75" hidden="1" x14ac:dyDescent="0.2">
      <c r="A557" s="16"/>
      <c r="B557" s="16"/>
      <c r="C557" s="15"/>
      <c r="D557" s="16"/>
      <c r="E557" s="17"/>
      <c r="F557" s="17"/>
      <c r="H557" s="19"/>
      <c r="I557" s="47"/>
      <c r="J557" s="48"/>
      <c r="K557" s="49"/>
    </row>
    <row r="558" spans="1:11" ht="12.75" hidden="1" x14ac:dyDescent="0.2">
      <c r="A558" s="16"/>
      <c r="B558" s="16"/>
      <c r="C558" s="15"/>
      <c r="D558" s="16"/>
      <c r="E558" s="17"/>
      <c r="F558" s="17"/>
      <c r="H558" s="19"/>
      <c r="I558" s="47"/>
      <c r="J558" s="48"/>
      <c r="K558" s="49"/>
    </row>
    <row r="559" spans="1:11" ht="12.75" hidden="1" x14ac:dyDescent="0.2">
      <c r="A559" s="16"/>
      <c r="B559" s="16"/>
      <c r="C559" s="15"/>
      <c r="D559" s="16"/>
      <c r="E559" s="17"/>
      <c r="F559" s="17"/>
      <c r="H559" s="19"/>
      <c r="I559" s="47"/>
      <c r="J559" s="48"/>
      <c r="K559" s="49"/>
    </row>
    <row r="560" spans="1:11" ht="12.75" hidden="1" x14ac:dyDescent="0.2">
      <c r="A560" s="16"/>
      <c r="B560" s="16"/>
      <c r="C560" s="15"/>
      <c r="D560" s="16"/>
      <c r="E560" s="17"/>
      <c r="F560" s="17"/>
      <c r="H560" s="19"/>
      <c r="I560" s="47"/>
      <c r="J560" s="48"/>
      <c r="K560" s="49"/>
    </row>
    <row r="561" spans="1:11" ht="12.75" hidden="1" x14ac:dyDescent="0.2">
      <c r="A561" s="16"/>
      <c r="B561" s="16"/>
      <c r="C561" s="15"/>
      <c r="D561" s="16"/>
      <c r="E561" s="17"/>
      <c r="F561" s="17"/>
      <c r="H561" s="19"/>
      <c r="I561" s="47"/>
      <c r="J561" s="48"/>
      <c r="K561" s="49"/>
    </row>
    <row r="562" spans="1:11" ht="12.75" hidden="1" x14ac:dyDescent="0.2">
      <c r="A562" s="16"/>
      <c r="B562" s="16"/>
      <c r="C562" s="15"/>
      <c r="D562" s="16"/>
      <c r="E562" s="17"/>
      <c r="F562" s="17"/>
      <c r="H562" s="19"/>
      <c r="I562" s="47"/>
      <c r="J562" s="48"/>
      <c r="K562" s="49"/>
    </row>
    <row r="563" spans="1:11" ht="12.75" hidden="1" x14ac:dyDescent="0.2">
      <c r="A563" s="16"/>
      <c r="B563" s="16"/>
      <c r="C563" s="15"/>
      <c r="D563" s="16"/>
      <c r="E563" s="17"/>
      <c r="F563" s="17"/>
      <c r="H563" s="19"/>
      <c r="I563" s="47"/>
      <c r="J563" s="48"/>
      <c r="K563" s="49"/>
    </row>
    <row r="564" spans="1:11" ht="12.75" hidden="1" x14ac:dyDescent="0.2">
      <c r="A564" s="16"/>
      <c r="B564" s="16"/>
      <c r="C564" s="15"/>
      <c r="D564" s="16"/>
      <c r="E564" s="17"/>
      <c r="F564" s="17"/>
      <c r="H564" s="19"/>
      <c r="I564" s="47"/>
      <c r="J564" s="48"/>
      <c r="K564" s="49"/>
    </row>
    <row r="565" spans="1:11" ht="12.75" hidden="1" x14ac:dyDescent="0.2">
      <c r="A565" s="16"/>
      <c r="B565" s="16"/>
      <c r="C565" s="15"/>
      <c r="D565" s="16"/>
      <c r="E565" s="17"/>
      <c r="F565" s="17"/>
      <c r="H565" s="19"/>
      <c r="I565" s="47"/>
      <c r="J565" s="48"/>
      <c r="K565" s="49"/>
    </row>
    <row r="566" spans="1:11" ht="12.75" hidden="1" x14ac:dyDescent="0.2">
      <c r="A566" s="16"/>
      <c r="B566" s="16"/>
      <c r="C566" s="15"/>
      <c r="D566" s="16"/>
      <c r="E566" s="17"/>
      <c r="F566" s="17"/>
      <c r="H566" s="19"/>
      <c r="I566" s="47"/>
      <c r="J566" s="48"/>
      <c r="K566" s="49"/>
    </row>
    <row r="567" spans="1:11" ht="12.75" hidden="1" x14ac:dyDescent="0.2">
      <c r="A567" s="16"/>
      <c r="B567" s="16"/>
      <c r="C567" s="15"/>
      <c r="D567" s="16"/>
      <c r="E567" s="17"/>
      <c r="F567" s="17"/>
      <c r="H567" s="19"/>
      <c r="I567" s="47"/>
      <c r="J567" s="48"/>
      <c r="K567" s="49"/>
    </row>
    <row r="568" spans="1:11" ht="12.75" hidden="1" x14ac:dyDescent="0.2">
      <c r="A568" s="16"/>
      <c r="B568" s="16"/>
      <c r="C568" s="15"/>
      <c r="D568" s="16"/>
      <c r="E568" s="17"/>
      <c r="F568" s="17"/>
      <c r="H568" s="19"/>
      <c r="I568" s="47"/>
      <c r="J568" s="48"/>
      <c r="K568" s="49"/>
    </row>
    <row r="569" spans="1:11" ht="12.75" hidden="1" x14ac:dyDescent="0.2">
      <c r="A569" s="16"/>
      <c r="B569" s="16"/>
      <c r="C569" s="15"/>
      <c r="D569" s="16"/>
      <c r="E569" s="17"/>
      <c r="F569" s="17"/>
      <c r="H569" s="19"/>
      <c r="I569" s="47"/>
      <c r="J569" s="48"/>
      <c r="K569" s="49"/>
    </row>
    <row r="570" spans="1:11" ht="12.75" hidden="1" x14ac:dyDescent="0.2">
      <c r="A570" s="16"/>
      <c r="B570" s="16"/>
      <c r="C570" s="15"/>
      <c r="D570" s="16"/>
      <c r="E570" s="17"/>
      <c r="F570" s="17"/>
      <c r="H570" s="19"/>
      <c r="I570" s="47"/>
      <c r="J570" s="48"/>
      <c r="K570" s="49"/>
    </row>
    <row r="571" spans="1:11" ht="12.75" hidden="1" x14ac:dyDescent="0.2">
      <c r="A571" s="16"/>
      <c r="B571" s="16"/>
      <c r="C571" s="15"/>
      <c r="D571" s="16"/>
      <c r="E571" s="17"/>
      <c r="F571" s="17"/>
      <c r="H571" s="19"/>
      <c r="I571" s="47"/>
      <c r="J571" s="48"/>
      <c r="K571" s="49"/>
    </row>
    <row r="572" spans="1:11" ht="12.75" hidden="1" x14ac:dyDescent="0.2">
      <c r="A572" s="16"/>
      <c r="B572" s="16"/>
      <c r="C572" s="15"/>
      <c r="D572" s="16"/>
      <c r="E572" s="17"/>
      <c r="F572" s="17"/>
      <c r="H572" s="19"/>
      <c r="I572" s="47"/>
      <c r="J572" s="48"/>
      <c r="K572" s="49"/>
    </row>
    <row r="573" spans="1:11" ht="12.75" hidden="1" x14ac:dyDescent="0.2">
      <c r="A573" s="16"/>
      <c r="B573" s="16"/>
      <c r="C573" s="15"/>
      <c r="D573" s="16"/>
      <c r="E573" s="17"/>
      <c r="F573" s="17"/>
      <c r="H573" s="19"/>
      <c r="I573" s="47"/>
      <c r="J573" s="48"/>
      <c r="K573" s="49"/>
    </row>
    <row r="574" spans="1:11" ht="12.75" hidden="1" x14ac:dyDescent="0.2">
      <c r="A574" s="16"/>
      <c r="B574" s="16"/>
      <c r="C574" s="15"/>
      <c r="D574" s="16"/>
      <c r="E574" s="17"/>
      <c r="F574" s="17"/>
      <c r="H574" s="19"/>
      <c r="I574" s="47"/>
      <c r="J574" s="48"/>
      <c r="K574" s="49"/>
    </row>
    <row r="575" spans="1:11" ht="12.75" hidden="1" x14ac:dyDescent="0.2">
      <c r="A575" s="16"/>
      <c r="B575" s="16"/>
      <c r="C575" s="15"/>
      <c r="D575" s="16"/>
      <c r="E575" s="17"/>
      <c r="F575" s="17"/>
      <c r="H575" s="19"/>
      <c r="I575" s="47"/>
      <c r="J575" s="48"/>
      <c r="K575" s="49"/>
    </row>
    <row r="576" spans="1:11" ht="12.75" hidden="1" x14ac:dyDescent="0.2">
      <c r="A576" s="16"/>
      <c r="B576" s="16"/>
      <c r="C576" s="15"/>
      <c r="D576" s="16"/>
      <c r="E576" s="17"/>
      <c r="F576" s="17"/>
      <c r="H576" s="19"/>
      <c r="I576" s="47"/>
      <c r="J576" s="48"/>
      <c r="K576" s="49"/>
    </row>
    <row r="577" spans="1:11" ht="12.75" hidden="1" x14ac:dyDescent="0.2">
      <c r="A577" s="16"/>
      <c r="B577" s="16"/>
      <c r="C577" s="15"/>
      <c r="D577" s="16"/>
      <c r="E577" s="17"/>
      <c r="F577" s="17"/>
      <c r="H577" s="19"/>
      <c r="I577" s="47"/>
      <c r="J577" s="48"/>
      <c r="K577" s="49"/>
    </row>
    <row r="578" spans="1:11" ht="12.75" hidden="1" x14ac:dyDescent="0.2">
      <c r="A578" s="16"/>
      <c r="B578" s="16"/>
      <c r="C578" s="15"/>
      <c r="D578" s="16"/>
      <c r="E578" s="17"/>
      <c r="F578" s="17"/>
      <c r="H578" s="19"/>
      <c r="I578" s="47"/>
      <c r="J578" s="48"/>
      <c r="K578" s="49"/>
    </row>
    <row r="579" spans="1:11" ht="12.75" hidden="1" x14ac:dyDescent="0.2">
      <c r="A579" s="16"/>
      <c r="B579" s="16"/>
      <c r="C579" s="15"/>
      <c r="D579" s="16"/>
      <c r="E579" s="17"/>
      <c r="F579" s="17"/>
      <c r="H579" s="19"/>
      <c r="I579" s="47"/>
      <c r="J579" s="48"/>
      <c r="K579" s="49"/>
    </row>
    <row r="580" spans="1:11" ht="12.75" hidden="1" x14ac:dyDescent="0.2">
      <c r="A580" s="16"/>
      <c r="B580" s="16"/>
      <c r="C580" s="15"/>
      <c r="D580" s="16"/>
      <c r="E580" s="17"/>
      <c r="F580" s="17"/>
      <c r="H580" s="19"/>
      <c r="I580" s="47"/>
      <c r="J580" s="48"/>
      <c r="K580" s="49"/>
    </row>
    <row r="581" spans="1:11" ht="12.75" hidden="1" x14ac:dyDescent="0.2">
      <c r="A581" s="16"/>
      <c r="B581" s="16"/>
      <c r="C581" s="15"/>
      <c r="D581" s="16"/>
      <c r="E581" s="17"/>
      <c r="F581" s="17"/>
      <c r="H581" s="19"/>
      <c r="I581" s="47"/>
      <c r="J581" s="48"/>
      <c r="K581" s="49"/>
    </row>
    <row r="582" spans="1:11" ht="12.75" hidden="1" x14ac:dyDescent="0.2">
      <c r="A582" s="16"/>
      <c r="B582" s="16"/>
      <c r="C582" s="15"/>
      <c r="D582" s="16"/>
      <c r="E582" s="17"/>
      <c r="F582" s="17"/>
      <c r="H582" s="19"/>
      <c r="I582" s="47"/>
      <c r="J582" s="48"/>
      <c r="K582" s="49"/>
    </row>
    <row r="583" spans="1:11" ht="12.75" hidden="1" x14ac:dyDescent="0.2">
      <c r="A583" s="16"/>
      <c r="B583" s="16"/>
      <c r="C583" s="15"/>
      <c r="D583" s="16"/>
      <c r="E583" s="17"/>
      <c r="F583" s="17"/>
      <c r="H583" s="19"/>
      <c r="I583" s="47"/>
      <c r="J583" s="48"/>
      <c r="K583" s="49"/>
    </row>
    <row r="584" spans="1:11" ht="12.75" hidden="1" x14ac:dyDescent="0.2">
      <c r="A584" s="16"/>
      <c r="B584" s="16"/>
      <c r="C584" s="15"/>
      <c r="D584" s="16"/>
      <c r="E584" s="17"/>
      <c r="F584" s="17"/>
      <c r="H584" s="19"/>
      <c r="I584" s="47"/>
      <c r="J584" s="48"/>
      <c r="K584" s="49"/>
    </row>
    <row r="585" spans="1:11" ht="12.75" hidden="1" x14ac:dyDescent="0.2">
      <c r="A585" s="16"/>
      <c r="B585" s="16"/>
      <c r="C585" s="15"/>
      <c r="D585" s="16"/>
      <c r="E585" s="17"/>
      <c r="F585" s="17"/>
      <c r="H585" s="19"/>
      <c r="I585" s="47"/>
      <c r="J585" s="48"/>
      <c r="K585" s="49"/>
    </row>
    <row r="586" spans="1:11" ht="12.75" hidden="1" x14ac:dyDescent="0.2">
      <c r="A586" s="16"/>
      <c r="B586" s="16"/>
      <c r="C586" s="15"/>
      <c r="D586" s="16"/>
      <c r="E586" s="17"/>
      <c r="F586" s="17"/>
      <c r="H586" s="19"/>
      <c r="I586" s="47"/>
      <c r="J586" s="48"/>
      <c r="K586" s="49"/>
    </row>
    <row r="587" spans="1:11" ht="12.75" hidden="1" x14ac:dyDescent="0.2">
      <c r="A587" s="16"/>
      <c r="B587" s="16"/>
      <c r="C587" s="15"/>
      <c r="D587" s="16"/>
      <c r="E587" s="17"/>
      <c r="F587" s="17"/>
      <c r="H587" s="19"/>
      <c r="I587" s="47"/>
      <c r="J587" s="48"/>
      <c r="K587" s="49"/>
    </row>
    <row r="588" spans="1:11" ht="12.75" hidden="1" x14ac:dyDescent="0.2">
      <c r="A588" s="16"/>
      <c r="B588" s="16"/>
      <c r="C588" s="15"/>
      <c r="D588" s="16"/>
      <c r="E588" s="17"/>
      <c r="F588" s="17"/>
      <c r="H588" s="19"/>
      <c r="I588" s="47"/>
      <c r="J588" s="48"/>
      <c r="K588" s="49"/>
    </row>
    <row r="589" spans="1:11" ht="12.75" hidden="1" x14ac:dyDescent="0.2">
      <c r="A589" s="16"/>
      <c r="B589" s="16"/>
      <c r="C589" s="15"/>
      <c r="D589" s="16"/>
      <c r="E589" s="17"/>
      <c r="F589" s="17"/>
      <c r="H589" s="19"/>
      <c r="I589" s="47"/>
      <c r="J589" s="48"/>
      <c r="K589" s="49"/>
    </row>
    <row r="590" spans="1:11" ht="12.75" hidden="1" x14ac:dyDescent="0.2">
      <c r="A590" s="16"/>
      <c r="B590" s="16"/>
      <c r="C590" s="15"/>
      <c r="D590" s="16"/>
      <c r="E590" s="17"/>
      <c r="F590" s="17"/>
      <c r="H590" s="19"/>
      <c r="I590" s="47"/>
      <c r="J590" s="48"/>
      <c r="K590" s="49"/>
    </row>
    <row r="591" spans="1:11" ht="12.75" hidden="1" x14ac:dyDescent="0.2">
      <c r="A591" s="16"/>
      <c r="B591" s="16"/>
      <c r="C591" s="15"/>
      <c r="D591" s="16"/>
      <c r="E591" s="17"/>
      <c r="F591" s="17"/>
      <c r="H591" s="19"/>
      <c r="I591" s="47"/>
      <c r="J591" s="48"/>
      <c r="K591" s="49"/>
    </row>
    <row r="592" spans="1:11" ht="12.75" hidden="1" x14ac:dyDescent="0.2">
      <c r="A592" s="16"/>
      <c r="B592" s="16"/>
      <c r="C592" s="15"/>
      <c r="D592" s="16"/>
      <c r="E592" s="17"/>
      <c r="F592" s="17"/>
      <c r="H592" s="19"/>
      <c r="I592" s="47"/>
      <c r="J592" s="48"/>
      <c r="K592" s="49"/>
    </row>
    <row r="593" spans="1:11" ht="12.75" hidden="1" x14ac:dyDescent="0.2">
      <c r="A593" s="16"/>
      <c r="B593" s="16"/>
      <c r="C593" s="15"/>
      <c r="D593" s="16"/>
      <c r="E593" s="17"/>
      <c r="F593" s="17"/>
      <c r="H593" s="19"/>
      <c r="I593" s="47"/>
      <c r="J593" s="48"/>
      <c r="K593" s="49"/>
    </row>
    <row r="594" spans="1:11" ht="12.75" hidden="1" x14ac:dyDescent="0.2">
      <c r="A594" s="16"/>
      <c r="B594" s="16"/>
      <c r="C594" s="15"/>
      <c r="D594" s="16"/>
      <c r="E594" s="17"/>
      <c r="F594" s="17"/>
      <c r="H594" s="19"/>
      <c r="I594" s="47"/>
      <c r="J594" s="48"/>
      <c r="K594" s="49"/>
    </row>
    <row r="595" spans="1:11" ht="12.75" hidden="1" x14ac:dyDescent="0.2">
      <c r="A595" s="16"/>
      <c r="B595" s="16"/>
      <c r="C595" s="15"/>
      <c r="D595" s="16"/>
      <c r="E595" s="17"/>
      <c r="F595" s="17"/>
      <c r="H595" s="19"/>
      <c r="I595" s="47"/>
      <c r="J595" s="48"/>
      <c r="K595" s="49"/>
    </row>
    <row r="596" spans="1:11" ht="12.75" hidden="1" x14ac:dyDescent="0.2">
      <c r="A596" s="16"/>
      <c r="B596" s="16"/>
      <c r="C596" s="15"/>
      <c r="D596" s="16"/>
      <c r="E596" s="17"/>
      <c r="F596" s="17"/>
      <c r="H596" s="19"/>
      <c r="I596" s="47"/>
      <c r="J596" s="48"/>
      <c r="K596" s="49"/>
    </row>
    <row r="597" spans="1:11" ht="12.75" hidden="1" x14ac:dyDescent="0.2">
      <c r="A597" s="16"/>
      <c r="B597" s="16"/>
      <c r="C597" s="15"/>
      <c r="D597" s="16"/>
      <c r="E597" s="17"/>
      <c r="F597" s="17"/>
      <c r="H597" s="19"/>
      <c r="I597" s="47"/>
      <c r="J597" s="48"/>
      <c r="K597" s="49"/>
    </row>
    <row r="598" spans="1:11" ht="12.75" hidden="1" x14ac:dyDescent="0.2">
      <c r="A598" s="16"/>
      <c r="B598" s="16"/>
      <c r="C598" s="15"/>
      <c r="D598" s="16"/>
      <c r="E598" s="17"/>
      <c r="F598" s="17"/>
      <c r="H598" s="19"/>
      <c r="I598" s="47"/>
      <c r="J598" s="48"/>
      <c r="K598" s="49"/>
    </row>
    <row r="599" spans="1:11" ht="12.75" hidden="1" x14ac:dyDescent="0.2">
      <c r="A599" s="16"/>
      <c r="B599" s="16"/>
      <c r="C599" s="15"/>
      <c r="D599" s="16"/>
      <c r="E599" s="17"/>
      <c r="F599" s="17"/>
      <c r="H599" s="19"/>
      <c r="I599" s="47"/>
      <c r="J599" s="48"/>
      <c r="K599" s="49"/>
    </row>
    <row r="600" spans="1:11" ht="12.75" hidden="1" x14ac:dyDescent="0.2">
      <c r="A600" s="16"/>
      <c r="B600" s="16"/>
      <c r="C600" s="15"/>
      <c r="D600" s="16"/>
      <c r="E600" s="17"/>
      <c r="F600" s="17"/>
      <c r="H600" s="19"/>
      <c r="I600" s="47"/>
      <c r="J600" s="48"/>
      <c r="K600" s="49"/>
    </row>
    <row r="601" spans="1:11" ht="12.75" hidden="1" x14ac:dyDescent="0.2">
      <c r="A601" s="16"/>
      <c r="B601" s="16"/>
      <c r="C601" s="15"/>
      <c r="D601" s="16"/>
      <c r="E601" s="17"/>
      <c r="F601" s="17"/>
      <c r="H601" s="19"/>
      <c r="I601" s="47"/>
      <c r="J601" s="48"/>
      <c r="K601" s="49"/>
    </row>
    <row r="602" spans="1:11" ht="12.75" hidden="1" x14ac:dyDescent="0.2">
      <c r="A602" s="16"/>
      <c r="B602" s="16"/>
      <c r="C602" s="15"/>
      <c r="D602" s="16"/>
      <c r="E602" s="17"/>
      <c r="F602" s="17"/>
      <c r="H602" s="19"/>
      <c r="I602" s="47"/>
      <c r="J602" s="48"/>
      <c r="K602" s="49"/>
    </row>
    <row r="603" spans="1:11" ht="12.75" hidden="1" x14ac:dyDescent="0.2">
      <c r="A603" s="16"/>
      <c r="B603" s="16"/>
      <c r="C603" s="15"/>
      <c r="D603" s="16"/>
      <c r="E603" s="17"/>
      <c r="F603" s="17"/>
      <c r="H603" s="19"/>
      <c r="I603" s="47"/>
      <c r="J603" s="48"/>
      <c r="K603" s="49"/>
    </row>
    <row r="604" spans="1:11" ht="12.75" hidden="1" x14ac:dyDescent="0.2">
      <c r="A604" s="16"/>
      <c r="B604" s="16"/>
      <c r="C604" s="15"/>
      <c r="D604" s="16"/>
      <c r="E604" s="17"/>
      <c r="F604" s="17"/>
      <c r="H604" s="19"/>
      <c r="I604" s="47"/>
      <c r="J604" s="48"/>
      <c r="K604" s="49"/>
    </row>
    <row r="605" spans="1:11" ht="12.75" hidden="1" x14ac:dyDescent="0.2">
      <c r="A605" s="16"/>
      <c r="B605" s="16"/>
      <c r="C605" s="15"/>
      <c r="D605" s="16"/>
      <c r="E605" s="17"/>
      <c r="F605" s="17"/>
      <c r="H605" s="19"/>
      <c r="I605" s="47"/>
      <c r="J605" s="48"/>
      <c r="K605" s="49"/>
    </row>
    <row r="606" spans="1:11" ht="12.75" hidden="1" x14ac:dyDescent="0.2">
      <c r="A606" s="16"/>
      <c r="B606" s="16"/>
      <c r="C606" s="15"/>
      <c r="D606" s="16"/>
      <c r="E606" s="17"/>
      <c r="F606" s="17"/>
      <c r="H606" s="19"/>
      <c r="I606" s="47"/>
      <c r="J606" s="48"/>
      <c r="K606" s="49"/>
    </row>
    <row r="607" spans="1:11" ht="12.75" hidden="1" x14ac:dyDescent="0.2">
      <c r="A607" s="16"/>
      <c r="B607" s="16"/>
      <c r="C607" s="15"/>
      <c r="D607" s="16"/>
      <c r="E607" s="17"/>
      <c r="F607" s="17"/>
      <c r="H607" s="19"/>
      <c r="I607" s="47"/>
      <c r="J607" s="48"/>
      <c r="K607" s="49"/>
    </row>
    <row r="608" spans="1:11" ht="12.75" hidden="1" x14ac:dyDescent="0.2">
      <c r="A608" s="16"/>
      <c r="B608" s="16"/>
      <c r="C608" s="15"/>
      <c r="D608" s="16"/>
      <c r="E608" s="17"/>
      <c r="F608" s="17"/>
      <c r="H608" s="19"/>
      <c r="I608" s="47"/>
      <c r="J608" s="48"/>
      <c r="K608" s="49"/>
    </row>
    <row r="609" spans="1:11" ht="12.75" hidden="1" x14ac:dyDescent="0.2">
      <c r="A609" s="16"/>
      <c r="B609" s="16"/>
      <c r="C609" s="15"/>
      <c r="D609" s="16"/>
      <c r="E609" s="17"/>
      <c r="F609" s="17"/>
      <c r="H609" s="19"/>
      <c r="I609" s="47"/>
      <c r="J609" s="48"/>
      <c r="K609" s="49"/>
    </row>
    <row r="610" spans="1:11" ht="12.75" hidden="1" x14ac:dyDescent="0.2">
      <c r="A610" s="16"/>
      <c r="B610" s="16"/>
      <c r="C610" s="15"/>
      <c r="D610" s="16"/>
      <c r="E610" s="17"/>
      <c r="F610" s="17"/>
      <c r="H610" s="19"/>
      <c r="I610" s="47"/>
      <c r="J610" s="48"/>
      <c r="K610" s="49"/>
    </row>
    <row r="611" spans="1:11" ht="12.75" hidden="1" x14ac:dyDescent="0.2">
      <c r="A611" s="16"/>
      <c r="B611" s="16"/>
      <c r="C611" s="15"/>
      <c r="D611" s="16"/>
      <c r="E611" s="17"/>
      <c r="F611" s="17"/>
      <c r="H611" s="19"/>
      <c r="I611" s="47"/>
      <c r="J611" s="48"/>
      <c r="K611" s="49"/>
    </row>
    <row r="612" spans="1:11" ht="12.75" hidden="1" x14ac:dyDescent="0.2">
      <c r="A612" s="16"/>
      <c r="B612" s="16"/>
      <c r="C612" s="15"/>
      <c r="D612" s="16"/>
      <c r="E612" s="17"/>
      <c r="F612" s="17"/>
      <c r="H612" s="19"/>
      <c r="I612" s="47"/>
      <c r="J612" s="48"/>
      <c r="K612" s="49"/>
    </row>
    <row r="613" spans="1:11" ht="12.75" hidden="1" x14ac:dyDescent="0.2">
      <c r="A613" s="16"/>
      <c r="B613" s="16"/>
      <c r="C613" s="15"/>
      <c r="D613" s="16"/>
      <c r="E613" s="17"/>
      <c r="F613" s="17"/>
      <c r="H613" s="19"/>
      <c r="I613" s="47"/>
      <c r="J613" s="48"/>
      <c r="K613" s="49"/>
    </row>
    <row r="614" spans="1:11" ht="12.75" hidden="1" x14ac:dyDescent="0.2">
      <c r="A614" s="16"/>
      <c r="B614" s="16"/>
      <c r="C614" s="15"/>
      <c r="D614" s="16"/>
      <c r="E614" s="17"/>
      <c r="F614" s="17"/>
      <c r="H614" s="19"/>
      <c r="I614" s="47"/>
      <c r="J614" s="48"/>
      <c r="K614" s="49"/>
    </row>
    <row r="615" spans="1:11" ht="12.75" hidden="1" x14ac:dyDescent="0.2">
      <c r="A615" s="16"/>
      <c r="B615" s="16"/>
      <c r="C615" s="15"/>
      <c r="D615" s="16"/>
      <c r="E615" s="17"/>
      <c r="F615" s="17"/>
      <c r="H615" s="19"/>
      <c r="I615" s="47"/>
      <c r="J615" s="48"/>
      <c r="K615" s="49"/>
    </row>
    <row r="616" spans="1:11" ht="12.75" hidden="1" x14ac:dyDescent="0.2">
      <c r="A616" s="16"/>
      <c r="B616" s="16"/>
      <c r="C616" s="15"/>
      <c r="D616" s="16"/>
      <c r="E616" s="17"/>
      <c r="F616" s="17"/>
      <c r="H616" s="19"/>
      <c r="I616" s="47"/>
      <c r="J616" s="48"/>
      <c r="K616" s="49"/>
    </row>
    <row r="617" spans="1:11" ht="12.75" hidden="1" x14ac:dyDescent="0.2">
      <c r="A617" s="16"/>
      <c r="B617" s="16"/>
      <c r="C617" s="15"/>
      <c r="D617" s="16"/>
      <c r="E617" s="17"/>
      <c r="F617" s="17"/>
      <c r="H617" s="19"/>
      <c r="I617" s="47"/>
      <c r="J617" s="48"/>
      <c r="K617" s="49"/>
    </row>
    <row r="618" spans="1:11" ht="12.75" hidden="1" x14ac:dyDescent="0.2">
      <c r="A618" s="16"/>
      <c r="B618" s="16"/>
      <c r="C618" s="15"/>
      <c r="D618" s="16"/>
      <c r="E618" s="17"/>
      <c r="F618" s="17"/>
      <c r="H618" s="19"/>
      <c r="I618" s="47"/>
      <c r="J618" s="48"/>
      <c r="K618" s="49"/>
    </row>
    <row r="619" spans="1:11" ht="12.75" hidden="1" x14ac:dyDescent="0.2">
      <c r="A619" s="16"/>
      <c r="B619" s="16"/>
      <c r="C619" s="15"/>
      <c r="D619" s="16"/>
      <c r="E619" s="17"/>
      <c r="F619" s="17"/>
      <c r="H619" s="19"/>
      <c r="I619" s="47"/>
      <c r="J619" s="48"/>
      <c r="K619" s="49"/>
    </row>
    <row r="620" spans="1:11" ht="12.75" hidden="1" x14ac:dyDescent="0.2">
      <c r="A620" s="16"/>
      <c r="B620" s="16"/>
      <c r="C620" s="15"/>
      <c r="D620" s="16"/>
      <c r="E620" s="17"/>
      <c r="F620" s="17"/>
      <c r="H620" s="19"/>
      <c r="I620" s="47"/>
      <c r="J620" s="48"/>
      <c r="K620" s="49"/>
    </row>
    <row r="621" spans="1:11" ht="12.75" hidden="1" x14ac:dyDescent="0.2">
      <c r="A621" s="16"/>
      <c r="B621" s="16"/>
      <c r="C621" s="15"/>
      <c r="D621" s="16"/>
      <c r="E621" s="17"/>
      <c r="F621" s="17"/>
      <c r="H621" s="19"/>
      <c r="I621" s="47"/>
      <c r="J621" s="48"/>
      <c r="K621" s="49"/>
    </row>
    <row r="622" spans="1:11" ht="12.75" hidden="1" x14ac:dyDescent="0.2">
      <c r="A622" s="16"/>
      <c r="B622" s="16"/>
      <c r="C622" s="15"/>
      <c r="D622" s="16"/>
      <c r="E622" s="17"/>
      <c r="F622" s="17"/>
      <c r="H622" s="19"/>
      <c r="I622" s="47"/>
      <c r="J622" s="48"/>
      <c r="K622" s="49"/>
    </row>
    <row r="623" spans="1:11" ht="12.75" hidden="1" x14ac:dyDescent="0.2">
      <c r="A623" s="16"/>
      <c r="B623" s="16"/>
      <c r="C623" s="15"/>
      <c r="D623" s="16"/>
      <c r="E623" s="17"/>
      <c r="F623" s="17"/>
      <c r="H623" s="19"/>
      <c r="I623" s="47"/>
      <c r="J623" s="48"/>
      <c r="K623" s="49"/>
    </row>
    <row r="624" spans="1:11" ht="12.75" hidden="1" x14ac:dyDescent="0.2">
      <c r="A624" s="16"/>
      <c r="B624" s="16"/>
      <c r="C624" s="15"/>
      <c r="D624" s="16"/>
      <c r="E624" s="17"/>
      <c r="F624" s="17"/>
      <c r="H624" s="19"/>
      <c r="I624" s="47"/>
      <c r="J624" s="48"/>
      <c r="K624" s="49"/>
    </row>
    <row r="625" spans="1:11" ht="12.75" hidden="1" x14ac:dyDescent="0.2">
      <c r="A625" s="16"/>
      <c r="B625" s="16"/>
      <c r="C625" s="15"/>
      <c r="D625" s="16"/>
      <c r="E625" s="17"/>
      <c r="F625" s="17"/>
      <c r="H625" s="19"/>
      <c r="I625" s="47"/>
      <c r="J625" s="48"/>
      <c r="K625" s="49"/>
    </row>
    <row r="626" spans="1:11" ht="12.75" hidden="1" x14ac:dyDescent="0.2">
      <c r="A626" s="16"/>
      <c r="B626" s="16"/>
      <c r="C626" s="15"/>
      <c r="D626" s="16"/>
      <c r="E626" s="17"/>
      <c r="F626" s="17"/>
      <c r="H626" s="19"/>
      <c r="I626" s="47"/>
      <c r="J626" s="48"/>
      <c r="K626" s="49"/>
    </row>
    <row r="627" spans="1:11" ht="12.75" hidden="1" x14ac:dyDescent="0.2">
      <c r="A627" s="16"/>
      <c r="B627" s="16"/>
      <c r="C627" s="15"/>
      <c r="D627" s="16"/>
      <c r="E627" s="17"/>
      <c r="F627" s="17"/>
      <c r="H627" s="19"/>
      <c r="I627" s="47"/>
      <c r="J627" s="48"/>
      <c r="K627" s="49"/>
    </row>
    <row r="628" spans="1:11" ht="12.75" hidden="1" x14ac:dyDescent="0.2">
      <c r="A628" s="16"/>
      <c r="B628" s="16"/>
      <c r="C628" s="15"/>
      <c r="D628" s="16"/>
      <c r="E628" s="17"/>
      <c r="F628" s="17"/>
      <c r="H628" s="19"/>
      <c r="I628" s="47"/>
      <c r="J628" s="48"/>
      <c r="K628" s="49"/>
    </row>
    <row r="629" spans="1:11" ht="12.75" hidden="1" x14ac:dyDescent="0.2">
      <c r="A629" s="16"/>
      <c r="B629" s="16"/>
      <c r="C629" s="15"/>
      <c r="D629" s="16"/>
      <c r="E629" s="17"/>
      <c r="F629" s="17"/>
      <c r="H629" s="19"/>
      <c r="I629" s="47"/>
      <c r="J629" s="48"/>
      <c r="K629" s="49"/>
    </row>
    <row r="630" spans="1:11" ht="12.75" hidden="1" x14ac:dyDescent="0.2">
      <c r="A630" s="16"/>
      <c r="B630" s="16"/>
      <c r="C630" s="15"/>
      <c r="D630" s="16"/>
      <c r="E630" s="17"/>
      <c r="F630" s="17"/>
      <c r="H630" s="19"/>
      <c r="I630" s="47"/>
      <c r="J630" s="48"/>
      <c r="K630" s="49"/>
    </row>
    <row r="631" spans="1:11" ht="12.75" hidden="1" x14ac:dyDescent="0.2">
      <c r="A631" s="16"/>
      <c r="B631" s="16"/>
      <c r="C631" s="15"/>
      <c r="D631" s="16"/>
      <c r="E631" s="17"/>
      <c r="F631" s="17"/>
      <c r="H631" s="19"/>
      <c r="I631" s="47"/>
      <c r="J631" s="48"/>
      <c r="K631" s="49"/>
    </row>
    <row r="632" spans="1:11" ht="12.75" hidden="1" x14ac:dyDescent="0.2">
      <c r="A632" s="16"/>
      <c r="B632" s="16"/>
      <c r="C632" s="15"/>
      <c r="D632" s="16"/>
      <c r="E632" s="17"/>
      <c r="F632" s="17"/>
      <c r="H632" s="19"/>
      <c r="I632" s="47"/>
      <c r="J632" s="48"/>
      <c r="K632" s="49"/>
    </row>
    <row r="633" spans="1:11" ht="12.75" hidden="1" x14ac:dyDescent="0.2">
      <c r="A633" s="16"/>
      <c r="B633" s="16"/>
      <c r="C633" s="15"/>
      <c r="D633" s="16"/>
      <c r="E633" s="17"/>
      <c r="F633" s="17"/>
      <c r="H633" s="19"/>
      <c r="I633" s="47"/>
      <c r="J633" s="48"/>
      <c r="K633" s="49"/>
    </row>
    <row r="634" spans="1:11" ht="12.75" hidden="1" x14ac:dyDescent="0.2">
      <c r="A634" s="16"/>
      <c r="B634" s="16"/>
      <c r="C634" s="15"/>
      <c r="D634" s="16"/>
      <c r="E634" s="17"/>
      <c r="F634" s="17"/>
      <c r="H634" s="19"/>
      <c r="I634" s="47"/>
      <c r="J634" s="48"/>
      <c r="K634" s="49"/>
    </row>
    <row r="635" spans="1:11" ht="12.75" hidden="1" x14ac:dyDescent="0.2">
      <c r="A635" s="16"/>
      <c r="B635" s="16"/>
      <c r="C635" s="15"/>
      <c r="D635" s="16"/>
      <c r="E635" s="17"/>
      <c r="F635" s="17"/>
      <c r="H635" s="19"/>
      <c r="I635" s="47"/>
      <c r="J635" s="48"/>
      <c r="K635" s="49"/>
    </row>
    <row r="636" spans="1:11" ht="12.75" hidden="1" x14ac:dyDescent="0.2">
      <c r="A636" s="16"/>
      <c r="B636" s="16"/>
      <c r="C636" s="15"/>
      <c r="D636" s="16"/>
      <c r="E636" s="17"/>
      <c r="F636" s="17"/>
      <c r="H636" s="19"/>
      <c r="I636" s="47"/>
      <c r="J636" s="48"/>
      <c r="K636" s="49"/>
    </row>
    <row r="637" spans="1:11" ht="12.75" hidden="1" x14ac:dyDescent="0.2">
      <c r="A637" s="16"/>
      <c r="B637" s="16"/>
      <c r="C637" s="15"/>
      <c r="D637" s="16"/>
      <c r="E637" s="17"/>
      <c r="F637" s="17"/>
      <c r="H637" s="19"/>
      <c r="I637" s="47"/>
      <c r="J637" s="48"/>
      <c r="K637" s="49"/>
    </row>
    <row r="638" spans="1:11" ht="12.75" hidden="1" x14ac:dyDescent="0.2">
      <c r="A638" s="16"/>
      <c r="B638" s="16"/>
      <c r="C638" s="15"/>
      <c r="D638" s="16"/>
      <c r="E638" s="17"/>
      <c r="F638" s="17"/>
      <c r="H638" s="19"/>
      <c r="I638" s="47"/>
      <c r="J638" s="48"/>
      <c r="K638" s="49"/>
    </row>
    <row r="639" spans="1:11" ht="12.75" hidden="1" x14ac:dyDescent="0.2">
      <c r="A639" s="16"/>
      <c r="B639" s="16"/>
      <c r="C639" s="15"/>
      <c r="D639" s="16"/>
      <c r="E639" s="17"/>
      <c r="F639" s="17"/>
      <c r="H639" s="19"/>
      <c r="I639" s="47"/>
      <c r="J639" s="48"/>
      <c r="K639" s="49"/>
    </row>
    <row r="640" spans="1:11" ht="12.75" hidden="1" x14ac:dyDescent="0.2">
      <c r="A640" s="16"/>
      <c r="B640" s="16"/>
      <c r="C640" s="15"/>
      <c r="D640" s="16"/>
      <c r="E640" s="17"/>
      <c r="F640" s="17"/>
      <c r="H640" s="19"/>
      <c r="I640" s="47"/>
      <c r="J640" s="48"/>
      <c r="K640" s="49"/>
    </row>
    <row r="641" spans="1:11" ht="12.75" hidden="1" x14ac:dyDescent="0.2">
      <c r="A641" s="16"/>
      <c r="B641" s="16"/>
      <c r="C641" s="15"/>
      <c r="D641" s="16"/>
      <c r="E641" s="17"/>
      <c r="F641" s="17"/>
      <c r="H641" s="19"/>
      <c r="I641" s="47"/>
      <c r="J641" s="48"/>
      <c r="K641" s="49"/>
    </row>
    <row r="642" spans="1:11" ht="12.75" hidden="1" x14ac:dyDescent="0.2">
      <c r="A642" s="16"/>
      <c r="B642" s="16"/>
      <c r="C642" s="15"/>
      <c r="D642" s="16"/>
      <c r="E642" s="17"/>
      <c r="F642" s="17"/>
      <c r="H642" s="19"/>
      <c r="I642" s="47"/>
      <c r="J642" s="48"/>
      <c r="K642" s="49"/>
    </row>
    <row r="643" spans="1:11" ht="12.75" hidden="1" x14ac:dyDescent="0.2">
      <c r="A643" s="16"/>
      <c r="B643" s="16"/>
      <c r="C643" s="15"/>
      <c r="D643" s="16"/>
      <c r="E643" s="17"/>
      <c r="F643" s="17"/>
      <c r="H643" s="19"/>
      <c r="I643" s="47"/>
      <c r="J643" s="48"/>
      <c r="K643" s="49"/>
    </row>
    <row r="644" spans="1:11" ht="12.75" hidden="1" x14ac:dyDescent="0.2">
      <c r="A644" s="16"/>
      <c r="B644" s="16"/>
      <c r="C644" s="15"/>
      <c r="D644" s="16"/>
      <c r="E644" s="17"/>
      <c r="F644" s="17"/>
      <c r="H644" s="19"/>
      <c r="I644" s="47"/>
      <c r="J644" s="48"/>
      <c r="K644" s="49"/>
    </row>
    <row r="645" spans="1:11" ht="12.75" hidden="1" x14ac:dyDescent="0.2">
      <c r="A645" s="16"/>
      <c r="B645" s="16"/>
      <c r="C645" s="15"/>
      <c r="D645" s="16"/>
      <c r="E645" s="17"/>
      <c r="F645" s="17"/>
      <c r="H645" s="19"/>
      <c r="I645" s="47"/>
      <c r="J645" s="48"/>
      <c r="K645" s="49"/>
    </row>
    <row r="646" spans="1:11" ht="12.75" hidden="1" x14ac:dyDescent="0.2">
      <c r="A646" s="16"/>
      <c r="B646" s="16"/>
      <c r="C646" s="15"/>
      <c r="D646" s="16"/>
      <c r="E646" s="17"/>
      <c r="F646" s="17"/>
      <c r="H646" s="19"/>
      <c r="I646" s="47"/>
      <c r="J646" s="48"/>
      <c r="K646" s="49"/>
    </row>
    <row r="647" spans="1:11" ht="12.75" hidden="1" x14ac:dyDescent="0.2">
      <c r="A647" s="16"/>
      <c r="B647" s="16"/>
      <c r="C647" s="15"/>
      <c r="D647" s="16"/>
      <c r="E647" s="17"/>
      <c r="F647" s="17"/>
      <c r="H647" s="19"/>
      <c r="I647" s="47"/>
      <c r="J647" s="48"/>
      <c r="K647" s="49"/>
    </row>
    <row r="648" spans="1:11" ht="12.75" hidden="1" x14ac:dyDescent="0.2">
      <c r="A648" s="16"/>
      <c r="B648" s="16"/>
      <c r="C648" s="15"/>
      <c r="D648" s="16"/>
      <c r="E648" s="17"/>
      <c r="F648" s="17"/>
      <c r="H648" s="19"/>
      <c r="I648" s="47"/>
      <c r="J648" s="48"/>
      <c r="K648" s="49"/>
    </row>
    <row r="649" spans="1:11" ht="12.75" hidden="1" x14ac:dyDescent="0.2">
      <c r="A649" s="16"/>
      <c r="B649" s="16"/>
      <c r="C649" s="15"/>
      <c r="D649" s="16"/>
      <c r="E649" s="17"/>
      <c r="F649" s="17"/>
      <c r="H649" s="19"/>
      <c r="I649" s="47"/>
      <c r="J649" s="48"/>
      <c r="K649" s="49"/>
    </row>
    <row r="650" spans="1:11" ht="12.75" hidden="1" x14ac:dyDescent="0.2">
      <c r="A650" s="16"/>
      <c r="B650" s="16"/>
      <c r="C650" s="15"/>
      <c r="D650" s="16"/>
      <c r="E650" s="17"/>
      <c r="F650" s="17"/>
      <c r="H650" s="19"/>
      <c r="I650" s="47"/>
      <c r="J650" s="48"/>
      <c r="K650" s="49"/>
    </row>
    <row r="651" spans="1:11" ht="12.75" hidden="1" x14ac:dyDescent="0.2">
      <c r="A651" s="16"/>
      <c r="B651" s="16"/>
      <c r="C651" s="15"/>
      <c r="D651" s="16"/>
      <c r="E651" s="17"/>
      <c r="F651" s="17"/>
      <c r="H651" s="19"/>
      <c r="I651" s="47"/>
      <c r="J651" s="48"/>
      <c r="K651" s="49"/>
    </row>
    <row r="652" spans="1:11" ht="12.75" hidden="1" x14ac:dyDescent="0.2">
      <c r="A652" s="16"/>
      <c r="B652" s="16"/>
      <c r="C652" s="15"/>
      <c r="D652" s="16"/>
      <c r="E652" s="17"/>
      <c r="F652" s="17"/>
      <c r="H652" s="19"/>
      <c r="I652" s="47"/>
      <c r="J652" s="48"/>
      <c r="K652" s="49"/>
    </row>
    <row r="653" spans="1:11" ht="12.75" hidden="1" x14ac:dyDescent="0.2">
      <c r="A653" s="16"/>
      <c r="B653" s="16"/>
      <c r="C653" s="15"/>
      <c r="D653" s="16"/>
      <c r="E653" s="17"/>
      <c r="F653" s="17"/>
      <c r="H653" s="19"/>
      <c r="I653" s="47"/>
      <c r="J653" s="48"/>
      <c r="K653" s="49"/>
    </row>
    <row r="654" spans="1:11" ht="12.75" hidden="1" x14ac:dyDescent="0.2">
      <c r="A654" s="16"/>
      <c r="B654" s="16"/>
      <c r="C654" s="15"/>
      <c r="D654" s="16"/>
      <c r="E654" s="17"/>
      <c r="F654" s="17"/>
      <c r="H654" s="19"/>
      <c r="I654" s="47"/>
      <c r="J654" s="48"/>
      <c r="K654" s="49"/>
    </row>
    <row r="655" spans="1:11" ht="12.75" hidden="1" x14ac:dyDescent="0.2">
      <c r="A655" s="16"/>
      <c r="B655" s="16"/>
      <c r="C655" s="15"/>
      <c r="D655" s="16"/>
      <c r="E655" s="17"/>
      <c r="F655" s="17"/>
      <c r="H655" s="19"/>
      <c r="I655" s="47"/>
      <c r="J655" s="48"/>
      <c r="K655" s="49"/>
    </row>
    <row r="656" spans="1:11" ht="12.75" hidden="1" x14ac:dyDescent="0.2">
      <c r="A656" s="16"/>
      <c r="B656" s="16"/>
      <c r="C656" s="15"/>
      <c r="D656" s="16"/>
      <c r="E656" s="17"/>
      <c r="F656" s="17"/>
      <c r="H656" s="19"/>
      <c r="I656" s="47"/>
      <c r="J656" s="48"/>
      <c r="K656" s="49"/>
    </row>
    <row r="657" spans="1:11" ht="12.75" hidden="1" x14ac:dyDescent="0.2">
      <c r="A657" s="16"/>
      <c r="B657" s="16"/>
      <c r="C657" s="15"/>
      <c r="D657" s="16"/>
      <c r="E657" s="17"/>
      <c r="F657" s="17"/>
      <c r="H657" s="19"/>
      <c r="I657" s="47"/>
      <c r="J657" s="48"/>
      <c r="K657" s="49"/>
    </row>
    <row r="658" spans="1:11" ht="12.75" hidden="1" x14ac:dyDescent="0.2">
      <c r="A658" s="16"/>
      <c r="B658" s="16"/>
      <c r="C658" s="15"/>
      <c r="D658" s="16"/>
      <c r="E658" s="17"/>
      <c r="F658" s="17"/>
      <c r="H658" s="19"/>
      <c r="I658" s="47"/>
      <c r="J658" s="48"/>
      <c r="K658" s="49"/>
    </row>
    <row r="659" spans="1:11" ht="12.75" hidden="1" x14ac:dyDescent="0.2">
      <c r="A659" s="16"/>
      <c r="B659" s="16"/>
      <c r="C659" s="15"/>
      <c r="D659" s="16"/>
      <c r="E659" s="17"/>
      <c r="F659" s="17"/>
      <c r="H659" s="19"/>
      <c r="I659" s="47"/>
      <c r="J659" s="48"/>
      <c r="K659" s="49"/>
    </row>
    <row r="660" spans="1:11" ht="12.75" hidden="1" x14ac:dyDescent="0.2">
      <c r="A660" s="16"/>
      <c r="B660" s="16"/>
      <c r="C660" s="15"/>
      <c r="D660" s="16"/>
      <c r="E660" s="17"/>
      <c r="F660" s="17"/>
      <c r="H660" s="19"/>
      <c r="I660" s="47"/>
      <c r="J660" s="48"/>
      <c r="K660" s="49"/>
    </row>
    <row r="661" spans="1:11" ht="12.75" hidden="1" x14ac:dyDescent="0.2">
      <c r="A661" s="16"/>
      <c r="B661" s="16"/>
      <c r="C661" s="15"/>
      <c r="D661" s="16"/>
      <c r="E661" s="17"/>
      <c r="F661" s="17"/>
      <c r="H661" s="19"/>
      <c r="I661" s="47"/>
      <c r="J661" s="48"/>
      <c r="K661" s="49"/>
    </row>
    <row r="662" spans="1:11" ht="12.75" hidden="1" x14ac:dyDescent="0.2">
      <c r="A662" s="16"/>
      <c r="B662" s="16"/>
      <c r="C662" s="15"/>
      <c r="D662" s="16"/>
      <c r="E662" s="17"/>
      <c r="F662" s="17"/>
      <c r="H662" s="19"/>
      <c r="I662" s="47"/>
      <c r="J662" s="48"/>
      <c r="K662" s="49"/>
    </row>
    <row r="663" spans="1:11" ht="12.75" hidden="1" x14ac:dyDescent="0.2">
      <c r="A663" s="16"/>
      <c r="B663" s="16"/>
      <c r="C663" s="15"/>
      <c r="D663" s="16"/>
      <c r="E663" s="17"/>
      <c r="F663" s="17"/>
      <c r="H663" s="19"/>
      <c r="I663" s="47"/>
      <c r="J663" s="48"/>
      <c r="K663" s="49"/>
    </row>
    <row r="664" spans="1:11" ht="12.75" hidden="1" x14ac:dyDescent="0.2">
      <c r="A664" s="16"/>
      <c r="B664" s="16"/>
      <c r="C664" s="15"/>
      <c r="D664" s="16"/>
      <c r="E664" s="17"/>
      <c r="F664" s="17"/>
      <c r="H664" s="19"/>
      <c r="I664" s="47"/>
      <c r="J664" s="48"/>
      <c r="K664" s="49"/>
    </row>
    <row r="665" spans="1:11" ht="12.75" hidden="1" x14ac:dyDescent="0.2">
      <c r="A665" s="16"/>
      <c r="B665" s="16"/>
      <c r="C665" s="15"/>
      <c r="D665" s="16"/>
      <c r="E665" s="17"/>
      <c r="F665" s="17"/>
      <c r="H665" s="19"/>
      <c r="I665" s="47"/>
      <c r="J665" s="48"/>
      <c r="K665" s="49"/>
    </row>
    <row r="666" spans="1:11" ht="12.75" hidden="1" x14ac:dyDescent="0.2">
      <c r="A666" s="16"/>
      <c r="B666" s="16"/>
      <c r="C666" s="15"/>
      <c r="D666" s="16"/>
      <c r="E666" s="17"/>
      <c r="F666" s="17"/>
      <c r="H666" s="19"/>
      <c r="I666" s="47"/>
      <c r="J666" s="48"/>
      <c r="K666" s="49"/>
    </row>
    <row r="667" spans="1:11" ht="12.75" hidden="1" x14ac:dyDescent="0.2">
      <c r="A667" s="16"/>
      <c r="B667" s="16"/>
      <c r="C667" s="15"/>
      <c r="D667" s="16"/>
      <c r="E667" s="17"/>
      <c r="F667" s="17"/>
      <c r="H667" s="19"/>
      <c r="I667" s="47"/>
      <c r="J667" s="48"/>
      <c r="K667" s="49"/>
    </row>
    <row r="668" spans="1:11" ht="12.75" hidden="1" x14ac:dyDescent="0.2">
      <c r="A668" s="16"/>
      <c r="B668" s="16"/>
      <c r="C668" s="15"/>
      <c r="D668" s="16"/>
      <c r="E668" s="17"/>
      <c r="F668" s="17"/>
      <c r="H668" s="19"/>
      <c r="I668" s="47"/>
      <c r="J668" s="48"/>
      <c r="K668" s="49"/>
    </row>
    <row r="669" spans="1:11" ht="12.75" hidden="1" x14ac:dyDescent="0.2">
      <c r="A669" s="16"/>
      <c r="B669" s="16"/>
      <c r="C669" s="15"/>
      <c r="D669" s="16"/>
      <c r="E669" s="17"/>
      <c r="F669" s="17"/>
      <c r="H669" s="19"/>
      <c r="I669" s="47"/>
      <c r="J669" s="48"/>
      <c r="K669" s="49"/>
    </row>
    <row r="670" spans="1:11" ht="12.75" hidden="1" x14ac:dyDescent="0.2">
      <c r="A670" s="16"/>
      <c r="B670" s="16"/>
      <c r="C670" s="15"/>
      <c r="D670" s="16"/>
      <c r="E670" s="17"/>
      <c r="F670" s="17"/>
      <c r="H670" s="19"/>
      <c r="I670" s="47"/>
      <c r="J670" s="48"/>
      <c r="K670" s="49"/>
    </row>
    <row r="671" spans="1:11" ht="12.75" hidden="1" x14ac:dyDescent="0.2">
      <c r="A671" s="16"/>
      <c r="B671" s="16"/>
      <c r="C671" s="15"/>
      <c r="D671" s="16"/>
      <c r="E671" s="17"/>
      <c r="F671" s="17"/>
      <c r="H671" s="19"/>
      <c r="I671" s="47"/>
      <c r="J671" s="48"/>
      <c r="K671" s="49"/>
    </row>
    <row r="672" spans="1:11" ht="12.75" hidden="1" x14ac:dyDescent="0.2">
      <c r="A672" s="16"/>
      <c r="B672" s="16"/>
      <c r="C672" s="15"/>
      <c r="D672" s="16"/>
      <c r="E672" s="17"/>
      <c r="F672" s="17"/>
      <c r="H672" s="19"/>
      <c r="I672" s="47"/>
      <c r="J672" s="48"/>
      <c r="K672" s="49"/>
    </row>
    <row r="673" spans="1:11" ht="12.75" hidden="1" x14ac:dyDescent="0.2">
      <c r="A673" s="16"/>
      <c r="B673" s="16"/>
      <c r="C673" s="15"/>
      <c r="D673" s="16"/>
      <c r="E673" s="17"/>
      <c r="F673" s="17"/>
      <c r="H673" s="19"/>
      <c r="I673" s="47"/>
      <c r="J673" s="48"/>
      <c r="K673" s="49"/>
    </row>
    <row r="674" spans="1:11" ht="12.75" hidden="1" x14ac:dyDescent="0.2">
      <c r="A674" s="16"/>
      <c r="B674" s="16"/>
      <c r="C674" s="15"/>
      <c r="D674" s="16"/>
      <c r="E674" s="17"/>
      <c r="F674" s="17"/>
      <c r="H674" s="19"/>
      <c r="I674" s="47"/>
      <c r="J674" s="48"/>
      <c r="K674" s="49"/>
    </row>
    <row r="675" spans="1:11" ht="12.75" hidden="1" x14ac:dyDescent="0.2">
      <c r="A675" s="16"/>
      <c r="B675" s="16"/>
      <c r="C675" s="15"/>
      <c r="D675" s="16"/>
      <c r="E675" s="17"/>
      <c r="F675" s="17"/>
      <c r="H675" s="19"/>
      <c r="I675" s="47"/>
      <c r="J675" s="48"/>
      <c r="K675" s="49"/>
    </row>
    <row r="676" spans="1:11" ht="12.75" hidden="1" x14ac:dyDescent="0.2">
      <c r="A676" s="16"/>
      <c r="B676" s="16"/>
      <c r="C676" s="15"/>
      <c r="D676" s="16"/>
      <c r="E676" s="17"/>
      <c r="F676" s="17"/>
      <c r="H676" s="19"/>
      <c r="I676" s="47"/>
      <c r="J676" s="48"/>
      <c r="K676" s="49"/>
    </row>
    <row r="677" spans="1:11" ht="12.75" hidden="1" x14ac:dyDescent="0.2">
      <c r="A677" s="16"/>
      <c r="B677" s="16"/>
      <c r="C677" s="15"/>
      <c r="D677" s="16"/>
      <c r="E677" s="17"/>
      <c r="F677" s="17"/>
      <c r="H677" s="19"/>
      <c r="I677" s="47"/>
      <c r="J677" s="48"/>
      <c r="K677" s="49"/>
    </row>
    <row r="678" spans="1:11" ht="12.75" hidden="1" x14ac:dyDescent="0.2">
      <c r="A678" s="16"/>
      <c r="B678" s="16"/>
      <c r="C678" s="15"/>
      <c r="D678" s="16"/>
      <c r="E678" s="17"/>
      <c r="F678" s="17"/>
      <c r="H678" s="19"/>
      <c r="I678" s="47"/>
      <c r="J678" s="48"/>
      <c r="K678" s="49"/>
    </row>
    <row r="679" spans="1:11" ht="12.75" hidden="1" x14ac:dyDescent="0.2">
      <c r="A679" s="16"/>
      <c r="B679" s="16"/>
      <c r="C679" s="15"/>
      <c r="D679" s="16"/>
      <c r="E679" s="17"/>
      <c r="F679" s="17"/>
      <c r="H679" s="19"/>
      <c r="I679" s="47"/>
      <c r="J679" s="48"/>
      <c r="K679" s="49"/>
    </row>
    <row r="680" spans="1:11" ht="12.75" hidden="1" x14ac:dyDescent="0.2">
      <c r="A680" s="16"/>
      <c r="B680" s="16"/>
      <c r="C680" s="15"/>
      <c r="D680" s="16"/>
      <c r="E680" s="17"/>
      <c r="F680" s="17"/>
      <c r="H680" s="19"/>
      <c r="I680" s="47"/>
      <c r="J680" s="48"/>
      <c r="K680" s="49"/>
    </row>
    <row r="681" spans="1:11" ht="12.75" hidden="1" x14ac:dyDescent="0.2">
      <c r="A681" s="16"/>
      <c r="B681" s="16"/>
      <c r="C681" s="15"/>
      <c r="D681" s="16"/>
      <c r="E681" s="17"/>
      <c r="F681" s="17"/>
      <c r="H681" s="19"/>
      <c r="I681" s="47"/>
      <c r="J681" s="48"/>
      <c r="K681" s="49"/>
    </row>
    <row r="682" spans="1:11" ht="12.75" hidden="1" x14ac:dyDescent="0.2">
      <c r="A682" s="16"/>
      <c r="B682" s="16"/>
      <c r="C682" s="15"/>
      <c r="D682" s="16"/>
      <c r="E682" s="17"/>
      <c r="F682" s="17"/>
      <c r="H682" s="19"/>
      <c r="I682" s="47"/>
      <c r="J682" s="48"/>
      <c r="K682" s="49"/>
    </row>
    <row r="683" spans="1:11" ht="12.75" hidden="1" x14ac:dyDescent="0.2">
      <c r="A683" s="16"/>
      <c r="B683" s="16"/>
      <c r="C683" s="15"/>
      <c r="D683" s="16"/>
      <c r="E683" s="17"/>
      <c r="F683" s="17"/>
      <c r="H683" s="19"/>
      <c r="I683" s="47"/>
      <c r="J683" s="48"/>
      <c r="K683" s="49"/>
    </row>
    <row r="684" spans="1:11" ht="12.75" hidden="1" x14ac:dyDescent="0.2">
      <c r="A684" s="16"/>
      <c r="B684" s="16"/>
      <c r="C684" s="15"/>
      <c r="D684" s="16"/>
      <c r="E684" s="17"/>
      <c r="F684" s="17"/>
      <c r="H684" s="19"/>
      <c r="I684" s="47"/>
      <c r="J684" s="48"/>
      <c r="K684" s="49"/>
    </row>
    <row r="685" spans="1:11" ht="12.75" hidden="1" x14ac:dyDescent="0.2">
      <c r="A685" s="16"/>
      <c r="B685" s="16"/>
      <c r="C685" s="15"/>
      <c r="D685" s="16"/>
      <c r="E685" s="17"/>
      <c r="F685" s="17"/>
      <c r="H685" s="19"/>
      <c r="I685" s="47"/>
      <c r="J685" s="48"/>
      <c r="K685" s="49"/>
    </row>
    <row r="686" spans="1:11" ht="12.75" hidden="1" x14ac:dyDescent="0.2">
      <c r="A686" s="16"/>
      <c r="B686" s="16"/>
      <c r="C686" s="15"/>
      <c r="D686" s="16"/>
      <c r="E686" s="17"/>
      <c r="F686" s="17"/>
      <c r="H686" s="19"/>
      <c r="I686" s="47"/>
      <c r="J686" s="48"/>
      <c r="K686" s="49"/>
    </row>
    <row r="687" spans="1:11" ht="12.75" hidden="1" x14ac:dyDescent="0.2">
      <c r="A687" s="16"/>
      <c r="B687" s="16"/>
      <c r="C687" s="15"/>
      <c r="D687" s="16"/>
      <c r="E687" s="17"/>
      <c r="F687" s="17"/>
      <c r="H687" s="19"/>
      <c r="I687" s="47"/>
      <c r="J687" s="48"/>
      <c r="K687" s="49"/>
    </row>
    <row r="688" spans="1:11" ht="12.75" hidden="1" x14ac:dyDescent="0.2">
      <c r="A688" s="16"/>
      <c r="B688" s="16"/>
      <c r="C688" s="15"/>
      <c r="D688" s="16"/>
      <c r="E688" s="17"/>
      <c r="F688" s="17"/>
      <c r="H688" s="19"/>
      <c r="I688" s="47"/>
      <c r="J688" s="48"/>
      <c r="K688" s="49"/>
    </row>
    <row r="689" spans="1:11" ht="12.75" hidden="1" x14ac:dyDescent="0.2">
      <c r="A689" s="16"/>
      <c r="B689" s="16"/>
      <c r="C689" s="15"/>
      <c r="D689" s="16"/>
      <c r="E689" s="17"/>
      <c r="F689" s="17"/>
      <c r="H689" s="19"/>
      <c r="I689" s="47"/>
      <c r="J689" s="48"/>
      <c r="K689" s="49"/>
    </row>
    <row r="690" spans="1:11" ht="12.75" hidden="1" x14ac:dyDescent="0.2">
      <c r="A690" s="16"/>
      <c r="B690" s="16"/>
      <c r="C690" s="15"/>
      <c r="D690" s="16"/>
      <c r="E690" s="17"/>
      <c r="F690" s="17"/>
      <c r="H690" s="19"/>
      <c r="I690" s="47"/>
      <c r="J690" s="48"/>
      <c r="K690" s="49"/>
    </row>
    <row r="691" spans="1:11" ht="12.75" hidden="1" x14ac:dyDescent="0.2">
      <c r="A691" s="16"/>
      <c r="B691" s="16"/>
      <c r="C691" s="15"/>
      <c r="D691" s="16"/>
      <c r="E691" s="17"/>
      <c r="F691" s="17"/>
      <c r="H691" s="19"/>
      <c r="I691" s="47"/>
      <c r="J691" s="48"/>
      <c r="K691" s="49"/>
    </row>
    <row r="692" spans="1:11" ht="12.75" hidden="1" x14ac:dyDescent="0.2">
      <c r="A692" s="16"/>
      <c r="B692" s="16"/>
      <c r="C692" s="15"/>
      <c r="D692" s="16"/>
      <c r="E692" s="17"/>
      <c r="F692" s="17"/>
      <c r="H692" s="19"/>
      <c r="I692" s="47"/>
      <c r="J692" s="48"/>
      <c r="K692" s="49"/>
    </row>
    <row r="693" spans="1:11" ht="12.75" hidden="1" x14ac:dyDescent="0.2">
      <c r="A693" s="16"/>
      <c r="B693" s="16"/>
      <c r="C693" s="15"/>
      <c r="D693" s="16"/>
      <c r="E693" s="17"/>
      <c r="F693" s="17"/>
      <c r="H693" s="19"/>
      <c r="I693" s="47"/>
      <c r="J693" s="48"/>
      <c r="K693" s="49"/>
    </row>
    <row r="694" spans="1:11" ht="12.75" hidden="1" x14ac:dyDescent="0.2">
      <c r="A694" s="16"/>
      <c r="B694" s="16"/>
      <c r="C694" s="15"/>
      <c r="D694" s="16"/>
      <c r="E694" s="17"/>
      <c r="F694" s="17"/>
      <c r="H694" s="19"/>
      <c r="I694" s="47"/>
      <c r="J694" s="48"/>
      <c r="K694" s="49"/>
    </row>
    <row r="695" spans="1:11" ht="12.75" hidden="1" x14ac:dyDescent="0.2">
      <c r="A695" s="16"/>
      <c r="B695" s="16"/>
      <c r="C695" s="15"/>
      <c r="D695" s="16"/>
      <c r="E695" s="17"/>
      <c r="F695" s="17"/>
      <c r="H695" s="19"/>
      <c r="I695" s="47"/>
      <c r="J695" s="48"/>
      <c r="K695" s="49"/>
    </row>
    <row r="696" spans="1:11" ht="12.75" hidden="1" x14ac:dyDescent="0.2">
      <c r="A696" s="16"/>
      <c r="B696" s="16"/>
      <c r="C696" s="15"/>
      <c r="D696" s="16"/>
      <c r="E696" s="17"/>
      <c r="F696" s="17"/>
      <c r="H696" s="19"/>
      <c r="I696" s="47"/>
      <c r="J696" s="48"/>
      <c r="K696" s="49"/>
    </row>
    <row r="697" spans="1:11" ht="12.75" hidden="1" x14ac:dyDescent="0.2">
      <c r="A697" s="16"/>
      <c r="B697" s="16"/>
      <c r="C697" s="15"/>
      <c r="D697" s="16"/>
      <c r="E697" s="17"/>
      <c r="F697" s="17"/>
      <c r="H697" s="19"/>
      <c r="I697" s="47"/>
      <c r="J697" s="48"/>
      <c r="K697" s="49"/>
    </row>
    <row r="698" spans="1:11" ht="12.75" hidden="1" x14ac:dyDescent="0.2">
      <c r="A698" s="16"/>
      <c r="B698" s="16"/>
      <c r="C698" s="15"/>
      <c r="D698" s="16"/>
      <c r="E698" s="17"/>
      <c r="F698" s="17"/>
      <c r="H698" s="19"/>
      <c r="I698" s="47"/>
      <c r="J698" s="48"/>
      <c r="K698" s="49"/>
    </row>
    <row r="699" spans="1:11" ht="12.75" hidden="1" x14ac:dyDescent="0.2">
      <c r="A699" s="16"/>
      <c r="B699" s="16"/>
      <c r="C699" s="15"/>
      <c r="D699" s="16"/>
      <c r="E699" s="17"/>
      <c r="F699" s="17"/>
      <c r="H699" s="19"/>
      <c r="I699" s="47"/>
      <c r="J699" s="48"/>
      <c r="K699" s="49"/>
    </row>
    <row r="700" spans="1:11" ht="12.75" hidden="1" x14ac:dyDescent="0.2">
      <c r="A700" s="16"/>
      <c r="B700" s="16"/>
      <c r="C700" s="15"/>
      <c r="D700" s="16"/>
      <c r="E700" s="17"/>
      <c r="F700" s="17"/>
      <c r="H700" s="19"/>
      <c r="I700" s="47"/>
      <c r="J700" s="48"/>
      <c r="K700" s="49"/>
    </row>
    <row r="701" spans="1:11" ht="12.75" hidden="1" x14ac:dyDescent="0.2">
      <c r="A701" s="16"/>
      <c r="B701" s="16"/>
      <c r="C701" s="15"/>
      <c r="D701" s="16"/>
      <c r="E701" s="17"/>
      <c r="F701" s="17"/>
      <c r="H701" s="19"/>
      <c r="I701" s="47"/>
      <c r="J701" s="48"/>
      <c r="K701" s="49"/>
    </row>
    <row r="702" spans="1:11" ht="12.75" hidden="1" x14ac:dyDescent="0.2">
      <c r="A702" s="16"/>
      <c r="B702" s="16"/>
      <c r="C702" s="15"/>
      <c r="D702" s="16"/>
      <c r="E702" s="17"/>
      <c r="F702" s="17"/>
      <c r="H702" s="19"/>
      <c r="I702" s="47"/>
      <c r="J702" s="48"/>
      <c r="K702" s="49"/>
    </row>
    <row r="703" spans="1:11" ht="12.75" hidden="1" x14ac:dyDescent="0.2">
      <c r="A703" s="16"/>
      <c r="B703" s="16"/>
      <c r="C703" s="15"/>
      <c r="D703" s="16"/>
      <c r="E703" s="17"/>
      <c r="F703" s="17"/>
      <c r="H703" s="19"/>
      <c r="I703" s="47"/>
      <c r="J703" s="48"/>
      <c r="K703" s="49"/>
    </row>
    <row r="704" spans="1:11" ht="12.75" hidden="1" x14ac:dyDescent="0.2">
      <c r="A704" s="16"/>
      <c r="B704" s="16"/>
      <c r="C704" s="15"/>
      <c r="D704" s="16"/>
      <c r="E704" s="17"/>
      <c r="F704" s="17"/>
      <c r="H704" s="19"/>
      <c r="I704" s="47"/>
      <c r="J704" s="48"/>
      <c r="K704" s="49"/>
    </row>
    <row r="705" spans="1:11" ht="12.75" hidden="1" x14ac:dyDescent="0.2">
      <c r="A705" s="16"/>
      <c r="B705" s="16"/>
      <c r="C705" s="15"/>
      <c r="D705" s="16"/>
      <c r="E705" s="17"/>
      <c r="F705" s="17"/>
      <c r="H705" s="19"/>
      <c r="I705" s="47"/>
      <c r="J705" s="48"/>
      <c r="K705" s="49"/>
    </row>
    <row r="706" spans="1:11" ht="12.75" hidden="1" x14ac:dyDescent="0.2">
      <c r="A706" s="16"/>
      <c r="B706" s="16"/>
      <c r="C706" s="15"/>
      <c r="D706" s="16"/>
      <c r="E706" s="17"/>
      <c r="F706" s="17"/>
      <c r="H706" s="19"/>
      <c r="I706" s="47"/>
      <c r="J706" s="48"/>
      <c r="K706" s="49"/>
    </row>
    <row r="707" spans="1:11" ht="12.75" hidden="1" x14ac:dyDescent="0.2">
      <c r="A707" s="16"/>
      <c r="B707" s="16"/>
      <c r="C707" s="15"/>
      <c r="D707" s="16"/>
      <c r="E707" s="17"/>
      <c r="F707" s="17"/>
      <c r="H707" s="19"/>
      <c r="I707" s="47"/>
      <c r="J707" s="48"/>
      <c r="K707" s="49"/>
    </row>
    <row r="708" spans="1:11" ht="12.75" hidden="1" x14ac:dyDescent="0.2">
      <c r="A708" s="16"/>
      <c r="B708" s="16"/>
      <c r="C708" s="15"/>
      <c r="D708" s="16"/>
      <c r="E708" s="17"/>
      <c r="F708" s="17"/>
      <c r="H708" s="19"/>
      <c r="I708" s="47"/>
      <c r="J708" s="48"/>
      <c r="K708" s="49"/>
    </row>
    <row r="709" spans="1:11" ht="12.75" hidden="1" x14ac:dyDescent="0.2">
      <c r="A709" s="16"/>
      <c r="B709" s="16"/>
      <c r="C709" s="15"/>
      <c r="D709" s="16"/>
      <c r="E709" s="17"/>
      <c r="F709" s="17"/>
      <c r="H709" s="19"/>
      <c r="I709" s="47"/>
      <c r="J709" s="48"/>
      <c r="K709" s="49"/>
    </row>
    <row r="710" spans="1:11" ht="12.75" hidden="1" x14ac:dyDescent="0.2">
      <c r="A710" s="16"/>
      <c r="B710" s="16"/>
      <c r="C710" s="15"/>
      <c r="D710" s="16"/>
      <c r="E710" s="17"/>
      <c r="F710" s="17"/>
      <c r="H710" s="19"/>
      <c r="I710" s="47"/>
      <c r="J710" s="48"/>
      <c r="K710" s="49"/>
    </row>
    <row r="711" spans="1:11" ht="12.75" hidden="1" x14ac:dyDescent="0.2">
      <c r="A711" s="16"/>
      <c r="B711" s="16"/>
      <c r="C711" s="15"/>
      <c r="D711" s="16"/>
      <c r="E711" s="17"/>
      <c r="F711" s="17"/>
      <c r="H711" s="19"/>
      <c r="I711" s="47"/>
      <c r="J711" s="48"/>
      <c r="K711" s="49"/>
    </row>
    <row r="712" spans="1:11" ht="12.75" hidden="1" x14ac:dyDescent="0.2">
      <c r="A712" s="16"/>
      <c r="B712" s="16"/>
      <c r="C712" s="15"/>
      <c r="D712" s="16"/>
      <c r="E712" s="17"/>
      <c r="F712" s="17"/>
      <c r="H712" s="19"/>
      <c r="I712" s="47"/>
      <c r="J712" s="48"/>
      <c r="K712" s="49"/>
    </row>
    <row r="713" spans="1:11" ht="12.75" hidden="1" x14ac:dyDescent="0.2">
      <c r="A713" s="16"/>
      <c r="B713" s="16"/>
      <c r="C713" s="15"/>
      <c r="D713" s="16"/>
      <c r="E713" s="17"/>
      <c r="F713" s="17"/>
      <c r="H713" s="19"/>
      <c r="I713" s="47"/>
      <c r="J713" s="48"/>
      <c r="K713" s="49"/>
    </row>
    <row r="714" spans="1:11" ht="12.75" hidden="1" x14ac:dyDescent="0.2">
      <c r="A714" s="16"/>
      <c r="B714" s="16"/>
      <c r="C714" s="15"/>
      <c r="D714" s="16"/>
      <c r="E714" s="17"/>
      <c r="F714" s="17"/>
      <c r="H714" s="19"/>
      <c r="I714" s="47"/>
      <c r="J714" s="48"/>
      <c r="K714" s="49"/>
    </row>
    <row r="715" spans="1:11" ht="12.75" hidden="1" x14ac:dyDescent="0.2">
      <c r="A715" s="16"/>
      <c r="B715" s="16"/>
      <c r="C715" s="15"/>
      <c r="D715" s="16"/>
      <c r="E715" s="17"/>
      <c r="F715" s="17"/>
      <c r="H715" s="19"/>
      <c r="I715" s="47"/>
      <c r="J715" s="48"/>
      <c r="K715" s="49"/>
    </row>
    <row r="716" spans="1:11" ht="12.75" hidden="1" x14ac:dyDescent="0.2">
      <c r="A716" s="16"/>
      <c r="B716" s="16"/>
      <c r="C716" s="15"/>
      <c r="D716" s="16"/>
      <c r="E716" s="17"/>
      <c r="F716" s="17"/>
      <c r="H716" s="19"/>
      <c r="I716" s="47"/>
      <c r="J716" s="48"/>
      <c r="K716" s="49"/>
    </row>
    <row r="717" spans="1:11" ht="12.75" hidden="1" x14ac:dyDescent="0.2">
      <c r="A717" s="16"/>
      <c r="B717" s="16"/>
      <c r="C717" s="15"/>
      <c r="D717" s="16"/>
      <c r="E717" s="17"/>
      <c r="F717" s="17"/>
      <c r="H717" s="19"/>
      <c r="I717" s="47"/>
      <c r="J717" s="48"/>
      <c r="K717" s="49"/>
    </row>
    <row r="718" spans="1:11" ht="12.75" hidden="1" x14ac:dyDescent="0.2">
      <c r="A718" s="16"/>
      <c r="B718" s="16"/>
      <c r="C718" s="15"/>
      <c r="D718" s="16"/>
      <c r="E718" s="17"/>
      <c r="F718" s="17"/>
      <c r="H718" s="19"/>
      <c r="I718" s="47"/>
      <c r="J718" s="48"/>
      <c r="K718" s="49"/>
    </row>
    <row r="719" spans="1:11" ht="12.75" hidden="1" x14ac:dyDescent="0.2">
      <c r="A719" s="16"/>
      <c r="B719" s="16"/>
      <c r="C719" s="15"/>
      <c r="D719" s="16"/>
      <c r="E719" s="17"/>
      <c r="F719" s="17"/>
      <c r="H719" s="19"/>
      <c r="I719" s="47"/>
      <c r="J719" s="48"/>
      <c r="K719" s="49"/>
    </row>
    <row r="720" spans="1:11" ht="12.75" hidden="1" x14ac:dyDescent="0.2">
      <c r="A720" s="16"/>
      <c r="B720" s="16"/>
      <c r="C720" s="15"/>
      <c r="D720" s="16"/>
      <c r="E720" s="17"/>
      <c r="F720" s="17"/>
      <c r="H720" s="19"/>
      <c r="I720" s="47"/>
      <c r="J720" s="48"/>
      <c r="K720" s="49"/>
    </row>
    <row r="721" spans="1:11" ht="12.75" hidden="1" x14ac:dyDescent="0.2">
      <c r="A721" s="16"/>
      <c r="B721" s="16"/>
      <c r="C721" s="15"/>
      <c r="D721" s="16"/>
      <c r="E721" s="17"/>
      <c r="F721" s="17"/>
      <c r="H721" s="19"/>
      <c r="I721" s="47"/>
      <c r="J721" s="48"/>
      <c r="K721" s="49"/>
    </row>
    <row r="722" spans="1:11" ht="12.75" hidden="1" x14ac:dyDescent="0.2">
      <c r="A722" s="16"/>
      <c r="B722" s="16"/>
      <c r="C722" s="15"/>
      <c r="D722" s="16"/>
      <c r="E722" s="17"/>
      <c r="F722" s="17"/>
      <c r="H722" s="19"/>
      <c r="I722" s="47"/>
      <c r="J722" s="48"/>
      <c r="K722" s="49"/>
    </row>
    <row r="723" spans="1:11" ht="12.75" hidden="1" x14ac:dyDescent="0.2">
      <c r="A723" s="16"/>
      <c r="B723" s="16"/>
      <c r="C723" s="15"/>
      <c r="D723" s="16"/>
      <c r="E723" s="17"/>
      <c r="F723" s="17"/>
      <c r="H723" s="19"/>
      <c r="I723" s="47"/>
      <c r="J723" s="48"/>
      <c r="K723" s="49"/>
    </row>
    <row r="724" spans="1:11" ht="12.75" hidden="1" x14ac:dyDescent="0.2">
      <c r="A724" s="16"/>
      <c r="B724" s="16"/>
      <c r="C724" s="15"/>
      <c r="D724" s="16"/>
      <c r="E724" s="17"/>
      <c r="F724" s="17"/>
      <c r="H724" s="19"/>
      <c r="I724" s="47"/>
      <c r="J724" s="48"/>
      <c r="K724" s="49"/>
    </row>
    <row r="725" spans="1:11" ht="12.75" hidden="1" x14ac:dyDescent="0.2">
      <c r="A725" s="16"/>
      <c r="B725" s="16"/>
      <c r="C725" s="15"/>
      <c r="D725" s="16"/>
      <c r="E725" s="17"/>
      <c r="F725" s="17"/>
      <c r="H725" s="19"/>
      <c r="I725" s="47"/>
      <c r="J725" s="48"/>
      <c r="K725" s="49"/>
    </row>
    <row r="726" spans="1:11" ht="12.75" hidden="1" x14ac:dyDescent="0.2">
      <c r="A726" s="16"/>
      <c r="B726" s="16"/>
      <c r="C726" s="15"/>
      <c r="D726" s="16"/>
      <c r="E726" s="17"/>
      <c r="F726" s="17"/>
      <c r="H726" s="19"/>
      <c r="I726" s="47"/>
      <c r="J726" s="48"/>
      <c r="K726" s="49"/>
    </row>
    <row r="727" spans="1:11" ht="12.75" hidden="1" x14ac:dyDescent="0.2">
      <c r="A727" s="16"/>
      <c r="B727" s="16"/>
      <c r="C727" s="15"/>
      <c r="D727" s="16"/>
      <c r="E727" s="17"/>
      <c r="F727" s="17"/>
      <c r="H727" s="19"/>
      <c r="I727" s="47"/>
      <c r="J727" s="48"/>
      <c r="K727" s="49"/>
    </row>
    <row r="728" spans="1:11" ht="12.75" hidden="1" x14ac:dyDescent="0.2">
      <c r="A728" s="16"/>
      <c r="B728" s="16"/>
      <c r="C728" s="15"/>
      <c r="D728" s="16"/>
      <c r="E728" s="17"/>
      <c r="F728" s="17"/>
      <c r="H728" s="19"/>
      <c r="I728" s="47"/>
      <c r="J728" s="48"/>
      <c r="K728" s="49"/>
    </row>
    <row r="729" spans="1:11" ht="12.75" hidden="1" x14ac:dyDescent="0.2">
      <c r="A729" s="16"/>
      <c r="B729" s="16"/>
      <c r="C729" s="15"/>
      <c r="D729" s="16"/>
      <c r="E729" s="17"/>
      <c r="F729" s="17"/>
      <c r="H729" s="19"/>
      <c r="I729" s="47"/>
      <c r="J729" s="48"/>
      <c r="K729" s="49"/>
    </row>
    <row r="730" spans="1:11" ht="12.75" hidden="1" x14ac:dyDescent="0.2">
      <c r="A730" s="16"/>
      <c r="B730" s="16"/>
      <c r="C730" s="15"/>
      <c r="D730" s="16"/>
      <c r="E730" s="17"/>
      <c r="F730" s="17"/>
      <c r="H730" s="19"/>
      <c r="I730" s="47"/>
      <c r="J730" s="48"/>
      <c r="K730" s="49"/>
    </row>
    <row r="731" spans="1:11" ht="12.75" hidden="1" x14ac:dyDescent="0.2">
      <c r="A731" s="16"/>
      <c r="B731" s="16"/>
      <c r="C731" s="15"/>
      <c r="D731" s="16"/>
      <c r="E731" s="17"/>
      <c r="F731" s="17"/>
      <c r="H731" s="19"/>
      <c r="I731" s="47"/>
      <c r="J731" s="48"/>
      <c r="K731" s="49"/>
    </row>
    <row r="732" spans="1:11" ht="12.75" hidden="1" x14ac:dyDescent="0.2">
      <c r="A732" s="16"/>
      <c r="B732" s="16"/>
      <c r="C732" s="15"/>
      <c r="D732" s="16"/>
      <c r="E732" s="17"/>
      <c r="F732" s="17"/>
      <c r="H732" s="19"/>
      <c r="I732" s="47"/>
      <c r="J732" s="48"/>
      <c r="K732" s="49"/>
    </row>
    <row r="733" spans="1:11" ht="12.75" hidden="1" x14ac:dyDescent="0.2">
      <c r="A733" s="16"/>
      <c r="B733" s="16"/>
      <c r="C733" s="15"/>
      <c r="D733" s="16"/>
      <c r="E733" s="17"/>
      <c r="F733" s="17"/>
      <c r="H733" s="19"/>
      <c r="I733" s="47"/>
      <c r="J733" s="48"/>
      <c r="K733" s="49"/>
    </row>
    <row r="734" spans="1:11" ht="12.75" hidden="1" x14ac:dyDescent="0.2">
      <c r="A734" s="16"/>
      <c r="B734" s="16"/>
      <c r="C734" s="15"/>
      <c r="D734" s="16"/>
      <c r="E734" s="17"/>
      <c r="F734" s="17"/>
      <c r="H734" s="19"/>
      <c r="I734" s="47"/>
      <c r="J734" s="48"/>
      <c r="K734" s="49"/>
    </row>
    <row r="735" spans="1:11" ht="12.75" hidden="1" x14ac:dyDescent="0.2">
      <c r="A735" s="16"/>
      <c r="B735" s="16"/>
      <c r="C735" s="15"/>
      <c r="D735" s="16"/>
      <c r="E735" s="17"/>
      <c r="F735" s="17"/>
      <c r="H735" s="19"/>
      <c r="I735" s="47"/>
      <c r="J735" s="48"/>
      <c r="K735" s="49"/>
    </row>
    <row r="736" spans="1:11" ht="12.75" hidden="1" x14ac:dyDescent="0.2">
      <c r="A736" s="16"/>
      <c r="B736" s="16"/>
      <c r="C736" s="15"/>
      <c r="D736" s="16"/>
      <c r="E736" s="17"/>
      <c r="F736" s="17"/>
      <c r="H736" s="19"/>
      <c r="I736" s="47"/>
      <c r="J736" s="48"/>
      <c r="K736" s="49"/>
    </row>
    <row r="737" spans="1:11" ht="12.75" hidden="1" x14ac:dyDescent="0.2">
      <c r="A737" s="16"/>
      <c r="B737" s="16"/>
      <c r="C737" s="15"/>
      <c r="D737" s="16"/>
      <c r="E737" s="17"/>
      <c r="F737" s="17"/>
      <c r="H737" s="19"/>
      <c r="I737" s="47"/>
      <c r="J737" s="48"/>
      <c r="K737" s="49"/>
    </row>
    <row r="738" spans="1:11" ht="12.75" hidden="1" x14ac:dyDescent="0.2">
      <c r="A738" s="16"/>
      <c r="B738" s="16"/>
      <c r="C738" s="15"/>
      <c r="D738" s="16"/>
      <c r="E738" s="17"/>
      <c r="F738" s="17"/>
      <c r="H738" s="19"/>
      <c r="I738" s="47"/>
      <c r="J738" s="48"/>
      <c r="K738" s="49"/>
    </row>
    <row r="739" spans="1:11" ht="12.75" hidden="1" x14ac:dyDescent="0.2">
      <c r="A739" s="16"/>
      <c r="B739" s="16"/>
      <c r="C739" s="15"/>
      <c r="D739" s="16"/>
      <c r="E739" s="17"/>
      <c r="F739" s="17"/>
      <c r="H739" s="19"/>
      <c r="I739" s="47"/>
      <c r="J739" s="48"/>
      <c r="K739" s="49"/>
    </row>
    <row r="740" spans="1:11" ht="12.75" hidden="1" x14ac:dyDescent="0.2">
      <c r="A740" s="16"/>
      <c r="B740" s="16"/>
      <c r="C740" s="15"/>
      <c r="D740" s="16"/>
      <c r="E740" s="17"/>
      <c r="F740" s="17"/>
      <c r="H740" s="19"/>
      <c r="I740" s="47"/>
      <c r="J740" s="48"/>
      <c r="K740" s="49"/>
    </row>
    <row r="741" spans="1:11" ht="12.75" hidden="1" x14ac:dyDescent="0.2">
      <c r="A741" s="16"/>
      <c r="B741" s="16"/>
      <c r="C741" s="15"/>
      <c r="D741" s="16"/>
      <c r="E741" s="17"/>
      <c r="F741" s="17"/>
      <c r="H741" s="19"/>
      <c r="I741" s="47"/>
      <c r="J741" s="48"/>
      <c r="K741" s="49"/>
    </row>
    <row r="742" spans="1:11" ht="12.75" hidden="1" x14ac:dyDescent="0.2">
      <c r="A742" s="16"/>
      <c r="B742" s="16"/>
      <c r="C742" s="15"/>
      <c r="D742" s="16"/>
      <c r="E742" s="17"/>
      <c r="F742" s="17"/>
      <c r="H742" s="19"/>
      <c r="I742" s="47"/>
      <c r="J742" s="48"/>
      <c r="K742" s="49"/>
    </row>
    <row r="743" spans="1:11" ht="12.75" hidden="1" x14ac:dyDescent="0.2">
      <c r="A743" s="16"/>
      <c r="B743" s="16"/>
      <c r="C743" s="15"/>
      <c r="D743" s="16"/>
      <c r="E743" s="17"/>
      <c r="F743" s="17"/>
      <c r="H743" s="19"/>
      <c r="I743" s="47"/>
      <c r="J743" s="48"/>
      <c r="K743" s="49"/>
    </row>
    <row r="744" spans="1:11" ht="12.75" hidden="1" x14ac:dyDescent="0.2">
      <c r="A744" s="16"/>
      <c r="B744" s="16"/>
      <c r="C744" s="15"/>
      <c r="D744" s="16"/>
      <c r="E744" s="17"/>
      <c r="F744" s="17"/>
      <c r="H744" s="19"/>
      <c r="I744" s="47"/>
      <c r="J744" s="48"/>
      <c r="K744" s="49"/>
    </row>
    <row r="745" spans="1:11" ht="12.75" hidden="1" x14ac:dyDescent="0.2">
      <c r="A745" s="16"/>
      <c r="B745" s="16"/>
      <c r="C745" s="15"/>
      <c r="D745" s="16"/>
      <c r="E745" s="17"/>
      <c r="F745" s="17"/>
      <c r="H745" s="19"/>
      <c r="I745" s="47"/>
      <c r="J745" s="48"/>
      <c r="K745" s="49"/>
    </row>
    <row r="746" spans="1:11" ht="12.75" hidden="1" x14ac:dyDescent="0.2">
      <c r="A746" s="16"/>
      <c r="B746" s="16"/>
      <c r="C746" s="15"/>
      <c r="D746" s="16"/>
      <c r="E746" s="17"/>
      <c r="F746" s="17"/>
      <c r="H746" s="19"/>
      <c r="I746" s="47"/>
      <c r="J746" s="48"/>
      <c r="K746" s="49"/>
    </row>
    <row r="747" spans="1:11" ht="12.75" hidden="1" x14ac:dyDescent="0.2">
      <c r="A747" s="16"/>
      <c r="B747" s="16"/>
      <c r="C747" s="15"/>
      <c r="D747" s="16"/>
      <c r="E747" s="17"/>
      <c r="F747" s="17"/>
      <c r="H747" s="19"/>
      <c r="I747" s="47"/>
      <c r="J747" s="48"/>
      <c r="K747" s="49"/>
    </row>
    <row r="748" spans="1:11" ht="12.75" hidden="1" x14ac:dyDescent="0.2">
      <c r="A748" s="16"/>
      <c r="B748" s="16"/>
      <c r="C748" s="15"/>
      <c r="D748" s="16"/>
      <c r="E748" s="17"/>
      <c r="F748" s="17"/>
      <c r="H748" s="19"/>
      <c r="I748" s="47"/>
      <c r="J748" s="48"/>
      <c r="K748" s="49"/>
    </row>
    <row r="749" spans="1:11" ht="12.75" hidden="1" x14ac:dyDescent="0.2">
      <c r="A749" s="16"/>
      <c r="B749" s="16"/>
      <c r="C749" s="15"/>
      <c r="D749" s="16"/>
      <c r="E749" s="17"/>
      <c r="F749" s="17"/>
      <c r="H749" s="19"/>
      <c r="I749" s="47"/>
      <c r="J749" s="48"/>
      <c r="K749" s="49"/>
    </row>
    <row r="750" spans="1:11" ht="12.75" hidden="1" x14ac:dyDescent="0.2">
      <c r="A750" s="16"/>
      <c r="B750" s="16"/>
      <c r="C750" s="15"/>
      <c r="D750" s="16"/>
      <c r="E750" s="17"/>
      <c r="F750" s="17"/>
      <c r="H750" s="19"/>
      <c r="I750" s="47"/>
      <c r="J750" s="48"/>
      <c r="K750" s="49"/>
    </row>
    <row r="751" spans="1:11" ht="12.75" hidden="1" x14ac:dyDescent="0.2">
      <c r="A751" s="16"/>
      <c r="B751" s="16"/>
      <c r="C751" s="15"/>
      <c r="D751" s="16"/>
      <c r="E751" s="17"/>
      <c r="F751" s="17"/>
      <c r="H751" s="19"/>
      <c r="I751" s="47"/>
      <c r="J751" s="48"/>
      <c r="K751" s="49"/>
    </row>
    <row r="752" spans="1:11" ht="12.75" hidden="1" x14ac:dyDescent="0.2">
      <c r="A752" s="16"/>
      <c r="B752" s="16"/>
      <c r="C752" s="15"/>
      <c r="D752" s="16"/>
      <c r="E752" s="17"/>
      <c r="F752" s="17"/>
      <c r="H752" s="19"/>
      <c r="I752" s="47"/>
      <c r="J752" s="48"/>
      <c r="K752" s="49"/>
    </row>
    <row r="753" spans="1:11" ht="12.75" hidden="1" x14ac:dyDescent="0.2">
      <c r="A753" s="16"/>
      <c r="B753" s="16"/>
      <c r="C753" s="15"/>
      <c r="D753" s="16"/>
      <c r="E753" s="17"/>
      <c r="F753" s="17"/>
      <c r="H753" s="19"/>
      <c r="I753" s="47"/>
      <c r="J753" s="48"/>
      <c r="K753" s="49"/>
    </row>
    <row r="754" spans="1:11" ht="12.75" hidden="1" x14ac:dyDescent="0.2">
      <c r="A754" s="16"/>
      <c r="B754" s="16"/>
      <c r="C754" s="15"/>
      <c r="D754" s="16"/>
      <c r="E754" s="17"/>
      <c r="F754" s="17"/>
      <c r="H754" s="19"/>
      <c r="I754" s="47"/>
      <c r="J754" s="48"/>
      <c r="K754" s="49"/>
    </row>
    <row r="755" spans="1:11" ht="12.75" hidden="1" x14ac:dyDescent="0.2">
      <c r="A755" s="16"/>
      <c r="B755" s="16"/>
      <c r="C755" s="15"/>
      <c r="D755" s="16"/>
      <c r="E755" s="17"/>
      <c r="F755" s="17"/>
      <c r="H755" s="19"/>
      <c r="I755" s="47"/>
      <c r="J755" s="48"/>
      <c r="K755" s="49"/>
    </row>
    <row r="756" spans="1:11" ht="12.75" hidden="1" x14ac:dyDescent="0.2">
      <c r="A756" s="16"/>
      <c r="B756" s="16"/>
      <c r="C756" s="15"/>
      <c r="D756" s="16"/>
      <c r="E756" s="17"/>
      <c r="F756" s="17"/>
      <c r="H756" s="19"/>
      <c r="I756" s="47"/>
      <c r="J756" s="48"/>
      <c r="K756" s="49"/>
    </row>
    <row r="757" spans="1:11" ht="12.75" hidden="1" x14ac:dyDescent="0.2">
      <c r="A757" s="16"/>
      <c r="B757" s="16"/>
      <c r="C757" s="15"/>
      <c r="D757" s="16"/>
      <c r="E757" s="17"/>
      <c r="F757" s="17"/>
      <c r="H757" s="19"/>
      <c r="I757" s="47"/>
      <c r="J757" s="48"/>
      <c r="K757" s="49"/>
    </row>
    <row r="758" spans="1:11" ht="12.75" hidden="1" x14ac:dyDescent="0.2">
      <c r="A758" s="16"/>
      <c r="B758" s="16"/>
      <c r="C758" s="15"/>
      <c r="D758" s="16"/>
      <c r="E758" s="17"/>
      <c r="F758" s="17"/>
      <c r="H758" s="19"/>
      <c r="I758" s="47"/>
      <c r="J758" s="48"/>
      <c r="K758" s="49"/>
    </row>
    <row r="759" spans="1:11" ht="12.75" hidden="1" x14ac:dyDescent="0.2">
      <c r="A759" s="16"/>
      <c r="B759" s="16"/>
      <c r="C759" s="15"/>
      <c r="D759" s="16"/>
      <c r="E759" s="17"/>
      <c r="F759" s="17"/>
      <c r="H759" s="19"/>
      <c r="I759" s="47"/>
      <c r="J759" s="48"/>
      <c r="K759" s="49"/>
    </row>
    <row r="760" spans="1:11" ht="12.75" hidden="1" x14ac:dyDescent="0.2">
      <c r="A760" s="16"/>
      <c r="B760" s="16"/>
      <c r="C760" s="15"/>
      <c r="D760" s="16"/>
      <c r="E760" s="17"/>
      <c r="F760" s="17"/>
      <c r="H760" s="19"/>
      <c r="I760" s="47"/>
      <c r="J760" s="48"/>
      <c r="K760" s="49"/>
    </row>
    <row r="761" spans="1:11" ht="12.75" hidden="1" x14ac:dyDescent="0.2">
      <c r="A761" s="16"/>
      <c r="B761" s="16"/>
      <c r="C761" s="15"/>
      <c r="D761" s="16"/>
      <c r="E761" s="17"/>
      <c r="F761" s="17"/>
      <c r="H761" s="19"/>
      <c r="I761" s="47"/>
      <c r="J761" s="48"/>
      <c r="K761" s="49"/>
    </row>
    <row r="762" spans="1:11" ht="12.75" hidden="1" x14ac:dyDescent="0.2">
      <c r="A762" s="16"/>
      <c r="B762" s="16"/>
      <c r="C762" s="15"/>
      <c r="D762" s="16"/>
      <c r="E762" s="17"/>
      <c r="F762" s="17"/>
      <c r="H762" s="19"/>
      <c r="I762" s="47"/>
      <c r="J762" s="48"/>
      <c r="K762" s="49"/>
    </row>
    <row r="763" spans="1:11" ht="12.75" hidden="1" x14ac:dyDescent="0.2">
      <c r="A763" s="16"/>
      <c r="B763" s="16"/>
      <c r="C763" s="15"/>
      <c r="D763" s="16"/>
      <c r="E763" s="17"/>
      <c r="F763" s="17"/>
      <c r="H763" s="19"/>
      <c r="I763" s="47"/>
      <c r="J763" s="48"/>
      <c r="K763" s="49"/>
    </row>
    <row r="764" spans="1:11" ht="12.75" hidden="1" x14ac:dyDescent="0.2">
      <c r="A764" s="16"/>
      <c r="B764" s="16"/>
      <c r="C764" s="15"/>
      <c r="D764" s="16"/>
      <c r="E764" s="17"/>
      <c r="F764" s="17"/>
      <c r="H764" s="19"/>
      <c r="I764" s="47"/>
      <c r="J764" s="48"/>
      <c r="K764" s="49"/>
    </row>
    <row r="765" spans="1:11" ht="12.75" hidden="1" x14ac:dyDescent="0.2">
      <c r="A765" s="16"/>
      <c r="B765" s="16"/>
      <c r="C765" s="15"/>
      <c r="D765" s="16"/>
      <c r="E765" s="17"/>
      <c r="F765" s="17"/>
      <c r="H765" s="19"/>
      <c r="I765" s="47"/>
      <c r="J765" s="48"/>
      <c r="K765" s="49"/>
    </row>
    <row r="766" spans="1:11" ht="12.75" hidden="1" x14ac:dyDescent="0.2">
      <c r="A766" s="16"/>
      <c r="B766" s="16"/>
      <c r="C766" s="15"/>
      <c r="D766" s="16"/>
      <c r="E766" s="17"/>
      <c r="F766" s="17"/>
      <c r="H766" s="19"/>
      <c r="I766" s="47"/>
      <c r="J766" s="48"/>
      <c r="K766" s="49"/>
    </row>
    <row r="767" spans="1:11" ht="12.75" hidden="1" x14ac:dyDescent="0.2">
      <c r="A767" s="16"/>
      <c r="B767" s="16"/>
      <c r="C767" s="15"/>
      <c r="D767" s="16"/>
      <c r="E767" s="17"/>
      <c r="F767" s="17"/>
      <c r="H767" s="19"/>
      <c r="I767" s="47"/>
      <c r="J767" s="48"/>
      <c r="K767" s="49"/>
    </row>
    <row r="768" spans="1:11" ht="12.75" hidden="1" x14ac:dyDescent="0.2">
      <c r="A768" s="16"/>
      <c r="B768" s="16"/>
      <c r="C768" s="15"/>
      <c r="D768" s="16"/>
      <c r="E768" s="17"/>
      <c r="F768" s="17"/>
      <c r="H768" s="19"/>
      <c r="I768" s="47"/>
      <c r="J768" s="48"/>
      <c r="K768" s="49"/>
    </row>
    <row r="769" spans="1:11" ht="12.75" hidden="1" x14ac:dyDescent="0.2">
      <c r="A769" s="16"/>
      <c r="B769" s="16"/>
      <c r="C769" s="15"/>
      <c r="D769" s="16"/>
      <c r="E769" s="17"/>
      <c r="F769" s="17"/>
      <c r="H769" s="19"/>
      <c r="I769" s="47"/>
      <c r="J769" s="48"/>
      <c r="K769" s="49"/>
    </row>
    <row r="770" spans="1:11" ht="12.75" hidden="1" x14ac:dyDescent="0.2">
      <c r="A770" s="16"/>
      <c r="B770" s="16"/>
      <c r="C770" s="15"/>
      <c r="D770" s="16"/>
      <c r="E770" s="17"/>
      <c r="F770" s="17"/>
      <c r="H770" s="19"/>
      <c r="I770" s="47"/>
      <c r="J770" s="48"/>
      <c r="K770" s="49"/>
    </row>
    <row r="771" spans="1:11" ht="12.75" hidden="1" x14ac:dyDescent="0.2">
      <c r="A771" s="16"/>
      <c r="B771" s="16"/>
      <c r="C771" s="15"/>
      <c r="D771" s="16"/>
      <c r="E771" s="17"/>
      <c r="F771" s="17"/>
      <c r="H771" s="19"/>
      <c r="I771" s="47"/>
      <c r="J771" s="48"/>
      <c r="K771" s="49"/>
    </row>
    <row r="772" spans="1:11" ht="12.75" hidden="1" x14ac:dyDescent="0.2">
      <c r="A772" s="16"/>
      <c r="B772" s="16"/>
      <c r="C772" s="15"/>
      <c r="D772" s="16"/>
      <c r="E772" s="17"/>
      <c r="F772" s="17"/>
      <c r="H772" s="19"/>
      <c r="I772" s="47"/>
      <c r="J772" s="48"/>
      <c r="K772" s="49"/>
    </row>
    <row r="773" spans="1:11" ht="12.75" hidden="1" x14ac:dyDescent="0.2">
      <c r="A773" s="16"/>
      <c r="B773" s="16"/>
      <c r="C773" s="15"/>
      <c r="D773" s="16"/>
      <c r="E773" s="17"/>
      <c r="F773" s="17"/>
      <c r="H773" s="19"/>
      <c r="I773" s="47"/>
      <c r="J773" s="48"/>
      <c r="K773" s="49"/>
    </row>
    <row r="774" spans="1:11" ht="12.75" hidden="1" x14ac:dyDescent="0.2">
      <c r="A774" s="16"/>
      <c r="B774" s="16"/>
      <c r="C774" s="15"/>
      <c r="D774" s="16"/>
      <c r="E774" s="17"/>
      <c r="F774" s="17"/>
      <c r="H774" s="19"/>
      <c r="I774" s="47"/>
      <c r="J774" s="48"/>
      <c r="K774" s="49"/>
    </row>
    <row r="775" spans="1:11" ht="12.75" hidden="1" x14ac:dyDescent="0.2">
      <c r="A775" s="16"/>
      <c r="B775" s="16"/>
      <c r="C775" s="15"/>
      <c r="D775" s="16"/>
      <c r="E775" s="17"/>
      <c r="F775" s="17"/>
      <c r="H775" s="19"/>
      <c r="I775" s="47"/>
      <c r="J775" s="48"/>
      <c r="K775" s="49"/>
    </row>
    <row r="776" spans="1:11" ht="12.75" hidden="1" x14ac:dyDescent="0.2">
      <c r="A776" s="16"/>
      <c r="B776" s="16"/>
      <c r="C776" s="15"/>
      <c r="D776" s="16"/>
      <c r="E776" s="17"/>
      <c r="F776" s="17"/>
      <c r="H776" s="19"/>
      <c r="I776" s="47"/>
      <c r="J776" s="48"/>
      <c r="K776" s="49"/>
    </row>
    <row r="777" spans="1:11" ht="12.75" hidden="1" x14ac:dyDescent="0.2">
      <c r="A777" s="16"/>
      <c r="B777" s="16"/>
      <c r="C777" s="15"/>
      <c r="D777" s="16"/>
      <c r="E777" s="17"/>
      <c r="F777" s="17"/>
      <c r="H777" s="19"/>
      <c r="I777" s="47"/>
      <c r="J777" s="48"/>
      <c r="K777" s="49"/>
    </row>
    <row r="778" spans="1:11" ht="12.75" hidden="1" x14ac:dyDescent="0.2">
      <c r="A778" s="16"/>
      <c r="B778" s="16"/>
      <c r="C778" s="15"/>
      <c r="D778" s="16"/>
      <c r="E778" s="17"/>
      <c r="F778" s="17"/>
      <c r="H778" s="19"/>
      <c r="I778" s="47"/>
      <c r="J778" s="48"/>
      <c r="K778" s="49"/>
    </row>
    <row r="779" spans="1:11" ht="12.75" hidden="1" x14ac:dyDescent="0.2">
      <c r="A779" s="16"/>
      <c r="B779" s="16"/>
      <c r="C779" s="15"/>
      <c r="D779" s="16"/>
      <c r="E779" s="17"/>
      <c r="F779" s="17"/>
      <c r="H779" s="19"/>
      <c r="I779" s="47"/>
      <c r="J779" s="48"/>
      <c r="K779" s="49"/>
    </row>
    <row r="780" spans="1:11" ht="12.75" hidden="1" x14ac:dyDescent="0.2">
      <c r="A780" s="16"/>
      <c r="B780" s="16"/>
      <c r="C780" s="15"/>
      <c r="D780" s="16"/>
      <c r="E780" s="17"/>
      <c r="F780" s="17"/>
      <c r="H780" s="19"/>
      <c r="I780" s="47"/>
      <c r="J780" s="48"/>
      <c r="K780" s="49"/>
    </row>
    <row r="781" spans="1:11" ht="12.75" hidden="1" x14ac:dyDescent="0.2">
      <c r="A781" s="16"/>
      <c r="B781" s="16"/>
      <c r="C781" s="15"/>
      <c r="D781" s="16"/>
      <c r="E781" s="17"/>
      <c r="F781" s="17"/>
      <c r="H781" s="19"/>
      <c r="I781" s="47"/>
      <c r="J781" s="48"/>
      <c r="K781" s="49"/>
    </row>
    <row r="782" spans="1:11" ht="12.75" hidden="1" x14ac:dyDescent="0.2">
      <c r="A782" s="16"/>
      <c r="B782" s="16"/>
      <c r="C782" s="15"/>
      <c r="D782" s="16"/>
      <c r="E782" s="17"/>
      <c r="F782" s="17"/>
      <c r="H782" s="19"/>
      <c r="I782" s="47"/>
      <c r="J782" s="48"/>
      <c r="K782" s="49"/>
    </row>
    <row r="783" spans="1:11" ht="12.75" hidden="1" x14ac:dyDescent="0.2">
      <c r="A783" s="16"/>
      <c r="B783" s="16"/>
      <c r="C783" s="15"/>
      <c r="D783" s="16"/>
      <c r="E783" s="17"/>
      <c r="F783" s="17"/>
      <c r="H783" s="19"/>
      <c r="I783" s="47"/>
      <c r="J783" s="48"/>
      <c r="K783" s="49"/>
    </row>
    <row r="784" spans="1:11" ht="12.75" hidden="1" x14ac:dyDescent="0.2">
      <c r="A784" s="16"/>
      <c r="B784" s="16"/>
      <c r="C784" s="15"/>
      <c r="D784" s="16"/>
      <c r="E784" s="17"/>
      <c r="F784" s="17"/>
      <c r="H784" s="19"/>
      <c r="I784" s="47"/>
      <c r="J784" s="48"/>
      <c r="K784" s="49"/>
    </row>
    <row r="785" spans="1:11" ht="12.75" hidden="1" x14ac:dyDescent="0.2">
      <c r="A785" s="16"/>
      <c r="B785" s="16"/>
      <c r="C785" s="15"/>
      <c r="D785" s="16"/>
      <c r="E785" s="17"/>
      <c r="F785" s="17"/>
      <c r="H785" s="19"/>
      <c r="I785" s="47"/>
      <c r="J785" s="48"/>
      <c r="K785" s="49"/>
    </row>
    <row r="786" spans="1:11" ht="12.75" hidden="1" x14ac:dyDescent="0.2">
      <c r="A786" s="16"/>
      <c r="B786" s="16"/>
      <c r="C786" s="15"/>
      <c r="D786" s="16"/>
      <c r="E786" s="17"/>
      <c r="F786" s="17"/>
      <c r="H786" s="19"/>
      <c r="I786" s="47"/>
      <c r="J786" s="48"/>
      <c r="K786" s="49"/>
    </row>
    <row r="787" spans="1:11" ht="12.75" hidden="1" x14ac:dyDescent="0.2">
      <c r="A787" s="16"/>
      <c r="B787" s="16"/>
      <c r="C787" s="15"/>
      <c r="D787" s="16"/>
      <c r="E787" s="17"/>
      <c r="F787" s="17"/>
      <c r="H787" s="19"/>
      <c r="I787" s="47"/>
      <c r="J787" s="48"/>
      <c r="K787" s="49"/>
    </row>
    <row r="788" spans="1:11" ht="12.75" hidden="1" x14ac:dyDescent="0.2">
      <c r="A788" s="16"/>
      <c r="B788" s="16"/>
      <c r="C788" s="15"/>
      <c r="D788" s="16"/>
      <c r="E788" s="17"/>
      <c r="F788" s="17"/>
      <c r="H788" s="19"/>
      <c r="I788" s="47"/>
      <c r="J788" s="48"/>
      <c r="K788" s="49"/>
    </row>
    <row r="789" spans="1:11" ht="12.75" hidden="1" x14ac:dyDescent="0.2">
      <c r="A789" s="16"/>
      <c r="B789" s="16"/>
      <c r="C789" s="15"/>
      <c r="D789" s="16"/>
      <c r="E789" s="17"/>
      <c r="F789" s="17"/>
      <c r="H789" s="19"/>
      <c r="I789" s="47"/>
      <c r="J789" s="48"/>
      <c r="K789" s="49"/>
    </row>
    <row r="790" spans="1:11" ht="12.75" hidden="1" x14ac:dyDescent="0.2">
      <c r="A790" s="16"/>
      <c r="B790" s="16"/>
      <c r="C790" s="15"/>
      <c r="D790" s="16"/>
      <c r="E790" s="17"/>
      <c r="F790" s="17"/>
      <c r="H790" s="19"/>
      <c r="I790" s="47"/>
      <c r="J790" s="48"/>
      <c r="K790" s="49"/>
    </row>
    <row r="791" spans="1:11" ht="12.75" hidden="1" x14ac:dyDescent="0.2">
      <c r="A791" s="16"/>
      <c r="B791" s="16"/>
      <c r="C791" s="15"/>
      <c r="D791" s="16"/>
      <c r="E791" s="17"/>
      <c r="F791" s="17"/>
      <c r="H791" s="19"/>
      <c r="I791" s="47"/>
      <c r="J791" s="48"/>
      <c r="K791" s="49"/>
    </row>
    <row r="792" spans="1:11" ht="12.75" hidden="1" x14ac:dyDescent="0.2">
      <c r="A792" s="16"/>
      <c r="B792" s="16"/>
      <c r="C792" s="15"/>
      <c r="D792" s="16"/>
      <c r="E792" s="17"/>
      <c r="F792" s="17"/>
      <c r="H792" s="19"/>
      <c r="I792" s="47"/>
      <c r="J792" s="48"/>
      <c r="K792" s="49"/>
    </row>
    <row r="793" spans="1:11" ht="12.75" hidden="1" x14ac:dyDescent="0.2">
      <c r="A793" s="16"/>
      <c r="B793" s="16"/>
      <c r="C793" s="15"/>
      <c r="D793" s="16"/>
      <c r="E793" s="17"/>
      <c r="F793" s="17"/>
      <c r="H793" s="19"/>
      <c r="I793" s="47"/>
      <c r="J793" s="48"/>
      <c r="K793" s="49"/>
    </row>
    <row r="794" spans="1:11" ht="12.75" hidden="1" x14ac:dyDescent="0.2">
      <c r="A794" s="16"/>
      <c r="B794" s="16"/>
      <c r="C794" s="15"/>
      <c r="D794" s="16"/>
      <c r="E794" s="17"/>
      <c r="F794" s="17"/>
      <c r="H794" s="19"/>
      <c r="I794" s="47"/>
      <c r="J794" s="48"/>
      <c r="K794" s="49"/>
    </row>
    <row r="795" spans="1:11" ht="12.75" hidden="1" x14ac:dyDescent="0.2">
      <c r="A795" s="16"/>
      <c r="B795" s="16"/>
      <c r="C795" s="15"/>
      <c r="D795" s="16"/>
      <c r="E795" s="17"/>
      <c r="F795" s="17"/>
      <c r="H795" s="19"/>
      <c r="I795" s="47"/>
      <c r="J795" s="48"/>
      <c r="K795" s="49"/>
    </row>
    <row r="796" spans="1:11" ht="12.75" hidden="1" x14ac:dyDescent="0.2">
      <c r="A796" s="16"/>
      <c r="B796" s="16"/>
      <c r="C796" s="15"/>
      <c r="D796" s="16"/>
      <c r="E796" s="17"/>
      <c r="F796" s="17"/>
      <c r="H796" s="19"/>
      <c r="I796" s="47"/>
      <c r="J796" s="48"/>
      <c r="K796" s="49"/>
    </row>
    <row r="797" spans="1:11" ht="12.75" hidden="1" x14ac:dyDescent="0.2">
      <c r="A797" s="16"/>
      <c r="B797" s="16"/>
      <c r="C797" s="15"/>
      <c r="D797" s="16"/>
      <c r="E797" s="17"/>
      <c r="F797" s="17"/>
      <c r="H797" s="19"/>
      <c r="I797" s="47"/>
      <c r="J797" s="48"/>
      <c r="K797" s="49"/>
    </row>
    <row r="798" spans="1:11" ht="12.75" hidden="1" x14ac:dyDescent="0.2">
      <c r="A798" s="16"/>
      <c r="B798" s="16"/>
      <c r="C798" s="15"/>
      <c r="D798" s="16"/>
      <c r="E798" s="17"/>
      <c r="F798" s="17"/>
      <c r="H798" s="19"/>
      <c r="I798" s="47"/>
      <c r="J798" s="48"/>
      <c r="K798" s="49"/>
    </row>
    <row r="799" spans="1:11" ht="12.75" hidden="1" x14ac:dyDescent="0.2">
      <c r="A799" s="16"/>
      <c r="B799" s="16"/>
      <c r="C799" s="15"/>
      <c r="D799" s="16"/>
      <c r="E799" s="17"/>
      <c r="F799" s="17"/>
      <c r="H799" s="19"/>
      <c r="I799" s="47"/>
      <c r="J799" s="48"/>
      <c r="K799" s="49"/>
    </row>
    <row r="800" spans="1:11" ht="12.75" hidden="1" x14ac:dyDescent="0.2">
      <c r="A800" s="16"/>
      <c r="B800" s="16"/>
      <c r="C800" s="15"/>
      <c r="D800" s="16"/>
      <c r="E800" s="17"/>
      <c r="F800" s="17"/>
      <c r="H800" s="19"/>
      <c r="I800" s="47"/>
      <c r="J800" s="48"/>
      <c r="K800" s="49"/>
    </row>
    <row r="801" spans="1:11" ht="12.75" hidden="1" x14ac:dyDescent="0.2">
      <c r="A801" s="16"/>
      <c r="B801" s="16"/>
      <c r="C801" s="15"/>
      <c r="D801" s="16"/>
      <c r="E801" s="17"/>
      <c r="F801" s="17"/>
      <c r="H801" s="19"/>
      <c r="I801" s="47"/>
      <c r="J801" s="48"/>
      <c r="K801" s="49"/>
    </row>
    <row r="802" spans="1:11" ht="12.75" hidden="1" x14ac:dyDescent="0.2">
      <c r="A802" s="16"/>
      <c r="B802" s="16"/>
      <c r="C802" s="15"/>
      <c r="D802" s="16"/>
      <c r="E802" s="17"/>
      <c r="F802" s="17"/>
      <c r="H802" s="19"/>
      <c r="I802" s="47"/>
      <c r="J802" s="48"/>
      <c r="K802" s="49"/>
    </row>
    <row r="803" spans="1:11" ht="12.75" hidden="1" x14ac:dyDescent="0.2">
      <c r="A803" s="16"/>
      <c r="B803" s="16"/>
      <c r="C803" s="15"/>
      <c r="D803" s="16"/>
      <c r="E803" s="17"/>
      <c r="F803" s="17"/>
      <c r="H803" s="19"/>
      <c r="I803" s="47"/>
      <c r="J803" s="48"/>
      <c r="K803" s="49"/>
    </row>
    <row r="804" spans="1:11" ht="12.75" hidden="1" x14ac:dyDescent="0.2">
      <c r="A804" s="16"/>
      <c r="B804" s="16"/>
      <c r="C804" s="15"/>
      <c r="D804" s="16"/>
      <c r="E804" s="17"/>
      <c r="F804" s="17"/>
      <c r="H804" s="19"/>
      <c r="I804" s="47"/>
      <c r="J804" s="48"/>
      <c r="K804" s="49"/>
    </row>
    <row r="805" spans="1:11" ht="12.75" hidden="1" x14ac:dyDescent="0.2">
      <c r="A805" s="16"/>
      <c r="B805" s="16"/>
      <c r="C805" s="15"/>
      <c r="D805" s="16"/>
      <c r="E805" s="17"/>
      <c r="F805" s="17"/>
      <c r="H805" s="19"/>
      <c r="I805" s="47"/>
      <c r="J805" s="48"/>
      <c r="K805" s="49"/>
    </row>
    <row r="806" spans="1:11" ht="12.75" hidden="1" x14ac:dyDescent="0.2">
      <c r="A806" s="16"/>
      <c r="B806" s="16"/>
      <c r="C806" s="15"/>
      <c r="D806" s="16"/>
      <c r="E806" s="17"/>
      <c r="F806" s="17"/>
      <c r="H806" s="19"/>
      <c r="I806" s="47"/>
      <c r="J806" s="48"/>
      <c r="K806" s="49"/>
    </row>
    <row r="807" spans="1:11" ht="12.75" hidden="1" x14ac:dyDescent="0.2">
      <c r="A807" s="16"/>
      <c r="B807" s="16"/>
      <c r="C807" s="15"/>
      <c r="D807" s="16"/>
      <c r="E807" s="17"/>
      <c r="F807" s="17"/>
      <c r="H807" s="19"/>
      <c r="I807" s="47"/>
      <c r="J807" s="48"/>
      <c r="K807" s="49"/>
    </row>
    <row r="808" spans="1:11" ht="12.75" hidden="1" x14ac:dyDescent="0.2">
      <c r="A808" s="16"/>
      <c r="B808" s="16"/>
      <c r="C808" s="15"/>
      <c r="D808" s="16"/>
      <c r="E808" s="17"/>
      <c r="F808" s="17"/>
      <c r="H808" s="19"/>
      <c r="I808" s="47"/>
      <c r="J808" s="48"/>
      <c r="K808" s="49"/>
    </row>
    <row r="809" spans="1:11" ht="12.75" hidden="1" x14ac:dyDescent="0.2">
      <c r="A809" s="16"/>
      <c r="B809" s="16"/>
      <c r="C809" s="15"/>
      <c r="D809" s="16"/>
      <c r="E809" s="17"/>
      <c r="F809" s="17"/>
      <c r="H809" s="19"/>
      <c r="I809" s="47"/>
      <c r="J809" s="48"/>
      <c r="K809" s="49"/>
    </row>
    <row r="810" spans="1:11" ht="12.75" hidden="1" x14ac:dyDescent="0.2">
      <c r="A810" s="16"/>
      <c r="B810" s="16"/>
      <c r="C810" s="15"/>
      <c r="D810" s="16"/>
      <c r="E810" s="17"/>
      <c r="F810" s="17"/>
      <c r="H810" s="19"/>
      <c r="I810" s="47"/>
      <c r="J810" s="48"/>
      <c r="K810" s="49"/>
    </row>
    <row r="811" spans="1:11" ht="12.75" hidden="1" x14ac:dyDescent="0.2">
      <c r="A811" s="16"/>
      <c r="B811" s="16"/>
      <c r="C811" s="15"/>
      <c r="D811" s="16"/>
      <c r="E811" s="17"/>
      <c r="F811" s="17"/>
      <c r="H811" s="19"/>
      <c r="I811" s="47"/>
      <c r="J811" s="48"/>
      <c r="K811" s="49"/>
    </row>
    <row r="812" spans="1:11" ht="12.75" hidden="1" x14ac:dyDescent="0.2">
      <c r="A812" s="16"/>
      <c r="B812" s="16"/>
      <c r="C812" s="15"/>
      <c r="D812" s="16"/>
      <c r="E812" s="17"/>
      <c r="F812" s="17"/>
      <c r="H812" s="19"/>
      <c r="I812" s="47"/>
      <c r="J812" s="48"/>
      <c r="K812" s="49"/>
    </row>
    <row r="813" spans="1:11" ht="12.75" hidden="1" x14ac:dyDescent="0.2">
      <c r="A813" s="16"/>
      <c r="B813" s="16"/>
      <c r="C813" s="15"/>
      <c r="D813" s="16"/>
      <c r="E813" s="17"/>
      <c r="F813" s="17"/>
      <c r="H813" s="19"/>
      <c r="I813" s="47"/>
      <c r="J813" s="48"/>
      <c r="K813" s="49"/>
    </row>
    <row r="814" spans="1:11" ht="12.75" hidden="1" x14ac:dyDescent="0.2">
      <c r="A814" s="16"/>
      <c r="B814" s="16"/>
      <c r="C814" s="15"/>
      <c r="D814" s="16"/>
      <c r="E814" s="17"/>
      <c r="F814" s="17"/>
      <c r="H814" s="19"/>
      <c r="I814" s="47"/>
      <c r="J814" s="48"/>
      <c r="K814" s="49"/>
    </row>
    <row r="815" spans="1:11" ht="12.75" hidden="1" x14ac:dyDescent="0.2">
      <c r="A815" s="16"/>
      <c r="B815" s="16"/>
      <c r="C815" s="15"/>
      <c r="D815" s="16"/>
      <c r="E815" s="17"/>
      <c r="F815" s="17"/>
      <c r="H815" s="19"/>
      <c r="I815" s="47"/>
      <c r="J815" s="48"/>
      <c r="K815" s="49"/>
    </row>
    <row r="816" spans="1:11" ht="12.75" hidden="1" x14ac:dyDescent="0.2">
      <c r="A816" s="16"/>
      <c r="B816" s="16"/>
      <c r="C816" s="15"/>
      <c r="D816" s="16"/>
      <c r="E816" s="17"/>
      <c r="F816" s="17"/>
      <c r="H816" s="19"/>
      <c r="I816" s="47"/>
      <c r="J816" s="48"/>
      <c r="K816" s="49"/>
    </row>
    <row r="817" spans="1:11" ht="12.75" hidden="1" x14ac:dyDescent="0.2">
      <c r="A817" s="16"/>
      <c r="B817" s="16"/>
      <c r="C817" s="15"/>
      <c r="D817" s="16"/>
      <c r="E817" s="17"/>
      <c r="F817" s="17"/>
      <c r="H817" s="19"/>
      <c r="I817" s="47"/>
      <c r="J817" s="48"/>
      <c r="K817" s="49"/>
    </row>
    <row r="818" spans="1:11" ht="12.75" hidden="1" x14ac:dyDescent="0.2">
      <c r="A818" s="16"/>
      <c r="B818" s="16"/>
      <c r="C818" s="15"/>
      <c r="D818" s="16"/>
      <c r="E818" s="17"/>
      <c r="F818" s="17"/>
      <c r="H818" s="19"/>
      <c r="I818" s="47"/>
      <c r="J818" s="48"/>
      <c r="K818" s="49"/>
    </row>
    <row r="819" spans="1:11" ht="12.75" hidden="1" x14ac:dyDescent="0.2">
      <c r="A819" s="16"/>
      <c r="B819" s="16"/>
      <c r="C819" s="15"/>
      <c r="D819" s="16"/>
      <c r="E819" s="17"/>
      <c r="F819" s="17"/>
      <c r="H819" s="19"/>
      <c r="I819" s="47"/>
      <c r="J819" s="48"/>
      <c r="K819" s="49"/>
    </row>
    <row r="820" spans="1:11" ht="12.75" hidden="1" x14ac:dyDescent="0.2">
      <c r="A820" s="16"/>
      <c r="B820" s="16"/>
      <c r="C820" s="15"/>
      <c r="D820" s="16"/>
      <c r="E820" s="17"/>
      <c r="F820" s="17"/>
      <c r="H820" s="19"/>
      <c r="I820" s="47"/>
      <c r="J820" s="48"/>
      <c r="K820" s="49"/>
    </row>
    <row r="821" spans="1:11" ht="12.75" hidden="1" x14ac:dyDescent="0.2">
      <c r="A821" s="16"/>
      <c r="B821" s="16"/>
      <c r="C821" s="15"/>
      <c r="D821" s="16"/>
      <c r="E821" s="17"/>
      <c r="F821" s="17"/>
      <c r="H821" s="19"/>
      <c r="I821" s="47"/>
      <c r="J821" s="48"/>
      <c r="K821" s="49"/>
    </row>
    <row r="822" spans="1:11" ht="12.75" hidden="1" x14ac:dyDescent="0.2">
      <c r="A822" s="16"/>
      <c r="B822" s="16"/>
      <c r="C822" s="15"/>
      <c r="D822" s="16"/>
      <c r="E822" s="17"/>
      <c r="F822" s="17"/>
      <c r="H822" s="19"/>
      <c r="I822" s="47"/>
      <c r="J822" s="48"/>
      <c r="K822" s="49"/>
    </row>
    <row r="823" spans="1:11" ht="12.75" hidden="1" x14ac:dyDescent="0.2">
      <c r="A823" s="16"/>
      <c r="B823" s="16"/>
      <c r="C823" s="15"/>
      <c r="D823" s="16"/>
      <c r="E823" s="17"/>
      <c r="F823" s="17"/>
      <c r="H823" s="19"/>
      <c r="I823" s="47"/>
      <c r="J823" s="48"/>
      <c r="K823" s="49"/>
    </row>
    <row r="824" spans="1:11" ht="12.75" hidden="1" x14ac:dyDescent="0.2">
      <c r="A824" s="16"/>
      <c r="B824" s="16"/>
      <c r="C824" s="15"/>
      <c r="D824" s="16"/>
      <c r="E824" s="17"/>
      <c r="F824" s="17"/>
      <c r="H824" s="19"/>
      <c r="I824" s="47"/>
      <c r="J824" s="48"/>
      <c r="K824" s="49"/>
    </row>
    <row r="825" spans="1:11" ht="12.75" hidden="1" x14ac:dyDescent="0.2">
      <c r="A825" s="16"/>
      <c r="B825" s="16"/>
      <c r="C825" s="15"/>
      <c r="D825" s="16"/>
      <c r="E825" s="17"/>
      <c r="F825" s="17"/>
      <c r="H825" s="19"/>
      <c r="I825" s="47"/>
      <c r="J825" s="48"/>
      <c r="K825" s="49"/>
    </row>
    <row r="826" spans="1:11" ht="12.75" hidden="1" x14ac:dyDescent="0.2">
      <c r="A826" s="16"/>
      <c r="B826" s="16"/>
      <c r="C826" s="15"/>
      <c r="D826" s="16"/>
      <c r="E826" s="17"/>
      <c r="F826" s="17"/>
      <c r="H826" s="19"/>
      <c r="I826" s="47"/>
      <c r="J826" s="48"/>
      <c r="K826" s="49"/>
    </row>
    <row r="827" spans="1:11" ht="12.75" hidden="1" x14ac:dyDescent="0.2">
      <c r="A827" s="16"/>
      <c r="B827" s="16"/>
      <c r="C827" s="15"/>
      <c r="D827" s="16"/>
      <c r="E827" s="17"/>
      <c r="F827" s="17"/>
      <c r="H827" s="19"/>
      <c r="I827" s="47"/>
      <c r="J827" s="48"/>
      <c r="K827" s="49"/>
    </row>
    <row r="828" spans="1:11" ht="12.75" hidden="1" x14ac:dyDescent="0.2">
      <c r="A828" s="16"/>
      <c r="B828" s="16"/>
      <c r="C828" s="15"/>
      <c r="D828" s="16"/>
      <c r="E828" s="17"/>
      <c r="F828" s="17"/>
      <c r="H828" s="19"/>
      <c r="I828" s="47"/>
      <c r="J828" s="48"/>
      <c r="K828" s="49"/>
    </row>
    <row r="829" spans="1:11" ht="12.75" hidden="1" x14ac:dyDescent="0.2">
      <c r="A829" s="16"/>
      <c r="B829" s="16"/>
      <c r="C829" s="15"/>
      <c r="D829" s="16"/>
      <c r="E829" s="17"/>
      <c r="F829" s="17"/>
      <c r="H829" s="19"/>
      <c r="I829" s="47"/>
      <c r="J829" s="48"/>
      <c r="K829" s="49"/>
    </row>
    <row r="830" spans="1:11" ht="12.75" hidden="1" x14ac:dyDescent="0.2">
      <c r="A830" s="16"/>
      <c r="B830" s="16"/>
      <c r="C830" s="15"/>
      <c r="D830" s="16"/>
      <c r="E830" s="17"/>
      <c r="F830" s="17"/>
      <c r="H830" s="19"/>
      <c r="I830" s="47"/>
      <c r="J830" s="48"/>
      <c r="K830" s="49"/>
    </row>
    <row r="831" spans="1:11" ht="12.75" hidden="1" x14ac:dyDescent="0.2">
      <c r="A831" s="16"/>
      <c r="B831" s="16"/>
      <c r="C831" s="15"/>
      <c r="D831" s="16"/>
      <c r="E831" s="17"/>
      <c r="F831" s="17"/>
      <c r="H831" s="19"/>
      <c r="I831" s="47"/>
      <c r="J831" s="48"/>
      <c r="K831" s="49"/>
    </row>
    <row r="832" spans="1:11" ht="12.75" hidden="1" x14ac:dyDescent="0.2">
      <c r="A832" s="16"/>
      <c r="B832" s="16"/>
      <c r="C832" s="15"/>
      <c r="D832" s="16"/>
      <c r="E832" s="17"/>
      <c r="F832" s="17"/>
      <c r="H832" s="19"/>
      <c r="I832" s="47"/>
      <c r="J832" s="48"/>
      <c r="K832" s="49"/>
    </row>
    <row r="833" spans="1:11" ht="12.75" hidden="1" x14ac:dyDescent="0.2">
      <c r="A833" s="16"/>
      <c r="B833" s="16"/>
      <c r="C833" s="15"/>
      <c r="D833" s="16"/>
      <c r="E833" s="17"/>
      <c r="F833" s="17"/>
      <c r="H833" s="19"/>
      <c r="I833" s="47"/>
      <c r="J833" s="48"/>
      <c r="K833" s="49"/>
    </row>
    <row r="834" spans="1:11" ht="12.75" hidden="1" x14ac:dyDescent="0.2">
      <c r="A834" s="16"/>
      <c r="B834" s="16"/>
      <c r="C834" s="15"/>
      <c r="D834" s="16"/>
      <c r="E834" s="17"/>
      <c r="F834" s="17"/>
      <c r="H834" s="19"/>
      <c r="I834" s="47"/>
      <c r="J834" s="48"/>
      <c r="K834" s="49"/>
    </row>
    <row r="835" spans="1:11" ht="12.75" hidden="1" x14ac:dyDescent="0.2">
      <c r="A835" s="16"/>
      <c r="B835" s="16"/>
      <c r="C835" s="15"/>
      <c r="D835" s="16"/>
      <c r="E835" s="17"/>
      <c r="F835" s="17"/>
      <c r="H835" s="19"/>
      <c r="I835" s="47"/>
      <c r="J835" s="48"/>
      <c r="K835" s="49"/>
    </row>
    <row r="836" spans="1:11" ht="12.75" hidden="1" x14ac:dyDescent="0.2">
      <c r="A836" s="16"/>
      <c r="B836" s="16"/>
      <c r="C836" s="15"/>
      <c r="D836" s="16"/>
      <c r="E836" s="17"/>
      <c r="F836" s="17"/>
      <c r="H836" s="19"/>
      <c r="I836" s="47"/>
      <c r="J836" s="48"/>
      <c r="K836" s="49"/>
    </row>
    <row r="837" spans="1:11" ht="12.75" hidden="1" x14ac:dyDescent="0.2">
      <c r="A837" s="16"/>
      <c r="B837" s="16"/>
      <c r="C837" s="15"/>
      <c r="D837" s="16"/>
      <c r="E837" s="17"/>
      <c r="F837" s="17"/>
      <c r="H837" s="19"/>
      <c r="I837" s="47"/>
      <c r="J837" s="48"/>
      <c r="K837" s="49"/>
    </row>
    <row r="838" spans="1:11" ht="12.75" hidden="1" x14ac:dyDescent="0.2">
      <c r="A838" s="16"/>
      <c r="B838" s="16"/>
      <c r="C838" s="15"/>
      <c r="D838" s="16"/>
      <c r="E838" s="17"/>
      <c r="F838" s="17"/>
      <c r="H838" s="19"/>
      <c r="I838" s="47"/>
      <c r="J838" s="48"/>
      <c r="K838" s="49"/>
    </row>
    <row r="839" spans="1:11" ht="12.75" hidden="1" x14ac:dyDescent="0.2">
      <c r="A839" s="16"/>
      <c r="B839" s="16"/>
      <c r="C839" s="15"/>
      <c r="D839" s="16"/>
      <c r="E839" s="17"/>
      <c r="F839" s="17"/>
      <c r="H839" s="19"/>
      <c r="I839" s="47"/>
      <c r="J839" s="48"/>
      <c r="K839" s="49"/>
    </row>
    <row r="840" spans="1:11" ht="12.75" hidden="1" x14ac:dyDescent="0.2">
      <c r="A840" s="16"/>
      <c r="B840" s="16"/>
      <c r="C840" s="15"/>
      <c r="D840" s="16"/>
      <c r="E840" s="17"/>
      <c r="F840" s="17"/>
      <c r="H840" s="19"/>
      <c r="I840" s="47"/>
      <c r="J840" s="48"/>
      <c r="K840" s="49"/>
    </row>
    <row r="841" spans="1:11" ht="12.75" hidden="1" x14ac:dyDescent="0.2">
      <c r="A841" s="16"/>
      <c r="B841" s="16"/>
      <c r="C841" s="15"/>
      <c r="D841" s="16"/>
      <c r="E841" s="17"/>
      <c r="F841" s="17"/>
      <c r="H841" s="19"/>
      <c r="I841" s="47"/>
      <c r="J841" s="48"/>
      <c r="K841" s="49"/>
    </row>
    <row r="842" spans="1:11" ht="12.75" hidden="1" x14ac:dyDescent="0.2">
      <c r="A842" s="16"/>
      <c r="B842" s="16"/>
      <c r="C842" s="15"/>
      <c r="D842" s="16"/>
      <c r="E842" s="17"/>
      <c r="F842" s="17"/>
      <c r="H842" s="19"/>
      <c r="I842" s="47"/>
      <c r="J842" s="48"/>
      <c r="K842" s="49"/>
    </row>
    <row r="843" spans="1:11" ht="12.75" hidden="1" x14ac:dyDescent="0.2">
      <c r="A843" s="16"/>
      <c r="B843" s="16"/>
      <c r="C843" s="15"/>
      <c r="D843" s="16"/>
      <c r="E843" s="17"/>
      <c r="F843" s="17"/>
      <c r="H843" s="19"/>
      <c r="I843" s="47"/>
      <c r="J843" s="48"/>
      <c r="K843" s="49"/>
    </row>
    <row r="844" spans="1:11" ht="12.75" hidden="1" x14ac:dyDescent="0.2">
      <c r="A844" s="16"/>
      <c r="B844" s="16"/>
      <c r="C844" s="15"/>
      <c r="D844" s="16"/>
      <c r="E844" s="17"/>
      <c r="F844" s="17"/>
      <c r="H844" s="19"/>
      <c r="I844" s="47"/>
      <c r="J844" s="48"/>
      <c r="K844" s="49"/>
    </row>
    <row r="845" spans="1:11" ht="12.75" hidden="1" x14ac:dyDescent="0.2">
      <c r="A845" s="16"/>
      <c r="B845" s="16"/>
      <c r="C845" s="15"/>
      <c r="D845" s="16"/>
      <c r="E845" s="17"/>
      <c r="F845" s="17"/>
      <c r="H845" s="19"/>
      <c r="I845" s="47"/>
      <c r="J845" s="48"/>
      <c r="K845" s="49"/>
    </row>
    <row r="846" spans="1:11" ht="12.75" hidden="1" x14ac:dyDescent="0.2">
      <c r="A846" s="16"/>
      <c r="B846" s="16"/>
      <c r="C846" s="15"/>
      <c r="D846" s="16"/>
      <c r="E846" s="17"/>
      <c r="F846" s="17"/>
      <c r="H846" s="19"/>
      <c r="I846" s="47"/>
      <c r="J846" s="48"/>
      <c r="K846" s="49"/>
    </row>
    <row r="847" spans="1:11" ht="12.75" hidden="1" x14ac:dyDescent="0.2">
      <c r="A847" s="16"/>
      <c r="B847" s="16"/>
      <c r="C847" s="15"/>
      <c r="D847" s="16"/>
      <c r="E847" s="17"/>
      <c r="F847" s="17"/>
      <c r="H847" s="19"/>
      <c r="I847" s="47"/>
      <c r="J847" s="48"/>
      <c r="K847" s="49"/>
    </row>
    <row r="848" spans="1:11" ht="12.75" hidden="1" x14ac:dyDescent="0.2">
      <c r="A848" s="16"/>
      <c r="B848" s="16"/>
      <c r="C848" s="15"/>
      <c r="D848" s="16"/>
      <c r="E848" s="17"/>
      <c r="F848" s="17"/>
      <c r="H848" s="19"/>
      <c r="I848" s="47"/>
      <c r="J848" s="48"/>
      <c r="K848" s="49"/>
    </row>
    <row r="849" spans="1:11" ht="12.75" hidden="1" x14ac:dyDescent="0.2">
      <c r="A849" s="16"/>
      <c r="B849" s="16"/>
      <c r="C849" s="15"/>
      <c r="D849" s="16"/>
      <c r="E849" s="17"/>
      <c r="F849" s="17"/>
      <c r="H849" s="19"/>
      <c r="I849" s="47"/>
      <c r="J849" s="48"/>
      <c r="K849" s="49"/>
    </row>
    <row r="850" spans="1:11" ht="12.75" hidden="1" x14ac:dyDescent="0.2">
      <c r="A850" s="16"/>
      <c r="B850" s="16"/>
      <c r="C850" s="15"/>
      <c r="D850" s="16"/>
      <c r="E850" s="17"/>
      <c r="F850" s="17"/>
      <c r="H850" s="19"/>
      <c r="I850" s="47"/>
      <c r="J850" s="48"/>
      <c r="K850" s="49"/>
    </row>
    <row r="851" spans="1:11" ht="12.75" hidden="1" x14ac:dyDescent="0.2">
      <c r="A851" s="16"/>
      <c r="B851" s="16"/>
      <c r="C851" s="15"/>
      <c r="D851" s="16"/>
      <c r="E851" s="17"/>
      <c r="F851" s="17"/>
      <c r="H851" s="19"/>
      <c r="I851" s="47"/>
      <c r="J851" s="48"/>
      <c r="K851" s="49"/>
    </row>
    <row r="852" spans="1:11" ht="12.75" hidden="1" x14ac:dyDescent="0.2">
      <c r="A852" s="16"/>
      <c r="B852" s="16"/>
      <c r="C852" s="15"/>
      <c r="D852" s="16"/>
      <c r="E852" s="17"/>
      <c r="F852" s="17"/>
      <c r="H852" s="19"/>
      <c r="I852" s="47"/>
      <c r="J852" s="48"/>
      <c r="K852" s="49"/>
    </row>
    <row r="853" spans="1:11" ht="12.75" hidden="1" x14ac:dyDescent="0.2">
      <c r="A853" s="16"/>
      <c r="B853" s="16"/>
      <c r="C853" s="15"/>
      <c r="D853" s="16"/>
      <c r="E853" s="17"/>
      <c r="F853" s="17"/>
      <c r="H853" s="50"/>
      <c r="I853" s="51"/>
      <c r="J853" s="52"/>
      <c r="K853" s="53"/>
    </row>
  </sheetData>
  <autoFilter ref="A6:I215" xr:uid="{00000000-0009-0000-0000-00000D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6:C853">
    <cfRule type="cellIs" dxfId="5" priority="4" operator="lessThan">
      <formula>"92%"</formula>
    </cfRule>
  </conditionalFormatting>
  <conditionalFormatting sqref="C7:C215">
    <cfRule type="cellIs" dxfId="4" priority="1" operator="lessThan">
      <formula>"90%"</formula>
    </cfRule>
    <cfRule type="cellIs" dxfId="3" priority="2" operator="lessThan">
      <formula>"94%"</formula>
    </cfRule>
  </conditionalFormatting>
  <conditionalFormatting sqref="K1:K853">
    <cfRule type="cellIs" dxfId="2" priority="3" operator="lessThan">
      <formula>0</formula>
    </cfRule>
  </conditionalFormatting>
  <dataValidations count="1">
    <dataValidation type="list" allowBlank="1" sqref="E7:E215" xr:uid="{00000000-0002-0000-0D00-000000000000}">
      <formula1>"Weather,Health,Safety,Other"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73763"/>
    <outlinePr summaryBelow="0" summaryRight="0"/>
    <pageSetUpPr fitToPage="1"/>
  </sheetPr>
  <dimension ref="A1:K212"/>
  <sheetViews>
    <sheetView workbookViewId="0"/>
  </sheetViews>
  <sheetFormatPr defaultColWidth="12.5703125" defaultRowHeight="15.75" customHeight="1" x14ac:dyDescent="0.2"/>
  <cols>
    <col min="1" max="1" width="21.85546875" customWidth="1"/>
    <col min="2" max="2" width="14.5703125" customWidth="1"/>
    <col min="3" max="3" width="8.7109375" customWidth="1"/>
    <col min="4" max="4" width="11.42578125" customWidth="1"/>
    <col min="5" max="5" width="1.85546875" customWidth="1"/>
    <col min="6" max="6" width="14.28515625" customWidth="1"/>
    <col min="7" max="7" width="10.42578125" customWidth="1"/>
    <col min="8" max="8" width="19.42578125" customWidth="1"/>
    <col min="9" max="9" width="13.42578125" customWidth="1"/>
    <col min="10" max="10" width="12.42578125" customWidth="1"/>
    <col min="11" max="11" width="39.5703125" customWidth="1"/>
  </cols>
  <sheetData>
    <row r="1" spans="1:11" ht="15.75" customHeight="1" x14ac:dyDescent="0.35">
      <c r="A1" s="73" t="s">
        <v>276</v>
      </c>
      <c r="B1" s="136" t="s">
        <v>2</v>
      </c>
      <c r="C1" s="120"/>
      <c r="D1" s="120"/>
      <c r="E1" s="74"/>
      <c r="F1" s="75"/>
      <c r="G1" s="76"/>
      <c r="H1" s="76"/>
      <c r="I1" s="77"/>
      <c r="J1" s="77"/>
      <c r="K1" s="78"/>
    </row>
    <row r="2" spans="1:11" ht="15.75" customHeight="1" x14ac:dyDescent="0.3">
      <c r="A2" s="137" t="s">
        <v>277</v>
      </c>
      <c r="B2" s="119"/>
      <c r="C2" s="119"/>
      <c r="D2" s="119"/>
      <c r="E2" s="79"/>
      <c r="F2" s="138" t="s">
        <v>278</v>
      </c>
      <c r="G2" s="119"/>
      <c r="H2" s="119"/>
      <c r="I2" s="119"/>
      <c r="J2" s="119"/>
      <c r="K2" s="124"/>
    </row>
    <row r="3" spans="1:11" ht="36" x14ac:dyDescent="0.2">
      <c r="A3" s="80" t="s">
        <v>12</v>
      </c>
      <c r="B3" s="81" t="s">
        <v>279</v>
      </c>
      <c r="C3" s="82" t="s">
        <v>280</v>
      </c>
      <c r="D3" s="83" t="s">
        <v>281</v>
      </c>
      <c r="E3" s="84"/>
      <c r="F3" s="85" t="s">
        <v>282</v>
      </c>
      <c r="G3" s="86" t="s">
        <v>283</v>
      </c>
      <c r="H3" s="87" t="s">
        <v>284</v>
      </c>
      <c r="I3" s="87" t="s">
        <v>285</v>
      </c>
      <c r="J3" s="86" t="s">
        <v>286</v>
      </c>
      <c r="K3" s="88" t="s">
        <v>287</v>
      </c>
    </row>
    <row r="4" spans="1:11" ht="15.75" customHeight="1" x14ac:dyDescent="0.25">
      <c r="A4" s="89">
        <v>45516</v>
      </c>
      <c r="B4" s="90">
        <v>0</v>
      </c>
      <c r="C4" s="91">
        <v>60</v>
      </c>
      <c r="D4" s="92">
        <f t="shared" ref="D4:D212" si="0">SUM(B4:C4)</f>
        <v>60</v>
      </c>
      <c r="E4" s="93"/>
      <c r="F4" s="94" t="s">
        <v>288</v>
      </c>
      <c r="G4" s="95" t="s">
        <v>289</v>
      </c>
      <c r="H4" s="96">
        <v>51</v>
      </c>
      <c r="I4" s="16">
        <v>70</v>
      </c>
      <c r="J4" s="15">
        <f t="shared" ref="J4:J40" si="1">H4/I4</f>
        <v>0.72857142857142854</v>
      </c>
      <c r="K4" s="97"/>
    </row>
    <row r="5" spans="1:11" ht="15.75" customHeight="1" x14ac:dyDescent="0.25">
      <c r="A5" s="89">
        <v>45517</v>
      </c>
      <c r="B5" s="90">
        <v>1</v>
      </c>
      <c r="C5" s="91">
        <v>64</v>
      </c>
      <c r="D5" s="92">
        <f t="shared" si="0"/>
        <v>65</v>
      </c>
      <c r="E5" s="93"/>
      <c r="F5" s="94" t="s">
        <v>290</v>
      </c>
      <c r="G5" s="95" t="s">
        <v>291</v>
      </c>
      <c r="H5" s="96">
        <v>35</v>
      </c>
      <c r="I5" s="16">
        <v>81</v>
      </c>
      <c r="J5" s="15">
        <f t="shared" si="1"/>
        <v>0.43209876543209874</v>
      </c>
      <c r="K5" s="97"/>
    </row>
    <row r="6" spans="1:11" ht="15.75" customHeight="1" x14ac:dyDescent="0.25">
      <c r="A6" s="89">
        <v>45518</v>
      </c>
      <c r="B6" s="90">
        <v>1</v>
      </c>
      <c r="C6" s="91">
        <v>66</v>
      </c>
      <c r="D6" s="92">
        <f t="shared" si="0"/>
        <v>67</v>
      </c>
      <c r="E6" s="93"/>
      <c r="F6" s="94" t="s">
        <v>292</v>
      </c>
      <c r="G6" s="95" t="s">
        <v>293</v>
      </c>
      <c r="H6" s="96">
        <v>52</v>
      </c>
      <c r="I6" s="16">
        <v>82</v>
      </c>
      <c r="J6" s="15">
        <f t="shared" si="1"/>
        <v>0.63414634146341464</v>
      </c>
      <c r="K6" s="97"/>
    </row>
    <row r="7" spans="1:11" ht="15.75" customHeight="1" x14ac:dyDescent="0.25">
      <c r="A7" s="89">
        <v>45519</v>
      </c>
      <c r="B7" s="90">
        <v>1</v>
      </c>
      <c r="C7" s="91">
        <v>69</v>
      </c>
      <c r="D7" s="92">
        <f t="shared" si="0"/>
        <v>70</v>
      </c>
      <c r="E7" s="93"/>
      <c r="F7" s="94" t="s">
        <v>294</v>
      </c>
      <c r="G7" s="95" t="s">
        <v>295</v>
      </c>
      <c r="H7" s="96">
        <v>25</v>
      </c>
      <c r="I7" s="16">
        <v>81</v>
      </c>
      <c r="J7" s="15">
        <f t="shared" si="1"/>
        <v>0.30864197530864196</v>
      </c>
      <c r="K7" s="97"/>
    </row>
    <row r="8" spans="1:11" ht="15.75" customHeight="1" x14ac:dyDescent="0.25">
      <c r="A8" s="89">
        <v>45520</v>
      </c>
      <c r="B8" s="90">
        <v>1</v>
      </c>
      <c r="C8" s="91">
        <v>70</v>
      </c>
      <c r="D8" s="92">
        <f t="shared" si="0"/>
        <v>71</v>
      </c>
      <c r="E8" s="93"/>
      <c r="F8" s="94" t="s">
        <v>296</v>
      </c>
      <c r="G8" s="95" t="s">
        <v>297</v>
      </c>
      <c r="H8" s="96">
        <v>23</v>
      </c>
      <c r="I8" s="16">
        <v>86</v>
      </c>
      <c r="J8" s="15">
        <f t="shared" si="1"/>
        <v>0.26744186046511625</v>
      </c>
      <c r="K8" s="97"/>
    </row>
    <row r="9" spans="1:11" ht="15.75" customHeight="1" x14ac:dyDescent="0.25">
      <c r="A9" s="89">
        <v>45523</v>
      </c>
      <c r="B9" s="90">
        <v>1</v>
      </c>
      <c r="C9" s="91">
        <v>75</v>
      </c>
      <c r="D9" s="92">
        <f t="shared" si="0"/>
        <v>76</v>
      </c>
      <c r="E9" s="93"/>
      <c r="F9" s="94" t="s">
        <v>298</v>
      </c>
      <c r="G9" s="95" t="s">
        <v>299</v>
      </c>
      <c r="H9" s="96">
        <v>25</v>
      </c>
      <c r="I9" s="16">
        <v>87</v>
      </c>
      <c r="J9" s="15">
        <f t="shared" si="1"/>
        <v>0.28735632183908044</v>
      </c>
      <c r="K9" s="97"/>
    </row>
    <row r="10" spans="1:11" ht="15.75" customHeight="1" x14ac:dyDescent="0.25">
      <c r="A10" s="89">
        <v>45524</v>
      </c>
      <c r="B10" s="90">
        <v>1</v>
      </c>
      <c r="C10" s="91">
        <v>76</v>
      </c>
      <c r="D10" s="92">
        <f t="shared" si="0"/>
        <v>77</v>
      </c>
      <c r="E10" s="93"/>
      <c r="F10" s="94" t="s">
        <v>300</v>
      </c>
      <c r="G10" s="95" t="s">
        <v>301</v>
      </c>
      <c r="H10" s="96">
        <v>52</v>
      </c>
      <c r="I10" s="16">
        <v>89</v>
      </c>
      <c r="J10" s="15">
        <f t="shared" si="1"/>
        <v>0.5842696629213483</v>
      </c>
      <c r="K10" s="97"/>
    </row>
    <row r="11" spans="1:11" ht="15.75" customHeight="1" x14ac:dyDescent="0.25">
      <c r="A11" s="89">
        <v>45525</v>
      </c>
      <c r="B11" s="90">
        <v>15</v>
      </c>
      <c r="C11" s="91">
        <v>82</v>
      </c>
      <c r="D11" s="92">
        <f t="shared" si="0"/>
        <v>97</v>
      </c>
      <c r="E11" s="93"/>
      <c r="F11" s="94" t="s">
        <v>302</v>
      </c>
      <c r="G11" s="95" t="s">
        <v>303</v>
      </c>
      <c r="H11" s="96">
        <v>43</v>
      </c>
      <c r="I11" s="16">
        <v>84</v>
      </c>
      <c r="J11" s="15">
        <f t="shared" si="1"/>
        <v>0.51190476190476186</v>
      </c>
      <c r="K11" s="97"/>
    </row>
    <row r="12" spans="1:11" ht="15.75" customHeight="1" x14ac:dyDescent="0.25">
      <c r="A12" s="89">
        <v>45526</v>
      </c>
      <c r="B12" s="90">
        <v>15</v>
      </c>
      <c r="C12" s="91">
        <v>82</v>
      </c>
      <c r="D12" s="92">
        <f t="shared" si="0"/>
        <v>97</v>
      </c>
      <c r="E12" s="93"/>
      <c r="F12" s="94" t="s">
        <v>304</v>
      </c>
      <c r="G12" s="95" t="s">
        <v>305</v>
      </c>
      <c r="H12" s="96">
        <v>47</v>
      </c>
      <c r="I12" s="16">
        <v>85</v>
      </c>
      <c r="J12" s="15">
        <f t="shared" si="1"/>
        <v>0.55294117647058827</v>
      </c>
      <c r="K12" s="97"/>
    </row>
    <row r="13" spans="1:11" ht="15.75" customHeight="1" x14ac:dyDescent="0.25">
      <c r="A13" s="89">
        <v>45527</v>
      </c>
      <c r="B13" s="90">
        <v>15</v>
      </c>
      <c r="C13" s="91">
        <v>81</v>
      </c>
      <c r="D13" s="92">
        <f t="shared" si="0"/>
        <v>96</v>
      </c>
      <c r="E13" s="93"/>
      <c r="F13" s="94" t="s">
        <v>306</v>
      </c>
      <c r="G13" s="95" t="s">
        <v>307</v>
      </c>
      <c r="H13" s="96">
        <v>48</v>
      </c>
      <c r="I13" s="16">
        <v>85</v>
      </c>
      <c r="J13" s="15">
        <f t="shared" si="1"/>
        <v>0.56470588235294117</v>
      </c>
      <c r="K13" s="97"/>
    </row>
    <row r="14" spans="1:11" ht="15.75" customHeight="1" x14ac:dyDescent="0.25">
      <c r="A14" s="89">
        <v>45530</v>
      </c>
      <c r="B14" s="90">
        <v>15</v>
      </c>
      <c r="C14" s="91">
        <v>82</v>
      </c>
      <c r="D14" s="92">
        <f t="shared" si="0"/>
        <v>97</v>
      </c>
      <c r="E14" s="93"/>
      <c r="F14" s="94" t="s">
        <v>308</v>
      </c>
      <c r="G14" s="95" t="s">
        <v>309</v>
      </c>
      <c r="H14" s="96">
        <v>49</v>
      </c>
      <c r="I14" s="16">
        <v>84</v>
      </c>
      <c r="J14" s="15">
        <f t="shared" si="1"/>
        <v>0.58333333333333337</v>
      </c>
      <c r="K14" s="97"/>
    </row>
    <row r="15" spans="1:11" ht="15.75" customHeight="1" x14ac:dyDescent="0.25">
      <c r="A15" s="89">
        <v>45531</v>
      </c>
      <c r="B15" s="90">
        <v>15</v>
      </c>
      <c r="C15" s="91">
        <v>82</v>
      </c>
      <c r="D15" s="92">
        <f t="shared" si="0"/>
        <v>97</v>
      </c>
      <c r="E15" s="93"/>
      <c r="F15" s="94" t="s">
        <v>310</v>
      </c>
      <c r="G15" s="95" t="s">
        <v>311</v>
      </c>
      <c r="H15" s="96">
        <v>49</v>
      </c>
      <c r="I15" s="16">
        <v>84</v>
      </c>
      <c r="J15" s="15">
        <f t="shared" si="1"/>
        <v>0.58333333333333337</v>
      </c>
      <c r="K15" s="97"/>
    </row>
    <row r="16" spans="1:11" ht="15.75" customHeight="1" x14ac:dyDescent="0.25">
      <c r="A16" s="89">
        <v>45532</v>
      </c>
      <c r="B16" s="90">
        <v>15</v>
      </c>
      <c r="C16" s="91">
        <v>82</v>
      </c>
      <c r="D16" s="92">
        <f t="shared" si="0"/>
        <v>97</v>
      </c>
      <c r="E16" s="93"/>
      <c r="F16" s="94" t="s">
        <v>312</v>
      </c>
      <c r="G16" s="95" t="s">
        <v>313</v>
      </c>
      <c r="H16" s="96">
        <v>49</v>
      </c>
      <c r="I16" s="16">
        <v>84</v>
      </c>
      <c r="J16" s="15">
        <f t="shared" si="1"/>
        <v>0.58333333333333337</v>
      </c>
      <c r="K16" s="97"/>
    </row>
    <row r="17" spans="1:11" ht="15.75" customHeight="1" x14ac:dyDescent="0.25">
      <c r="A17" s="89">
        <v>45533</v>
      </c>
      <c r="B17" s="90">
        <v>15</v>
      </c>
      <c r="C17" s="91">
        <v>82</v>
      </c>
      <c r="D17" s="92">
        <f t="shared" si="0"/>
        <v>97</v>
      </c>
      <c r="E17" s="93"/>
      <c r="F17" s="94" t="s">
        <v>314</v>
      </c>
      <c r="G17" s="95" t="s">
        <v>315</v>
      </c>
      <c r="H17" s="96">
        <v>37</v>
      </c>
      <c r="I17" s="16">
        <v>83</v>
      </c>
      <c r="J17" s="15">
        <f t="shared" si="1"/>
        <v>0.44578313253012047</v>
      </c>
      <c r="K17" s="97"/>
    </row>
    <row r="18" spans="1:11" ht="15.75" customHeight="1" x14ac:dyDescent="0.25">
      <c r="A18" s="89">
        <v>45534</v>
      </c>
      <c r="B18" s="90">
        <v>15</v>
      </c>
      <c r="C18" s="91">
        <v>82</v>
      </c>
      <c r="D18" s="92">
        <f t="shared" si="0"/>
        <v>97</v>
      </c>
      <c r="E18" s="93"/>
      <c r="F18" s="94" t="s">
        <v>316</v>
      </c>
      <c r="G18" s="95" t="s">
        <v>317</v>
      </c>
      <c r="H18" s="96">
        <v>41</v>
      </c>
      <c r="I18" s="16">
        <v>78</v>
      </c>
      <c r="J18" s="15">
        <f t="shared" si="1"/>
        <v>0.52564102564102566</v>
      </c>
      <c r="K18" s="97"/>
    </row>
    <row r="19" spans="1:11" ht="15.75" customHeight="1" x14ac:dyDescent="0.25">
      <c r="A19" s="24">
        <v>45537</v>
      </c>
      <c r="B19" s="98"/>
      <c r="C19" s="27"/>
      <c r="D19" s="92">
        <f t="shared" si="0"/>
        <v>0</v>
      </c>
      <c r="E19" s="93"/>
      <c r="F19" s="94" t="s">
        <v>318</v>
      </c>
      <c r="G19" s="95" t="s">
        <v>319</v>
      </c>
      <c r="H19" s="96">
        <v>35</v>
      </c>
      <c r="I19" s="16">
        <v>74</v>
      </c>
      <c r="J19" s="15">
        <f t="shared" si="1"/>
        <v>0.47297297297297297</v>
      </c>
      <c r="K19" s="97"/>
    </row>
    <row r="20" spans="1:11" ht="15.75" customHeight="1" x14ac:dyDescent="0.25">
      <c r="A20" s="89">
        <v>45538</v>
      </c>
      <c r="B20" s="90">
        <v>15</v>
      </c>
      <c r="C20" s="91">
        <v>82</v>
      </c>
      <c r="D20" s="92">
        <f t="shared" si="0"/>
        <v>97</v>
      </c>
      <c r="E20" s="93"/>
      <c r="F20" s="94" t="s">
        <v>320</v>
      </c>
      <c r="G20" s="95" t="s">
        <v>321</v>
      </c>
      <c r="H20" s="96">
        <v>33</v>
      </c>
      <c r="I20" s="16">
        <v>70</v>
      </c>
      <c r="J20" s="15">
        <f t="shared" si="1"/>
        <v>0.47142857142857142</v>
      </c>
      <c r="K20" s="97"/>
    </row>
    <row r="21" spans="1:11" ht="15.75" customHeight="1" x14ac:dyDescent="0.25">
      <c r="A21" s="89">
        <v>45539</v>
      </c>
      <c r="B21" s="90">
        <v>15</v>
      </c>
      <c r="C21" s="91">
        <v>82</v>
      </c>
      <c r="D21" s="92">
        <f t="shared" si="0"/>
        <v>97</v>
      </c>
      <c r="E21" s="93"/>
      <c r="F21" s="94" t="s">
        <v>322</v>
      </c>
      <c r="G21" s="95" t="s">
        <v>323</v>
      </c>
      <c r="H21" s="96">
        <v>34</v>
      </c>
      <c r="I21" s="16">
        <v>74</v>
      </c>
      <c r="J21" s="15">
        <f t="shared" si="1"/>
        <v>0.45945945945945948</v>
      </c>
      <c r="K21" s="97"/>
    </row>
    <row r="22" spans="1:11" ht="15.75" customHeight="1" x14ac:dyDescent="0.25">
      <c r="A22" s="89">
        <v>45540</v>
      </c>
      <c r="B22" s="90">
        <v>15</v>
      </c>
      <c r="C22" s="91">
        <v>81</v>
      </c>
      <c r="D22" s="92">
        <f t="shared" si="0"/>
        <v>96</v>
      </c>
      <c r="E22" s="93"/>
      <c r="F22" s="94" t="s">
        <v>324</v>
      </c>
      <c r="G22" s="95" t="s">
        <v>325</v>
      </c>
      <c r="H22" s="96">
        <v>43</v>
      </c>
      <c r="I22" s="16">
        <v>73</v>
      </c>
      <c r="J22" s="15">
        <f t="shared" si="1"/>
        <v>0.58904109589041098</v>
      </c>
      <c r="K22" s="97"/>
    </row>
    <row r="23" spans="1:11" ht="15.75" customHeight="1" x14ac:dyDescent="0.25">
      <c r="A23" s="89">
        <v>45541</v>
      </c>
      <c r="B23" s="90">
        <v>14</v>
      </c>
      <c r="C23" s="91">
        <v>81</v>
      </c>
      <c r="D23" s="92">
        <f t="shared" si="0"/>
        <v>95</v>
      </c>
      <c r="E23" s="93"/>
      <c r="F23" s="94" t="s">
        <v>326</v>
      </c>
      <c r="G23" s="95" t="s">
        <v>327</v>
      </c>
      <c r="H23" s="96">
        <v>33</v>
      </c>
      <c r="I23" s="16">
        <v>75</v>
      </c>
      <c r="J23" s="15">
        <f t="shared" si="1"/>
        <v>0.44</v>
      </c>
      <c r="K23" s="97"/>
    </row>
    <row r="24" spans="1:11" ht="15.75" customHeight="1" x14ac:dyDescent="0.25">
      <c r="A24" s="89">
        <v>45544</v>
      </c>
      <c r="B24" s="90">
        <v>14</v>
      </c>
      <c r="C24" s="91">
        <v>82</v>
      </c>
      <c r="D24" s="92">
        <f t="shared" si="0"/>
        <v>96</v>
      </c>
      <c r="E24" s="93"/>
      <c r="F24" s="94" t="s">
        <v>328</v>
      </c>
      <c r="G24" s="95" t="s">
        <v>329</v>
      </c>
      <c r="H24" s="96">
        <v>44</v>
      </c>
      <c r="I24" s="16">
        <v>76</v>
      </c>
      <c r="J24" s="15">
        <f t="shared" si="1"/>
        <v>0.57894736842105265</v>
      </c>
      <c r="K24" s="97"/>
    </row>
    <row r="25" spans="1:11" ht="15.75" customHeight="1" x14ac:dyDescent="0.25">
      <c r="A25" s="89">
        <v>45545</v>
      </c>
      <c r="B25" s="90">
        <v>14</v>
      </c>
      <c r="C25" s="91">
        <v>82</v>
      </c>
      <c r="D25" s="92">
        <f t="shared" si="0"/>
        <v>96</v>
      </c>
      <c r="E25" s="93"/>
      <c r="F25" s="94" t="s">
        <v>330</v>
      </c>
      <c r="G25" s="95" t="s">
        <v>331</v>
      </c>
      <c r="H25" s="96">
        <v>32</v>
      </c>
      <c r="I25" s="16">
        <v>80</v>
      </c>
      <c r="J25" s="15">
        <f t="shared" si="1"/>
        <v>0.4</v>
      </c>
      <c r="K25" s="97"/>
    </row>
    <row r="26" spans="1:11" ht="15.75" customHeight="1" x14ac:dyDescent="0.25">
      <c r="A26" s="89">
        <v>45546</v>
      </c>
      <c r="B26" s="90">
        <v>14</v>
      </c>
      <c r="C26" s="91">
        <v>85</v>
      </c>
      <c r="D26" s="92">
        <f t="shared" si="0"/>
        <v>99</v>
      </c>
      <c r="E26" s="93"/>
      <c r="F26" s="94" t="s">
        <v>332</v>
      </c>
      <c r="G26" s="95" t="s">
        <v>333</v>
      </c>
      <c r="H26" s="96">
        <v>30</v>
      </c>
      <c r="I26" s="16">
        <v>80</v>
      </c>
      <c r="J26" s="15">
        <f t="shared" si="1"/>
        <v>0.375</v>
      </c>
      <c r="K26" s="97"/>
    </row>
    <row r="27" spans="1:11" ht="15.75" customHeight="1" x14ac:dyDescent="0.25">
      <c r="A27" s="89">
        <v>45547</v>
      </c>
      <c r="B27" s="90">
        <v>14</v>
      </c>
      <c r="C27" s="91">
        <v>85</v>
      </c>
      <c r="D27" s="92">
        <f t="shared" si="0"/>
        <v>99</v>
      </c>
      <c r="E27" s="93"/>
      <c r="F27" s="94" t="s">
        <v>334</v>
      </c>
      <c r="G27" s="95" t="s">
        <v>335</v>
      </c>
      <c r="H27" s="96">
        <v>22</v>
      </c>
      <c r="I27" s="16">
        <v>73</v>
      </c>
      <c r="J27" s="15">
        <f t="shared" si="1"/>
        <v>0.30136986301369861</v>
      </c>
      <c r="K27" s="97"/>
    </row>
    <row r="28" spans="1:11" ht="15.75" customHeight="1" x14ac:dyDescent="0.25">
      <c r="A28" s="89">
        <v>45548</v>
      </c>
      <c r="B28" s="90">
        <v>14</v>
      </c>
      <c r="C28" s="91">
        <v>86</v>
      </c>
      <c r="D28" s="92">
        <f t="shared" si="0"/>
        <v>100</v>
      </c>
      <c r="E28" s="93"/>
      <c r="F28" s="94" t="s">
        <v>336</v>
      </c>
      <c r="G28" s="95" t="s">
        <v>337</v>
      </c>
      <c r="H28" s="96">
        <v>34</v>
      </c>
      <c r="I28" s="16">
        <v>68</v>
      </c>
      <c r="J28" s="15">
        <f t="shared" si="1"/>
        <v>0.5</v>
      </c>
      <c r="K28" s="97"/>
    </row>
    <row r="29" spans="1:11" ht="15.75" customHeight="1" x14ac:dyDescent="0.25">
      <c r="A29" s="30">
        <v>45551</v>
      </c>
      <c r="B29" s="99"/>
      <c r="C29" s="33"/>
      <c r="D29" s="92">
        <f t="shared" si="0"/>
        <v>0</v>
      </c>
      <c r="E29" s="93"/>
      <c r="F29" s="94" t="s">
        <v>338</v>
      </c>
      <c r="G29" s="95" t="s">
        <v>339</v>
      </c>
      <c r="H29" s="96"/>
      <c r="I29" s="16"/>
      <c r="J29" s="15" t="e">
        <f t="shared" si="1"/>
        <v>#DIV/0!</v>
      </c>
      <c r="K29" s="97"/>
    </row>
    <row r="30" spans="1:11" ht="15.75" customHeight="1" x14ac:dyDescent="0.25">
      <c r="A30" s="89">
        <v>45552</v>
      </c>
      <c r="B30" s="90">
        <v>14</v>
      </c>
      <c r="C30" s="91">
        <v>87</v>
      </c>
      <c r="D30" s="92">
        <f t="shared" si="0"/>
        <v>101</v>
      </c>
      <c r="E30" s="93"/>
      <c r="F30" s="94"/>
      <c r="G30" s="95" t="s">
        <v>340</v>
      </c>
      <c r="H30" s="96"/>
      <c r="I30" s="16"/>
      <c r="J30" s="15" t="e">
        <f t="shared" si="1"/>
        <v>#DIV/0!</v>
      </c>
      <c r="K30" s="97"/>
    </row>
    <row r="31" spans="1:11" ht="15.75" customHeight="1" x14ac:dyDescent="0.25">
      <c r="A31" s="89">
        <v>45553</v>
      </c>
      <c r="B31" s="90">
        <v>14</v>
      </c>
      <c r="C31" s="91">
        <v>87</v>
      </c>
      <c r="D31" s="92">
        <f t="shared" si="0"/>
        <v>101</v>
      </c>
      <c r="E31" s="93"/>
      <c r="F31" s="94"/>
      <c r="G31" s="95" t="s">
        <v>341</v>
      </c>
      <c r="H31" s="96"/>
      <c r="I31" s="16"/>
      <c r="J31" s="15" t="e">
        <f t="shared" si="1"/>
        <v>#DIV/0!</v>
      </c>
      <c r="K31" s="97"/>
    </row>
    <row r="32" spans="1:11" ht="15.75" customHeight="1" x14ac:dyDescent="0.25">
      <c r="A32" s="89">
        <v>45554</v>
      </c>
      <c r="B32" s="90">
        <v>14</v>
      </c>
      <c r="C32" s="91">
        <v>87</v>
      </c>
      <c r="D32" s="92">
        <f t="shared" si="0"/>
        <v>101</v>
      </c>
      <c r="E32" s="100"/>
      <c r="F32" s="94"/>
      <c r="G32" s="95" t="s">
        <v>342</v>
      </c>
      <c r="H32" s="96"/>
      <c r="I32" s="16"/>
      <c r="J32" s="15" t="e">
        <f t="shared" si="1"/>
        <v>#DIV/0!</v>
      </c>
      <c r="K32" s="101"/>
    </row>
    <row r="33" spans="1:11" ht="15.75" customHeight="1" x14ac:dyDescent="0.25">
      <c r="A33" s="89">
        <v>45555</v>
      </c>
      <c r="B33" s="90">
        <v>14</v>
      </c>
      <c r="C33" s="91">
        <v>87</v>
      </c>
      <c r="D33" s="92">
        <f t="shared" si="0"/>
        <v>101</v>
      </c>
      <c r="E33" s="100"/>
      <c r="F33" s="94"/>
      <c r="G33" s="95" t="s">
        <v>343</v>
      </c>
      <c r="H33" s="96"/>
      <c r="I33" s="16"/>
      <c r="J33" s="15" t="e">
        <f t="shared" si="1"/>
        <v>#DIV/0!</v>
      </c>
      <c r="K33" s="101"/>
    </row>
    <row r="34" spans="1:11" ht="15.75" customHeight="1" x14ac:dyDescent="0.25">
      <c r="A34" s="89">
        <v>45558</v>
      </c>
      <c r="B34" s="90">
        <v>15</v>
      </c>
      <c r="C34" s="91">
        <v>86</v>
      </c>
      <c r="D34" s="92">
        <f t="shared" si="0"/>
        <v>101</v>
      </c>
      <c r="E34" s="100"/>
      <c r="F34" s="94"/>
      <c r="G34" s="95" t="s">
        <v>344</v>
      </c>
      <c r="H34" s="96"/>
      <c r="I34" s="16"/>
      <c r="J34" s="15" t="e">
        <f t="shared" si="1"/>
        <v>#DIV/0!</v>
      </c>
      <c r="K34" s="101"/>
    </row>
    <row r="35" spans="1:11" ht="15.75" customHeight="1" x14ac:dyDescent="0.25">
      <c r="A35" s="89">
        <v>45559</v>
      </c>
      <c r="B35" s="90">
        <v>15</v>
      </c>
      <c r="C35" s="91">
        <v>86</v>
      </c>
      <c r="D35" s="92">
        <f t="shared" si="0"/>
        <v>101</v>
      </c>
      <c r="E35" s="100"/>
      <c r="F35" s="94"/>
      <c r="G35" s="95" t="s">
        <v>345</v>
      </c>
      <c r="H35" s="96"/>
      <c r="I35" s="16"/>
      <c r="J35" s="15" t="e">
        <f t="shared" si="1"/>
        <v>#DIV/0!</v>
      </c>
      <c r="K35" s="101"/>
    </row>
    <row r="36" spans="1:11" ht="15.75" customHeight="1" x14ac:dyDescent="0.25">
      <c r="A36" s="89">
        <v>45560</v>
      </c>
      <c r="B36" s="90">
        <v>15</v>
      </c>
      <c r="C36" s="91">
        <v>86</v>
      </c>
      <c r="D36" s="92">
        <f t="shared" si="0"/>
        <v>101</v>
      </c>
      <c r="E36" s="100"/>
      <c r="F36" s="94"/>
      <c r="G36" s="95" t="s">
        <v>346</v>
      </c>
      <c r="H36" s="96"/>
      <c r="I36" s="16"/>
      <c r="J36" s="15" t="e">
        <f t="shared" si="1"/>
        <v>#DIV/0!</v>
      </c>
      <c r="K36" s="101"/>
    </row>
    <row r="37" spans="1:11" ht="15" x14ac:dyDescent="0.25">
      <c r="A37" s="89">
        <v>45561</v>
      </c>
      <c r="B37" s="90">
        <v>15</v>
      </c>
      <c r="C37" s="91">
        <v>89</v>
      </c>
      <c r="D37" s="92">
        <f t="shared" si="0"/>
        <v>104</v>
      </c>
      <c r="E37" s="100"/>
      <c r="F37" s="94"/>
      <c r="G37" s="95" t="s">
        <v>347</v>
      </c>
      <c r="H37" s="96"/>
      <c r="I37" s="16"/>
      <c r="J37" s="15" t="e">
        <f t="shared" si="1"/>
        <v>#DIV/0!</v>
      </c>
      <c r="K37" s="101"/>
    </row>
    <row r="38" spans="1:11" ht="15" x14ac:dyDescent="0.25">
      <c r="A38" s="89">
        <v>45562</v>
      </c>
      <c r="B38" s="90">
        <v>15</v>
      </c>
      <c r="C38" s="91">
        <v>89</v>
      </c>
      <c r="D38" s="92">
        <f t="shared" si="0"/>
        <v>104</v>
      </c>
      <c r="E38" s="100"/>
      <c r="F38" s="94"/>
      <c r="G38" s="95" t="s">
        <v>348</v>
      </c>
      <c r="H38" s="96"/>
      <c r="I38" s="16"/>
      <c r="J38" s="15" t="e">
        <f t="shared" si="1"/>
        <v>#DIV/0!</v>
      </c>
      <c r="K38" s="101"/>
    </row>
    <row r="39" spans="1:11" ht="15" x14ac:dyDescent="0.25">
      <c r="A39" s="89">
        <v>45565</v>
      </c>
      <c r="B39" s="90">
        <v>15</v>
      </c>
      <c r="C39" s="91">
        <v>89</v>
      </c>
      <c r="D39" s="92">
        <f t="shared" si="0"/>
        <v>104</v>
      </c>
      <c r="E39" s="100"/>
      <c r="F39" s="94"/>
      <c r="G39" s="95" t="s">
        <v>349</v>
      </c>
      <c r="H39" s="96"/>
      <c r="I39" s="16"/>
      <c r="J39" s="15" t="e">
        <f t="shared" si="1"/>
        <v>#DIV/0!</v>
      </c>
      <c r="K39" s="101"/>
    </row>
    <row r="40" spans="1:11" ht="15" x14ac:dyDescent="0.25">
      <c r="A40" s="89">
        <v>45566</v>
      </c>
      <c r="B40" s="90">
        <v>15</v>
      </c>
      <c r="C40" s="91">
        <v>90</v>
      </c>
      <c r="D40" s="92">
        <f t="shared" si="0"/>
        <v>105</v>
      </c>
      <c r="E40" s="100"/>
      <c r="F40" s="94"/>
      <c r="G40" s="95" t="s">
        <v>350</v>
      </c>
      <c r="H40" s="96"/>
      <c r="I40" s="16"/>
      <c r="J40" s="15" t="e">
        <f t="shared" si="1"/>
        <v>#DIV/0!</v>
      </c>
      <c r="K40" s="101"/>
    </row>
    <row r="41" spans="1:11" ht="15" x14ac:dyDescent="0.25">
      <c r="A41" s="89">
        <v>45567</v>
      </c>
      <c r="B41" s="90">
        <v>15</v>
      </c>
      <c r="C41" s="91">
        <v>90</v>
      </c>
      <c r="D41" s="92">
        <f t="shared" si="0"/>
        <v>105</v>
      </c>
      <c r="E41" s="100"/>
      <c r="F41" s="102"/>
      <c r="G41" s="103"/>
      <c r="H41" s="96"/>
      <c r="I41" s="16"/>
      <c r="J41" s="16"/>
      <c r="K41" s="101"/>
    </row>
    <row r="42" spans="1:11" ht="15" x14ac:dyDescent="0.25">
      <c r="A42" s="89">
        <v>45568</v>
      </c>
      <c r="B42" s="90">
        <v>19</v>
      </c>
      <c r="C42" s="91">
        <v>84</v>
      </c>
      <c r="D42" s="92">
        <f t="shared" si="0"/>
        <v>103</v>
      </c>
      <c r="E42" s="100"/>
      <c r="F42" s="102"/>
      <c r="G42" s="103"/>
      <c r="H42" s="96"/>
      <c r="I42" s="16"/>
      <c r="J42" s="16"/>
      <c r="K42" s="101"/>
    </row>
    <row r="43" spans="1:11" ht="15" x14ac:dyDescent="0.25">
      <c r="A43" s="89">
        <v>45569</v>
      </c>
      <c r="B43" s="90">
        <v>19</v>
      </c>
      <c r="C43" s="91">
        <v>84</v>
      </c>
      <c r="D43" s="92">
        <f t="shared" si="0"/>
        <v>103</v>
      </c>
      <c r="E43" s="100"/>
      <c r="F43" s="102"/>
      <c r="G43" s="103"/>
      <c r="H43" s="96"/>
      <c r="I43" s="16"/>
      <c r="J43" s="16"/>
      <c r="K43" s="101"/>
    </row>
    <row r="44" spans="1:11" ht="15" x14ac:dyDescent="0.25">
      <c r="A44" s="24">
        <v>45572</v>
      </c>
      <c r="B44" s="98">
        <v>0</v>
      </c>
      <c r="C44" s="27">
        <v>0</v>
      </c>
      <c r="D44" s="92">
        <f t="shared" si="0"/>
        <v>0</v>
      </c>
      <c r="E44" s="100"/>
      <c r="F44" s="102"/>
      <c r="G44" s="103"/>
      <c r="H44" s="96"/>
      <c r="I44" s="16"/>
      <c r="J44" s="16"/>
      <c r="K44" s="101"/>
    </row>
    <row r="45" spans="1:11" ht="15" x14ac:dyDescent="0.25">
      <c r="A45" s="24">
        <v>45573</v>
      </c>
      <c r="B45" s="98">
        <v>0</v>
      </c>
      <c r="C45" s="27">
        <v>0</v>
      </c>
      <c r="D45" s="92">
        <f t="shared" si="0"/>
        <v>0</v>
      </c>
      <c r="E45" s="100"/>
      <c r="F45" s="102"/>
      <c r="G45" s="103"/>
      <c r="H45" s="96"/>
      <c r="I45" s="16"/>
      <c r="J45" s="16"/>
      <c r="K45" s="101"/>
    </row>
    <row r="46" spans="1:11" ht="15" x14ac:dyDescent="0.25">
      <c r="A46" s="24">
        <v>45574</v>
      </c>
      <c r="B46" s="98"/>
      <c r="C46" s="27"/>
      <c r="D46" s="92">
        <f t="shared" si="0"/>
        <v>0</v>
      </c>
      <c r="E46" s="100"/>
      <c r="F46" s="102"/>
      <c r="G46" s="103"/>
      <c r="H46" s="96"/>
      <c r="I46" s="16"/>
      <c r="J46" s="16"/>
      <c r="K46" s="101"/>
    </row>
    <row r="47" spans="1:11" ht="15" x14ac:dyDescent="0.25">
      <c r="A47" s="24">
        <v>45575</v>
      </c>
      <c r="B47" s="98"/>
      <c r="C47" s="27"/>
      <c r="D47" s="92">
        <f t="shared" si="0"/>
        <v>0</v>
      </c>
      <c r="E47" s="100"/>
      <c r="F47" s="102"/>
      <c r="G47" s="103"/>
      <c r="H47" s="96"/>
      <c r="I47" s="16"/>
      <c r="J47" s="16"/>
      <c r="K47" s="101"/>
    </row>
    <row r="48" spans="1:11" ht="15" x14ac:dyDescent="0.25">
      <c r="A48" s="24">
        <v>45576</v>
      </c>
      <c r="B48" s="98"/>
      <c r="C48" s="27"/>
      <c r="D48" s="92">
        <f t="shared" si="0"/>
        <v>0</v>
      </c>
      <c r="E48" s="100"/>
      <c r="F48" s="102"/>
      <c r="G48" s="103"/>
      <c r="H48" s="96"/>
      <c r="I48" s="16"/>
      <c r="J48" s="16"/>
      <c r="K48" s="101"/>
    </row>
    <row r="49" spans="1:11" ht="15" x14ac:dyDescent="0.25">
      <c r="A49" s="89">
        <v>45579</v>
      </c>
      <c r="B49" s="90">
        <v>19</v>
      </c>
      <c r="C49" s="91">
        <v>84</v>
      </c>
      <c r="D49" s="92">
        <f t="shared" si="0"/>
        <v>103</v>
      </c>
      <c r="E49" s="100"/>
      <c r="F49" s="102"/>
      <c r="G49" s="103"/>
      <c r="H49" s="96"/>
      <c r="I49" s="16"/>
      <c r="J49" s="16"/>
      <c r="K49" s="101"/>
    </row>
    <row r="50" spans="1:11" ht="15" x14ac:dyDescent="0.25">
      <c r="A50" s="89">
        <v>45580</v>
      </c>
      <c r="B50" s="90">
        <v>19</v>
      </c>
      <c r="C50" s="91">
        <v>84</v>
      </c>
      <c r="D50" s="92">
        <f t="shared" si="0"/>
        <v>103</v>
      </c>
      <c r="E50" s="100"/>
      <c r="F50" s="102"/>
      <c r="G50" s="103"/>
      <c r="H50" s="96"/>
      <c r="I50" s="16"/>
      <c r="J50" s="16"/>
      <c r="K50" s="101"/>
    </row>
    <row r="51" spans="1:11" ht="15" x14ac:dyDescent="0.25">
      <c r="A51" s="89">
        <v>45581</v>
      </c>
      <c r="B51" s="90">
        <v>19</v>
      </c>
      <c r="C51" s="91">
        <v>85</v>
      </c>
      <c r="D51" s="92">
        <f t="shared" si="0"/>
        <v>104</v>
      </c>
      <c r="E51" s="100"/>
      <c r="F51" s="102"/>
      <c r="G51" s="103"/>
      <c r="H51" s="96"/>
      <c r="I51" s="16"/>
      <c r="J51" s="16"/>
      <c r="K51" s="101"/>
    </row>
    <row r="52" spans="1:11" ht="15" x14ac:dyDescent="0.25">
      <c r="A52" s="89">
        <v>45582</v>
      </c>
      <c r="B52" s="90">
        <v>19</v>
      </c>
      <c r="C52" s="91">
        <v>86</v>
      </c>
      <c r="D52" s="92">
        <f t="shared" si="0"/>
        <v>105</v>
      </c>
      <c r="E52" s="100"/>
      <c r="F52" s="102"/>
      <c r="G52" s="103"/>
      <c r="H52" s="96"/>
      <c r="I52" s="16"/>
      <c r="J52" s="16"/>
      <c r="K52" s="101"/>
    </row>
    <row r="53" spans="1:11" ht="15" x14ac:dyDescent="0.25">
      <c r="A53" s="89">
        <v>45583</v>
      </c>
      <c r="B53" s="90">
        <v>19</v>
      </c>
      <c r="C53" s="91">
        <v>85</v>
      </c>
      <c r="D53" s="92">
        <f t="shared" si="0"/>
        <v>104</v>
      </c>
      <c r="E53" s="100"/>
      <c r="F53" s="102"/>
      <c r="G53" s="103"/>
      <c r="H53" s="96"/>
      <c r="I53" s="16"/>
      <c r="J53" s="16"/>
      <c r="K53" s="101"/>
    </row>
    <row r="54" spans="1:11" ht="15" x14ac:dyDescent="0.25">
      <c r="A54" s="89">
        <v>45586</v>
      </c>
      <c r="B54" s="90">
        <v>19</v>
      </c>
      <c r="C54" s="91">
        <v>85</v>
      </c>
      <c r="D54" s="92">
        <f t="shared" si="0"/>
        <v>104</v>
      </c>
      <c r="E54" s="100"/>
      <c r="F54" s="102"/>
      <c r="G54" s="103"/>
      <c r="H54" s="96"/>
      <c r="I54" s="16"/>
      <c r="J54" s="16"/>
      <c r="K54" s="101"/>
    </row>
    <row r="55" spans="1:11" ht="15" x14ac:dyDescent="0.25">
      <c r="A55" s="89">
        <v>45587</v>
      </c>
      <c r="B55" s="90">
        <v>19</v>
      </c>
      <c r="C55" s="91">
        <v>85</v>
      </c>
      <c r="D55" s="92">
        <f t="shared" si="0"/>
        <v>104</v>
      </c>
      <c r="E55" s="100"/>
      <c r="F55" s="102"/>
      <c r="G55" s="103"/>
      <c r="H55" s="96"/>
      <c r="I55" s="16"/>
      <c r="J55" s="16"/>
      <c r="K55" s="101"/>
    </row>
    <row r="56" spans="1:11" ht="15" x14ac:dyDescent="0.25">
      <c r="A56" s="89">
        <v>45588</v>
      </c>
      <c r="B56" s="90">
        <v>19</v>
      </c>
      <c r="C56" s="91">
        <v>85</v>
      </c>
      <c r="D56" s="92">
        <f t="shared" si="0"/>
        <v>104</v>
      </c>
      <c r="E56" s="100"/>
      <c r="F56" s="102"/>
      <c r="G56" s="103"/>
      <c r="H56" s="96"/>
      <c r="I56" s="16"/>
      <c r="J56" s="16"/>
      <c r="K56" s="101"/>
    </row>
    <row r="57" spans="1:11" ht="15" x14ac:dyDescent="0.25">
      <c r="A57" s="89">
        <v>45589</v>
      </c>
      <c r="B57" s="90">
        <v>19</v>
      </c>
      <c r="C57" s="91">
        <v>85</v>
      </c>
      <c r="D57" s="92">
        <f t="shared" si="0"/>
        <v>104</v>
      </c>
      <c r="E57" s="100"/>
      <c r="F57" s="102"/>
      <c r="G57" s="103"/>
      <c r="H57" s="96"/>
      <c r="I57" s="16"/>
      <c r="J57" s="16"/>
      <c r="K57" s="101"/>
    </row>
    <row r="58" spans="1:11" ht="15" x14ac:dyDescent="0.25">
      <c r="A58" s="89">
        <v>45590</v>
      </c>
      <c r="B58" s="90">
        <v>19</v>
      </c>
      <c r="C58" s="91">
        <v>85</v>
      </c>
      <c r="D58" s="92">
        <f t="shared" si="0"/>
        <v>104</v>
      </c>
      <c r="E58" s="100"/>
      <c r="F58" s="102"/>
      <c r="G58" s="103"/>
      <c r="H58" s="96"/>
      <c r="I58" s="16"/>
      <c r="J58" s="16"/>
      <c r="K58" s="101"/>
    </row>
    <row r="59" spans="1:11" ht="15" x14ac:dyDescent="0.25">
      <c r="A59" s="89">
        <v>45593</v>
      </c>
      <c r="B59" s="90">
        <v>19</v>
      </c>
      <c r="C59" s="91">
        <v>86</v>
      </c>
      <c r="D59" s="92">
        <f t="shared" si="0"/>
        <v>105</v>
      </c>
      <c r="E59" s="100"/>
      <c r="F59" s="102"/>
      <c r="G59" s="103"/>
      <c r="H59" s="96"/>
      <c r="I59" s="16"/>
      <c r="J59" s="16"/>
      <c r="K59" s="101"/>
    </row>
    <row r="60" spans="1:11" ht="15" x14ac:dyDescent="0.25">
      <c r="A60" s="89">
        <v>45594</v>
      </c>
      <c r="B60" s="90">
        <v>19</v>
      </c>
      <c r="C60" s="91">
        <v>86</v>
      </c>
      <c r="D60" s="92">
        <f t="shared" si="0"/>
        <v>105</v>
      </c>
      <c r="E60" s="100"/>
      <c r="F60" s="102"/>
      <c r="G60" s="103"/>
      <c r="H60" s="96"/>
      <c r="I60" s="16"/>
      <c r="J60" s="16"/>
      <c r="K60" s="101"/>
    </row>
    <row r="61" spans="1:11" ht="15" x14ac:dyDescent="0.25">
      <c r="A61" s="89">
        <v>45595</v>
      </c>
      <c r="B61" s="90">
        <v>19</v>
      </c>
      <c r="C61" s="91">
        <v>84</v>
      </c>
      <c r="D61" s="92">
        <f t="shared" si="0"/>
        <v>103</v>
      </c>
      <c r="E61" s="100"/>
      <c r="F61" s="102"/>
      <c r="G61" s="103"/>
      <c r="H61" s="96"/>
      <c r="I61" s="16"/>
      <c r="J61" s="16"/>
      <c r="K61" s="101"/>
    </row>
    <row r="62" spans="1:11" ht="15" x14ac:dyDescent="0.25">
      <c r="A62" s="89">
        <v>45596</v>
      </c>
      <c r="B62" s="90">
        <v>19</v>
      </c>
      <c r="C62" s="91">
        <v>84</v>
      </c>
      <c r="D62" s="92">
        <f t="shared" si="0"/>
        <v>103</v>
      </c>
      <c r="E62" s="100"/>
      <c r="F62" s="102"/>
      <c r="G62" s="103"/>
      <c r="H62" s="96"/>
      <c r="I62" s="16"/>
      <c r="J62" s="16"/>
      <c r="K62" s="101"/>
    </row>
    <row r="63" spans="1:11" ht="15" x14ac:dyDescent="0.25">
      <c r="A63" s="89">
        <v>45597</v>
      </c>
      <c r="B63" s="90">
        <v>19</v>
      </c>
      <c r="C63" s="91">
        <v>84</v>
      </c>
      <c r="D63" s="92">
        <f t="shared" si="0"/>
        <v>103</v>
      </c>
      <c r="E63" s="100"/>
      <c r="F63" s="102"/>
      <c r="G63" s="103"/>
      <c r="H63" s="96"/>
      <c r="I63" s="16"/>
      <c r="J63" s="16"/>
      <c r="K63" s="101"/>
    </row>
    <row r="64" spans="1:11" ht="15" x14ac:dyDescent="0.25">
      <c r="A64" s="38">
        <v>45600</v>
      </c>
      <c r="B64" s="104"/>
      <c r="C64" s="41"/>
      <c r="D64" s="92">
        <f t="shared" si="0"/>
        <v>0</v>
      </c>
      <c r="E64" s="100"/>
      <c r="F64" s="102"/>
      <c r="G64" s="103"/>
      <c r="H64" s="96"/>
      <c r="I64" s="16"/>
      <c r="J64" s="16"/>
      <c r="K64" s="101"/>
    </row>
    <row r="65" spans="1:11" ht="15" x14ac:dyDescent="0.25">
      <c r="A65" s="30">
        <v>45601</v>
      </c>
      <c r="B65" s="99"/>
      <c r="C65" s="33"/>
      <c r="D65" s="92">
        <f t="shared" si="0"/>
        <v>0</v>
      </c>
      <c r="E65" s="100"/>
      <c r="F65" s="102"/>
      <c r="G65" s="103"/>
      <c r="H65" s="96"/>
      <c r="I65" s="16"/>
      <c r="J65" s="16"/>
      <c r="K65" s="101"/>
    </row>
    <row r="66" spans="1:11" ht="15" x14ac:dyDescent="0.25">
      <c r="A66" s="89">
        <v>45602</v>
      </c>
      <c r="B66" s="90">
        <v>19</v>
      </c>
      <c r="C66" s="91">
        <v>84</v>
      </c>
      <c r="D66" s="92">
        <f t="shared" si="0"/>
        <v>103</v>
      </c>
      <c r="E66" s="100"/>
      <c r="F66" s="102"/>
      <c r="G66" s="103"/>
      <c r="H66" s="96"/>
      <c r="I66" s="16"/>
      <c r="J66" s="16"/>
      <c r="K66" s="101"/>
    </row>
    <row r="67" spans="1:11" ht="15" x14ac:dyDescent="0.25">
      <c r="A67" s="89">
        <v>45603</v>
      </c>
      <c r="B67" s="90">
        <v>19</v>
      </c>
      <c r="C67" s="91">
        <v>84</v>
      </c>
      <c r="D67" s="92">
        <f t="shared" si="0"/>
        <v>103</v>
      </c>
      <c r="E67" s="100"/>
      <c r="F67" s="102"/>
      <c r="G67" s="103"/>
      <c r="H67" s="96"/>
      <c r="I67" s="16"/>
      <c r="J67" s="16"/>
      <c r="K67" s="101"/>
    </row>
    <row r="68" spans="1:11" ht="15" x14ac:dyDescent="0.25">
      <c r="A68" s="89">
        <v>45604</v>
      </c>
      <c r="B68" s="90">
        <v>19</v>
      </c>
      <c r="C68" s="91">
        <v>84</v>
      </c>
      <c r="D68" s="92">
        <f t="shared" si="0"/>
        <v>103</v>
      </c>
      <c r="E68" s="100"/>
      <c r="F68" s="102"/>
      <c r="G68" s="103"/>
      <c r="H68" s="96"/>
      <c r="I68" s="16"/>
      <c r="J68" s="16"/>
      <c r="K68" s="101"/>
    </row>
    <row r="69" spans="1:11" ht="15" x14ac:dyDescent="0.25">
      <c r="A69" s="89">
        <v>45607</v>
      </c>
      <c r="B69" s="90">
        <v>19</v>
      </c>
      <c r="C69" s="91">
        <v>84</v>
      </c>
      <c r="D69" s="92">
        <f t="shared" si="0"/>
        <v>103</v>
      </c>
      <c r="E69" s="100"/>
      <c r="F69" s="102"/>
      <c r="G69" s="103"/>
      <c r="H69" s="96"/>
      <c r="I69" s="16"/>
      <c r="J69" s="16"/>
      <c r="K69" s="101"/>
    </row>
    <row r="70" spans="1:11" ht="15" x14ac:dyDescent="0.25">
      <c r="A70" s="89">
        <v>45608</v>
      </c>
      <c r="B70" s="90">
        <v>19</v>
      </c>
      <c r="C70" s="91">
        <v>84</v>
      </c>
      <c r="D70" s="92">
        <f t="shared" si="0"/>
        <v>103</v>
      </c>
      <c r="E70" s="100"/>
      <c r="F70" s="102"/>
      <c r="G70" s="103"/>
      <c r="H70" s="96"/>
      <c r="I70" s="16"/>
      <c r="J70" s="16"/>
      <c r="K70" s="101"/>
    </row>
    <row r="71" spans="1:11" ht="15" x14ac:dyDescent="0.25">
      <c r="A71" s="89">
        <v>45609</v>
      </c>
      <c r="B71" s="90">
        <v>19</v>
      </c>
      <c r="C71" s="91">
        <v>84</v>
      </c>
      <c r="D71" s="92">
        <f t="shared" si="0"/>
        <v>103</v>
      </c>
      <c r="E71" s="100"/>
      <c r="F71" s="102"/>
      <c r="G71" s="103"/>
      <c r="H71" s="96"/>
      <c r="I71" s="16"/>
      <c r="J71" s="16"/>
      <c r="K71" s="101"/>
    </row>
    <row r="72" spans="1:11" ht="15" x14ac:dyDescent="0.25">
      <c r="A72" s="89">
        <v>45610</v>
      </c>
      <c r="B72" s="90">
        <v>19</v>
      </c>
      <c r="C72" s="91">
        <v>84</v>
      </c>
      <c r="D72" s="92">
        <f t="shared" si="0"/>
        <v>103</v>
      </c>
      <c r="E72" s="100"/>
      <c r="F72" s="102"/>
      <c r="G72" s="103"/>
      <c r="H72" s="96"/>
      <c r="I72" s="16"/>
      <c r="J72" s="16"/>
      <c r="K72" s="101"/>
    </row>
    <row r="73" spans="1:11" ht="15" x14ac:dyDescent="0.25">
      <c r="A73" s="89">
        <v>45611</v>
      </c>
      <c r="B73" s="90">
        <v>19</v>
      </c>
      <c r="C73" s="91">
        <v>84</v>
      </c>
      <c r="D73" s="92">
        <f t="shared" si="0"/>
        <v>103</v>
      </c>
      <c r="E73" s="100"/>
      <c r="F73" s="102"/>
      <c r="G73" s="103"/>
      <c r="H73" s="96"/>
      <c r="I73" s="16"/>
      <c r="J73" s="16"/>
      <c r="K73" s="101"/>
    </row>
    <row r="74" spans="1:11" ht="15" x14ac:dyDescent="0.25">
      <c r="A74" s="89">
        <v>45614</v>
      </c>
      <c r="B74" s="90">
        <v>19</v>
      </c>
      <c r="C74" s="91">
        <v>84</v>
      </c>
      <c r="D74" s="92">
        <f t="shared" si="0"/>
        <v>103</v>
      </c>
      <c r="E74" s="100"/>
      <c r="F74" s="102"/>
      <c r="G74" s="103"/>
      <c r="H74" s="96"/>
      <c r="I74" s="16"/>
      <c r="J74" s="16"/>
      <c r="K74" s="101"/>
    </row>
    <row r="75" spans="1:11" ht="15" x14ac:dyDescent="0.25">
      <c r="A75" s="89">
        <v>45615</v>
      </c>
      <c r="B75" s="90">
        <v>18</v>
      </c>
      <c r="C75" s="91">
        <v>84</v>
      </c>
      <c r="D75" s="92">
        <f t="shared" si="0"/>
        <v>102</v>
      </c>
      <c r="E75" s="100"/>
      <c r="F75" s="102"/>
      <c r="G75" s="103"/>
      <c r="H75" s="96"/>
      <c r="I75" s="16"/>
      <c r="J75" s="16"/>
      <c r="K75" s="101"/>
    </row>
    <row r="76" spans="1:11" ht="15" x14ac:dyDescent="0.25">
      <c r="A76" s="89">
        <v>45616</v>
      </c>
      <c r="B76" s="90">
        <v>18</v>
      </c>
      <c r="C76" s="91">
        <v>84</v>
      </c>
      <c r="D76" s="92">
        <f t="shared" si="0"/>
        <v>102</v>
      </c>
      <c r="E76" s="100"/>
      <c r="F76" s="102"/>
      <c r="G76" s="103"/>
      <c r="H76" s="96"/>
      <c r="I76" s="16"/>
      <c r="J76" s="16"/>
      <c r="K76" s="101"/>
    </row>
    <row r="77" spans="1:11" ht="15" x14ac:dyDescent="0.25">
      <c r="A77" s="89">
        <v>45617</v>
      </c>
      <c r="B77" s="90">
        <v>18</v>
      </c>
      <c r="C77" s="91">
        <v>84</v>
      </c>
      <c r="D77" s="92">
        <f t="shared" si="0"/>
        <v>102</v>
      </c>
      <c r="E77" s="100"/>
      <c r="F77" s="102"/>
      <c r="G77" s="103"/>
      <c r="H77" s="96"/>
      <c r="I77" s="16"/>
      <c r="J77" s="16"/>
      <c r="K77" s="101"/>
    </row>
    <row r="78" spans="1:11" ht="15" x14ac:dyDescent="0.25">
      <c r="A78" s="89">
        <v>45618</v>
      </c>
      <c r="B78" s="90">
        <v>18</v>
      </c>
      <c r="C78" s="91">
        <v>83</v>
      </c>
      <c r="D78" s="92">
        <f t="shared" si="0"/>
        <v>101</v>
      </c>
      <c r="E78" s="100"/>
      <c r="F78" s="102"/>
      <c r="G78" s="103"/>
      <c r="H78" s="96"/>
      <c r="I78" s="16"/>
      <c r="J78" s="16"/>
      <c r="K78" s="101"/>
    </row>
    <row r="79" spans="1:11" ht="15" x14ac:dyDescent="0.25">
      <c r="A79" s="30">
        <v>45621</v>
      </c>
      <c r="B79" s="99"/>
      <c r="C79" s="33"/>
      <c r="D79" s="92">
        <f t="shared" si="0"/>
        <v>0</v>
      </c>
      <c r="E79" s="100"/>
      <c r="F79" s="102"/>
      <c r="G79" s="103"/>
      <c r="H79" s="96"/>
      <c r="I79" s="16"/>
      <c r="J79" s="16"/>
      <c r="K79" s="101"/>
    </row>
    <row r="80" spans="1:11" ht="15" x14ac:dyDescent="0.25">
      <c r="A80" s="30">
        <v>45622</v>
      </c>
      <c r="B80" s="99"/>
      <c r="C80" s="33"/>
      <c r="D80" s="92">
        <f t="shared" si="0"/>
        <v>0</v>
      </c>
      <c r="E80" s="100"/>
      <c r="F80" s="102"/>
      <c r="G80" s="103"/>
      <c r="H80" s="96"/>
      <c r="I80" s="16"/>
      <c r="J80" s="16"/>
      <c r="K80" s="101"/>
    </row>
    <row r="81" spans="1:11" ht="15" x14ac:dyDescent="0.25">
      <c r="A81" s="30">
        <v>45623</v>
      </c>
      <c r="B81" s="99"/>
      <c r="C81" s="33"/>
      <c r="D81" s="92">
        <f t="shared" si="0"/>
        <v>0</v>
      </c>
      <c r="E81" s="100"/>
      <c r="F81" s="102"/>
      <c r="G81" s="103"/>
      <c r="H81" s="96"/>
      <c r="I81" s="16"/>
      <c r="J81" s="16"/>
      <c r="K81" s="101"/>
    </row>
    <row r="82" spans="1:11" ht="15" x14ac:dyDescent="0.25">
      <c r="A82" s="30">
        <v>45624</v>
      </c>
      <c r="B82" s="99"/>
      <c r="C82" s="33"/>
      <c r="D82" s="92">
        <f t="shared" si="0"/>
        <v>0</v>
      </c>
      <c r="E82" s="100"/>
      <c r="F82" s="102"/>
      <c r="G82" s="103"/>
      <c r="H82" s="96"/>
      <c r="I82" s="16"/>
      <c r="J82" s="16"/>
      <c r="K82" s="101"/>
    </row>
    <row r="83" spans="1:11" ht="15" x14ac:dyDescent="0.25">
      <c r="A83" s="30">
        <v>45625</v>
      </c>
      <c r="B83" s="99"/>
      <c r="C83" s="33"/>
      <c r="D83" s="92">
        <f t="shared" si="0"/>
        <v>0</v>
      </c>
      <c r="E83" s="100"/>
      <c r="F83" s="102"/>
      <c r="G83" s="103"/>
      <c r="H83" s="96"/>
      <c r="I83" s="16"/>
      <c r="J83" s="16"/>
      <c r="K83" s="101"/>
    </row>
    <row r="84" spans="1:11" ht="15" x14ac:dyDescent="0.25">
      <c r="A84" s="89">
        <v>45628</v>
      </c>
      <c r="B84" s="90">
        <v>13</v>
      </c>
      <c r="C84" s="91">
        <v>83</v>
      </c>
      <c r="D84" s="92">
        <f t="shared" si="0"/>
        <v>96</v>
      </c>
      <c r="E84" s="100"/>
      <c r="F84" s="102"/>
      <c r="G84" s="103"/>
      <c r="H84" s="96"/>
      <c r="I84" s="16"/>
      <c r="J84" s="16"/>
      <c r="K84" s="101"/>
    </row>
    <row r="85" spans="1:11" ht="15" x14ac:dyDescent="0.25">
      <c r="A85" s="89">
        <v>45629</v>
      </c>
      <c r="B85" s="90">
        <v>11</v>
      </c>
      <c r="C85" s="91">
        <v>83</v>
      </c>
      <c r="D85" s="92">
        <f t="shared" si="0"/>
        <v>94</v>
      </c>
      <c r="E85" s="100"/>
      <c r="F85" s="102"/>
      <c r="G85" s="103"/>
      <c r="H85" s="96"/>
      <c r="I85" s="16"/>
      <c r="J85" s="16"/>
      <c r="K85" s="101"/>
    </row>
    <row r="86" spans="1:11" ht="15" x14ac:dyDescent="0.25">
      <c r="A86" s="89">
        <v>45630</v>
      </c>
      <c r="B86" s="90">
        <v>11</v>
      </c>
      <c r="C86" s="91">
        <v>79</v>
      </c>
      <c r="D86" s="92">
        <f t="shared" si="0"/>
        <v>90</v>
      </c>
      <c r="E86" s="100"/>
      <c r="F86" s="102"/>
      <c r="G86" s="103"/>
      <c r="H86" s="96"/>
      <c r="I86" s="16"/>
      <c r="J86" s="16"/>
      <c r="K86" s="101"/>
    </row>
    <row r="87" spans="1:11" ht="15" x14ac:dyDescent="0.25">
      <c r="A87" s="89">
        <v>45631</v>
      </c>
      <c r="B87" s="90">
        <v>11</v>
      </c>
      <c r="C87" s="91">
        <v>79</v>
      </c>
      <c r="D87" s="92">
        <f t="shared" si="0"/>
        <v>90</v>
      </c>
      <c r="E87" s="100"/>
      <c r="F87" s="102"/>
      <c r="G87" s="103"/>
      <c r="H87" s="96"/>
      <c r="I87" s="16"/>
      <c r="J87" s="16"/>
      <c r="K87" s="101"/>
    </row>
    <row r="88" spans="1:11" ht="15" x14ac:dyDescent="0.25">
      <c r="A88" s="89">
        <v>45632</v>
      </c>
      <c r="B88" s="90">
        <v>11</v>
      </c>
      <c r="C88" s="91">
        <v>78</v>
      </c>
      <c r="D88" s="92">
        <f t="shared" si="0"/>
        <v>89</v>
      </c>
      <c r="E88" s="100"/>
      <c r="F88" s="102"/>
      <c r="G88" s="103"/>
      <c r="H88" s="96"/>
      <c r="I88" s="16"/>
      <c r="J88" s="16"/>
      <c r="K88" s="101"/>
    </row>
    <row r="89" spans="1:11" ht="15" x14ac:dyDescent="0.25">
      <c r="A89" s="89">
        <v>45635</v>
      </c>
      <c r="B89" s="90">
        <v>11</v>
      </c>
      <c r="C89" s="91">
        <v>77</v>
      </c>
      <c r="D89" s="92">
        <f t="shared" si="0"/>
        <v>88</v>
      </c>
      <c r="E89" s="100"/>
      <c r="F89" s="102"/>
      <c r="G89" s="103"/>
      <c r="H89" s="96"/>
      <c r="I89" s="16"/>
      <c r="J89" s="16"/>
      <c r="K89" s="101"/>
    </row>
    <row r="90" spans="1:11" ht="15" x14ac:dyDescent="0.25">
      <c r="A90" s="89">
        <v>45636</v>
      </c>
      <c r="B90" s="90">
        <v>11</v>
      </c>
      <c r="C90" s="91">
        <v>76</v>
      </c>
      <c r="D90" s="92">
        <f t="shared" si="0"/>
        <v>87</v>
      </c>
      <c r="E90" s="100"/>
      <c r="F90" s="102"/>
      <c r="G90" s="103"/>
      <c r="H90" s="96"/>
      <c r="I90" s="16"/>
      <c r="J90" s="16"/>
      <c r="K90" s="101"/>
    </row>
    <row r="91" spans="1:11" ht="15" x14ac:dyDescent="0.25">
      <c r="A91" s="89">
        <v>45637</v>
      </c>
      <c r="B91" s="90">
        <v>11</v>
      </c>
      <c r="C91" s="91">
        <v>76</v>
      </c>
      <c r="D91" s="92">
        <f t="shared" si="0"/>
        <v>87</v>
      </c>
      <c r="E91" s="100"/>
      <c r="F91" s="102"/>
      <c r="G91" s="103"/>
      <c r="H91" s="96"/>
      <c r="I91" s="16"/>
      <c r="J91" s="16"/>
      <c r="K91" s="101"/>
    </row>
    <row r="92" spans="1:11" ht="15" x14ac:dyDescent="0.25">
      <c r="A92" s="89">
        <v>45638</v>
      </c>
      <c r="B92" s="90">
        <v>11</v>
      </c>
      <c r="C92" s="91">
        <v>75</v>
      </c>
      <c r="D92" s="92">
        <f t="shared" si="0"/>
        <v>86</v>
      </c>
      <c r="E92" s="100"/>
      <c r="F92" s="102"/>
      <c r="G92" s="103"/>
      <c r="H92" s="96"/>
      <c r="I92" s="16"/>
      <c r="J92" s="16"/>
      <c r="K92" s="101"/>
    </row>
    <row r="93" spans="1:11" ht="15" x14ac:dyDescent="0.25">
      <c r="A93" s="89">
        <v>45639</v>
      </c>
      <c r="B93" s="90">
        <v>11</v>
      </c>
      <c r="C93" s="91">
        <v>74</v>
      </c>
      <c r="D93" s="92">
        <f t="shared" si="0"/>
        <v>85</v>
      </c>
      <c r="E93" s="100"/>
      <c r="F93" s="102"/>
      <c r="G93" s="103"/>
      <c r="H93" s="96"/>
      <c r="I93" s="16"/>
      <c r="J93" s="16"/>
      <c r="K93" s="101"/>
    </row>
    <row r="94" spans="1:11" ht="15" x14ac:dyDescent="0.25">
      <c r="A94" s="89">
        <v>45642</v>
      </c>
      <c r="B94" s="90">
        <v>11</v>
      </c>
      <c r="C94" s="91">
        <v>74</v>
      </c>
      <c r="D94" s="92">
        <f t="shared" si="0"/>
        <v>85</v>
      </c>
      <c r="E94" s="100"/>
      <c r="F94" s="102"/>
      <c r="G94" s="103"/>
      <c r="H94" s="96"/>
      <c r="I94" s="16"/>
      <c r="J94" s="16"/>
      <c r="K94" s="101"/>
    </row>
    <row r="95" spans="1:11" ht="15" x14ac:dyDescent="0.25">
      <c r="A95" s="89">
        <v>45643</v>
      </c>
      <c r="B95" s="90">
        <v>11</v>
      </c>
      <c r="C95" s="91">
        <v>73</v>
      </c>
      <c r="D95" s="92">
        <f t="shared" si="0"/>
        <v>84</v>
      </c>
      <c r="E95" s="100"/>
      <c r="F95" s="102"/>
      <c r="G95" s="103"/>
      <c r="H95" s="96"/>
      <c r="I95" s="16"/>
      <c r="J95" s="16"/>
      <c r="K95" s="101"/>
    </row>
    <row r="96" spans="1:11" ht="15" x14ac:dyDescent="0.25">
      <c r="A96" s="89">
        <v>45644</v>
      </c>
      <c r="B96" s="90">
        <v>11</v>
      </c>
      <c r="C96" s="91">
        <v>72</v>
      </c>
      <c r="D96" s="92">
        <f t="shared" si="0"/>
        <v>83</v>
      </c>
      <c r="E96" s="100"/>
      <c r="F96" s="102"/>
      <c r="G96" s="103"/>
      <c r="H96" s="96"/>
      <c r="I96" s="16"/>
      <c r="J96" s="16"/>
      <c r="K96" s="101"/>
    </row>
    <row r="97" spans="1:11" ht="15" x14ac:dyDescent="0.25">
      <c r="A97" s="89">
        <v>45645</v>
      </c>
      <c r="B97" s="90">
        <v>12</v>
      </c>
      <c r="C97" s="91">
        <v>70</v>
      </c>
      <c r="D97" s="92">
        <f t="shared" si="0"/>
        <v>82</v>
      </c>
      <c r="E97" s="100"/>
      <c r="F97" s="102"/>
      <c r="G97" s="103"/>
      <c r="H97" s="96"/>
      <c r="I97" s="16"/>
      <c r="J97" s="16"/>
      <c r="K97" s="101"/>
    </row>
    <row r="98" spans="1:11" ht="15" x14ac:dyDescent="0.25">
      <c r="A98" s="89">
        <v>45646</v>
      </c>
      <c r="B98" s="90">
        <v>10</v>
      </c>
      <c r="C98" s="91">
        <v>70</v>
      </c>
      <c r="D98" s="92">
        <f t="shared" si="0"/>
        <v>80</v>
      </c>
      <c r="E98" s="100"/>
      <c r="F98" s="102"/>
      <c r="G98" s="103"/>
      <c r="H98" s="96"/>
      <c r="I98" s="16"/>
      <c r="J98" s="16"/>
      <c r="K98" s="101"/>
    </row>
    <row r="99" spans="1:11" ht="15" x14ac:dyDescent="0.25">
      <c r="A99" s="24">
        <v>45649</v>
      </c>
      <c r="B99" s="98"/>
      <c r="C99" s="27"/>
      <c r="D99" s="92">
        <f t="shared" si="0"/>
        <v>0</v>
      </c>
      <c r="E99" s="100"/>
      <c r="F99" s="102"/>
      <c r="G99" s="103"/>
      <c r="H99" s="96"/>
      <c r="I99" s="16"/>
      <c r="J99" s="16"/>
      <c r="K99" s="101"/>
    </row>
    <row r="100" spans="1:11" ht="15" x14ac:dyDescent="0.25">
      <c r="A100" s="24">
        <v>45650</v>
      </c>
      <c r="B100" s="98"/>
      <c r="C100" s="27"/>
      <c r="D100" s="92">
        <f t="shared" si="0"/>
        <v>0</v>
      </c>
      <c r="E100" s="100"/>
      <c r="F100" s="102"/>
      <c r="G100" s="103"/>
      <c r="H100" s="96"/>
      <c r="I100" s="16"/>
      <c r="J100" s="16"/>
      <c r="K100" s="101"/>
    </row>
    <row r="101" spans="1:11" ht="15" x14ac:dyDescent="0.25">
      <c r="A101" s="24">
        <v>45651</v>
      </c>
      <c r="B101" s="98"/>
      <c r="C101" s="27"/>
      <c r="D101" s="92">
        <f t="shared" si="0"/>
        <v>0</v>
      </c>
      <c r="E101" s="100"/>
      <c r="F101" s="102"/>
      <c r="G101" s="103"/>
      <c r="H101" s="96"/>
      <c r="I101" s="16"/>
      <c r="J101" s="16"/>
      <c r="K101" s="101"/>
    </row>
    <row r="102" spans="1:11" ht="15" x14ac:dyDescent="0.25">
      <c r="A102" s="24">
        <v>45652</v>
      </c>
      <c r="B102" s="98"/>
      <c r="C102" s="27"/>
      <c r="D102" s="92">
        <f t="shared" si="0"/>
        <v>0</v>
      </c>
      <c r="E102" s="100"/>
      <c r="F102" s="102"/>
      <c r="G102" s="103"/>
      <c r="H102" s="96"/>
      <c r="I102" s="16"/>
      <c r="J102" s="16"/>
      <c r="K102" s="101"/>
    </row>
    <row r="103" spans="1:11" ht="15" x14ac:dyDescent="0.25">
      <c r="A103" s="24">
        <v>45653</v>
      </c>
      <c r="B103" s="98"/>
      <c r="C103" s="27"/>
      <c r="D103" s="92">
        <f t="shared" si="0"/>
        <v>0</v>
      </c>
      <c r="E103" s="100"/>
      <c r="F103" s="102"/>
      <c r="G103" s="103"/>
      <c r="H103" s="96"/>
      <c r="I103" s="16"/>
      <c r="J103" s="16"/>
      <c r="K103" s="101"/>
    </row>
    <row r="104" spans="1:11" ht="15" x14ac:dyDescent="0.25">
      <c r="A104" s="24">
        <v>45656</v>
      </c>
      <c r="B104" s="98"/>
      <c r="C104" s="27"/>
      <c r="D104" s="92">
        <f t="shared" si="0"/>
        <v>0</v>
      </c>
      <c r="E104" s="100"/>
      <c r="F104" s="102"/>
      <c r="G104" s="103"/>
      <c r="H104" s="96"/>
      <c r="I104" s="16"/>
      <c r="J104" s="16"/>
      <c r="K104" s="101"/>
    </row>
    <row r="105" spans="1:11" ht="15" x14ac:dyDescent="0.25">
      <c r="A105" s="24">
        <v>45657</v>
      </c>
      <c r="B105" s="98"/>
      <c r="C105" s="27"/>
      <c r="D105" s="92">
        <f t="shared" si="0"/>
        <v>0</v>
      </c>
      <c r="E105" s="100"/>
      <c r="F105" s="102"/>
      <c r="G105" s="103"/>
      <c r="H105" s="96"/>
      <c r="I105" s="16"/>
      <c r="J105" s="16"/>
      <c r="K105" s="101"/>
    </row>
    <row r="106" spans="1:11" ht="15" x14ac:dyDescent="0.25">
      <c r="A106" s="24">
        <v>45658</v>
      </c>
      <c r="B106" s="98"/>
      <c r="C106" s="27"/>
      <c r="D106" s="92">
        <f t="shared" si="0"/>
        <v>0</v>
      </c>
      <c r="E106" s="100"/>
      <c r="F106" s="102"/>
      <c r="G106" s="103"/>
      <c r="H106" s="96"/>
      <c r="I106" s="16"/>
      <c r="J106" s="16"/>
      <c r="K106" s="101"/>
    </row>
    <row r="107" spans="1:11" ht="15" x14ac:dyDescent="0.25">
      <c r="A107" s="24">
        <v>45659</v>
      </c>
      <c r="B107" s="98"/>
      <c r="C107" s="27"/>
      <c r="D107" s="92">
        <f t="shared" si="0"/>
        <v>0</v>
      </c>
      <c r="E107" s="100"/>
      <c r="F107" s="102"/>
      <c r="G107" s="103"/>
      <c r="H107" s="96"/>
      <c r="I107" s="16"/>
      <c r="J107" s="16"/>
      <c r="K107" s="101"/>
    </row>
    <row r="108" spans="1:11" ht="15" x14ac:dyDescent="0.25">
      <c r="A108" s="24">
        <v>45660</v>
      </c>
      <c r="B108" s="98"/>
      <c r="C108" s="27"/>
      <c r="D108" s="92">
        <f t="shared" si="0"/>
        <v>0</v>
      </c>
      <c r="E108" s="100"/>
      <c r="F108" s="102"/>
      <c r="G108" s="103"/>
      <c r="H108" s="96"/>
      <c r="I108" s="16"/>
      <c r="J108" s="16"/>
      <c r="K108" s="101"/>
    </row>
    <row r="109" spans="1:11" ht="15" x14ac:dyDescent="0.25">
      <c r="A109" s="30">
        <v>45663</v>
      </c>
      <c r="B109" s="99"/>
      <c r="C109" s="33"/>
      <c r="D109" s="92">
        <f t="shared" si="0"/>
        <v>0</v>
      </c>
      <c r="E109" s="100"/>
      <c r="F109" s="102"/>
      <c r="G109" s="103"/>
      <c r="H109" s="96"/>
      <c r="I109" s="16"/>
      <c r="J109" s="16"/>
      <c r="K109" s="101"/>
    </row>
    <row r="110" spans="1:11" ht="15" x14ac:dyDescent="0.25">
      <c r="A110" s="30">
        <v>45664</v>
      </c>
      <c r="B110" s="99"/>
      <c r="C110" s="33"/>
      <c r="D110" s="92">
        <f t="shared" si="0"/>
        <v>0</v>
      </c>
      <c r="E110" s="100"/>
      <c r="F110" s="102"/>
      <c r="G110" s="103"/>
      <c r="H110" s="96"/>
      <c r="I110" s="16"/>
      <c r="J110" s="16"/>
      <c r="K110" s="101"/>
    </row>
    <row r="111" spans="1:11" ht="15" x14ac:dyDescent="0.25">
      <c r="A111" s="89">
        <v>45665</v>
      </c>
      <c r="B111" s="90">
        <v>13</v>
      </c>
      <c r="C111" s="91">
        <v>72</v>
      </c>
      <c r="D111" s="92">
        <f t="shared" si="0"/>
        <v>85</v>
      </c>
      <c r="E111" s="100"/>
      <c r="F111" s="102"/>
      <c r="G111" s="103"/>
      <c r="H111" s="96"/>
      <c r="I111" s="16"/>
      <c r="J111" s="16"/>
      <c r="K111" s="101"/>
    </row>
    <row r="112" spans="1:11" ht="15" x14ac:dyDescent="0.25">
      <c r="A112" s="89">
        <v>45666</v>
      </c>
      <c r="B112" s="90">
        <v>11</v>
      </c>
      <c r="C112" s="91">
        <v>74</v>
      </c>
      <c r="D112" s="92">
        <f t="shared" si="0"/>
        <v>85</v>
      </c>
      <c r="E112" s="100"/>
      <c r="F112" s="102"/>
      <c r="G112" s="103"/>
      <c r="H112" s="96"/>
      <c r="I112" s="16"/>
      <c r="J112" s="16"/>
      <c r="K112" s="101"/>
    </row>
    <row r="113" spans="1:11" ht="15" x14ac:dyDescent="0.25">
      <c r="A113" s="89">
        <v>45667</v>
      </c>
      <c r="B113" s="90">
        <v>11</v>
      </c>
      <c r="C113" s="91">
        <v>74</v>
      </c>
      <c r="D113" s="92">
        <f t="shared" si="0"/>
        <v>85</v>
      </c>
      <c r="E113" s="100"/>
      <c r="F113" s="102"/>
      <c r="G113" s="103"/>
      <c r="H113" s="96"/>
      <c r="I113" s="16"/>
      <c r="J113" s="16"/>
      <c r="K113" s="101"/>
    </row>
    <row r="114" spans="1:11" ht="15" x14ac:dyDescent="0.25">
      <c r="A114" s="89">
        <v>45670</v>
      </c>
      <c r="B114" s="90">
        <v>11</v>
      </c>
      <c r="C114" s="91">
        <v>74</v>
      </c>
      <c r="D114" s="92">
        <f t="shared" si="0"/>
        <v>85</v>
      </c>
      <c r="E114" s="100"/>
      <c r="F114" s="102"/>
      <c r="G114" s="103"/>
      <c r="H114" s="96"/>
      <c r="I114" s="16"/>
      <c r="J114" s="16"/>
      <c r="K114" s="101"/>
    </row>
    <row r="115" spans="1:11" ht="15" x14ac:dyDescent="0.25">
      <c r="A115" s="89">
        <v>45671</v>
      </c>
      <c r="B115" s="90">
        <v>11</v>
      </c>
      <c r="C115" s="91">
        <v>74</v>
      </c>
      <c r="D115" s="92">
        <f t="shared" si="0"/>
        <v>85</v>
      </c>
      <c r="E115" s="100"/>
      <c r="F115" s="102"/>
      <c r="G115" s="103"/>
      <c r="H115" s="96"/>
      <c r="I115" s="16"/>
      <c r="J115" s="16"/>
      <c r="K115" s="101"/>
    </row>
    <row r="116" spans="1:11" ht="15" x14ac:dyDescent="0.25">
      <c r="A116" s="89">
        <v>45672</v>
      </c>
      <c r="B116" s="90">
        <v>11</v>
      </c>
      <c r="C116" s="91">
        <v>73</v>
      </c>
      <c r="D116" s="92">
        <f t="shared" si="0"/>
        <v>84</v>
      </c>
      <c r="E116" s="100"/>
      <c r="F116" s="102"/>
      <c r="G116" s="103"/>
      <c r="H116" s="96"/>
      <c r="I116" s="16"/>
      <c r="J116" s="16"/>
      <c r="K116" s="101"/>
    </row>
    <row r="117" spans="1:11" ht="15" x14ac:dyDescent="0.25">
      <c r="A117" s="89">
        <v>45673</v>
      </c>
      <c r="B117" s="90">
        <v>11</v>
      </c>
      <c r="C117" s="91">
        <v>72</v>
      </c>
      <c r="D117" s="92">
        <f t="shared" si="0"/>
        <v>83</v>
      </c>
      <c r="E117" s="100"/>
      <c r="F117" s="102"/>
      <c r="G117" s="103"/>
      <c r="H117" s="96"/>
      <c r="I117" s="16"/>
      <c r="J117" s="16"/>
      <c r="K117" s="101"/>
    </row>
    <row r="118" spans="1:11" ht="15" x14ac:dyDescent="0.25">
      <c r="A118" s="89">
        <v>45674</v>
      </c>
      <c r="B118" s="90">
        <v>11</v>
      </c>
      <c r="C118" s="91">
        <v>73</v>
      </c>
      <c r="D118" s="92">
        <f t="shared" si="0"/>
        <v>84</v>
      </c>
      <c r="E118" s="100"/>
      <c r="F118" s="102"/>
      <c r="G118" s="103"/>
      <c r="H118" s="96"/>
      <c r="I118" s="16"/>
      <c r="J118" s="16"/>
      <c r="K118" s="101"/>
    </row>
    <row r="119" spans="1:11" ht="15" x14ac:dyDescent="0.25">
      <c r="A119" s="24">
        <v>45677</v>
      </c>
      <c r="B119" s="98"/>
      <c r="C119" s="27"/>
      <c r="D119" s="92">
        <f t="shared" si="0"/>
        <v>0</v>
      </c>
      <c r="E119" s="100"/>
      <c r="F119" s="102"/>
      <c r="G119" s="103"/>
      <c r="H119" s="96"/>
      <c r="I119" s="16"/>
      <c r="J119" s="16"/>
      <c r="K119" s="101"/>
    </row>
    <row r="120" spans="1:11" ht="15" x14ac:dyDescent="0.25">
      <c r="A120" s="89">
        <v>45678</v>
      </c>
      <c r="B120" s="90">
        <v>11</v>
      </c>
      <c r="C120" s="91">
        <v>73</v>
      </c>
      <c r="D120" s="92">
        <f t="shared" si="0"/>
        <v>84</v>
      </c>
      <c r="E120" s="100"/>
      <c r="F120" s="102"/>
      <c r="G120" s="103"/>
      <c r="H120" s="96"/>
      <c r="I120" s="16"/>
      <c r="J120" s="16"/>
      <c r="K120" s="101"/>
    </row>
    <row r="121" spans="1:11" ht="15" x14ac:dyDescent="0.25">
      <c r="A121" s="89">
        <v>45679</v>
      </c>
      <c r="B121" s="90">
        <v>11</v>
      </c>
      <c r="C121" s="91">
        <v>73</v>
      </c>
      <c r="D121" s="92">
        <f t="shared" si="0"/>
        <v>84</v>
      </c>
      <c r="E121" s="100"/>
      <c r="F121" s="102"/>
      <c r="G121" s="103"/>
      <c r="H121" s="96"/>
      <c r="I121" s="16"/>
      <c r="J121" s="16"/>
      <c r="K121" s="101"/>
    </row>
    <row r="122" spans="1:11" ht="15" x14ac:dyDescent="0.25">
      <c r="A122" s="89">
        <v>45680</v>
      </c>
      <c r="B122" s="90">
        <v>11</v>
      </c>
      <c r="C122" s="91">
        <v>75</v>
      </c>
      <c r="D122" s="92">
        <f t="shared" si="0"/>
        <v>86</v>
      </c>
      <c r="E122" s="100"/>
      <c r="F122" s="102"/>
      <c r="G122" s="103"/>
      <c r="H122" s="96"/>
      <c r="I122" s="16"/>
      <c r="J122" s="16"/>
      <c r="K122" s="101"/>
    </row>
    <row r="123" spans="1:11" ht="15" x14ac:dyDescent="0.25">
      <c r="A123" s="89">
        <v>45681</v>
      </c>
      <c r="B123" s="90">
        <v>11</v>
      </c>
      <c r="C123" s="91">
        <v>75</v>
      </c>
      <c r="D123" s="92">
        <f t="shared" si="0"/>
        <v>86</v>
      </c>
      <c r="E123" s="100"/>
      <c r="F123" s="102"/>
      <c r="G123" s="103"/>
      <c r="H123" s="96"/>
      <c r="I123" s="16"/>
      <c r="J123" s="16"/>
      <c r="K123" s="101"/>
    </row>
    <row r="124" spans="1:11" ht="15" x14ac:dyDescent="0.25">
      <c r="A124" s="89">
        <v>45684</v>
      </c>
      <c r="B124" s="90">
        <v>11</v>
      </c>
      <c r="C124" s="91">
        <v>75</v>
      </c>
      <c r="D124" s="92">
        <f t="shared" si="0"/>
        <v>86</v>
      </c>
      <c r="E124" s="100"/>
      <c r="F124" s="102"/>
      <c r="G124" s="103"/>
      <c r="H124" s="96"/>
      <c r="I124" s="16"/>
      <c r="J124" s="16"/>
      <c r="K124" s="101"/>
    </row>
    <row r="125" spans="1:11" ht="15" x14ac:dyDescent="0.25">
      <c r="A125" s="89">
        <v>45685</v>
      </c>
      <c r="B125" s="90">
        <v>11</v>
      </c>
      <c r="C125" s="91">
        <v>75</v>
      </c>
      <c r="D125" s="92">
        <f t="shared" si="0"/>
        <v>86</v>
      </c>
      <c r="E125" s="100"/>
      <c r="F125" s="102"/>
      <c r="G125" s="103"/>
      <c r="H125" s="96"/>
      <c r="I125" s="16"/>
      <c r="J125" s="16"/>
      <c r="K125" s="101"/>
    </row>
    <row r="126" spans="1:11" ht="15" x14ac:dyDescent="0.25">
      <c r="A126" s="89">
        <v>45686</v>
      </c>
      <c r="B126" s="90">
        <v>12</v>
      </c>
      <c r="C126" s="91">
        <v>75</v>
      </c>
      <c r="D126" s="92">
        <f t="shared" si="0"/>
        <v>87</v>
      </c>
      <c r="E126" s="100"/>
      <c r="F126" s="102"/>
      <c r="G126" s="103"/>
      <c r="H126" s="96"/>
      <c r="I126" s="16"/>
      <c r="J126" s="16"/>
      <c r="K126" s="101"/>
    </row>
    <row r="127" spans="1:11" ht="15" x14ac:dyDescent="0.25">
      <c r="A127" s="89">
        <v>45687</v>
      </c>
      <c r="B127" s="90">
        <v>12</v>
      </c>
      <c r="C127" s="91">
        <v>75</v>
      </c>
      <c r="D127" s="92">
        <f t="shared" si="0"/>
        <v>87</v>
      </c>
      <c r="E127" s="100"/>
      <c r="F127" s="102"/>
      <c r="G127" s="103"/>
      <c r="H127" s="96"/>
      <c r="I127" s="16"/>
      <c r="J127" s="16"/>
      <c r="K127" s="101"/>
    </row>
    <row r="128" spans="1:11" ht="15" x14ac:dyDescent="0.25">
      <c r="A128" s="89">
        <v>45688</v>
      </c>
      <c r="B128" s="90">
        <v>12</v>
      </c>
      <c r="C128" s="91">
        <v>76</v>
      </c>
      <c r="D128" s="92">
        <f t="shared" si="0"/>
        <v>88</v>
      </c>
      <c r="E128" s="100"/>
      <c r="F128" s="102"/>
      <c r="G128" s="103"/>
      <c r="H128" s="96"/>
      <c r="I128" s="16"/>
      <c r="J128" s="16"/>
      <c r="K128" s="101"/>
    </row>
    <row r="129" spans="1:11" ht="15" x14ac:dyDescent="0.25">
      <c r="A129" s="89">
        <v>45691</v>
      </c>
      <c r="B129" s="90">
        <v>12</v>
      </c>
      <c r="C129" s="91">
        <v>77</v>
      </c>
      <c r="D129" s="92">
        <f t="shared" si="0"/>
        <v>89</v>
      </c>
      <c r="E129" s="100"/>
      <c r="F129" s="102"/>
      <c r="G129" s="103"/>
      <c r="H129" s="96"/>
      <c r="I129" s="16"/>
      <c r="J129" s="16"/>
      <c r="K129" s="101"/>
    </row>
    <row r="130" spans="1:11" ht="15" x14ac:dyDescent="0.25">
      <c r="A130" s="89">
        <v>45692</v>
      </c>
      <c r="B130" s="90">
        <v>12</v>
      </c>
      <c r="C130" s="91">
        <v>78</v>
      </c>
      <c r="D130" s="92">
        <f t="shared" si="0"/>
        <v>90</v>
      </c>
      <c r="E130" s="100"/>
      <c r="F130" s="102"/>
      <c r="G130" s="103"/>
      <c r="H130" s="96"/>
      <c r="I130" s="16"/>
      <c r="J130" s="16"/>
      <c r="K130" s="101"/>
    </row>
    <row r="131" spans="1:11" ht="15" x14ac:dyDescent="0.25">
      <c r="A131" s="89">
        <v>45693</v>
      </c>
      <c r="B131" s="90">
        <v>13</v>
      </c>
      <c r="C131" s="91">
        <v>80</v>
      </c>
      <c r="D131" s="92">
        <f t="shared" si="0"/>
        <v>93</v>
      </c>
      <c r="E131" s="100"/>
      <c r="F131" s="102"/>
      <c r="G131" s="103"/>
      <c r="H131" s="96"/>
      <c r="I131" s="16"/>
      <c r="J131" s="16"/>
      <c r="K131" s="101"/>
    </row>
    <row r="132" spans="1:11" ht="15" x14ac:dyDescent="0.25">
      <c r="A132" s="89">
        <v>45694</v>
      </c>
      <c r="B132" s="90">
        <v>13</v>
      </c>
      <c r="C132" s="91">
        <v>80</v>
      </c>
      <c r="D132" s="92">
        <f t="shared" si="0"/>
        <v>93</v>
      </c>
      <c r="E132" s="100"/>
      <c r="F132" s="102"/>
      <c r="G132" s="103"/>
      <c r="H132" s="96"/>
      <c r="I132" s="16"/>
      <c r="J132" s="16"/>
      <c r="K132" s="101"/>
    </row>
    <row r="133" spans="1:11" ht="15" x14ac:dyDescent="0.25">
      <c r="A133" s="89">
        <v>45695</v>
      </c>
      <c r="B133" s="90">
        <v>13</v>
      </c>
      <c r="C133" s="91">
        <v>80</v>
      </c>
      <c r="D133" s="92">
        <f t="shared" si="0"/>
        <v>93</v>
      </c>
      <c r="E133" s="100"/>
      <c r="F133" s="102"/>
      <c r="G133" s="103"/>
      <c r="H133" s="96"/>
      <c r="I133" s="16"/>
      <c r="J133" s="16"/>
      <c r="K133" s="101"/>
    </row>
    <row r="134" spans="1:11" ht="15" x14ac:dyDescent="0.25">
      <c r="A134" s="30">
        <v>45698</v>
      </c>
      <c r="B134" s="99"/>
      <c r="C134" s="33"/>
      <c r="D134" s="92">
        <f t="shared" si="0"/>
        <v>0</v>
      </c>
      <c r="E134" s="100"/>
      <c r="F134" s="102"/>
      <c r="G134" s="103"/>
      <c r="H134" s="96"/>
      <c r="I134" s="16"/>
      <c r="J134" s="16"/>
      <c r="K134" s="101"/>
    </row>
    <row r="135" spans="1:11" ht="15" x14ac:dyDescent="0.25">
      <c r="A135" s="30">
        <v>45699</v>
      </c>
      <c r="B135" s="99"/>
      <c r="C135" s="33"/>
      <c r="D135" s="92">
        <f t="shared" si="0"/>
        <v>0</v>
      </c>
      <c r="E135" s="100"/>
      <c r="F135" s="102"/>
      <c r="G135" s="103"/>
      <c r="H135" s="96"/>
      <c r="I135" s="16"/>
      <c r="J135" s="16"/>
      <c r="K135" s="101"/>
    </row>
    <row r="136" spans="1:11" ht="15" x14ac:dyDescent="0.25">
      <c r="A136" s="89">
        <v>45700</v>
      </c>
      <c r="B136" s="90">
        <v>12</v>
      </c>
      <c r="C136" s="91">
        <v>80</v>
      </c>
      <c r="D136" s="92">
        <f t="shared" si="0"/>
        <v>92</v>
      </c>
      <c r="E136" s="100"/>
      <c r="F136" s="102"/>
      <c r="G136" s="103"/>
      <c r="H136" s="96"/>
      <c r="I136" s="16"/>
      <c r="J136" s="16"/>
      <c r="K136" s="101"/>
    </row>
    <row r="137" spans="1:11" ht="15" x14ac:dyDescent="0.25">
      <c r="A137" s="89">
        <v>45701</v>
      </c>
      <c r="B137" s="90">
        <v>12</v>
      </c>
      <c r="C137" s="91">
        <v>80</v>
      </c>
      <c r="D137" s="92">
        <f t="shared" si="0"/>
        <v>92</v>
      </c>
      <c r="E137" s="100"/>
      <c r="F137" s="102"/>
      <c r="G137" s="103"/>
      <c r="H137" s="96"/>
      <c r="I137" s="16"/>
      <c r="J137" s="16"/>
      <c r="K137" s="101"/>
    </row>
    <row r="138" spans="1:11" ht="15" x14ac:dyDescent="0.25">
      <c r="A138" s="89">
        <v>45702</v>
      </c>
      <c r="B138" s="90">
        <v>12</v>
      </c>
      <c r="C138" s="91">
        <v>80</v>
      </c>
      <c r="D138" s="92">
        <f t="shared" si="0"/>
        <v>92</v>
      </c>
      <c r="E138" s="100"/>
      <c r="F138" s="102"/>
      <c r="G138" s="103"/>
      <c r="H138" s="96"/>
      <c r="I138" s="16"/>
      <c r="J138" s="16"/>
      <c r="K138" s="101"/>
    </row>
    <row r="139" spans="1:11" ht="15" x14ac:dyDescent="0.25">
      <c r="A139" s="38">
        <v>45705</v>
      </c>
      <c r="B139" s="104"/>
      <c r="C139" s="41"/>
      <c r="D139" s="92">
        <f t="shared" si="0"/>
        <v>0</v>
      </c>
      <c r="E139" s="100"/>
      <c r="F139" s="102"/>
      <c r="G139" s="103"/>
      <c r="H139" s="96"/>
      <c r="I139" s="16"/>
      <c r="J139" s="16"/>
      <c r="K139" s="101"/>
    </row>
    <row r="140" spans="1:11" ht="15" x14ac:dyDescent="0.25">
      <c r="A140" s="89">
        <v>45706</v>
      </c>
      <c r="B140" s="90">
        <v>12</v>
      </c>
      <c r="C140" s="91">
        <v>74</v>
      </c>
      <c r="D140" s="92">
        <f t="shared" si="0"/>
        <v>86</v>
      </c>
      <c r="E140" s="100"/>
      <c r="F140" s="102"/>
      <c r="G140" s="103"/>
      <c r="H140" s="96"/>
      <c r="I140" s="16"/>
      <c r="J140" s="16"/>
      <c r="K140" s="101"/>
    </row>
    <row r="141" spans="1:11" ht="15" x14ac:dyDescent="0.25">
      <c r="A141" s="89">
        <v>45707</v>
      </c>
      <c r="B141" s="90">
        <v>12</v>
      </c>
      <c r="C141" s="91">
        <v>75</v>
      </c>
      <c r="D141" s="92">
        <f t="shared" si="0"/>
        <v>87</v>
      </c>
      <c r="E141" s="100"/>
      <c r="F141" s="102"/>
      <c r="G141" s="103"/>
      <c r="H141" s="96"/>
      <c r="I141" s="16"/>
      <c r="J141" s="16"/>
      <c r="K141" s="101"/>
    </row>
    <row r="142" spans="1:11" ht="15" x14ac:dyDescent="0.25">
      <c r="A142" s="89">
        <v>45708</v>
      </c>
      <c r="B142" s="90">
        <v>12</v>
      </c>
      <c r="C142" s="91">
        <v>74</v>
      </c>
      <c r="D142" s="92">
        <f t="shared" si="0"/>
        <v>86</v>
      </c>
      <c r="E142" s="100"/>
      <c r="F142" s="102"/>
      <c r="G142" s="103"/>
      <c r="H142" s="96"/>
      <c r="I142" s="16"/>
      <c r="J142" s="16"/>
      <c r="K142" s="101"/>
    </row>
    <row r="143" spans="1:11" ht="15" x14ac:dyDescent="0.25">
      <c r="A143" s="89">
        <v>45709</v>
      </c>
      <c r="B143" s="90">
        <v>12</v>
      </c>
      <c r="C143" s="91">
        <v>73</v>
      </c>
      <c r="D143" s="92">
        <f t="shared" si="0"/>
        <v>85</v>
      </c>
      <c r="E143" s="100"/>
      <c r="F143" s="102"/>
      <c r="G143" s="103"/>
      <c r="H143" s="96"/>
      <c r="I143" s="16"/>
      <c r="J143" s="16"/>
      <c r="K143" s="101"/>
    </row>
    <row r="144" spans="1:11" ht="15" x14ac:dyDescent="0.25">
      <c r="A144" s="89">
        <v>45712</v>
      </c>
      <c r="B144" s="90">
        <v>12</v>
      </c>
      <c r="C144" s="91">
        <v>72</v>
      </c>
      <c r="D144" s="92">
        <f t="shared" si="0"/>
        <v>84</v>
      </c>
      <c r="E144" s="100"/>
      <c r="F144" s="102"/>
      <c r="G144" s="103"/>
      <c r="H144" s="96"/>
      <c r="I144" s="16"/>
      <c r="J144" s="16"/>
      <c r="K144" s="101"/>
    </row>
    <row r="145" spans="1:11" ht="15" x14ac:dyDescent="0.25">
      <c r="A145" s="89">
        <v>45713</v>
      </c>
      <c r="B145" s="90">
        <v>12</v>
      </c>
      <c r="C145" s="91">
        <v>72</v>
      </c>
      <c r="D145" s="92">
        <f t="shared" si="0"/>
        <v>84</v>
      </c>
      <c r="E145" s="100"/>
      <c r="F145" s="102"/>
      <c r="G145" s="103"/>
      <c r="H145" s="96"/>
      <c r="I145" s="16"/>
      <c r="J145" s="16"/>
      <c r="K145" s="101"/>
    </row>
    <row r="146" spans="1:11" ht="15" x14ac:dyDescent="0.25">
      <c r="A146" s="89">
        <v>45714</v>
      </c>
      <c r="B146" s="90">
        <v>12</v>
      </c>
      <c r="C146" s="91">
        <v>70</v>
      </c>
      <c r="D146" s="92">
        <f t="shared" si="0"/>
        <v>82</v>
      </c>
      <c r="E146" s="100"/>
      <c r="F146" s="102"/>
      <c r="G146" s="103"/>
      <c r="H146" s="96"/>
      <c r="I146" s="16"/>
      <c r="J146" s="16"/>
      <c r="K146" s="101"/>
    </row>
    <row r="147" spans="1:11" ht="15" x14ac:dyDescent="0.25">
      <c r="A147" s="89">
        <v>45715</v>
      </c>
      <c r="B147" s="90">
        <v>15</v>
      </c>
      <c r="C147" s="91">
        <v>68</v>
      </c>
      <c r="D147" s="92">
        <f t="shared" si="0"/>
        <v>83</v>
      </c>
      <c r="E147" s="100"/>
      <c r="F147" s="102"/>
      <c r="G147" s="103"/>
      <c r="H147" s="96"/>
      <c r="I147" s="16"/>
      <c r="J147" s="16"/>
      <c r="K147" s="101"/>
    </row>
    <row r="148" spans="1:11" ht="15" x14ac:dyDescent="0.25">
      <c r="A148" s="89">
        <v>45716</v>
      </c>
      <c r="B148" s="90">
        <v>15</v>
      </c>
      <c r="C148" s="91">
        <v>68</v>
      </c>
      <c r="D148" s="92">
        <f t="shared" si="0"/>
        <v>83</v>
      </c>
      <c r="E148" s="100"/>
      <c r="F148" s="102"/>
      <c r="G148" s="103"/>
      <c r="H148" s="96"/>
      <c r="I148" s="16"/>
      <c r="J148" s="16"/>
      <c r="K148" s="101"/>
    </row>
    <row r="149" spans="1:11" ht="15" x14ac:dyDescent="0.25">
      <c r="A149" s="89">
        <v>45719</v>
      </c>
      <c r="B149" s="90">
        <v>15</v>
      </c>
      <c r="C149" s="91">
        <v>68</v>
      </c>
      <c r="D149" s="92">
        <f t="shared" si="0"/>
        <v>83</v>
      </c>
      <c r="E149" s="100"/>
      <c r="F149" s="102"/>
      <c r="G149" s="103"/>
      <c r="H149" s="96"/>
      <c r="I149" s="16"/>
      <c r="J149" s="16"/>
      <c r="K149" s="101"/>
    </row>
    <row r="150" spans="1:11" ht="15" x14ac:dyDescent="0.25">
      <c r="A150" s="89">
        <v>45720</v>
      </c>
      <c r="B150" s="90">
        <v>14</v>
      </c>
      <c r="C150" s="91">
        <v>66</v>
      </c>
      <c r="D150" s="92">
        <f t="shared" si="0"/>
        <v>80</v>
      </c>
      <c r="E150" s="100"/>
      <c r="F150" s="102"/>
      <c r="G150" s="103"/>
      <c r="H150" s="96"/>
      <c r="I150" s="16"/>
      <c r="J150" s="16"/>
      <c r="K150" s="101"/>
    </row>
    <row r="151" spans="1:11" ht="15" x14ac:dyDescent="0.25">
      <c r="A151" s="89">
        <v>45721</v>
      </c>
      <c r="B151" s="90">
        <v>14</v>
      </c>
      <c r="C151" s="91">
        <v>65</v>
      </c>
      <c r="D151" s="92">
        <f t="shared" si="0"/>
        <v>79</v>
      </c>
      <c r="E151" s="100"/>
      <c r="F151" s="102"/>
      <c r="G151" s="103"/>
      <c r="H151" s="96"/>
      <c r="I151" s="16"/>
      <c r="J151" s="16"/>
      <c r="K151" s="101"/>
    </row>
    <row r="152" spans="1:11" ht="15" x14ac:dyDescent="0.25">
      <c r="A152" s="89">
        <v>45722</v>
      </c>
      <c r="B152" s="90">
        <v>14</v>
      </c>
      <c r="C152" s="91">
        <v>67</v>
      </c>
      <c r="D152" s="92">
        <f t="shared" si="0"/>
        <v>81</v>
      </c>
      <c r="E152" s="100"/>
      <c r="F152" s="102"/>
      <c r="G152" s="103"/>
      <c r="H152" s="96"/>
      <c r="I152" s="16"/>
      <c r="J152" s="16"/>
      <c r="K152" s="101"/>
    </row>
    <row r="153" spans="1:11" ht="15" x14ac:dyDescent="0.25">
      <c r="A153" s="89">
        <v>45723</v>
      </c>
      <c r="B153" s="90"/>
      <c r="C153" s="91"/>
      <c r="D153" s="92">
        <f t="shared" si="0"/>
        <v>0</v>
      </c>
      <c r="E153" s="100"/>
      <c r="F153" s="102"/>
      <c r="G153" s="103"/>
      <c r="H153" s="96"/>
      <c r="I153" s="16"/>
      <c r="J153" s="16"/>
      <c r="K153" s="101"/>
    </row>
    <row r="154" spans="1:11" ht="15" x14ac:dyDescent="0.25">
      <c r="A154" s="105">
        <v>45726</v>
      </c>
      <c r="B154" s="90"/>
      <c r="C154" s="91"/>
      <c r="D154" s="92">
        <f t="shared" si="0"/>
        <v>0</v>
      </c>
      <c r="E154" s="100"/>
      <c r="F154" s="102"/>
      <c r="G154" s="103"/>
      <c r="H154" s="96"/>
      <c r="I154" s="16"/>
      <c r="J154" s="16"/>
      <c r="K154" s="101"/>
    </row>
    <row r="155" spans="1:11" ht="15" x14ac:dyDescent="0.25">
      <c r="A155" s="105">
        <v>45727</v>
      </c>
      <c r="B155" s="90"/>
      <c r="C155" s="91"/>
      <c r="D155" s="92">
        <f t="shared" si="0"/>
        <v>0</v>
      </c>
      <c r="E155" s="100"/>
      <c r="F155" s="102"/>
      <c r="G155" s="103"/>
      <c r="H155" s="96"/>
      <c r="I155" s="16"/>
      <c r="J155" s="16"/>
      <c r="K155" s="101"/>
    </row>
    <row r="156" spans="1:11" ht="15" x14ac:dyDescent="0.25">
      <c r="A156" s="105">
        <v>45728</v>
      </c>
      <c r="B156" s="90"/>
      <c r="C156" s="91"/>
      <c r="D156" s="92">
        <f t="shared" si="0"/>
        <v>0</v>
      </c>
      <c r="E156" s="100"/>
      <c r="F156" s="102"/>
      <c r="G156" s="103"/>
      <c r="H156" s="96"/>
      <c r="I156" s="16"/>
      <c r="J156" s="16"/>
      <c r="K156" s="101"/>
    </row>
    <row r="157" spans="1:11" ht="15" x14ac:dyDescent="0.25">
      <c r="A157" s="105">
        <v>45729</v>
      </c>
      <c r="B157" s="90"/>
      <c r="C157" s="91"/>
      <c r="D157" s="92">
        <f t="shared" si="0"/>
        <v>0</v>
      </c>
      <c r="E157" s="100"/>
      <c r="F157" s="102"/>
      <c r="G157" s="103"/>
      <c r="H157" s="96"/>
      <c r="I157" s="16"/>
      <c r="J157" s="16"/>
      <c r="K157" s="101"/>
    </row>
    <row r="158" spans="1:11" ht="15" x14ac:dyDescent="0.25">
      <c r="A158" s="105">
        <v>45730</v>
      </c>
      <c r="B158" s="90"/>
      <c r="C158" s="91"/>
      <c r="D158" s="92">
        <f t="shared" si="0"/>
        <v>0</v>
      </c>
      <c r="E158" s="100"/>
      <c r="F158" s="102"/>
      <c r="G158" s="103"/>
      <c r="H158" s="96"/>
      <c r="I158" s="16"/>
      <c r="J158" s="16"/>
      <c r="K158" s="101"/>
    </row>
    <row r="159" spans="1:11" ht="15" x14ac:dyDescent="0.25">
      <c r="A159" s="24">
        <v>45733</v>
      </c>
      <c r="B159" s="98"/>
      <c r="C159" s="27"/>
      <c r="D159" s="92">
        <f t="shared" si="0"/>
        <v>0</v>
      </c>
      <c r="E159" s="100"/>
      <c r="F159" s="102"/>
      <c r="G159" s="103"/>
      <c r="H159" s="96"/>
      <c r="I159" s="16"/>
      <c r="J159" s="16"/>
      <c r="K159" s="101"/>
    </row>
    <row r="160" spans="1:11" ht="15" x14ac:dyDescent="0.25">
      <c r="A160" s="24">
        <v>45734</v>
      </c>
      <c r="B160" s="98"/>
      <c r="C160" s="27"/>
      <c r="D160" s="92">
        <f t="shared" si="0"/>
        <v>0</v>
      </c>
      <c r="E160" s="100"/>
      <c r="F160" s="102"/>
      <c r="G160" s="103"/>
      <c r="H160" s="96"/>
      <c r="I160" s="16"/>
      <c r="J160" s="16"/>
      <c r="K160" s="101"/>
    </row>
    <row r="161" spans="1:11" ht="15" x14ac:dyDescent="0.25">
      <c r="A161" s="24">
        <v>45735</v>
      </c>
      <c r="B161" s="98"/>
      <c r="C161" s="27"/>
      <c r="D161" s="92">
        <f t="shared" si="0"/>
        <v>0</v>
      </c>
      <c r="E161" s="100"/>
      <c r="F161" s="102"/>
      <c r="G161" s="103"/>
      <c r="H161" s="96"/>
      <c r="I161" s="16"/>
      <c r="J161" s="16"/>
      <c r="K161" s="101"/>
    </row>
    <row r="162" spans="1:11" ht="15" x14ac:dyDescent="0.25">
      <c r="A162" s="24">
        <v>45736</v>
      </c>
      <c r="B162" s="98"/>
      <c r="C162" s="27"/>
      <c r="D162" s="92">
        <f t="shared" si="0"/>
        <v>0</v>
      </c>
      <c r="E162" s="100"/>
      <c r="F162" s="102"/>
      <c r="G162" s="103"/>
      <c r="H162" s="96"/>
      <c r="I162" s="16"/>
      <c r="J162" s="16"/>
      <c r="K162" s="101"/>
    </row>
    <row r="163" spans="1:11" ht="15" x14ac:dyDescent="0.25">
      <c r="A163" s="24">
        <v>45737</v>
      </c>
      <c r="B163" s="98"/>
      <c r="C163" s="27"/>
      <c r="D163" s="92">
        <f t="shared" si="0"/>
        <v>0</v>
      </c>
      <c r="E163" s="100"/>
      <c r="F163" s="102"/>
      <c r="G163" s="103"/>
      <c r="H163" s="96"/>
      <c r="I163" s="16"/>
      <c r="J163" s="16"/>
      <c r="K163" s="101"/>
    </row>
    <row r="164" spans="1:11" ht="15" x14ac:dyDescent="0.25">
      <c r="A164" s="89">
        <v>45740</v>
      </c>
      <c r="B164" s="90"/>
      <c r="C164" s="91"/>
      <c r="D164" s="92">
        <f t="shared" si="0"/>
        <v>0</v>
      </c>
      <c r="E164" s="100"/>
      <c r="F164" s="102"/>
      <c r="G164" s="103"/>
      <c r="H164" s="96"/>
      <c r="I164" s="16"/>
      <c r="J164" s="16"/>
      <c r="K164" s="101"/>
    </row>
    <row r="165" spans="1:11" ht="15" x14ac:dyDescent="0.25">
      <c r="A165" s="89">
        <v>45741</v>
      </c>
      <c r="B165" s="90"/>
      <c r="C165" s="91"/>
      <c r="D165" s="92">
        <f t="shared" si="0"/>
        <v>0</v>
      </c>
      <c r="E165" s="100"/>
      <c r="F165" s="102"/>
      <c r="G165" s="103"/>
      <c r="H165" s="96"/>
      <c r="I165" s="16"/>
      <c r="J165" s="16"/>
      <c r="K165" s="101"/>
    </row>
    <row r="166" spans="1:11" ht="15" x14ac:dyDescent="0.25">
      <c r="A166" s="89">
        <v>45742</v>
      </c>
      <c r="B166" s="90"/>
      <c r="C166" s="91"/>
      <c r="D166" s="92">
        <f t="shared" si="0"/>
        <v>0</v>
      </c>
      <c r="E166" s="100"/>
      <c r="F166" s="102"/>
      <c r="G166" s="103"/>
      <c r="H166" s="96"/>
      <c r="I166" s="16"/>
      <c r="J166" s="16"/>
      <c r="K166" s="101"/>
    </row>
    <row r="167" spans="1:11" ht="15" x14ac:dyDescent="0.25">
      <c r="A167" s="89">
        <v>45743</v>
      </c>
      <c r="B167" s="90"/>
      <c r="C167" s="91"/>
      <c r="D167" s="92">
        <f t="shared" si="0"/>
        <v>0</v>
      </c>
      <c r="E167" s="100"/>
      <c r="F167" s="102"/>
      <c r="G167" s="103"/>
      <c r="H167" s="96"/>
      <c r="I167" s="16"/>
      <c r="J167" s="16"/>
      <c r="K167" s="101"/>
    </row>
    <row r="168" spans="1:11" ht="15" x14ac:dyDescent="0.25">
      <c r="A168" s="89">
        <v>45744</v>
      </c>
      <c r="B168" s="90"/>
      <c r="C168" s="91"/>
      <c r="D168" s="92">
        <f t="shared" si="0"/>
        <v>0</v>
      </c>
      <c r="E168" s="100"/>
      <c r="F168" s="102"/>
      <c r="G168" s="103"/>
      <c r="H168" s="96"/>
      <c r="I168" s="16"/>
      <c r="J168" s="16"/>
      <c r="K168" s="101"/>
    </row>
    <row r="169" spans="1:11" ht="15" x14ac:dyDescent="0.25">
      <c r="A169" s="89">
        <v>45747</v>
      </c>
      <c r="B169" s="90"/>
      <c r="C169" s="91"/>
      <c r="D169" s="92">
        <f t="shared" si="0"/>
        <v>0</v>
      </c>
      <c r="E169" s="100"/>
      <c r="F169" s="102"/>
      <c r="G169" s="103"/>
      <c r="H169" s="96"/>
      <c r="I169" s="16"/>
      <c r="J169" s="16"/>
      <c r="K169" s="101"/>
    </row>
    <row r="170" spans="1:11" ht="15" x14ac:dyDescent="0.25">
      <c r="A170" s="89">
        <v>45748</v>
      </c>
      <c r="B170" s="90"/>
      <c r="C170" s="91"/>
      <c r="D170" s="92">
        <f t="shared" si="0"/>
        <v>0</v>
      </c>
      <c r="E170" s="100"/>
      <c r="F170" s="102"/>
      <c r="G170" s="103"/>
      <c r="H170" s="96"/>
      <c r="I170" s="16"/>
      <c r="J170" s="16"/>
      <c r="K170" s="101"/>
    </row>
    <row r="171" spans="1:11" ht="15" x14ac:dyDescent="0.25">
      <c r="A171" s="89">
        <v>45749</v>
      </c>
      <c r="B171" s="90"/>
      <c r="C171" s="91"/>
      <c r="D171" s="92">
        <f t="shared" si="0"/>
        <v>0</v>
      </c>
      <c r="E171" s="100"/>
      <c r="F171" s="102"/>
      <c r="G171" s="103"/>
      <c r="H171" s="96"/>
      <c r="I171" s="16"/>
      <c r="J171" s="16"/>
      <c r="K171" s="101"/>
    </row>
    <row r="172" spans="1:11" ht="15" x14ac:dyDescent="0.25">
      <c r="A172" s="89">
        <v>45750</v>
      </c>
      <c r="B172" s="90"/>
      <c r="C172" s="91"/>
      <c r="D172" s="92">
        <f t="shared" si="0"/>
        <v>0</v>
      </c>
      <c r="E172" s="100"/>
      <c r="F172" s="102"/>
      <c r="G172" s="103"/>
      <c r="H172" s="96"/>
      <c r="I172" s="16"/>
      <c r="J172" s="16"/>
      <c r="K172" s="101"/>
    </row>
    <row r="173" spans="1:11" ht="15" x14ac:dyDescent="0.25">
      <c r="A173" s="89">
        <v>45751</v>
      </c>
      <c r="B173" s="90"/>
      <c r="C173" s="91"/>
      <c r="D173" s="92">
        <f t="shared" si="0"/>
        <v>0</v>
      </c>
      <c r="E173" s="100"/>
      <c r="F173" s="102"/>
      <c r="G173" s="103"/>
      <c r="H173" s="96"/>
      <c r="I173" s="16"/>
      <c r="J173" s="16"/>
      <c r="K173" s="101"/>
    </row>
    <row r="174" spans="1:11" ht="15" x14ac:dyDescent="0.25">
      <c r="A174" s="89">
        <v>45754</v>
      </c>
      <c r="B174" s="90"/>
      <c r="C174" s="91"/>
      <c r="D174" s="92">
        <f t="shared" si="0"/>
        <v>0</v>
      </c>
      <c r="E174" s="100"/>
      <c r="F174" s="102"/>
      <c r="G174" s="103"/>
      <c r="H174" s="96"/>
      <c r="I174" s="16"/>
      <c r="J174" s="16"/>
      <c r="K174" s="101"/>
    </row>
    <row r="175" spans="1:11" ht="15" x14ac:dyDescent="0.25">
      <c r="A175" s="89">
        <v>45755</v>
      </c>
      <c r="B175" s="90"/>
      <c r="C175" s="91"/>
      <c r="D175" s="92">
        <f t="shared" si="0"/>
        <v>0</v>
      </c>
      <c r="E175" s="100"/>
      <c r="F175" s="102"/>
      <c r="G175" s="103"/>
      <c r="H175" s="96"/>
      <c r="I175" s="16"/>
      <c r="J175" s="16"/>
      <c r="K175" s="101"/>
    </row>
    <row r="176" spans="1:11" ht="15" x14ac:dyDescent="0.25">
      <c r="A176" s="89">
        <v>45756</v>
      </c>
      <c r="B176" s="90"/>
      <c r="C176" s="91"/>
      <c r="D176" s="92">
        <f t="shared" si="0"/>
        <v>0</v>
      </c>
      <c r="E176" s="100"/>
      <c r="F176" s="102"/>
      <c r="G176" s="103"/>
      <c r="H176" s="96"/>
      <c r="I176" s="16"/>
      <c r="J176" s="16"/>
      <c r="K176" s="101"/>
    </row>
    <row r="177" spans="1:11" ht="15" x14ac:dyDescent="0.25">
      <c r="A177" s="89">
        <v>45757</v>
      </c>
      <c r="B177" s="90"/>
      <c r="C177" s="91"/>
      <c r="D177" s="92">
        <f t="shared" si="0"/>
        <v>0</v>
      </c>
      <c r="E177" s="100"/>
      <c r="F177" s="102"/>
      <c r="G177" s="103"/>
      <c r="H177" s="96"/>
      <c r="I177" s="16"/>
      <c r="J177" s="16"/>
      <c r="K177" s="101"/>
    </row>
    <row r="178" spans="1:11" ht="15" x14ac:dyDescent="0.25">
      <c r="A178" s="89">
        <v>45758</v>
      </c>
      <c r="B178" s="90"/>
      <c r="C178" s="91"/>
      <c r="D178" s="92">
        <f t="shared" si="0"/>
        <v>0</v>
      </c>
      <c r="E178" s="100"/>
      <c r="F178" s="102"/>
      <c r="G178" s="103"/>
      <c r="H178" s="96"/>
      <c r="I178" s="16"/>
      <c r="J178" s="16"/>
      <c r="K178" s="101"/>
    </row>
    <row r="179" spans="1:11" ht="15" x14ac:dyDescent="0.25">
      <c r="A179" s="89">
        <v>45761</v>
      </c>
      <c r="B179" s="90"/>
      <c r="C179" s="91"/>
      <c r="D179" s="92">
        <f t="shared" si="0"/>
        <v>0</v>
      </c>
      <c r="E179" s="100"/>
      <c r="F179" s="102"/>
      <c r="G179" s="103"/>
      <c r="H179" s="96"/>
      <c r="I179" s="16"/>
      <c r="J179" s="16"/>
      <c r="K179" s="101"/>
    </row>
    <row r="180" spans="1:11" ht="15" x14ac:dyDescent="0.25">
      <c r="A180" s="89">
        <v>45762</v>
      </c>
      <c r="B180" s="90"/>
      <c r="C180" s="91"/>
      <c r="D180" s="92">
        <f t="shared" si="0"/>
        <v>0</v>
      </c>
      <c r="E180" s="100"/>
      <c r="F180" s="102"/>
      <c r="G180" s="103"/>
      <c r="H180" s="96"/>
      <c r="I180" s="16"/>
      <c r="J180" s="16"/>
      <c r="K180" s="101"/>
    </row>
    <row r="181" spans="1:11" ht="12.75" x14ac:dyDescent="0.2">
      <c r="A181" s="89">
        <v>45763</v>
      </c>
      <c r="B181" s="90"/>
      <c r="C181" s="91"/>
      <c r="D181" s="92">
        <f t="shared" si="0"/>
        <v>0</v>
      </c>
      <c r="E181" s="106"/>
      <c r="F181" s="107"/>
      <c r="H181" s="16"/>
      <c r="I181" s="16"/>
      <c r="J181" s="16"/>
      <c r="K181" s="101"/>
    </row>
    <row r="182" spans="1:11" ht="12.75" x14ac:dyDescent="0.2">
      <c r="A182" s="89">
        <v>45764</v>
      </c>
      <c r="B182" s="90"/>
      <c r="C182" s="91"/>
      <c r="D182" s="92">
        <f t="shared" si="0"/>
        <v>0</v>
      </c>
      <c r="E182" s="106"/>
      <c r="F182" s="107"/>
      <c r="H182" s="16"/>
      <c r="I182" s="16"/>
      <c r="J182" s="16"/>
      <c r="K182" s="101"/>
    </row>
    <row r="183" spans="1:11" ht="12.75" x14ac:dyDescent="0.2">
      <c r="A183" s="24">
        <v>45765</v>
      </c>
      <c r="B183" s="98"/>
      <c r="C183" s="27"/>
      <c r="D183" s="92">
        <f t="shared" si="0"/>
        <v>0</v>
      </c>
      <c r="E183" s="106"/>
      <c r="F183" s="107"/>
      <c r="H183" s="16"/>
      <c r="I183" s="16"/>
      <c r="J183" s="16"/>
      <c r="K183" s="101"/>
    </row>
    <row r="184" spans="1:11" ht="12.75" x14ac:dyDescent="0.2">
      <c r="A184" s="24">
        <v>45768</v>
      </c>
      <c r="B184" s="98"/>
      <c r="C184" s="27"/>
      <c r="D184" s="92">
        <f t="shared" si="0"/>
        <v>0</v>
      </c>
      <c r="E184" s="106"/>
      <c r="F184" s="107"/>
      <c r="H184" s="16"/>
      <c r="I184" s="16"/>
      <c r="J184" s="16"/>
      <c r="K184" s="101"/>
    </row>
    <row r="185" spans="1:11" ht="12.75" x14ac:dyDescent="0.2">
      <c r="A185" s="89">
        <v>45769</v>
      </c>
      <c r="B185" s="90"/>
      <c r="C185" s="91"/>
      <c r="D185" s="92">
        <f t="shared" si="0"/>
        <v>0</v>
      </c>
      <c r="E185" s="106"/>
      <c r="F185" s="107"/>
      <c r="H185" s="16"/>
      <c r="I185" s="16"/>
      <c r="J185" s="16"/>
      <c r="K185" s="101"/>
    </row>
    <row r="186" spans="1:11" ht="12.75" x14ac:dyDescent="0.2">
      <c r="A186" s="89">
        <v>45770</v>
      </c>
      <c r="B186" s="90"/>
      <c r="C186" s="91"/>
      <c r="D186" s="92">
        <f t="shared" si="0"/>
        <v>0</v>
      </c>
      <c r="E186" s="106"/>
      <c r="F186" s="107"/>
      <c r="H186" s="16"/>
      <c r="I186" s="16"/>
      <c r="J186" s="16"/>
      <c r="K186" s="101"/>
    </row>
    <row r="187" spans="1:11" ht="12.75" x14ac:dyDescent="0.2">
      <c r="A187" s="89">
        <v>45771</v>
      </c>
      <c r="B187" s="90"/>
      <c r="C187" s="91"/>
      <c r="D187" s="92">
        <f t="shared" si="0"/>
        <v>0</v>
      </c>
      <c r="E187" s="106"/>
      <c r="F187" s="107"/>
      <c r="H187" s="16"/>
      <c r="I187" s="16"/>
      <c r="J187" s="16"/>
      <c r="K187" s="101"/>
    </row>
    <row r="188" spans="1:11" ht="12.75" x14ac:dyDescent="0.2">
      <c r="A188" s="89">
        <v>45772</v>
      </c>
      <c r="B188" s="90"/>
      <c r="C188" s="91"/>
      <c r="D188" s="92">
        <f t="shared" si="0"/>
        <v>0</v>
      </c>
      <c r="E188" s="106"/>
      <c r="F188" s="107"/>
      <c r="H188" s="16"/>
      <c r="I188" s="16"/>
      <c r="J188" s="16"/>
      <c r="K188" s="101"/>
    </row>
    <row r="189" spans="1:11" ht="12.75" x14ac:dyDescent="0.2">
      <c r="A189" s="89">
        <v>45775</v>
      </c>
      <c r="B189" s="90"/>
      <c r="C189" s="91"/>
      <c r="D189" s="92">
        <f t="shared" si="0"/>
        <v>0</v>
      </c>
      <c r="E189" s="106"/>
      <c r="F189" s="107"/>
      <c r="H189" s="16"/>
      <c r="I189" s="16"/>
      <c r="J189" s="16"/>
      <c r="K189" s="101"/>
    </row>
    <row r="190" spans="1:11" ht="12.75" x14ac:dyDescent="0.2">
      <c r="A190" s="89">
        <v>45776</v>
      </c>
      <c r="B190" s="90"/>
      <c r="C190" s="91"/>
      <c r="D190" s="92">
        <f t="shared" si="0"/>
        <v>0</v>
      </c>
      <c r="E190" s="106"/>
      <c r="F190" s="107"/>
      <c r="H190" s="16"/>
      <c r="I190" s="16"/>
      <c r="J190" s="16"/>
      <c r="K190" s="101"/>
    </row>
    <row r="191" spans="1:11" ht="12.75" x14ac:dyDescent="0.2">
      <c r="A191" s="89">
        <v>45777</v>
      </c>
      <c r="B191" s="90"/>
      <c r="C191" s="91"/>
      <c r="D191" s="92">
        <f t="shared" si="0"/>
        <v>0</v>
      </c>
      <c r="E191" s="106"/>
      <c r="F191" s="107"/>
      <c r="H191" s="16"/>
      <c r="I191" s="16"/>
      <c r="J191" s="16"/>
      <c r="K191" s="101"/>
    </row>
    <row r="192" spans="1:11" ht="12.75" x14ac:dyDescent="0.2">
      <c r="A192" s="89">
        <v>45778</v>
      </c>
      <c r="B192" s="90"/>
      <c r="C192" s="91"/>
      <c r="D192" s="92">
        <f t="shared" si="0"/>
        <v>0</v>
      </c>
      <c r="E192" s="106"/>
      <c r="F192" s="107"/>
      <c r="H192" s="16"/>
      <c r="I192" s="16"/>
      <c r="J192" s="16"/>
      <c r="K192" s="101"/>
    </row>
    <row r="193" spans="1:11" ht="12.75" x14ac:dyDescent="0.2">
      <c r="A193" s="89">
        <v>45779</v>
      </c>
      <c r="B193" s="90"/>
      <c r="C193" s="91"/>
      <c r="D193" s="92">
        <f t="shared" si="0"/>
        <v>0</v>
      </c>
      <c r="E193" s="106"/>
      <c r="F193" s="107"/>
      <c r="H193" s="16"/>
      <c r="I193" s="16"/>
      <c r="J193" s="16"/>
      <c r="K193" s="101"/>
    </row>
    <row r="194" spans="1:11" ht="12.75" x14ac:dyDescent="0.2">
      <c r="A194" s="89">
        <v>45782</v>
      </c>
      <c r="B194" s="90"/>
      <c r="C194" s="91"/>
      <c r="D194" s="92">
        <f t="shared" si="0"/>
        <v>0</v>
      </c>
      <c r="E194" s="106"/>
      <c r="F194" s="107"/>
      <c r="H194" s="16"/>
      <c r="I194" s="16"/>
      <c r="J194" s="16"/>
      <c r="K194" s="101"/>
    </row>
    <row r="195" spans="1:11" ht="12.75" x14ac:dyDescent="0.2">
      <c r="A195" s="89">
        <v>45783</v>
      </c>
      <c r="B195" s="90"/>
      <c r="C195" s="91"/>
      <c r="D195" s="92">
        <f t="shared" si="0"/>
        <v>0</v>
      </c>
      <c r="E195" s="106"/>
      <c r="F195" s="107"/>
      <c r="H195" s="16"/>
      <c r="I195" s="16"/>
      <c r="J195" s="16"/>
      <c r="K195" s="101"/>
    </row>
    <row r="196" spans="1:11" ht="12.75" x14ac:dyDescent="0.2">
      <c r="A196" s="89">
        <v>45784</v>
      </c>
      <c r="B196" s="90"/>
      <c r="C196" s="91"/>
      <c r="D196" s="92">
        <f t="shared" si="0"/>
        <v>0</v>
      </c>
      <c r="E196" s="106"/>
      <c r="F196" s="107"/>
      <c r="H196" s="16"/>
      <c r="I196" s="16"/>
      <c r="J196" s="16"/>
      <c r="K196" s="101"/>
    </row>
    <row r="197" spans="1:11" ht="12.75" x14ac:dyDescent="0.2">
      <c r="A197" s="89">
        <v>45785</v>
      </c>
      <c r="B197" s="90"/>
      <c r="C197" s="91"/>
      <c r="D197" s="92">
        <f t="shared" si="0"/>
        <v>0</v>
      </c>
      <c r="E197" s="106"/>
      <c r="F197" s="107"/>
      <c r="H197" s="16"/>
      <c r="I197" s="16"/>
      <c r="J197" s="16"/>
      <c r="K197" s="101"/>
    </row>
    <row r="198" spans="1:11" ht="12.75" x14ac:dyDescent="0.2">
      <c r="A198" s="89">
        <v>45786</v>
      </c>
      <c r="B198" s="90"/>
      <c r="C198" s="91"/>
      <c r="D198" s="92">
        <f t="shared" si="0"/>
        <v>0</v>
      </c>
      <c r="E198" s="106"/>
      <c r="F198" s="107"/>
      <c r="H198" s="16"/>
      <c r="I198" s="16"/>
      <c r="J198" s="16"/>
      <c r="K198" s="101"/>
    </row>
    <row r="199" spans="1:11" ht="12.75" x14ac:dyDescent="0.2">
      <c r="A199" s="89">
        <v>45789</v>
      </c>
      <c r="B199" s="90"/>
      <c r="C199" s="91"/>
      <c r="D199" s="92">
        <f t="shared" si="0"/>
        <v>0</v>
      </c>
      <c r="E199" s="106"/>
      <c r="F199" s="107"/>
      <c r="H199" s="16"/>
      <c r="I199" s="16"/>
      <c r="J199" s="16"/>
      <c r="K199" s="101"/>
    </row>
    <row r="200" spans="1:11" ht="12.75" x14ac:dyDescent="0.2">
      <c r="A200" s="89">
        <v>45790</v>
      </c>
      <c r="B200" s="90"/>
      <c r="C200" s="91"/>
      <c r="D200" s="92">
        <f t="shared" si="0"/>
        <v>0</v>
      </c>
      <c r="E200" s="106"/>
      <c r="F200" s="107"/>
      <c r="H200" s="16"/>
      <c r="I200" s="16"/>
      <c r="J200" s="16"/>
      <c r="K200" s="101"/>
    </row>
    <row r="201" spans="1:11" ht="12.75" x14ac:dyDescent="0.2">
      <c r="A201" s="89">
        <v>45791</v>
      </c>
      <c r="B201" s="90"/>
      <c r="C201" s="91"/>
      <c r="D201" s="92">
        <f t="shared" si="0"/>
        <v>0</v>
      </c>
      <c r="E201" s="106"/>
      <c r="F201" s="107"/>
      <c r="H201" s="16"/>
      <c r="I201" s="16"/>
      <c r="J201" s="16"/>
      <c r="K201" s="101"/>
    </row>
    <row r="202" spans="1:11" ht="12.75" x14ac:dyDescent="0.2">
      <c r="A202" s="89">
        <v>45792</v>
      </c>
      <c r="B202" s="90"/>
      <c r="C202" s="91"/>
      <c r="D202" s="92">
        <f t="shared" si="0"/>
        <v>0</v>
      </c>
      <c r="E202" s="106"/>
      <c r="F202" s="107"/>
      <c r="H202" s="16"/>
      <c r="I202" s="16"/>
      <c r="J202" s="16"/>
      <c r="K202" s="101"/>
    </row>
    <row r="203" spans="1:11" ht="12.75" x14ac:dyDescent="0.2">
      <c r="A203" s="89">
        <v>45793</v>
      </c>
      <c r="B203" s="90"/>
      <c r="C203" s="91"/>
      <c r="D203" s="92">
        <f t="shared" si="0"/>
        <v>0</v>
      </c>
      <c r="E203" s="106"/>
      <c r="F203" s="107"/>
      <c r="H203" s="16"/>
      <c r="I203" s="16"/>
      <c r="J203" s="16"/>
      <c r="K203" s="101"/>
    </row>
    <row r="204" spans="1:11" ht="12.75" x14ac:dyDescent="0.2">
      <c r="A204" s="89">
        <v>45796</v>
      </c>
      <c r="B204" s="90"/>
      <c r="C204" s="91"/>
      <c r="D204" s="92">
        <f t="shared" si="0"/>
        <v>0</v>
      </c>
      <c r="E204" s="106"/>
      <c r="F204" s="107"/>
      <c r="H204" s="16"/>
      <c r="I204" s="16"/>
      <c r="J204" s="16"/>
      <c r="K204" s="101"/>
    </row>
    <row r="205" spans="1:11" ht="12.75" x14ac:dyDescent="0.2">
      <c r="A205" s="89">
        <v>45797</v>
      </c>
      <c r="B205" s="90"/>
      <c r="C205" s="91"/>
      <c r="D205" s="92">
        <f t="shared" si="0"/>
        <v>0</v>
      </c>
      <c r="E205" s="106"/>
      <c r="F205" s="107"/>
      <c r="H205" s="16"/>
      <c r="I205" s="16"/>
      <c r="J205" s="16"/>
      <c r="K205" s="101"/>
    </row>
    <row r="206" spans="1:11" ht="12.75" x14ac:dyDescent="0.2">
      <c r="A206" s="89">
        <v>45798</v>
      </c>
      <c r="B206" s="90"/>
      <c r="C206" s="91"/>
      <c r="D206" s="92">
        <f t="shared" si="0"/>
        <v>0</v>
      </c>
      <c r="E206" s="106"/>
      <c r="F206" s="107"/>
      <c r="H206" s="16"/>
      <c r="I206" s="16"/>
      <c r="J206" s="16"/>
      <c r="K206" s="101"/>
    </row>
    <row r="207" spans="1:11" ht="12.75" x14ac:dyDescent="0.2">
      <c r="A207" s="89">
        <v>45799</v>
      </c>
      <c r="B207" s="90"/>
      <c r="C207" s="91"/>
      <c r="D207" s="92">
        <f t="shared" si="0"/>
        <v>0</v>
      </c>
      <c r="E207" s="106"/>
      <c r="F207" s="107"/>
      <c r="H207" s="16"/>
      <c r="I207" s="16"/>
      <c r="J207" s="16"/>
      <c r="K207" s="101"/>
    </row>
    <row r="208" spans="1:11" ht="12.75" x14ac:dyDescent="0.2">
      <c r="A208" s="89">
        <v>45800</v>
      </c>
      <c r="B208" s="90"/>
      <c r="C208" s="91"/>
      <c r="D208" s="92">
        <f t="shared" si="0"/>
        <v>0</v>
      </c>
      <c r="E208" s="106"/>
      <c r="F208" s="107"/>
      <c r="H208" s="16"/>
      <c r="I208" s="16"/>
      <c r="J208" s="16"/>
      <c r="K208" s="101"/>
    </row>
    <row r="209" spans="1:11" ht="12.75" x14ac:dyDescent="0.2">
      <c r="A209" s="24">
        <v>45803</v>
      </c>
      <c r="B209" s="98"/>
      <c r="C209" s="27"/>
      <c r="D209" s="92">
        <f t="shared" si="0"/>
        <v>0</v>
      </c>
      <c r="E209" s="106"/>
      <c r="F209" s="107"/>
      <c r="H209" s="16"/>
      <c r="I209" s="16"/>
      <c r="J209" s="16"/>
      <c r="K209" s="101"/>
    </row>
    <row r="210" spans="1:11" ht="12.75" x14ac:dyDescent="0.2">
      <c r="A210" s="89">
        <v>45804</v>
      </c>
      <c r="B210" s="90"/>
      <c r="C210" s="91"/>
      <c r="D210" s="92">
        <f t="shared" si="0"/>
        <v>0</v>
      </c>
      <c r="E210" s="106"/>
      <c r="F210" s="107"/>
      <c r="H210" s="16"/>
      <c r="I210" s="16"/>
      <c r="J210" s="16"/>
      <c r="K210" s="101"/>
    </row>
    <row r="211" spans="1:11" ht="12.75" x14ac:dyDescent="0.2">
      <c r="A211" s="89">
        <v>45805</v>
      </c>
      <c r="B211" s="90"/>
      <c r="C211" s="91"/>
      <c r="D211" s="92">
        <f t="shared" si="0"/>
        <v>0</v>
      </c>
      <c r="E211" s="106"/>
      <c r="F211" s="107"/>
      <c r="H211" s="16"/>
      <c r="I211" s="16"/>
      <c r="J211" s="16"/>
      <c r="K211" s="101"/>
    </row>
    <row r="212" spans="1:11" ht="12.75" x14ac:dyDescent="0.2">
      <c r="A212" s="89">
        <v>45806</v>
      </c>
      <c r="B212" s="90"/>
      <c r="C212" s="91"/>
      <c r="D212" s="92">
        <f t="shared" si="0"/>
        <v>0</v>
      </c>
      <c r="E212" s="106"/>
      <c r="F212" s="107"/>
      <c r="H212" s="16"/>
      <c r="I212" s="16"/>
      <c r="J212" s="16"/>
      <c r="K212" s="101"/>
    </row>
  </sheetData>
  <mergeCells count="3">
    <mergeCell ref="B1:D1"/>
    <mergeCell ref="A2:D2"/>
    <mergeCell ref="F2:K2"/>
  </mergeCells>
  <conditionalFormatting sqref="J1:K1 J3:K212">
    <cfRule type="cellIs" dxfId="1" priority="1" operator="between">
      <formula>"40%"</formula>
      <formula>"31%"</formula>
    </cfRule>
    <cfRule type="cellIs" dxfId="0" priority="2" operator="lessThan">
      <formula>"30%"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SECA</vt:lpstr>
      <vt:lpstr>CECA</vt:lpstr>
      <vt:lpstr>Sheldon Elementary</vt:lpstr>
      <vt:lpstr>SLE</vt:lpstr>
      <vt:lpstr>GE</vt:lpstr>
      <vt:lpstr>CE</vt:lpstr>
      <vt:lpstr>KMS</vt:lpstr>
      <vt:lpstr>NMS</vt:lpstr>
      <vt:lpstr>ME</vt:lpstr>
      <vt:lpstr>9TH CAMP</vt:lpstr>
      <vt:lpstr>KHS</vt:lpstr>
      <vt:lpstr>ECHS</vt:lpstr>
      <vt:lpstr>KASE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Duenas, Juan</dc:creator>
  <cp:lastModifiedBy>Muhammad Ahmad</cp:lastModifiedBy>
  <dcterms:created xsi:type="dcterms:W3CDTF">2025-03-11T17:40:36Z</dcterms:created>
  <dcterms:modified xsi:type="dcterms:W3CDTF">2025-04-12T12:49:46Z</dcterms:modified>
</cp:coreProperties>
</file>