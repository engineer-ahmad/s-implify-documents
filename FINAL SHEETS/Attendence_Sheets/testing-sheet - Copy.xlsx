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FINAL SHEETS\Attendence_Sheets\"/>
    </mc:Choice>
  </mc:AlternateContent>
  <xr:revisionPtr revIDLastSave="0" documentId="13_ncr:1_{9909C02D-CB4F-4CAC-A39C-56718E4AE4A1}" xr6:coauthVersionLast="47" xr6:coauthVersionMax="47" xr10:uidLastSave="{00000000-0000-0000-0000-000000000000}"/>
  <bookViews>
    <workbookView xWindow="20370" yWindow="-4710" windowWidth="29040" windowHeight="15990" xr2:uid="{00000000-000D-0000-FFFF-FFFF00000000}"/>
  </bookViews>
  <sheets>
    <sheet name="SECA" sheetId="2" r:id="rId1"/>
  </sheets>
  <definedNames>
    <definedName name="_xlnm._FilterDatabase" localSheetId="0" hidden="1">SECA!$A$6:$F$158</definedName>
  </definedNames>
  <calcPr calcId="181029"/>
</workbook>
</file>

<file path=xl/calcChain.xml><?xml version="1.0" encoding="utf-8"?>
<calcChain xmlns="http://schemas.openxmlformats.org/spreadsheetml/2006/main">
  <c r="G7" i="2" l="1"/>
  <c r="E10" i="2"/>
  <c r="G158" i="2"/>
  <c r="E158" i="2"/>
  <c r="F158" i="2" s="1"/>
  <c r="G157" i="2"/>
  <c r="E157" i="2"/>
  <c r="F157" i="2" s="1"/>
  <c r="G156" i="2"/>
  <c r="E156" i="2"/>
  <c r="F156" i="2" s="1"/>
  <c r="G155" i="2"/>
  <c r="E155" i="2"/>
  <c r="F155" i="2" s="1"/>
  <c r="G154" i="2"/>
  <c r="E154" i="2"/>
  <c r="F154" i="2" s="1"/>
  <c r="G153" i="2"/>
  <c r="E153" i="2"/>
  <c r="F153" i="2" s="1"/>
  <c r="G152" i="2"/>
  <c r="E152" i="2"/>
  <c r="G151" i="2"/>
  <c r="E151" i="2"/>
  <c r="F151" i="2" s="1"/>
  <c r="G150" i="2"/>
  <c r="E150" i="2"/>
  <c r="G149" i="2"/>
  <c r="E149" i="2"/>
  <c r="F149" i="2" s="1"/>
  <c r="G148" i="2"/>
  <c r="E148" i="2"/>
  <c r="F148" i="2" s="1"/>
  <c r="G147" i="2"/>
  <c r="E147" i="2"/>
  <c r="F147" i="2" s="1"/>
  <c r="G146" i="2"/>
  <c r="E146" i="2"/>
  <c r="F146" i="2" s="1"/>
  <c r="G145" i="2"/>
  <c r="E145" i="2"/>
  <c r="F145" i="2" s="1"/>
  <c r="G144" i="2"/>
  <c r="E144" i="2"/>
  <c r="F144" i="2" s="1"/>
  <c r="G143" i="2"/>
  <c r="E143" i="2"/>
  <c r="F143" i="2" s="1"/>
  <c r="G142" i="2"/>
  <c r="E142" i="2"/>
  <c r="F142" i="2" s="1"/>
  <c r="G141" i="2"/>
  <c r="E141" i="2"/>
  <c r="F141" i="2" s="1"/>
  <c r="G140" i="2"/>
  <c r="E140" i="2"/>
  <c r="F140" i="2" s="1"/>
  <c r="G139" i="2"/>
  <c r="E139" i="2"/>
  <c r="F139" i="2" s="1"/>
  <c r="G138" i="2"/>
  <c r="E138" i="2"/>
  <c r="F138" i="2" s="1"/>
  <c r="G137" i="2"/>
  <c r="E137" i="2"/>
  <c r="F137" i="2" s="1"/>
  <c r="G136" i="2"/>
  <c r="E136" i="2"/>
  <c r="G135" i="2"/>
  <c r="F135" i="2"/>
  <c r="E135" i="2"/>
  <c r="G134" i="2"/>
  <c r="E134" i="2"/>
  <c r="G133" i="2"/>
  <c r="H133" i="2" s="1"/>
  <c r="E133" i="2"/>
  <c r="F133" i="2" s="1"/>
  <c r="G132" i="2"/>
  <c r="H132" i="2" s="1"/>
  <c r="E132" i="2"/>
  <c r="F132" i="2" s="1"/>
  <c r="G131" i="2"/>
  <c r="E131" i="2"/>
  <c r="F131" i="2" s="1"/>
  <c r="G130" i="2"/>
  <c r="E130" i="2"/>
  <c r="F130" i="2" s="1"/>
  <c r="G129" i="2"/>
  <c r="E129" i="2"/>
  <c r="F129" i="2" s="1"/>
  <c r="G128" i="2"/>
  <c r="E128" i="2"/>
  <c r="F128" i="2" s="1"/>
  <c r="G127" i="2"/>
  <c r="E127" i="2"/>
  <c r="F127" i="2" s="1"/>
  <c r="G126" i="2"/>
  <c r="E126" i="2"/>
  <c r="F126" i="2" s="1"/>
  <c r="G125" i="2"/>
  <c r="H125" i="2" s="1"/>
  <c r="E125" i="2"/>
  <c r="F125" i="2" s="1"/>
  <c r="G124" i="2"/>
  <c r="E124" i="2"/>
  <c r="F124" i="2" s="1"/>
  <c r="G123" i="2"/>
  <c r="H123" i="2" s="1"/>
  <c r="E123" i="2"/>
  <c r="F123" i="2" s="1"/>
  <c r="G122" i="2"/>
  <c r="E122" i="2"/>
  <c r="F122" i="2" s="1"/>
  <c r="G121" i="2"/>
  <c r="E121" i="2"/>
  <c r="F121" i="2" s="1"/>
  <c r="G120" i="2"/>
  <c r="E120" i="2"/>
  <c r="G119" i="2"/>
  <c r="E119" i="2"/>
  <c r="F119" i="2" s="1"/>
  <c r="G118" i="2"/>
  <c r="E118" i="2"/>
  <c r="G117" i="2"/>
  <c r="E117" i="2"/>
  <c r="F117" i="2" s="1"/>
  <c r="G116" i="2"/>
  <c r="E116" i="2"/>
  <c r="F116" i="2" s="1"/>
  <c r="G115" i="2"/>
  <c r="E115" i="2"/>
  <c r="F115" i="2" s="1"/>
  <c r="G114" i="2"/>
  <c r="E114" i="2"/>
  <c r="F114" i="2" s="1"/>
  <c r="G113" i="2"/>
  <c r="E113" i="2"/>
  <c r="F113" i="2" s="1"/>
  <c r="G112" i="2"/>
  <c r="E112" i="2"/>
  <c r="F112" i="2" s="1"/>
  <c r="G111" i="2"/>
  <c r="E111" i="2"/>
  <c r="F111" i="2" s="1"/>
  <c r="G110" i="2"/>
  <c r="E110" i="2"/>
  <c r="F110" i="2" s="1"/>
  <c r="G109" i="2"/>
  <c r="E109" i="2"/>
  <c r="F109" i="2" s="1"/>
  <c r="G108" i="2"/>
  <c r="E108" i="2"/>
  <c r="F108" i="2" s="1"/>
  <c r="G107" i="2"/>
  <c r="E107" i="2"/>
  <c r="F107" i="2" s="1"/>
  <c r="G106" i="2"/>
  <c r="H106" i="2" s="1"/>
  <c r="E106" i="2"/>
  <c r="F106" i="2" s="1"/>
  <c r="G105" i="2"/>
  <c r="E105" i="2"/>
  <c r="F105" i="2" s="1"/>
  <c r="G104" i="2"/>
  <c r="E104" i="2"/>
  <c r="G103" i="2"/>
  <c r="E103" i="2"/>
  <c r="F103" i="2" s="1"/>
  <c r="G102" i="2"/>
  <c r="E102" i="2"/>
  <c r="G101" i="2"/>
  <c r="E101" i="2"/>
  <c r="F101" i="2" s="1"/>
  <c r="G100" i="2"/>
  <c r="H100" i="2" s="1"/>
  <c r="E100" i="2"/>
  <c r="F100" i="2" s="1"/>
  <c r="G99" i="2"/>
  <c r="H99" i="2" s="1"/>
  <c r="E99" i="2"/>
  <c r="F99" i="2" s="1"/>
  <c r="G98" i="2"/>
  <c r="H98" i="2" s="1"/>
  <c r="E98" i="2"/>
  <c r="F98" i="2" s="1"/>
  <c r="G97" i="2"/>
  <c r="E97" i="2"/>
  <c r="F97" i="2" s="1"/>
  <c r="G96" i="2"/>
  <c r="E96" i="2"/>
  <c r="F96" i="2" s="1"/>
  <c r="G95" i="2"/>
  <c r="E95" i="2"/>
  <c r="F95" i="2" s="1"/>
  <c r="G94" i="2"/>
  <c r="H94" i="2" s="1"/>
  <c r="E94" i="2"/>
  <c r="F94" i="2" s="1"/>
  <c r="G93" i="2"/>
  <c r="E93" i="2"/>
  <c r="F93" i="2" s="1"/>
  <c r="G92" i="2"/>
  <c r="E92" i="2"/>
  <c r="F92" i="2" s="1"/>
  <c r="G91" i="2"/>
  <c r="E91" i="2"/>
  <c r="F91" i="2" s="1"/>
  <c r="G90" i="2"/>
  <c r="H90" i="2" s="1"/>
  <c r="E90" i="2"/>
  <c r="F90" i="2" s="1"/>
  <c r="G89" i="2"/>
  <c r="E89" i="2"/>
  <c r="F89" i="2" s="1"/>
  <c r="G88" i="2"/>
  <c r="E88" i="2"/>
  <c r="G87" i="2"/>
  <c r="E87" i="2"/>
  <c r="F87" i="2" s="1"/>
  <c r="G86" i="2"/>
  <c r="E86" i="2"/>
  <c r="G85" i="2"/>
  <c r="E85" i="2"/>
  <c r="F85" i="2" s="1"/>
  <c r="G84" i="2"/>
  <c r="E84" i="2"/>
  <c r="F84" i="2" s="1"/>
  <c r="G83" i="2"/>
  <c r="E83" i="2"/>
  <c r="F83" i="2" s="1"/>
  <c r="G82" i="2"/>
  <c r="E82" i="2"/>
  <c r="G81" i="2"/>
  <c r="E81" i="2"/>
  <c r="F81" i="2" s="1"/>
  <c r="G80" i="2"/>
  <c r="E80" i="2"/>
  <c r="F80" i="2" s="1"/>
  <c r="G79" i="2"/>
  <c r="E79" i="2"/>
  <c r="F79" i="2" s="1"/>
  <c r="G78" i="2"/>
  <c r="E78" i="2"/>
  <c r="F78" i="2" s="1"/>
  <c r="G77" i="2"/>
  <c r="E77" i="2"/>
  <c r="F77" i="2" s="1"/>
  <c r="G76" i="2"/>
  <c r="E76" i="2"/>
  <c r="F76" i="2" s="1"/>
  <c r="G75" i="2"/>
  <c r="E75" i="2"/>
  <c r="F75" i="2" s="1"/>
  <c r="G74" i="2"/>
  <c r="E74" i="2"/>
  <c r="F74" i="2" s="1"/>
  <c r="G73" i="2"/>
  <c r="E73" i="2"/>
  <c r="F73" i="2" s="1"/>
  <c r="G72" i="2"/>
  <c r="E72" i="2"/>
  <c r="F72" i="2" s="1"/>
  <c r="G71" i="2"/>
  <c r="E71" i="2"/>
  <c r="F71" i="2" s="1"/>
  <c r="G70" i="2"/>
  <c r="E70" i="2"/>
  <c r="G69" i="2"/>
  <c r="E69" i="2"/>
  <c r="F69" i="2" s="1"/>
  <c r="G68" i="2"/>
  <c r="E68" i="2"/>
  <c r="F68" i="2" s="1"/>
  <c r="G67" i="2"/>
  <c r="E67" i="2"/>
  <c r="F67" i="2" s="1"/>
  <c r="G66" i="2"/>
  <c r="E66" i="2"/>
  <c r="F66" i="2" s="1"/>
  <c r="G65" i="2"/>
  <c r="E65" i="2"/>
  <c r="F65" i="2" s="1"/>
  <c r="G64" i="2"/>
  <c r="E64" i="2"/>
  <c r="F64" i="2" s="1"/>
  <c r="G63" i="2"/>
  <c r="E63" i="2"/>
  <c r="F63" i="2" s="1"/>
  <c r="G62" i="2"/>
  <c r="E62" i="2"/>
  <c r="F62" i="2" s="1"/>
  <c r="G61" i="2"/>
  <c r="H61" i="2" s="1"/>
  <c r="E61" i="2"/>
  <c r="F61" i="2" s="1"/>
  <c r="G60" i="2"/>
  <c r="E60" i="2"/>
  <c r="F60" i="2" s="1"/>
  <c r="G59" i="2"/>
  <c r="H59" i="2" s="1"/>
  <c r="E59" i="2"/>
  <c r="F59" i="2" s="1"/>
  <c r="G58" i="2"/>
  <c r="E58" i="2"/>
  <c r="F58" i="2" s="1"/>
  <c r="G57" i="2"/>
  <c r="E57" i="2"/>
  <c r="F57" i="2" s="1"/>
  <c r="G56" i="2"/>
  <c r="E56" i="2"/>
  <c r="F56" i="2" s="1"/>
  <c r="G55" i="2"/>
  <c r="E55" i="2"/>
  <c r="F55" i="2" s="1"/>
  <c r="G54" i="2"/>
  <c r="E54" i="2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36" i="2"/>
  <c r="E36" i="2"/>
  <c r="F36" i="2" s="1"/>
  <c r="G35" i="2"/>
  <c r="E35" i="2"/>
  <c r="F35" i="2" s="1"/>
  <c r="G34" i="2"/>
  <c r="E34" i="2"/>
  <c r="F34" i="2" s="1"/>
  <c r="G33" i="2"/>
  <c r="E33" i="2"/>
  <c r="F33" i="2" s="1"/>
  <c r="G32" i="2"/>
  <c r="E32" i="2"/>
  <c r="F32" i="2" s="1"/>
  <c r="G31" i="2"/>
  <c r="E31" i="2"/>
  <c r="F31" i="2" s="1"/>
  <c r="G30" i="2"/>
  <c r="E30" i="2"/>
  <c r="F30" i="2" s="1"/>
  <c r="G29" i="2"/>
  <c r="E29" i="2"/>
  <c r="F29" i="2" s="1"/>
  <c r="G28" i="2"/>
  <c r="E28" i="2"/>
  <c r="F28" i="2" s="1"/>
  <c r="G27" i="2"/>
  <c r="E27" i="2"/>
  <c r="F27" i="2" s="1"/>
  <c r="G26" i="2"/>
  <c r="E26" i="2"/>
  <c r="F26" i="2" s="1"/>
  <c r="G25" i="2"/>
  <c r="E25" i="2"/>
  <c r="F25" i="2" s="1"/>
  <c r="G24" i="2"/>
  <c r="E24" i="2"/>
  <c r="F24" i="2" s="1"/>
  <c r="G23" i="2"/>
  <c r="E23" i="2"/>
  <c r="F23" i="2" s="1"/>
  <c r="G22" i="2"/>
  <c r="E22" i="2"/>
  <c r="F22" i="2" s="1"/>
  <c r="G21" i="2"/>
  <c r="E21" i="2"/>
  <c r="F21" i="2" s="1"/>
  <c r="G20" i="2"/>
  <c r="E20" i="2"/>
  <c r="F20" i="2" s="1"/>
  <c r="G19" i="2"/>
  <c r="E19" i="2"/>
  <c r="F19" i="2" s="1"/>
  <c r="G18" i="2"/>
  <c r="E18" i="2"/>
  <c r="F18" i="2" s="1"/>
  <c r="G17" i="2"/>
  <c r="E17" i="2"/>
  <c r="F17" i="2" s="1"/>
  <c r="G16" i="2"/>
  <c r="E16" i="2"/>
  <c r="F16" i="2" s="1"/>
  <c r="G15" i="2"/>
  <c r="E15" i="2"/>
  <c r="F15" i="2" s="1"/>
  <c r="G14" i="2"/>
  <c r="E14" i="2"/>
  <c r="F14" i="2" s="1"/>
  <c r="G13" i="2"/>
  <c r="E13" i="2"/>
  <c r="F13" i="2" s="1"/>
  <c r="G12" i="2"/>
  <c r="E12" i="2"/>
  <c r="F12" i="2" s="1"/>
  <c r="G11" i="2"/>
  <c r="E11" i="2"/>
  <c r="F11" i="2" s="1"/>
  <c r="G10" i="2"/>
  <c r="H10" i="2" s="1"/>
  <c r="F10" i="2"/>
  <c r="G9" i="2"/>
  <c r="E9" i="2"/>
  <c r="F9" i="2" s="1"/>
  <c r="G8" i="2"/>
  <c r="E8" i="2"/>
  <c r="F8" i="2" s="1"/>
  <c r="E7" i="2"/>
  <c r="H7" i="2" s="1"/>
  <c r="H16" i="2" l="1"/>
  <c r="H20" i="2"/>
  <c r="H34" i="2"/>
  <c r="H36" i="2"/>
  <c r="H52" i="2"/>
  <c r="H14" i="2"/>
  <c r="H8" i="2"/>
  <c r="H12" i="2"/>
  <c r="H60" i="2"/>
  <c r="H39" i="2"/>
  <c r="H41" i="2"/>
  <c r="H43" i="2"/>
  <c r="H45" i="2"/>
  <c r="H51" i="2"/>
  <c r="H53" i="2"/>
  <c r="H66" i="2"/>
  <c r="H82" i="2"/>
  <c r="H62" i="2"/>
  <c r="H138" i="2"/>
  <c r="H142" i="2"/>
  <c r="H146" i="2"/>
  <c r="H148" i="2"/>
  <c r="H23" i="2"/>
  <c r="H25" i="2"/>
  <c r="H27" i="2"/>
  <c r="H29" i="2"/>
  <c r="H31" i="2"/>
  <c r="H46" i="2"/>
  <c r="H64" i="2"/>
  <c r="H85" i="2"/>
  <c r="H38" i="2"/>
  <c r="H48" i="2"/>
  <c r="H67" i="2"/>
  <c r="H69" i="2"/>
  <c r="H74" i="2"/>
  <c r="H76" i="2"/>
  <c r="H78" i="2"/>
  <c r="H84" i="2"/>
  <c r="H88" i="2"/>
  <c r="H116" i="2"/>
  <c r="H122" i="2"/>
  <c r="H126" i="2"/>
  <c r="H139" i="2"/>
  <c r="H141" i="2"/>
  <c r="H155" i="2"/>
  <c r="H21" i="2"/>
  <c r="H50" i="2"/>
  <c r="H130" i="2"/>
  <c r="H136" i="2"/>
  <c r="H104" i="2"/>
  <c r="H109" i="2"/>
  <c r="H154" i="2"/>
  <c r="H18" i="2"/>
  <c r="H33" i="2"/>
  <c r="H40" i="2"/>
  <c r="H44" i="2"/>
  <c r="H91" i="2"/>
  <c r="H9" i="2"/>
  <c r="H13" i="2"/>
  <c r="H22" i="2"/>
  <c r="H68" i="2"/>
  <c r="H75" i="2"/>
  <c r="H124" i="2"/>
  <c r="H120" i="2"/>
  <c r="F120" i="2"/>
  <c r="F7" i="2"/>
  <c r="H35" i="2"/>
  <c r="H42" i="2"/>
  <c r="F46" i="2"/>
  <c r="F82" i="2"/>
  <c r="H93" i="2"/>
  <c r="H108" i="2"/>
  <c r="H152" i="2"/>
  <c r="F152" i="2"/>
  <c r="H157" i="2"/>
  <c r="H11" i="2"/>
  <c r="H15" i="2"/>
  <c r="H77" i="2"/>
  <c r="H110" i="2"/>
  <c r="H140" i="2"/>
  <c r="H32" i="2"/>
  <c r="H92" i="2"/>
  <c r="H114" i="2"/>
  <c r="H156" i="2"/>
  <c r="H115" i="2"/>
  <c r="H147" i="2"/>
  <c r="H17" i="2"/>
  <c r="H19" i="2"/>
  <c r="H24" i="2"/>
  <c r="H26" i="2"/>
  <c r="H28" i="2"/>
  <c r="H30" i="2"/>
  <c r="H37" i="2"/>
  <c r="H58" i="2"/>
  <c r="H83" i="2"/>
  <c r="H101" i="2"/>
  <c r="H107" i="2"/>
  <c r="H117" i="2"/>
  <c r="H131" i="2"/>
  <c r="H149" i="2"/>
  <c r="H158" i="2"/>
  <c r="H118" i="2"/>
  <c r="F118" i="2"/>
  <c r="H72" i="2"/>
  <c r="F104" i="2"/>
  <c r="F88" i="2"/>
  <c r="H70" i="2"/>
  <c r="F70" i="2"/>
  <c r="H150" i="2"/>
  <c r="F150" i="2"/>
  <c r="F136" i="2"/>
  <c r="H134" i="2"/>
  <c r="F134" i="2"/>
  <c r="H56" i="2"/>
  <c r="H86" i="2"/>
  <c r="F86" i="2"/>
  <c r="H102" i="2"/>
  <c r="F102" i="2"/>
  <c r="H54" i="2"/>
  <c r="F54" i="2"/>
  <c r="H57" i="2"/>
  <c r="H73" i="2"/>
  <c r="H89" i="2"/>
  <c r="H105" i="2"/>
  <c r="H121" i="2"/>
  <c r="H137" i="2"/>
  <c r="H153" i="2"/>
  <c r="H55" i="2"/>
  <c r="H71" i="2"/>
  <c r="H80" i="2"/>
  <c r="H87" i="2"/>
  <c r="H96" i="2"/>
  <c r="H103" i="2"/>
  <c r="H112" i="2"/>
  <c r="H119" i="2"/>
  <c r="H128" i="2"/>
  <c r="H135" i="2"/>
  <c r="H144" i="2"/>
  <c r="H151" i="2"/>
  <c r="H49" i="2"/>
  <c r="H65" i="2"/>
  <c r="H81" i="2"/>
  <c r="H97" i="2"/>
  <c r="H113" i="2"/>
  <c r="H129" i="2"/>
  <c r="H145" i="2"/>
  <c r="H47" i="2"/>
  <c r="H63" i="2"/>
  <c r="H79" i="2"/>
  <c r="H95" i="2"/>
  <c r="H111" i="2"/>
  <c r="H127" i="2"/>
  <c r="H143" i="2"/>
  <c r="H1" i="2" l="1"/>
  <c r="E3" i="2"/>
</calcChain>
</file>

<file path=xl/sharedStrings.xml><?xml version="1.0" encoding="utf-8"?>
<sst xmlns="http://schemas.openxmlformats.org/spreadsheetml/2006/main" count="164" uniqueCount="17">
  <si>
    <t>Estimated $ Missed Annually</t>
  </si>
  <si>
    <t>Monday</t>
  </si>
  <si>
    <t>Tuesday</t>
  </si>
  <si>
    <t>Wednesday</t>
  </si>
  <si>
    <t>Thursday</t>
  </si>
  <si>
    <t>Friday</t>
  </si>
  <si>
    <t>SHELDON ECA</t>
  </si>
  <si>
    <t>District Goal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</si>
  <si>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</si>
  <si>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Estimated $ Per Student</t>
  </si>
  <si>
    <t>Date</t>
  </si>
  <si>
    <t>Day of the Week</t>
  </si>
  <si>
    <t>Campus ADA %</t>
  </si>
  <si>
    <t xml:space="preserve">Enrollment </t>
  </si>
  <si>
    <t># Students Absent</t>
  </si>
  <si>
    <t xml:space="preserve">Estimated $ Missed </t>
  </si>
  <si>
    <t>DISTRICTS # ABS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</si>
</sst>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8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21"/>
      <color rgb="FF073763"/>
      <name val="Arial"/>
      <family val="2"/>
      <scheme val="minor"/>
    </font>
    <font>
      <sz val="12"/>
      <color rgb="FFFFFFFF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9"/>
      <color rgb="FFFFFFFF"/>
      <name val="Arial"/>
      <family val="2"/>
      <scheme val="minor"/>
    </font>
    <font>
      <sz val="36"/>
      <color rgb="FFFFFFFF"/>
      <name val="Arial"/>
      <family val="2"/>
      <scheme val="minor"/>
    </font>
    <font>
      <sz val="21"/>
      <color rgb="FFFFFFFF"/>
      <name val="Arial"/>
      <family val="2"/>
      <scheme val="minor"/>
    </font>
    <font>
      <sz val="9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FFFF00"/>
      <name val="Arial"/>
      <family val="2"/>
    </font>
    <font>
      <sz val="10"/>
      <color rgb="FFFF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</fills>
  <borders count="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0" xfId="0" applyFont="1" applyFill="1" applyAlignment="1">
      <alignment horizontal="center"/>
    </xf>
    <xf numFmtId="4" fontId="4" fillId="2" borderId="0" xfId="0" applyNumberFormat="1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3" fontId="6" fillId="4" borderId="0" xfId="0" applyNumberFormat="1" applyFont="1" applyFill="1"/>
    <xf numFmtId="4" fontId="7" fillId="2" borderId="1" xfId="0" applyNumberFormat="1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 wrapText="1"/>
    </xf>
    <xf numFmtId="0" fontId="11" fillId="5" borderId="6" xfId="0" applyFont="1" applyFill="1" applyBorder="1" applyAlignment="1">
      <alignment horizontal="center" wrapText="1"/>
    </xf>
    <xf numFmtId="10" fontId="11" fillId="5" borderId="6" xfId="0" applyNumberFormat="1" applyFont="1" applyFill="1" applyBorder="1" applyAlignment="1">
      <alignment horizontal="center" wrapText="1"/>
    </xf>
    <xf numFmtId="3" fontId="11" fillId="2" borderId="6" xfId="0" applyNumberFormat="1" applyFont="1" applyFill="1" applyBorder="1" applyAlignment="1">
      <alignment horizontal="center" wrapText="1"/>
    </xf>
    <xf numFmtId="3" fontId="11" fillId="2" borderId="7" xfId="0" applyNumberFormat="1" applyFont="1" applyFill="1" applyBorder="1" applyAlignment="1">
      <alignment horizontal="center" wrapText="1"/>
    </xf>
    <xf numFmtId="3" fontId="11" fillId="2" borderId="4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12" fillId="0" borderId="0" xfId="0" applyNumberFormat="1" applyFont="1" applyAlignment="1">
      <alignment horizontal="center"/>
    </xf>
    <xf numFmtId="0" fontId="12" fillId="0" borderId="0" xfId="0" applyFont="1"/>
    <xf numFmtId="3" fontId="12" fillId="6" borderId="4" xfId="0" applyNumberFormat="1" applyFont="1" applyFill="1" applyBorder="1"/>
    <xf numFmtId="164" fontId="12" fillId="6" borderId="0" xfId="0" applyNumberFormat="1" applyFont="1" applyFill="1"/>
    <xf numFmtId="3" fontId="12" fillId="2" borderId="3" xfId="0" applyNumberFormat="1" applyFont="1" applyFill="1" applyBorder="1"/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0" fontId="12" fillId="7" borderId="0" xfId="0" applyNumberFormat="1" applyFont="1" applyFill="1" applyAlignment="1">
      <alignment horizontal="center"/>
    </xf>
    <xf numFmtId="0" fontId="12" fillId="7" borderId="0" xfId="0" applyFont="1" applyFill="1"/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0" fontId="12" fillId="8" borderId="0" xfId="0" applyNumberFormat="1" applyFont="1" applyFill="1" applyAlignment="1">
      <alignment horizontal="center"/>
    </xf>
    <xf numFmtId="0" fontId="12" fillId="8" borderId="0" xfId="0" applyFont="1" applyFill="1"/>
    <xf numFmtId="10" fontId="13" fillId="0" borderId="0" xfId="0" applyNumberFormat="1" applyFont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0" fontId="12" fillId="9" borderId="0" xfId="0" applyNumberFormat="1" applyFont="1" applyFill="1" applyAlignment="1">
      <alignment horizontal="center"/>
    </xf>
    <xf numFmtId="0" fontId="12" fillId="9" borderId="0" xfId="0" applyFont="1" applyFill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17" fillId="2" borderId="4" xfId="0" applyNumberFormat="1" applyFont="1" applyFill="1" applyBorder="1"/>
    <xf numFmtId="3" fontId="17" fillId="2" borderId="3" xfId="0" applyNumberFormat="1" applyFont="1" applyFill="1" applyBorder="1"/>
    <xf numFmtId="0" fontId="3" fillId="3" borderId="0" xfId="0" applyFont="1" applyFill="1" applyAlignment="1">
      <alignment horizontal="center"/>
    </xf>
    <xf numFmtId="0" fontId="0" fillId="0" borderId="0" xfId="0"/>
    <xf numFmtId="4" fontId="4" fillId="2" borderId="0" xfId="0" applyNumberFormat="1" applyFont="1" applyFill="1" applyAlignment="1">
      <alignment horizontal="center"/>
    </xf>
    <xf numFmtId="0" fontId="1" fillId="0" borderId="3" xfId="0" applyFont="1" applyBorder="1"/>
    <xf numFmtId="4" fontId="4" fillId="2" borderId="2" xfId="0" applyNumberFormat="1" applyFont="1" applyFill="1" applyBorder="1" applyAlignment="1">
      <alignment horizontal="center" wrapText="1"/>
    </xf>
    <xf numFmtId="165" fontId="8" fillId="2" borderId="0" xfId="0" applyNumberFormat="1" applyFont="1" applyFill="1" applyAlignment="1">
      <alignment horizontal="center"/>
    </xf>
    <xf numFmtId="9" fontId="9" fillId="2" borderId="4" xfId="0" applyNumberFormat="1" applyFont="1" applyFill="1" applyBorder="1" applyAlignment="1">
      <alignment horizontal="center"/>
    </xf>
    <xf numFmtId="0" fontId="1" fillId="0" borderId="4" xfId="0" applyFont="1" applyBorder="1"/>
    <xf numFmtId="4" fontId="4" fillId="2" borderId="0" xfId="0" applyNumberFormat="1" applyFont="1" applyFill="1" applyAlignment="1">
      <alignment horizontal="center" wrapText="1"/>
    </xf>
    <xf numFmtId="164" fontId="10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4"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  <pageSetUpPr fitToPage="1"/>
  </sheetPr>
  <dimension ref="A1:H158"/>
  <sheetViews>
    <sheetView tabSelected="1" workbookViewId="0">
      <pane ySplit="6" topLeftCell="A7" activePane="bottomLeft" state="frozen"/>
      <selection pane="bottomLeft" activeCell="B158" sqref="B7:B15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5" width="16.28515625" customWidth="1"/>
    <col min="6" max="6" width="34.7109375" customWidth="1"/>
    <col min="7" max="7" width="16.28515625" customWidth="1"/>
    <col min="8" max="8" width="22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SUM(H7:H158)</f>
        <v>-2446.9383999999968</v>
      </c>
    </row>
    <row r="2" spans="1:8" ht="16.5" thickTop="1" x14ac:dyDescent="0.25">
      <c r="A2" s="36" t="s">
        <v>6</v>
      </c>
      <c r="B2" s="37"/>
      <c r="C2" s="37"/>
      <c r="D2" s="37"/>
      <c r="E2" s="38" t="s">
        <v>0</v>
      </c>
      <c r="F2" s="39"/>
      <c r="G2" s="5" t="s">
        <v>7</v>
      </c>
      <c r="H2" s="40" t="s">
        <v>8</v>
      </c>
    </row>
    <row r="3" spans="1:8" ht="23.25" x14ac:dyDescent="0.3">
      <c r="A3" s="37"/>
      <c r="B3" s="37"/>
      <c r="C3" s="37"/>
      <c r="D3" s="37"/>
      <c r="E3" s="41">
        <f>SUM(F7:F128)</f>
        <v>234562.56449999992</v>
      </c>
      <c r="F3" s="39"/>
      <c r="G3" s="42">
        <v>0.95</v>
      </c>
      <c r="H3" s="39"/>
    </row>
    <row r="4" spans="1:8" ht="12.75" x14ac:dyDescent="0.2">
      <c r="A4" s="37"/>
      <c r="B4" s="37"/>
      <c r="C4" s="37"/>
      <c r="D4" s="37"/>
      <c r="E4" s="44" t="s">
        <v>9</v>
      </c>
      <c r="F4" s="37"/>
      <c r="G4" s="43"/>
      <c r="H4" s="39"/>
    </row>
    <row r="5" spans="1:8" thickBot="1" x14ac:dyDescent="0.4">
      <c r="A5" s="37"/>
      <c r="B5" s="37"/>
      <c r="C5" s="37"/>
      <c r="D5" s="37"/>
      <c r="E5" s="45">
        <v>55</v>
      </c>
      <c r="F5" s="37"/>
      <c r="G5" s="43"/>
      <c r="H5" s="39"/>
    </row>
    <row r="6" spans="1:8" ht="25.5" thickTop="1" thickBot="1" x14ac:dyDescent="0.25">
      <c r="A6" s="6" t="s">
        <v>10</v>
      </c>
      <c r="B6" s="7" t="s">
        <v>11</v>
      </c>
      <c r="C6" s="8" t="s">
        <v>12</v>
      </c>
      <c r="D6" s="7" t="s">
        <v>13</v>
      </c>
      <c r="E6" s="9" t="s">
        <v>14</v>
      </c>
      <c r="F6" s="10" t="s">
        <v>15</v>
      </c>
      <c r="G6" s="11" t="s">
        <v>16</v>
      </c>
      <c r="H6" s="39"/>
    </row>
    <row r="7" spans="1:8" ht="13.5" thickTop="1" x14ac:dyDescent="0.2">
      <c r="A7" s="12">
        <v>45516</v>
      </c>
      <c r="B7" s="13" t="s">
        <v>1</v>
      </c>
      <c r="C7" s="14">
        <v>1</v>
      </c>
      <c r="D7" s="15">
        <v>464</v>
      </c>
      <c r="E7" s="16">
        <f t="shared" ref="E7:E38" si="0">D7-(C7*D7)</f>
        <v>0</v>
      </c>
      <c r="F7" s="17">
        <f t="shared" ref="F7:F158" si="1">E7*$E$5</f>
        <v>0</v>
      </c>
      <c r="G7" s="34">
        <f t="shared" ref="G7:G158" si="2">D7-(D7*G$3)</f>
        <v>23.200000000000045</v>
      </c>
      <c r="H7" s="35">
        <f t="shared" ref="H7:H158" si="3">G7-E7</f>
        <v>23.200000000000045</v>
      </c>
    </row>
    <row r="8" spans="1:8" ht="12.75" x14ac:dyDescent="0.2">
      <c r="A8" s="12">
        <v>45517</v>
      </c>
      <c r="B8" s="13" t="s">
        <v>2</v>
      </c>
      <c r="C8" s="14">
        <v>0.98860000000000003</v>
      </c>
      <c r="D8" s="15">
        <v>487</v>
      </c>
      <c r="E8" s="16">
        <f t="shared" si="0"/>
        <v>5.5517999999999574</v>
      </c>
      <c r="F8" s="17">
        <f t="shared" si="1"/>
        <v>305.34899999999766</v>
      </c>
      <c r="G8" s="34">
        <f t="shared" si="2"/>
        <v>24.350000000000023</v>
      </c>
      <c r="H8" s="35">
        <f t="shared" si="3"/>
        <v>18.798200000000065</v>
      </c>
    </row>
    <row r="9" spans="1:8" ht="12.75" x14ac:dyDescent="0.2">
      <c r="A9" s="12">
        <v>45518</v>
      </c>
      <c r="B9" s="13" t="s">
        <v>3</v>
      </c>
      <c r="C9" s="14">
        <v>0.98089999999999999</v>
      </c>
      <c r="D9" s="15">
        <v>495</v>
      </c>
      <c r="E9" s="16">
        <f t="shared" si="0"/>
        <v>9.4544999999999959</v>
      </c>
      <c r="F9" s="17">
        <f t="shared" si="1"/>
        <v>519.99749999999972</v>
      </c>
      <c r="G9" s="34">
        <f t="shared" si="2"/>
        <v>24.75</v>
      </c>
      <c r="H9" s="35">
        <f t="shared" si="3"/>
        <v>15.295500000000004</v>
      </c>
    </row>
    <row r="10" spans="1:8" ht="12.75" x14ac:dyDescent="0.2">
      <c r="A10" s="12">
        <v>45519</v>
      </c>
      <c r="B10" s="13" t="s">
        <v>4</v>
      </c>
      <c r="C10" s="14">
        <v>0.94599999999999995</v>
      </c>
      <c r="D10" s="15">
        <v>503</v>
      </c>
      <c r="E10" s="16">
        <f>D10-(C10*D10)</f>
        <v>27.162000000000035</v>
      </c>
      <c r="F10" s="17">
        <f t="shared" si="1"/>
        <v>1493.9100000000019</v>
      </c>
      <c r="G10" s="34">
        <f t="shared" si="2"/>
        <v>25.150000000000034</v>
      </c>
      <c r="H10" s="18">
        <f t="shared" si="3"/>
        <v>-2.0120000000000005</v>
      </c>
    </row>
    <row r="11" spans="1:8" ht="12.75" x14ac:dyDescent="0.2">
      <c r="A11" s="12">
        <v>45520</v>
      </c>
      <c r="B11" s="13" t="s">
        <v>5</v>
      </c>
      <c r="C11" s="14">
        <v>0.92420000000000002</v>
      </c>
      <c r="D11" s="15">
        <v>515</v>
      </c>
      <c r="E11" s="16">
        <f t="shared" si="0"/>
        <v>39.036999999999978</v>
      </c>
      <c r="F11" s="17">
        <f t="shared" si="1"/>
        <v>2147.0349999999989</v>
      </c>
      <c r="G11" s="34">
        <f t="shared" si="2"/>
        <v>25.75</v>
      </c>
      <c r="H11" s="18">
        <f t="shared" si="3"/>
        <v>-13.286999999999978</v>
      </c>
    </row>
    <row r="12" spans="1:8" ht="12.75" x14ac:dyDescent="0.2">
      <c r="A12" s="12">
        <v>45523</v>
      </c>
      <c r="B12" s="13" t="s">
        <v>1</v>
      </c>
      <c r="C12" s="14">
        <v>0.90629999999999999</v>
      </c>
      <c r="D12" s="15">
        <v>529</v>
      </c>
      <c r="E12" s="16">
        <f t="shared" si="0"/>
        <v>49.567299999999989</v>
      </c>
      <c r="F12" s="17">
        <f t="shared" si="1"/>
        <v>2726.2014999999992</v>
      </c>
      <c r="G12" s="34">
        <f t="shared" si="2"/>
        <v>26.450000000000045</v>
      </c>
      <c r="H12" s="18">
        <f t="shared" si="3"/>
        <v>-23.117299999999943</v>
      </c>
    </row>
    <row r="13" spans="1:8" ht="12.75" x14ac:dyDescent="0.2">
      <c r="A13" s="12">
        <v>45524</v>
      </c>
      <c r="B13" s="13" t="s">
        <v>2</v>
      </c>
      <c r="C13" s="14">
        <v>0.93020000000000003</v>
      </c>
      <c r="D13" s="15">
        <v>535</v>
      </c>
      <c r="E13" s="16">
        <f t="shared" si="0"/>
        <v>37.342999999999961</v>
      </c>
      <c r="F13" s="17">
        <f t="shared" si="1"/>
        <v>2053.864999999998</v>
      </c>
      <c r="G13" s="34">
        <f t="shared" si="2"/>
        <v>26.75</v>
      </c>
      <c r="H13" s="18">
        <f t="shared" si="3"/>
        <v>-10.592999999999961</v>
      </c>
    </row>
    <row r="14" spans="1:8" ht="12.75" x14ac:dyDescent="0.2">
      <c r="A14" s="12">
        <v>45525</v>
      </c>
      <c r="B14" s="13" t="s">
        <v>3</v>
      </c>
      <c r="C14" s="14">
        <v>0.93520000000000003</v>
      </c>
      <c r="D14" s="15">
        <v>540</v>
      </c>
      <c r="E14" s="16">
        <f t="shared" si="0"/>
        <v>34.991999999999962</v>
      </c>
      <c r="F14" s="17">
        <f t="shared" si="1"/>
        <v>1924.5599999999979</v>
      </c>
      <c r="G14" s="34">
        <f t="shared" si="2"/>
        <v>27</v>
      </c>
      <c r="H14" s="18">
        <f t="shared" si="3"/>
        <v>-7.9919999999999618</v>
      </c>
    </row>
    <row r="15" spans="1:8" ht="12.75" x14ac:dyDescent="0.2">
      <c r="A15" s="12">
        <v>45526</v>
      </c>
      <c r="B15" s="13" t="s">
        <v>4</v>
      </c>
      <c r="C15" s="14">
        <v>0.93159999999999998</v>
      </c>
      <c r="D15" s="15">
        <v>544</v>
      </c>
      <c r="E15" s="16">
        <f t="shared" si="0"/>
        <v>37.209600000000023</v>
      </c>
      <c r="F15" s="17">
        <f t="shared" si="1"/>
        <v>2046.5280000000012</v>
      </c>
      <c r="G15" s="34">
        <f t="shared" si="2"/>
        <v>27.200000000000045</v>
      </c>
      <c r="H15" s="18">
        <f t="shared" si="3"/>
        <v>-10.009599999999978</v>
      </c>
    </row>
    <row r="16" spans="1:8" ht="12.75" x14ac:dyDescent="0.2">
      <c r="A16" s="12">
        <v>45527</v>
      </c>
      <c r="B16" s="13" t="s">
        <v>5</v>
      </c>
      <c r="C16" s="14">
        <v>0.9234</v>
      </c>
      <c r="D16" s="15">
        <v>546</v>
      </c>
      <c r="E16" s="16">
        <f t="shared" si="0"/>
        <v>41.823599999999999</v>
      </c>
      <c r="F16" s="17">
        <f t="shared" si="1"/>
        <v>2300.2979999999998</v>
      </c>
      <c r="G16" s="34">
        <f t="shared" si="2"/>
        <v>27.300000000000068</v>
      </c>
      <c r="H16" s="18">
        <f t="shared" si="3"/>
        <v>-14.523599999999931</v>
      </c>
    </row>
    <row r="17" spans="1:8" ht="12.75" x14ac:dyDescent="0.2">
      <c r="A17" s="12">
        <v>45530</v>
      </c>
      <c r="B17" s="13" t="s">
        <v>1</v>
      </c>
      <c r="C17" s="14">
        <v>0.90959999999999996</v>
      </c>
      <c r="D17" s="15">
        <v>549</v>
      </c>
      <c r="E17" s="16">
        <f t="shared" si="0"/>
        <v>49.629600000000039</v>
      </c>
      <c r="F17" s="17">
        <f t="shared" si="1"/>
        <v>2729.628000000002</v>
      </c>
      <c r="G17" s="34">
        <f t="shared" si="2"/>
        <v>27.450000000000045</v>
      </c>
      <c r="H17" s="18">
        <f t="shared" si="3"/>
        <v>-22.179599999999994</v>
      </c>
    </row>
    <row r="18" spans="1:8" ht="12.75" x14ac:dyDescent="0.2">
      <c r="A18" s="12">
        <v>45531</v>
      </c>
      <c r="B18" s="13" t="s">
        <v>2</v>
      </c>
      <c r="C18" s="14">
        <v>0.94650000000000001</v>
      </c>
      <c r="D18" s="15">
        <v>552</v>
      </c>
      <c r="E18" s="16">
        <f t="shared" si="0"/>
        <v>29.532000000000039</v>
      </c>
      <c r="F18" s="17">
        <f t="shared" si="1"/>
        <v>1624.260000000002</v>
      </c>
      <c r="G18" s="34">
        <f t="shared" si="2"/>
        <v>27.600000000000023</v>
      </c>
      <c r="H18" s="18">
        <f t="shared" si="3"/>
        <v>-1.9320000000000164</v>
      </c>
    </row>
    <row r="19" spans="1:8" ht="12.75" x14ac:dyDescent="0.2">
      <c r="A19" s="12">
        <v>45532</v>
      </c>
      <c r="B19" s="13" t="s">
        <v>3</v>
      </c>
      <c r="C19" s="14">
        <v>0.91479999999999995</v>
      </c>
      <c r="D19" s="15">
        <v>555</v>
      </c>
      <c r="E19" s="16">
        <f t="shared" si="0"/>
        <v>47.286000000000001</v>
      </c>
      <c r="F19" s="17">
        <f t="shared" si="1"/>
        <v>2600.73</v>
      </c>
      <c r="G19" s="34">
        <f t="shared" si="2"/>
        <v>27.75</v>
      </c>
      <c r="H19" s="18">
        <f t="shared" si="3"/>
        <v>-19.536000000000001</v>
      </c>
    </row>
    <row r="20" spans="1:8" ht="12.75" x14ac:dyDescent="0.2">
      <c r="A20" s="12">
        <v>45533</v>
      </c>
      <c r="B20" s="13" t="s">
        <v>4</v>
      </c>
      <c r="C20" s="14">
        <v>0.9073</v>
      </c>
      <c r="D20" s="15">
        <v>556</v>
      </c>
      <c r="E20" s="16">
        <f t="shared" si="0"/>
        <v>51.541200000000003</v>
      </c>
      <c r="F20" s="17">
        <f t="shared" si="1"/>
        <v>2834.7660000000001</v>
      </c>
      <c r="G20" s="34">
        <f t="shared" si="2"/>
        <v>27.800000000000068</v>
      </c>
      <c r="H20" s="18">
        <f t="shared" si="3"/>
        <v>-23.741199999999935</v>
      </c>
    </row>
    <row r="21" spans="1:8" ht="12.75" x14ac:dyDescent="0.2">
      <c r="A21" s="12">
        <v>45534</v>
      </c>
      <c r="B21" s="13" t="s">
        <v>5</v>
      </c>
      <c r="C21" s="14">
        <v>0.82450000000000001</v>
      </c>
      <c r="D21" s="15">
        <v>556</v>
      </c>
      <c r="E21" s="16">
        <f t="shared" si="0"/>
        <v>97.577999999999975</v>
      </c>
      <c r="F21" s="17">
        <f t="shared" si="1"/>
        <v>5366.7899999999991</v>
      </c>
      <c r="G21" s="34">
        <f t="shared" si="2"/>
        <v>27.800000000000068</v>
      </c>
      <c r="H21" s="18">
        <f t="shared" si="3"/>
        <v>-69.777999999999906</v>
      </c>
    </row>
    <row r="22" spans="1:8" ht="12.75" x14ac:dyDescent="0.2">
      <c r="A22" s="19">
        <v>45537</v>
      </c>
      <c r="B22" s="20" t="s">
        <v>1</v>
      </c>
      <c r="C22" s="21"/>
      <c r="D22" s="22"/>
      <c r="E22" s="16">
        <f t="shared" si="0"/>
        <v>0</v>
      </c>
      <c r="F22" s="17">
        <f t="shared" si="1"/>
        <v>0</v>
      </c>
      <c r="G22" s="34">
        <f t="shared" si="2"/>
        <v>0</v>
      </c>
      <c r="H22" s="35">
        <f t="shared" si="3"/>
        <v>0</v>
      </c>
    </row>
    <row r="23" spans="1:8" ht="12.75" x14ac:dyDescent="0.2">
      <c r="A23" s="12">
        <v>45538</v>
      </c>
      <c r="B23" s="13" t="s">
        <v>2</v>
      </c>
      <c r="C23" s="14">
        <v>0.88970000000000005</v>
      </c>
      <c r="D23" s="15">
        <v>548</v>
      </c>
      <c r="E23" s="16">
        <f t="shared" si="0"/>
        <v>60.444399999999973</v>
      </c>
      <c r="F23" s="17">
        <f t="shared" si="1"/>
        <v>3324.4419999999986</v>
      </c>
      <c r="G23" s="34">
        <f t="shared" si="2"/>
        <v>27.399999999999977</v>
      </c>
      <c r="H23" s="18">
        <f t="shared" si="3"/>
        <v>-33.044399999999996</v>
      </c>
    </row>
    <row r="24" spans="1:8" ht="12.75" x14ac:dyDescent="0.2">
      <c r="A24" s="12">
        <v>45539</v>
      </c>
      <c r="B24" s="13" t="s">
        <v>3</v>
      </c>
      <c r="C24" s="14">
        <v>0.91830000000000001</v>
      </c>
      <c r="D24" s="15">
        <v>551</v>
      </c>
      <c r="E24" s="16">
        <f t="shared" si="0"/>
        <v>45.016700000000014</v>
      </c>
      <c r="F24" s="17">
        <f t="shared" si="1"/>
        <v>2475.9185000000007</v>
      </c>
      <c r="G24" s="34">
        <f t="shared" si="2"/>
        <v>27.550000000000068</v>
      </c>
      <c r="H24" s="18">
        <f t="shared" si="3"/>
        <v>-17.466699999999946</v>
      </c>
    </row>
    <row r="25" spans="1:8" ht="12.75" x14ac:dyDescent="0.2">
      <c r="A25" s="12">
        <v>45540</v>
      </c>
      <c r="B25" s="13" t="s">
        <v>4</v>
      </c>
      <c r="C25" s="14">
        <v>0.94030000000000002</v>
      </c>
      <c r="D25" s="15">
        <v>553</v>
      </c>
      <c r="E25" s="16">
        <f t="shared" si="0"/>
        <v>33.014099999999985</v>
      </c>
      <c r="F25" s="17">
        <f t="shared" si="1"/>
        <v>1815.7754999999993</v>
      </c>
      <c r="G25" s="34">
        <f t="shared" si="2"/>
        <v>27.649999999999977</v>
      </c>
      <c r="H25" s="18">
        <f t="shared" si="3"/>
        <v>-5.3641000000000076</v>
      </c>
    </row>
    <row r="26" spans="1:8" ht="12.75" x14ac:dyDescent="0.2">
      <c r="A26" s="12">
        <v>45541</v>
      </c>
      <c r="B26" s="13" t="s">
        <v>5</v>
      </c>
      <c r="C26" s="14">
        <v>0.90659999999999996</v>
      </c>
      <c r="D26" s="15">
        <v>553</v>
      </c>
      <c r="E26" s="16">
        <f t="shared" si="0"/>
        <v>51.650200000000041</v>
      </c>
      <c r="F26" s="17">
        <f t="shared" si="1"/>
        <v>2840.7610000000022</v>
      </c>
      <c r="G26" s="34">
        <f t="shared" si="2"/>
        <v>27.649999999999977</v>
      </c>
      <c r="H26" s="18">
        <f t="shared" si="3"/>
        <v>-24.000200000000063</v>
      </c>
    </row>
    <row r="27" spans="1:8" ht="12.75" x14ac:dyDescent="0.2">
      <c r="A27" s="12">
        <v>45544</v>
      </c>
      <c r="B27" s="13" t="s">
        <v>1</v>
      </c>
      <c r="C27" s="14">
        <v>0.91969999999999996</v>
      </c>
      <c r="D27" s="15">
        <v>553</v>
      </c>
      <c r="E27" s="16">
        <f t="shared" si="0"/>
        <v>44.405900000000031</v>
      </c>
      <c r="F27" s="17">
        <f t="shared" si="1"/>
        <v>2442.3245000000015</v>
      </c>
      <c r="G27" s="34">
        <f t="shared" si="2"/>
        <v>27.649999999999977</v>
      </c>
      <c r="H27" s="18">
        <f t="shared" si="3"/>
        <v>-16.755900000000054</v>
      </c>
    </row>
    <row r="28" spans="1:8" ht="12.75" x14ac:dyDescent="0.2">
      <c r="A28" s="12">
        <v>45545</v>
      </c>
      <c r="B28" s="13" t="s">
        <v>2</v>
      </c>
      <c r="C28" s="14">
        <v>0.92730000000000001</v>
      </c>
      <c r="D28" s="15">
        <v>554</v>
      </c>
      <c r="E28" s="16">
        <f t="shared" si="0"/>
        <v>40.275800000000004</v>
      </c>
      <c r="F28" s="17">
        <f t="shared" si="1"/>
        <v>2215.1690000000003</v>
      </c>
      <c r="G28" s="34">
        <f t="shared" si="2"/>
        <v>27.700000000000045</v>
      </c>
      <c r="H28" s="18">
        <f t="shared" si="3"/>
        <v>-12.575799999999958</v>
      </c>
    </row>
    <row r="29" spans="1:8" ht="12.75" x14ac:dyDescent="0.2">
      <c r="A29" s="12">
        <v>45546</v>
      </c>
      <c r="B29" s="13" t="s">
        <v>3</v>
      </c>
      <c r="C29" s="14">
        <v>0.92069999999999996</v>
      </c>
      <c r="D29" s="15">
        <v>553</v>
      </c>
      <c r="E29" s="16">
        <f t="shared" si="0"/>
        <v>43.852900000000034</v>
      </c>
      <c r="F29" s="17">
        <f t="shared" si="1"/>
        <v>2411.909500000002</v>
      </c>
      <c r="G29" s="34">
        <f t="shared" si="2"/>
        <v>27.649999999999977</v>
      </c>
      <c r="H29" s="18">
        <f t="shared" si="3"/>
        <v>-16.202900000000056</v>
      </c>
    </row>
    <row r="30" spans="1:8" ht="12.75" x14ac:dyDescent="0.2">
      <c r="A30" s="12">
        <v>45547</v>
      </c>
      <c r="B30" s="13" t="s">
        <v>4</v>
      </c>
      <c r="C30" s="14">
        <v>0.91410000000000002</v>
      </c>
      <c r="D30" s="15">
        <v>553</v>
      </c>
      <c r="E30" s="16">
        <f t="shared" si="0"/>
        <v>47.502700000000004</v>
      </c>
      <c r="F30" s="17">
        <f t="shared" si="1"/>
        <v>2612.6485000000002</v>
      </c>
      <c r="G30" s="34">
        <f t="shared" si="2"/>
        <v>27.649999999999977</v>
      </c>
      <c r="H30" s="18">
        <f t="shared" si="3"/>
        <v>-19.852700000000027</v>
      </c>
    </row>
    <row r="31" spans="1:8" ht="12.75" x14ac:dyDescent="0.2">
      <c r="A31" s="12">
        <v>45548</v>
      </c>
      <c r="B31" s="13" t="s">
        <v>5</v>
      </c>
      <c r="C31" s="14">
        <v>0.89690000000000003</v>
      </c>
      <c r="D31" s="15">
        <v>554</v>
      </c>
      <c r="E31" s="16">
        <f t="shared" si="0"/>
        <v>57.117399999999975</v>
      </c>
      <c r="F31" s="17">
        <f t="shared" si="1"/>
        <v>3141.4569999999985</v>
      </c>
      <c r="G31" s="34">
        <f t="shared" si="2"/>
        <v>27.700000000000045</v>
      </c>
      <c r="H31" s="18">
        <f t="shared" si="3"/>
        <v>-29.41739999999993</v>
      </c>
    </row>
    <row r="32" spans="1:8" ht="12.75" x14ac:dyDescent="0.2">
      <c r="A32" s="23">
        <v>45551</v>
      </c>
      <c r="B32" s="24" t="s">
        <v>1</v>
      </c>
      <c r="C32" s="25"/>
      <c r="D32" s="26"/>
      <c r="E32" s="16">
        <f t="shared" si="0"/>
        <v>0</v>
      </c>
      <c r="F32" s="17">
        <f t="shared" si="1"/>
        <v>0</v>
      </c>
      <c r="G32" s="34">
        <f t="shared" si="2"/>
        <v>0</v>
      </c>
      <c r="H32" s="35">
        <f t="shared" si="3"/>
        <v>0</v>
      </c>
    </row>
    <row r="33" spans="1:8" ht="12.75" x14ac:dyDescent="0.2">
      <c r="A33" s="12">
        <v>45552</v>
      </c>
      <c r="B33" s="13" t="s">
        <v>2</v>
      </c>
      <c r="C33" s="14">
        <v>0.90010000000000001</v>
      </c>
      <c r="D33" s="15">
        <v>555</v>
      </c>
      <c r="E33" s="16">
        <f t="shared" si="0"/>
        <v>55.444500000000005</v>
      </c>
      <c r="F33" s="17">
        <f t="shared" si="1"/>
        <v>3049.4475000000002</v>
      </c>
      <c r="G33" s="34">
        <f t="shared" si="2"/>
        <v>27.75</v>
      </c>
      <c r="H33" s="18">
        <f t="shared" si="3"/>
        <v>-27.694500000000005</v>
      </c>
    </row>
    <row r="34" spans="1:8" ht="12.75" x14ac:dyDescent="0.2">
      <c r="A34" s="12">
        <v>45553</v>
      </c>
      <c r="B34" s="13" t="s">
        <v>3</v>
      </c>
      <c r="C34" s="14">
        <v>0.9</v>
      </c>
      <c r="D34" s="15">
        <v>555</v>
      </c>
      <c r="E34" s="16">
        <f t="shared" si="0"/>
        <v>55.5</v>
      </c>
      <c r="F34" s="17">
        <f t="shared" si="1"/>
        <v>3052.5</v>
      </c>
      <c r="G34" s="34">
        <f t="shared" si="2"/>
        <v>27.75</v>
      </c>
      <c r="H34" s="18">
        <f t="shared" si="3"/>
        <v>-27.75</v>
      </c>
    </row>
    <row r="35" spans="1:8" ht="12.75" x14ac:dyDescent="0.2">
      <c r="A35" s="12">
        <v>45554</v>
      </c>
      <c r="B35" s="13" t="s">
        <v>4</v>
      </c>
      <c r="C35" s="14">
        <v>0.89580000000000004</v>
      </c>
      <c r="D35" s="15">
        <v>555</v>
      </c>
      <c r="E35" s="16">
        <f t="shared" si="0"/>
        <v>57.83099999999996</v>
      </c>
      <c r="F35" s="17">
        <f t="shared" si="1"/>
        <v>3180.7049999999977</v>
      </c>
      <c r="G35" s="34">
        <f t="shared" si="2"/>
        <v>27.75</v>
      </c>
      <c r="H35" s="18">
        <f t="shared" si="3"/>
        <v>-30.08099999999996</v>
      </c>
    </row>
    <row r="36" spans="1:8" ht="12.75" x14ac:dyDescent="0.2">
      <c r="A36" s="12">
        <v>45555</v>
      </c>
      <c r="B36" s="13" t="s">
        <v>5</v>
      </c>
      <c r="C36" s="14">
        <v>0.89149999999999996</v>
      </c>
      <c r="D36" s="15">
        <v>556</v>
      </c>
      <c r="E36" s="16">
        <f t="shared" si="0"/>
        <v>60.326000000000022</v>
      </c>
      <c r="F36" s="17">
        <f t="shared" si="1"/>
        <v>3317.9300000000012</v>
      </c>
      <c r="G36" s="34">
        <f t="shared" si="2"/>
        <v>27.800000000000068</v>
      </c>
      <c r="H36" s="18">
        <f t="shared" si="3"/>
        <v>-32.525999999999954</v>
      </c>
    </row>
    <row r="37" spans="1:8" ht="12.75" x14ac:dyDescent="0.2">
      <c r="A37" s="12">
        <v>45558</v>
      </c>
      <c r="B37" s="13" t="s">
        <v>1</v>
      </c>
      <c r="C37" s="14">
        <v>0.89149999999999996</v>
      </c>
      <c r="D37" s="15">
        <v>556</v>
      </c>
      <c r="E37" s="16">
        <f t="shared" si="0"/>
        <v>60.326000000000022</v>
      </c>
      <c r="F37" s="17">
        <f t="shared" si="1"/>
        <v>3317.9300000000012</v>
      </c>
      <c r="G37" s="34">
        <f t="shared" si="2"/>
        <v>27.800000000000068</v>
      </c>
      <c r="H37" s="18">
        <f t="shared" si="3"/>
        <v>-32.525999999999954</v>
      </c>
    </row>
    <row r="38" spans="1:8" ht="12.75" x14ac:dyDescent="0.2">
      <c r="A38" s="12">
        <v>45559</v>
      </c>
      <c r="B38" s="13" t="s">
        <v>2</v>
      </c>
      <c r="C38" s="14">
        <v>0.93279999999999996</v>
      </c>
      <c r="D38" s="15">
        <v>556</v>
      </c>
      <c r="E38" s="16">
        <f t="shared" si="0"/>
        <v>37.363200000000006</v>
      </c>
      <c r="F38" s="17">
        <f t="shared" si="1"/>
        <v>2054.9760000000006</v>
      </c>
      <c r="G38" s="34">
        <f t="shared" si="2"/>
        <v>27.800000000000068</v>
      </c>
      <c r="H38" s="18">
        <f t="shared" si="3"/>
        <v>-9.563199999999938</v>
      </c>
    </row>
    <row r="39" spans="1:8" ht="12.75" x14ac:dyDescent="0.2">
      <c r="A39" s="12">
        <v>45560</v>
      </c>
      <c r="B39" s="13" t="s">
        <v>3</v>
      </c>
      <c r="C39" s="14">
        <v>0.93820000000000003</v>
      </c>
      <c r="D39" s="15">
        <v>556</v>
      </c>
      <c r="E39" s="16">
        <f t="shared" ref="E39:E70" si="4">D39-(C39*D39)</f>
        <v>34.360799999999927</v>
      </c>
      <c r="F39" s="17">
        <f t="shared" si="1"/>
        <v>1889.843999999996</v>
      </c>
      <c r="G39" s="34">
        <f t="shared" si="2"/>
        <v>27.800000000000068</v>
      </c>
      <c r="H39" s="18">
        <f t="shared" si="3"/>
        <v>-6.5607999999998583</v>
      </c>
    </row>
    <row r="40" spans="1:8" ht="12.75" x14ac:dyDescent="0.2">
      <c r="A40" s="12">
        <v>45561</v>
      </c>
      <c r="B40" s="13" t="s">
        <v>4</v>
      </c>
      <c r="C40" s="14">
        <v>0.91769999999999996</v>
      </c>
      <c r="D40" s="15">
        <v>558</v>
      </c>
      <c r="E40" s="16">
        <f t="shared" si="4"/>
        <v>45.923400000000015</v>
      </c>
      <c r="F40" s="17">
        <f t="shared" si="1"/>
        <v>2525.7870000000007</v>
      </c>
      <c r="G40" s="34">
        <f t="shared" si="2"/>
        <v>27.899999999999977</v>
      </c>
      <c r="H40" s="18">
        <f t="shared" si="3"/>
        <v>-18.023400000000038</v>
      </c>
    </row>
    <row r="41" spans="1:8" ht="12.75" x14ac:dyDescent="0.2">
      <c r="A41" s="12">
        <v>45562</v>
      </c>
      <c r="B41" s="13" t="s">
        <v>5</v>
      </c>
      <c r="C41" s="14">
        <v>0.86580000000000001</v>
      </c>
      <c r="D41" s="15">
        <v>557</v>
      </c>
      <c r="E41" s="16">
        <f t="shared" si="4"/>
        <v>74.74939999999998</v>
      </c>
      <c r="F41" s="17">
        <f t="shared" si="1"/>
        <v>4111.2169999999987</v>
      </c>
      <c r="G41" s="34">
        <f t="shared" si="2"/>
        <v>27.850000000000023</v>
      </c>
      <c r="H41" s="18">
        <f t="shared" si="3"/>
        <v>-46.899399999999957</v>
      </c>
    </row>
    <row r="42" spans="1:8" ht="12.75" x14ac:dyDescent="0.2">
      <c r="A42" s="12">
        <v>45565</v>
      </c>
      <c r="B42" s="13" t="s">
        <v>1</v>
      </c>
      <c r="C42" s="14">
        <v>0.91669999999999996</v>
      </c>
      <c r="D42" s="15">
        <v>558</v>
      </c>
      <c r="E42" s="16">
        <f t="shared" si="4"/>
        <v>46.481400000000008</v>
      </c>
      <c r="F42" s="17">
        <f t="shared" si="1"/>
        <v>2556.4770000000003</v>
      </c>
      <c r="G42" s="34">
        <f t="shared" si="2"/>
        <v>27.899999999999977</v>
      </c>
      <c r="H42" s="18">
        <f t="shared" si="3"/>
        <v>-18.581400000000031</v>
      </c>
    </row>
    <row r="43" spans="1:8" ht="12.75" x14ac:dyDescent="0.2">
      <c r="A43" s="12">
        <v>45566</v>
      </c>
      <c r="B43" s="13" t="s">
        <v>2</v>
      </c>
      <c r="C43" s="14">
        <v>0.93159999999999998</v>
      </c>
      <c r="D43" s="15">
        <v>559</v>
      </c>
      <c r="E43" s="16">
        <f t="shared" si="4"/>
        <v>38.235599999999977</v>
      </c>
      <c r="F43" s="17">
        <f t="shared" si="1"/>
        <v>2102.9579999999987</v>
      </c>
      <c r="G43" s="34">
        <f t="shared" si="2"/>
        <v>27.950000000000045</v>
      </c>
      <c r="H43" s="18">
        <f t="shared" si="3"/>
        <v>-10.285599999999931</v>
      </c>
    </row>
    <row r="44" spans="1:8" ht="12.75" x14ac:dyDescent="0.2">
      <c r="A44" s="12">
        <v>45567</v>
      </c>
      <c r="B44" s="13" t="s">
        <v>3</v>
      </c>
      <c r="C44" s="14">
        <v>0.93300000000000005</v>
      </c>
      <c r="D44" s="15">
        <v>559</v>
      </c>
      <c r="E44" s="16">
        <f t="shared" si="4"/>
        <v>37.452999999999975</v>
      </c>
      <c r="F44" s="17">
        <f t="shared" si="1"/>
        <v>2059.9149999999986</v>
      </c>
      <c r="G44" s="34">
        <f t="shared" si="2"/>
        <v>27.950000000000045</v>
      </c>
      <c r="H44" s="18">
        <f t="shared" si="3"/>
        <v>-9.5029999999999291</v>
      </c>
    </row>
    <row r="45" spans="1:8" ht="12.75" x14ac:dyDescent="0.2">
      <c r="A45" s="12">
        <v>45568</v>
      </c>
      <c r="B45" s="13" t="s">
        <v>4</v>
      </c>
      <c r="C45" s="14">
        <v>0.93740000000000001</v>
      </c>
      <c r="D45" s="15">
        <v>559</v>
      </c>
      <c r="E45" s="16">
        <f t="shared" si="4"/>
        <v>34.993399999999951</v>
      </c>
      <c r="F45" s="17">
        <f t="shared" si="1"/>
        <v>1924.6369999999974</v>
      </c>
      <c r="G45" s="34">
        <f t="shared" si="2"/>
        <v>27.950000000000045</v>
      </c>
      <c r="H45" s="18">
        <f t="shared" si="3"/>
        <v>-7.043399999999906</v>
      </c>
    </row>
    <row r="46" spans="1:8" ht="12.75" x14ac:dyDescent="0.2">
      <c r="A46" s="12">
        <v>45569</v>
      </c>
      <c r="B46" s="13" t="s">
        <v>5</v>
      </c>
      <c r="C46" s="14">
        <v>0.91249999999999998</v>
      </c>
      <c r="D46" s="15">
        <v>559</v>
      </c>
      <c r="E46" s="16">
        <f t="shared" si="4"/>
        <v>48.912500000000023</v>
      </c>
      <c r="F46" s="17">
        <f t="shared" si="1"/>
        <v>2690.1875000000014</v>
      </c>
      <c r="G46" s="34">
        <f t="shared" si="2"/>
        <v>27.950000000000045</v>
      </c>
      <c r="H46" s="18">
        <f t="shared" si="3"/>
        <v>-20.962499999999977</v>
      </c>
    </row>
    <row r="47" spans="1:8" ht="12.75" x14ac:dyDescent="0.2">
      <c r="A47" s="19">
        <v>45572</v>
      </c>
      <c r="B47" s="20" t="s">
        <v>1</v>
      </c>
      <c r="C47" s="21"/>
      <c r="D47" s="22"/>
      <c r="E47" s="16">
        <f t="shared" si="4"/>
        <v>0</v>
      </c>
      <c r="F47" s="17">
        <f t="shared" si="1"/>
        <v>0</v>
      </c>
      <c r="G47" s="34">
        <f t="shared" si="2"/>
        <v>0</v>
      </c>
      <c r="H47" s="35">
        <f t="shared" si="3"/>
        <v>0</v>
      </c>
    </row>
    <row r="48" spans="1:8" ht="12.75" x14ac:dyDescent="0.2">
      <c r="A48" s="19">
        <v>45573</v>
      </c>
      <c r="B48" s="20" t="s">
        <v>2</v>
      </c>
      <c r="C48" s="21"/>
      <c r="D48" s="22"/>
      <c r="E48" s="16">
        <f t="shared" si="4"/>
        <v>0</v>
      </c>
      <c r="F48" s="17">
        <f t="shared" si="1"/>
        <v>0</v>
      </c>
      <c r="G48" s="34">
        <f t="shared" si="2"/>
        <v>0</v>
      </c>
      <c r="H48" s="35">
        <f t="shared" si="3"/>
        <v>0</v>
      </c>
    </row>
    <row r="49" spans="1:8" ht="12.75" x14ac:dyDescent="0.2">
      <c r="A49" s="19">
        <v>45574</v>
      </c>
      <c r="B49" s="20" t="s">
        <v>3</v>
      </c>
      <c r="C49" s="21"/>
      <c r="D49" s="22"/>
      <c r="E49" s="16">
        <f t="shared" si="4"/>
        <v>0</v>
      </c>
      <c r="F49" s="17">
        <f t="shared" si="1"/>
        <v>0</v>
      </c>
      <c r="G49" s="34">
        <f t="shared" si="2"/>
        <v>0</v>
      </c>
      <c r="H49" s="35">
        <f t="shared" si="3"/>
        <v>0</v>
      </c>
    </row>
    <row r="50" spans="1:8" ht="12.75" x14ac:dyDescent="0.2">
      <c r="A50" s="19">
        <v>45575</v>
      </c>
      <c r="B50" s="20" t="s">
        <v>4</v>
      </c>
      <c r="C50" s="21"/>
      <c r="D50" s="22"/>
      <c r="E50" s="16">
        <f t="shared" si="4"/>
        <v>0</v>
      </c>
      <c r="F50" s="17">
        <f t="shared" si="1"/>
        <v>0</v>
      </c>
      <c r="G50" s="34">
        <f t="shared" si="2"/>
        <v>0</v>
      </c>
      <c r="H50" s="35">
        <f t="shared" si="3"/>
        <v>0</v>
      </c>
    </row>
    <row r="51" spans="1:8" ht="12.75" x14ac:dyDescent="0.2">
      <c r="A51" s="19">
        <v>45576</v>
      </c>
      <c r="B51" s="20" t="s">
        <v>5</v>
      </c>
      <c r="C51" s="21"/>
      <c r="D51" s="22"/>
      <c r="E51" s="16">
        <f t="shared" si="4"/>
        <v>0</v>
      </c>
      <c r="F51" s="17">
        <f t="shared" si="1"/>
        <v>0</v>
      </c>
      <c r="G51" s="34">
        <f t="shared" si="2"/>
        <v>0</v>
      </c>
      <c r="H51" s="35">
        <f t="shared" si="3"/>
        <v>0</v>
      </c>
    </row>
    <row r="52" spans="1:8" ht="12.75" x14ac:dyDescent="0.2">
      <c r="A52" s="12">
        <v>45579</v>
      </c>
      <c r="B52" s="13" t="s">
        <v>1</v>
      </c>
      <c r="C52" s="14">
        <v>0.91930000000000001</v>
      </c>
      <c r="D52" s="15">
        <v>561</v>
      </c>
      <c r="E52" s="16">
        <f t="shared" si="4"/>
        <v>45.272699999999986</v>
      </c>
      <c r="F52" s="17">
        <f t="shared" si="1"/>
        <v>2489.9984999999992</v>
      </c>
      <c r="G52" s="34">
        <f t="shared" si="2"/>
        <v>28.050000000000068</v>
      </c>
      <c r="H52" s="18">
        <f t="shared" si="3"/>
        <v>-17.222699999999918</v>
      </c>
    </row>
    <row r="53" spans="1:8" ht="12.75" x14ac:dyDescent="0.2">
      <c r="A53" s="12">
        <v>45580</v>
      </c>
      <c r="B53" s="13" t="s">
        <v>2</v>
      </c>
      <c r="C53" s="14">
        <v>0.95799999999999996</v>
      </c>
      <c r="D53" s="15">
        <v>562</v>
      </c>
      <c r="E53" s="16">
        <f t="shared" si="4"/>
        <v>23.604000000000042</v>
      </c>
      <c r="F53" s="17">
        <f t="shared" si="1"/>
        <v>1298.2200000000023</v>
      </c>
      <c r="G53" s="34">
        <f t="shared" si="2"/>
        <v>28.100000000000023</v>
      </c>
      <c r="H53" s="35">
        <f t="shared" si="3"/>
        <v>4.4959999999999809</v>
      </c>
    </row>
    <row r="54" spans="1:8" ht="12.75" x14ac:dyDescent="0.2">
      <c r="A54" s="12">
        <v>45581</v>
      </c>
      <c r="B54" s="13" t="s">
        <v>3</v>
      </c>
      <c r="C54" s="27">
        <v>0.93740000000000001</v>
      </c>
      <c r="D54" s="15">
        <v>560</v>
      </c>
      <c r="E54" s="16">
        <f t="shared" si="4"/>
        <v>35.05600000000004</v>
      </c>
      <c r="F54" s="17">
        <f t="shared" si="1"/>
        <v>1928.0800000000022</v>
      </c>
      <c r="G54" s="34">
        <f t="shared" si="2"/>
        <v>28</v>
      </c>
      <c r="H54" s="18">
        <f t="shared" si="3"/>
        <v>-7.05600000000004</v>
      </c>
    </row>
    <row r="55" spans="1:8" ht="12.75" x14ac:dyDescent="0.2">
      <c r="A55" s="12">
        <v>45582</v>
      </c>
      <c r="B55" s="13" t="s">
        <v>4</v>
      </c>
      <c r="C55" s="14">
        <v>0.95569999999999999</v>
      </c>
      <c r="D55" s="15">
        <v>560</v>
      </c>
      <c r="E55" s="16">
        <f t="shared" si="4"/>
        <v>24.807999999999993</v>
      </c>
      <c r="F55" s="17">
        <f t="shared" si="1"/>
        <v>1364.4399999999996</v>
      </c>
      <c r="G55" s="34">
        <f t="shared" si="2"/>
        <v>28</v>
      </c>
      <c r="H55" s="35">
        <f t="shared" si="3"/>
        <v>3.1920000000000073</v>
      </c>
    </row>
    <row r="56" spans="1:8" ht="12.75" x14ac:dyDescent="0.2">
      <c r="A56" s="12">
        <v>45583</v>
      </c>
      <c r="B56" s="13" t="s">
        <v>5</v>
      </c>
      <c r="C56" s="14">
        <v>0.92110000000000003</v>
      </c>
      <c r="D56" s="15">
        <v>559</v>
      </c>
      <c r="E56" s="16">
        <f t="shared" si="4"/>
        <v>44.105099999999993</v>
      </c>
      <c r="F56" s="17">
        <f t="shared" si="1"/>
        <v>2425.7804999999998</v>
      </c>
      <c r="G56" s="34">
        <f t="shared" si="2"/>
        <v>27.950000000000045</v>
      </c>
      <c r="H56" s="18">
        <f t="shared" si="3"/>
        <v>-16.155099999999948</v>
      </c>
    </row>
    <row r="57" spans="1:8" ht="12.75" x14ac:dyDescent="0.2">
      <c r="A57" s="12">
        <v>45586</v>
      </c>
      <c r="B57" s="13" t="s">
        <v>1</v>
      </c>
      <c r="C57" s="14">
        <v>0.92800000000000005</v>
      </c>
      <c r="D57" s="15">
        <v>561</v>
      </c>
      <c r="E57" s="16">
        <f t="shared" si="4"/>
        <v>40.391999999999939</v>
      </c>
      <c r="F57" s="17">
        <f t="shared" si="1"/>
        <v>2221.5599999999968</v>
      </c>
      <c r="G57" s="34">
        <f t="shared" si="2"/>
        <v>28.050000000000068</v>
      </c>
      <c r="H57" s="18">
        <f t="shared" si="3"/>
        <v>-12.341999999999871</v>
      </c>
    </row>
    <row r="58" spans="1:8" ht="12.75" x14ac:dyDescent="0.2">
      <c r="A58" s="12">
        <v>45587</v>
      </c>
      <c r="B58" s="13" t="s">
        <v>2</v>
      </c>
      <c r="C58" s="14">
        <v>0.97309999999999997</v>
      </c>
      <c r="D58" s="15">
        <v>561</v>
      </c>
      <c r="E58" s="16">
        <f t="shared" si="4"/>
        <v>15.090900000000033</v>
      </c>
      <c r="F58" s="17">
        <f t="shared" si="1"/>
        <v>829.99950000000183</v>
      </c>
      <c r="G58" s="34">
        <f t="shared" si="2"/>
        <v>28.050000000000068</v>
      </c>
      <c r="H58" s="35">
        <f t="shared" si="3"/>
        <v>12.959100000000035</v>
      </c>
    </row>
    <row r="59" spans="1:8" ht="12.75" x14ac:dyDescent="0.2">
      <c r="A59" s="12">
        <v>45588</v>
      </c>
      <c r="B59" s="13" t="s">
        <v>3</v>
      </c>
      <c r="C59" s="14">
        <v>0.95489999999999997</v>
      </c>
      <c r="D59" s="15">
        <v>562</v>
      </c>
      <c r="E59" s="16">
        <f t="shared" si="4"/>
        <v>25.346200000000067</v>
      </c>
      <c r="F59" s="17">
        <f t="shared" si="1"/>
        <v>1394.0410000000038</v>
      </c>
      <c r="G59" s="34">
        <f t="shared" si="2"/>
        <v>28.100000000000023</v>
      </c>
      <c r="H59" s="35">
        <f t="shared" si="3"/>
        <v>2.7537999999999556</v>
      </c>
    </row>
    <row r="60" spans="1:8" ht="12.75" x14ac:dyDescent="0.2">
      <c r="A60" s="12">
        <v>45589</v>
      </c>
      <c r="B60" s="13" t="s">
        <v>4</v>
      </c>
      <c r="C60" s="14">
        <v>0.94840000000000002</v>
      </c>
      <c r="D60" s="15">
        <v>562</v>
      </c>
      <c r="E60" s="16">
        <f t="shared" si="4"/>
        <v>28.999199999999973</v>
      </c>
      <c r="F60" s="17">
        <f t="shared" si="1"/>
        <v>1594.9559999999985</v>
      </c>
      <c r="G60" s="34">
        <f t="shared" si="2"/>
        <v>28.100000000000023</v>
      </c>
      <c r="H60" s="18">
        <f t="shared" si="3"/>
        <v>-0.89919999999995071</v>
      </c>
    </row>
    <row r="61" spans="1:8" ht="12.75" x14ac:dyDescent="0.2">
      <c r="A61" s="12">
        <v>45590</v>
      </c>
      <c r="B61" s="13" t="s">
        <v>5</v>
      </c>
      <c r="C61" s="14">
        <v>0.92479999999999996</v>
      </c>
      <c r="D61" s="15">
        <v>562</v>
      </c>
      <c r="E61" s="16">
        <f t="shared" si="4"/>
        <v>42.262400000000071</v>
      </c>
      <c r="F61" s="17">
        <f t="shared" si="1"/>
        <v>2324.4320000000039</v>
      </c>
      <c r="G61" s="34">
        <f t="shared" si="2"/>
        <v>28.100000000000023</v>
      </c>
      <c r="H61" s="18">
        <f t="shared" si="3"/>
        <v>-14.162400000000048</v>
      </c>
    </row>
    <row r="62" spans="1:8" ht="12.75" x14ac:dyDescent="0.2">
      <c r="A62" s="12">
        <v>45593</v>
      </c>
      <c r="B62" s="13" t="s">
        <v>1</v>
      </c>
      <c r="C62" s="14">
        <v>0.8982</v>
      </c>
      <c r="D62" s="15">
        <v>563</v>
      </c>
      <c r="E62" s="16">
        <f t="shared" si="4"/>
        <v>57.313400000000001</v>
      </c>
      <c r="F62" s="17">
        <f t="shared" si="1"/>
        <v>3152.2370000000001</v>
      </c>
      <c r="G62" s="34">
        <f t="shared" si="2"/>
        <v>28.149999999999977</v>
      </c>
      <c r="H62" s="18">
        <f t="shared" si="3"/>
        <v>-29.163400000000024</v>
      </c>
    </row>
    <row r="63" spans="1:8" ht="12.75" x14ac:dyDescent="0.2">
      <c r="A63" s="12">
        <v>45594</v>
      </c>
      <c r="B63" s="13" t="s">
        <v>2</v>
      </c>
      <c r="C63" s="14">
        <v>0.94520000000000004</v>
      </c>
      <c r="D63" s="15">
        <v>562</v>
      </c>
      <c r="E63" s="16">
        <f t="shared" si="4"/>
        <v>30.797599999999989</v>
      </c>
      <c r="F63" s="17">
        <f t="shared" si="1"/>
        <v>1693.8679999999995</v>
      </c>
      <c r="G63" s="34">
        <f t="shared" si="2"/>
        <v>28.100000000000023</v>
      </c>
      <c r="H63" s="18">
        <f t="shared" si="3"/>
        <v>-2.6975999999999658</v>
      </c>
    </row>
    <row r="64" spans="1:8" ht="12.75" x14ac:dyDescent="0.2">
      <c r="A64" s="12">
        <v>45595</v>
      </c>
      <c r="B64" s="13" t="s">
        <v>3</v>
      </c>
      <c r="C64" s="14">
        <v>0.94220000000000004</v>
      </c>
      <c r="D64" s="15">
        <v>564</v>
      </c>
      <c r="E64" s="16">
        <f t="shared" si="4"/>
        <v>32.599199999999996</v>
      </c>
      <c r="F64" s="17">
        <f t="shared" si="1"/>
        <v>1792.9559999999997</v>
      </c>
      <c r="G64" s="34">
        <f t="shared" si="2"/>
        <v>28.200000000000045</v>
      </c>
      <c r="H64" s="18">
        <f t="shared" si="3"/>
        <v>-4.3991999999999507</v>
      </c>
    </row>
    <row r="65" spans="1:8" ht="12.75" x14ac:dyDescent="0.2">
      <c r="A65" s="12">
        <v>45596</v>
      </c>
      <c r="B65" s="13" t="s">
        <v>4</v>
      </c>
      <c r="C65" s="14">
        <v>0.92510000000000003</v>
      </c>
      <c r="D65" s="15">
        <v>565</v>
      </c>
      <c r="E65" s="16">
        <f t="shared" si="4"/>
        <v>42.318499999999972</v>
      </c>
      <c r="F65" s="17">
        <f t="shared" si="1"/>
        <v>2327.5174999999986</v>
      </c>
      <c r="G65" s="34">
        <f t="shared" si="2"/>
        <v>28.25</v>
      </c>
      <c r="H65" s="18">
        <f t="shared" si="3"/>
        <v>-14.068499999999972</v>
      </c>
    </row>
    <row r="66" spans="1:8" ht="12.75" x14ac:dyDescent="0.2">
      <c r="A66" s="12">
        <v>45597</v>
      </c>
      <c r="B66" s="13" t="s">
        <v>5</v>
      </c>
      <c r="C66" s="14">
        <v>0.8952</v>
      </c>
      <c r="D66" s="15">
        <v>565</v>
      </c>
      <c r="E66" s="16">
        <f t="shared" si="4"/>
        <v>59.211999999999989</v>
      </c>
      <c r="F66" s="17">
        <f t="shared" si="1"/>
        <v>3256.6599999999994</v>
      </c>
      <c r="G66" s="34">
        <f t="shared" si="2"/>
        <v>28.25</v>
      </c>
      <c r="H66" s="18">
        <f t="shared" si="3"/>
        <v>-30.961999999999989</v>
      </c>
    </row>
    <row r="67" spans="1:8" ht="12.75" x14ac:dyDescent="0.2">
      <c r="A67" s="28">
        <v>45600</v>
      </c>
      <c r="B67" s="29" t="s">
        <v>1</v>
      </c>
      <c r="C67" s="30"/>
      <c r="D67" s="31"/>
      <c r="E67" s="16">
        <f t="shared" si="4"/>
        <v>0</v>
      </c>
      <c r="F67" s="17">
        <f t="shared" si="1"/>
        <v>0</v>
      </c>
      <c r="G67" s="34">
        <f t="shared" si="2"/>
        <v>0</v>
      </c>
      <c r="H67" s="35">
        <f t="shared" si="3"/>
        <v>0</v>
      </c>
    </row>
    <row r="68" spans="1:8" ht="12.75" x14ac:dyDescent="0.2">
      <c r="A68" s="23">
        <v>45601</v>
      </c>
      <c r="B68" s="24" t="s">
        <v>2</v>
      </c>
      <c r="C68" s="25"/>
      <c r="D68" s="26"/>
      <c r="E68" s="16">
        <f t="shared" si="4"/>
        <v>0</v>
      </c>
      <c r="F68" s="17">
        <f t="shared" si="1"/>
        <v>0</v>
      </c>
      <c r="G68" s="34">
        <f t="shared" si="2"/>
        <v>0</v>
      </c>
      <c r="H68" s="35">
        <f t="shared" si="3"/>
        <v>0</v>
      </c>
    </row>
    <row r="69" spans="1:8" ht="12.75" x14ac:dyDescent="0.2">
      <c r="A69" s="12">
        <v>45602</v>
      </c>
      <c r="B69" s="13" t="s">
        <v>3</v>
      </c>
      <c r="C69" s="14">
        <v>0.94</v>
      </c>
      <c r="D69" s="15">
        <v>565</v>
      </c>
      <c r="E69" s="16">
        <f t="shared" si="4"/>
        <v>33.899999999999977</v>
      </c>
      <c r="F69" s="17">
        <f t="shared" si="1"/>
        <v>1864.4999999999986</v>
      </c>
      <c r="G69" s="34">
        <f t="shared" si="2"/>
        <v>28.25</v>
      </c>
      <c r="H69" s="18">
        <f t="shared" si="3"/>
        <v>-5.6499999999999773</v>
      </c>
    </row>
    <row r="70" spans="1:8" ht="12.75" x14ac:dyDescent="0.2">
      <c r="A70" s="12">
        <v>45603</v>
      </c>
      <c r="B70" s="13" t="s">
        <v>4</v>
      </c>
      <c r="C70" s="14">
        <v>0.93259999999999998</v>
      </c>
      <c r="D70" s="15">
        <v>566</v>
      </c>
      <c r="E70" s="16">
        <f t="shared" si="4"/>
        <v>38.148400000000038</v>
      </c>
      <c r="F70" s="17">
        <f t="shared" si="1"/>
        <v>2098.1620000000021</v>
      </c>
      <c r="G70" s="34">
        <f t="shared" si="2"/>
        <v>28.300000000000068</v>
      </c>
      <c r="H70" s="18">
        <f t="shared" si="3"/>
        <v>-9.8483999999999696</v>
      </c>
    </row>
    <row r="71" spans="1:8" ht="12.75" x14ac:dyDescent="0.2">
      <c r="A71" s="12">
        <v>45604</v>
      </c>
      <c r="B71" s="13" t="s">
        <v>5</v>
      </c>
      <c r="C71" s="14">
        <v>0.93230000000000002</v>
      </c>
      <c r="D71" s="15">
        <v>563</v>
      </c>
      <c r="E71" s="16">
        <f t="shared" ref="E71:E102" si="5">D71-(C71*D71)</f>
        <v>38.115099999999984</v>
      </c>
      <c r="F71" s="17">
        <f t="shared" si="1"/>
        <v>2096.3304999999991</v>
      </c>
      <c r="G71" s="34">
        <f t="shared" si="2"/>
        <v>28.149999999999977</v>
      </c>
      <c r="H71" s="18">
        <f t="shared" si="3"/>
        <v>-9.9651000000000067</v>
      </c>
    </row>
    <row r="72" spans="1:8" ht="12.75" x14ac:dyDescent="0.2">
      <c r="A72" s="12">
        <v>45607</v>
      </c>
      <c r="B72" s="13" t="s">
        <v>1</v>
      </c>
      <c r="C72" s="14">
        <v>0.91300000000000003</v>
      </c>
      <c r="D72" s="15">
        <v>563</v>
      </c>
      <c r="E72" s="16">
        <f t="shared" si="5"/>
        <v>48.980999999999995</v>
      </c>
      <c r="F72" s="17">
        <f t="shared" si="1"/>
        <v>2693.9549999999999</v>
      </c>
      <c r="G72" s="34">
        <f t="shared" si="2"/>
        <v>28.149999999999977</v>
      </c>
      <c r="H72" s="18">
        <f t="shared" si="3"/>
        <v>-20.831000000000017</v>
      </c>
    </row>
    <row r="73" spans="1:8" ht="12.75" x14ac:dyDescent="0.2">
      <c r="A73" s="12">
        <v>45608</v>
      </c>
      <c r="B73" s="13" t="s">
        <v>2</v>
      </c>
      <c r="C73" s="14">
        <v>0.92759999999999998</v>
      </c>
      <c r="D73" s="15">
        <v>563</v>
      </c>
      <c r="E73" s="16">
        <f t="shared" si="5"/>
        <v>40.761200000000031</v>
      </c>
      <c r="F73" s="17">
        <f t="shared" si="1"/>
        <v>2241.8660000000018</v>
      </c>
      <c r="G73" s="34">
        <f t="shared" si="2"/>
        <v>28.149999999999977</v>
      </c>
      <c r="H73" s="18">
        <f t="shared" si="3"/>
        <v>-12.611200000000053</v>
      </c>
    </row>
    <row r="74" spans="1:8" ht="12.75" x14ac:dyDescent="0.2">
      <c r="A74" s="12">
        <v>45609</v>
      </c>
      <c r="B74" s="13" t="s">
        <v>3</v>
      </c>
      <c r="C74" s="14">
        <v>0.92100000000000004</v>
      </c>
      <c r="D74" s="15">
        <v>561</v>
      </c>
      <c r="E74" s="16">
        <f t="shared" si="5"/>
        <v>44.31899999999996</v>
      </c>
      <c r="F74" s="17">
        <f t="shared" si="1"/>
        <v>2437.5449999999978</v>
      </c>
      <c r="G74" s="34">
        <f t="shared" si="2"/>
        <v>28.050000000000068</v>
      </c>
      <c r="H74" s="18">
        <f t="shared" si="3"/>
        <v>-16.268999999999892</v>
      </c>
    </row>
    <row r="75" spans="1:8" ht="12.75" x14ac:dyDescent="0.2">
      <c r="A75" s="12">
        <v>45610</v>
      </c>
      <c r="B75" s="13" t="s">
        <v>4</v>
      </c>
      <c r="C75" s="14">
        <v>0.89380000000000004</v>
      </c>
      <c r="D75" s="15">
        <v>562</v>
      </c>
      <c r="E75" s="16">
        <f t="shared" si="5"/>
        <v>59.684399999999982</v>
      </c>
      <c r="F75" s="17">
        <f t="shared" si="1"/>
        <v>3282.6419999999989</v>
      </c>
      <c r="G75" s="34">
        <f t="shared" si="2"/>
        <v>28.100000000000023</v>
      </c>
      <c r="H75" s="18">
        <f t="shared" si="3"/>
        <v>-31.58439999999996</v>
      </c>
    </row>
    <row r="76" spans="1:8" ht="12.75" x14ac:dyDescent="0.2">
      <c r="A76" s="12">
        <v>45611</v>
      </c>
      <c r="B76" s="13" t="s">
        <v>5</v>
      </c>
      <c r="C76" s="14">
        <v>0.89170000000000005</v>
      </c>
      <c r="D76" s="15">
        <v>562</v>
      </c>
      <c r="E76" s="16">
        <f t="shared" si="5"/>
        <v>60.864599999999996</v>
      </c>
      <c r="F76" s="17">
        <f t="shared" si="1"/>
        <v>3347.5529999999999</v>
      </c>
      <c r="G76" s="34">
        <f t="shared" si="2"/>
        <v>28.100000000000023</v>
      </c>
      <c r="H76" s="18">
        <f t="shared" si="3"/>
        <v>-32.764599999999973</v>
      </c>
    </row>
    <row r="77" spans="1:8" ht="12.75" x14ac:dyDescent="0.2">
      <c r="A77" s="12">
        <v>45614</v>
      </c>
      <c r="B77" s="13" t="s">
        <v>1</v>
      </c>
      <c r="C77" s="14">
        <v>0.90490000000000004</v>
      </c>
      <c r="D77" s="15">
        <v>563</v>
      </c>
      <c r="E77" s="16">
        <f t="shared" si="5"/>
        <v>53.541299999999978</v>
      </c>
      <c r="F77" s="17">
        <f t="shared" si="1"/>
        <v>2944.7714999999989</v>
      </c>
      <c r="G77" s="34">
        <f t="shared" si="2"/>
        <v>28.149999999999977</v>
      </c>
      <c r="H77" s="18">
        <f t="shared" si="3"/>
        <v>-25.391300000000001</v>
      </c>
    </row>
    <row r="78" spans="1:8" ht="12.75" x14ac:dyDescent="0.2">
      <c r="A78" s="12">
        <v>45615</v>
      </c>
      <c r="B78" s="13" t="s">
        <v>2</v>
      </c>
      <c r="C78" s="14">
        <v>0.92849999999999999</v>
      </c>
      <c r="D78" s="15">
        <v>562</v>
      </c>
      <c r="E78" s="16">
        <f t="shared" si="5"/>
        <v>40.182999999999993</v>
      </c>
      <c r="F78" s="17">
        <f t="shared" si="1"/>
        <v>2210.0649999999996</v>
      </c>
      <c r="G78" s="34">
        <f t="shared" si="2"/>
        <v>28.100000000000023</v>
      </c>
      <c r="H78" s="18">
        <f t="shared" si="3"/>
        <v>-12.08299999999997</v>
      </c>
    </row>
    <row r="79" spans="1:8" ht="12.75" x14ac:dyDescent="0.2">
      <c r="A79" s="12">
        <v>45616</v>
      </c>
      <c r="B79" s="13" t="s">
        <v>3</v>
      </c>
      <c r="C79" s="14">
        <v>0.94689999999999996</v>
      </c>
      <c r="D79" s="15">
        <v>562</v>
      </c>
      <c r="E79" s="16">
        <f t="shared" si="5"/>
        <v>29.842200000000048</v>
      </c>
      <c r="F79" s="17">
        <f t="shared" si="1"/>
        <v>1641.3210000000026</v>
      </c>
      <c r="G79" s="34">
        <f t="shared" si="2"/>
        <v>28.100000000000023</v>
      </c>
      <c r="H79" s="18">
        <f t="shared" si="3"/>
        <v>-1.7422000000000253</v>
      </c>
    </row>
    <row r="80" spans="1:8" ht="12.75" x14ac:dyDescent="0.2">
      <c r="A80" s="12">
        <v>45617</v>
      </c>
      <c r="B80" s="13" t="s">
        <v>4</v>
      </c>
      <c r="C80" s="14">
        <v>0.93389999999999995</v>
      </c>
      <c r="D80" s="15">
        <v>562</v>
      </c>
      <c r="E80" s="16">
        <f t="shared" si="5"/>
        <v>37.148199999999974</v>
      </c>
      <c r="F80" s="17">
        <f t="shared" si="1"/>
        <v>2043.1509999999985</v>
      </c>
      <c r="G80" s="34">
        <f t="shared" si="2"/>
        <v>28.100000000000023</v>
      </c>
      <c r="H80" s="18">
        <f t="shared" si="3"/>
        <v>-9.0481999999999516</v>
      </c>
    </row>
    <row r="81" spans="1:8" ht="12.75" x14ac:dyDescent="0.2">
      <c r="A81" s="12">
        <v>45618</v>
      </c>
      <c r="B81" s="13" t="s">
        <v>5</v>
      </c>
      <c r="C81" s="14">
        <v>0.8992</v>
      </c>
      <c r="D81" s="15">
        <v>562</v>
      </c>
      <c r="E81" s="16">
        <f t="shared" si="5"/>
        <v>56.649600000000021</v>
      </c>
      <c r="F81" s="17">
        <f t="shared" si="1"/>
        <v>3115.728000000001</v>
      </c>
      <c r="G81" s="34">
        <f t="shared" si="2"/>
        <v>28.100000000000023</v>
      </c>
      <c r="H81" s="18">
        <f t="shared" si="3"/>
        <v>-28.549599999999998</v>
      </c>
    </row>
    <row r="82" spans="1:8" ht="12.75" x14ac:dyDescent="0.2">
      <c r="A82" s="23">
        <v>45621</v>
      </c>
      <c r="B82" s="24" t="s">
        <v>1</v>
      </c>
      <c r="C82" s="25"/>
      <c r="D82" s="26"/>
      <c r="E82" s="16">
        <f t="shared" si="5"/>
        <v>0</v>
      </c>
      <c r="F82" s="17">
        <f t="shared" si="1"/>
        <v>0</v>
      </c>
      <c r="G82" s="34">
        <f t="shared" si="2"/>
        <v>0</v>
      </c>
      <c r="H82" s="35">
        <f t="shared" si="3"/>
        <v>0</v>
      </c>
    </row>
    <row r="83" spans="1:8" ht="12.75" x14ac:dyDescent="0.2">
      <c r="A83" s="23">
        <v>45622</v>
      </c>
      <c r="B83" s="24" t="s">
        <v>2</v>
      </c>
      <c r="C83" s="25"/>
      <c r="D83" s="26"/>
      <c r="E83" s="16">
        <f t="shared" si="5"/>
        <v>0</v>
      </c>
      <c r="F83" s="17">
        <f t="shared" si="1"/>
        <v>0</v>
      </c>
      <c r="G83" s="34">
        <f t="shared" si="2"/>
        <v>0</v>
      </c>
      <c r="H83" s="35">
        <f t="shared" si="3"/>
        <v>0</v>
      </c>
    </row>
    <row r="84" spans="1:8" ht="12.75" x14ac:dyDescent="0.2">
      <c r="A84" s="23">
        <v>45623</v>
      </c>
      <c r="B84" s="24" t="s">
        <v>3</v>
      </c>
      <c r="C84" s="25"/>
      <c r="D84" s="26"/>
      <c r="E84" s="16">
        <f t="shared" si="5"/>
        <v>0</v>
      </c>
      <c r="F84" s="17">
        <f t="shared" si="1"/>
        <v>0</v>
      </c>
      <c r="G84" s="34">
        <f t="shared" si="2"/>
        <v>0</v>
      </c>
      <c r="H84" s="35">
        <f t="shared" si="3"/>
        <v>0</v>
      </c>
    </row>
    <row r="85" spans="1:8" ht="12.75" x14ac:dyDescent="0.2">
      <c r="A85" s="23">
        <v>45624</v>
      </c>
      <c r="B85" s="24" t="s">
        <v>4</v>
      </c>
      <c r="C85" s="25"/>
      <c r="D85" s="26"/>
      <c r="E85" s="16">
        <f t="shared" si="5"/>
        <v>0</v>
      </c>
      <c r="F85" s="17">
        <f t="shared" si="1"/>
        <v>0</v>
      </c>
      <c r="G85" s="34">
        <f t="shared" si="2"/>
        <v>0</v>
      </c>
      <c r="H85" s="35">
        <f t="shared" si="3"/>
        <v>0</v>
      </c>
    </row>
    <row r="86" spans="1:8" ht="12.75" x14ac:dyDescent="0.2">
      <c r="A86" s="23">
        <v>45625</v>
      </c>
      <c r="B86" s="24" t="s">
        <v>5</v>
      </c>
      <c r="C86" s="25"/>
      <c r="D86" s="26"/>
      <c r="E86" s="16">
        <f t="shared" si="5"/>
        <v>0</v>
      </c>
      <c r="F86" s="17">
        <f t="shared" si="1"/>
        <v>0</v>
      </c>
      <c r="G86" s="34">
        <f t="shared" si="2"/>
        <v>0</v>
      </c>
      <c r="H86" s="35">
        <f t="shared" si="3"/>
        <v>0</v>
      </c>
    </row>
    <row r="87" spans="1:8" ht="12.75" x14ac:dyDescent="0.2">
      <c r="A87" s="12">
        <v>45628</v>
      </c>
      <c r="B87" s="13" t="s">
        <v>1</v>
      </c>
      <c r="C87" s="14">
        <v>0.91120000000000001</v>
      </c>
      <c r="D87" s="15">
        <v>562</v>
      </c>
      <c r="E87" s="16">
        <f t="shared" si="5"/>
        <v>49.905600000000049</v>
      </c>
      <c r="F87" s="17">
        <f t="shared" si="1"/>
        <v>2744.8080000000027</v>
      </c>
      <c r="G87" s="34">
        <f t="shared" si="2"/>
        <v>28.100000000000023</v>
      </c>
      <c r="H87" s="18">
        <f t="shared" si="3"/>
        <v>-21.805600000000027</v>
      </c>
    </row>
    <row r="88" spans="1:8" ht="12.75" x14ac:dyDescent="0.2">
      <c r="A88" s="12">
        <v>45629</v>
      </c>
      <c r="B88" s="13" t="s">
        <v>2</v>
      </c>
      <c r="C88" s="14">
        <v>0.94789999999999996</v>
      </c>
      <c r="D88" s="15">
        <v>561</v>
      </c>
      <c r="E88" s="16">
        <f t="shared" si="5"/>
        <v>29.22810000000004</v>
      </c>
      <c r="F88" s="17">
        <f t="shared" si="1"/>
        <v>1607.5455000000022</v>
      </c>
      <c r="G88" s="34">
        <f t="shared" si="2"/>
        <v>28.050000000000068</v>
      </c>
      <c r="H88" s="18">
        <f t="shared" si="3"/>
        <v>-1.1780999999999722</v>
      </c>
    </row>
    <row r="89" spans="1:8" ht="12.75" x14ac:dyDescent="0.2">
      <c r="A89" s="12">
        <v>45630</v>
      </c>
      <c r="B89" s="13" t="s">
        <v>3</v>
      </c>
      <c r="C89" s="14">
        <v>0.94130000000000003</v>
      </c>
      <c r="D89" s="15">
        <v>561</v>
      </c>
      <c r="E89" s="16">
        <f t="shared" si="5"/>
        <v>32.930700000000002</v>
      </c>
      <c r="F89" s="17">
        <f t="shared" si="1"/>
        <v>1811.1885000000002</v>
      </c>
      <c r="G89" s="34">
        <f t="shared" si="2"/>
        <v>28.050000000000068</v>
      </c>
      <c r="H89" s="18">
        <f t="shared" si="3"/>
        <v>-4.8806999999999334</v>
      </c>
    </row>
    <row r="90" spans="1:8" ht="12.75" x14ac:dyDescent="0.2">
      <c r="A90" s="12">
        <v>45631</v>
      </c>
      <c r="B90" s="13" t="s">
        <v>4</v>
      </c>
      <c r="C90" s="14">
        <v>0.9304</v>
      </c>
      <c r="D90" s="15">
        <v>561</v>
      </c>
      <c r="E90" s="16">
        <f t="shared" si="5"/>
        <v>39.045600000000036</v>
      </c>
      <c r="F90" s="17">
        <f t="shared" si="1"/>
        <v>2147.5080000000021</v>
      </c>
      <c r="G90" s="34">
        <f t="shared" si="2"/>
        <v>28.050000000000068</v>
      </c>
      <c r="H90" s="18">
        <f t="shared" si="3"/>
        <v>-10.995599999999968</v>
      </c>
    </row>
    <row r="91" spans="1:8" ht="12.75" x14ac:dyDescent="0.2">
      <c r="A91" s="12">
        <v>45632</v>
      </c>
      <c r="B91" s="13" t="s">
        <v>5</v>
      </c>
      <c r="C91" s="14">
        <v>0.90649999999999997</v>
      </c>
      <c r="D91" s="15">
        <v>561</v>
      </c>
      <c r="E91" s="16">
        <f t="shared" si="5"/>
        <v>52.45350000000002</v>
      </c>
      <c r="F91" s="17">
        <f t="shared" si="1"/>
        <v>2884.942500000001</v>
      </c>
      <c r="G91" s="34">
        <f t="shared" si="2"/>
        <v>28.050000000000068</v>
      </c>
      <c r="H91" s="18">
        <f t="shared" si="3"/>
        <v>-24.403499999999951</v>
      </c>
    </row>
    <row r="92" spans="1:8" ht="12.75" x14ac:dyDescent="0.2">
      <c r="A92" s="12">
        <v>45635</v>
      </c>
      <c r="B92" s="13" t="s">
        <v>1</v>
      </c>
      <c r="C92" s="14">
        <v>0.92069999999999996</v>
      </c>
      <c r="D92" s="15">
        <v>561</v>
      </c>
      <c r="E92" s="16">
        <f t="shared" si="5"/>
        <v>44.487300000000005</v>
      </c>
      <c r="F92" s="17">
        <f t="shared" si="1"/>
        <v>2446.8015000000005</v>
      </c>
      <c r="G92" s="34">
        <f t="shared" si="2"/>
        <v>28.050000000000068</v>
      </c>
      <c r="H92" s="18">
        <f t="shared" si="3"/>
        <v>-16.437299999999937</v>
      </c>
    </row>
    <row r="93" spans="1:8" ht="12.75" x14ac:dyDescent="0.2">
      <c r="A93" s="12">
        <v>45636</v>
      </c>
      <c r="B93" s="13" t="s">
        <v>2</v>
      </c>
      <c r="C93" s="14">
        <v>0.92169999999999996</v>
      </c>
      <c r="D93" s="15">
        <v>561</v>
      </c>
      <c r="E93" s="16">
        <f t="shared" si="5"/>
        <v>43.926299999999969</v>
      </c>
      <c r="F93" s="17">
        <f t="shared" si="1"/>
        <v>2415.9464999999982</v>
      </c>
      <c r="G93" s="34">
        <f t="shared" si="2"/>
        <v>28.050000000000068</v>
      </c>
      <c r="H93" s="18">
        <f t="shared" si="3"/>
        <v>-15.876299999999901</v>
      </c>
    </row>
    <row r="94" spans="1:8" ht="12.75" x14ac:dyDescent="0.2">
      <c r="A94" s="12">
        <v>45637</v>
      </c>
      <c r="B94" s="13" t="s">
        <v>3</v>
      </c>
      <c r="C94" s="14">
        <v>0.92610000000000003</v>
      </c>
      <c r="D94" s="15">
        <v>561</v>
      </c>
      <c r="E94" s="16">
        <f t="shared" si="5"/>
        <v>41.457899999999995</v>
      </c>
      <c r="F94" s="17">
        <f t="shared" si="1"/>
        <v>2280.1844999999998</v>
      </c>
      <c r="G94" s="34">
        <f t="shared" si="2"/>
        <v>28.050000000000068</v>
      </c>
      <c r="H94" s="18">
        <f t="shared" si="3"/>
        <v>-13.407899999999927</v>
      </c>
    </row>
    <row r="95" spans="1:8" ht="12.75" x14ac:dyDescent="0.2">
      <c r="A95" s="12">
        <v>45638</v>
      </c>
      <c r="B95" s="13" t="s">
        <v>4</v>
      </c>
      <c r="C95" s="14">
        <v>0.93700000000000006</v>
      </c>
      <c r="D95" s="15">
        <v>561</v>
      </c>
      <c r="E95" s="16">
        <f t="shared" si="5"/>
        <v>35.342999999999961</v>
      </c>
      <c r="F95" s="17">
        <f t="shared" si="1"/>
        <v>1943.864999999998</v>
      </c>
      <c r="G95" s="34">
        <f t="shared" si="2"/>
        <v>28.050000000000068</v>
      </c>
      <c r="H95" s="18">
        <f t="shared" si="3"/>
        <v>-7.2929999999998927</v>
      </c>
    </row>
    <row r="96" spans="1:8" ht="12.75" x14ac:dyDescent="0.2">
      <c r="A96" s="12">
        <v>45639</v>
      </c>
      <c r="B96" s="13" t="s">
        <v>5</v>
      </c>
      <c r="C96" s="14">
        <v>0.89239999999999997</v>
      </c>
      <c r="D96" s="15">
        <v>561</v>
      </c>
      <c r="E96" s="16">
        <f t="shared" si="5"/>
        <v>60.363600000000019</v>
      </c>
      <c r="F96" s="17">
        <f t="shared" si="1"/>
        <v>3319.998000000001</v>
      </c>
      <c r="G96" s="34">
        <f t="shared" si="2"/>
        <v>28.050000000000068</v>
      </c>
      <c r="H96" s="18">
        <f t="shared" si="3"/>
        <v>-32.313599999999951</v>
      </c>
    </row>
    <row r="97" spans="1:8" ht="12.75" x14ac:dyDescent="0.2">
      <c r="A97" s="12">
        <v>45642</v>
      </c>
      <c r="B97" s="13" t="s">
        <v>1</v>
      </c>
      <c r="C97" s="14">
        <v>0.87960000000000005</v>
      </c>
      <c r="D97" s="15">
        <v>563</v>
      </c>
      <c r="E97" s="16">
        <f t="shared" si="5"/>
        <v>67.785199999999975</v>
      </c>
      <c r="F97" s="17">
        <f t="shared" si="1"/>
        <v>3728.1859999999988</v>
      </c>
      <c r="G97" s="34">
        <f t="shared" si="2"/>
        <v>28.149999999999977</v>
      </c>
      <c r="H97" s="18">
        <f t="shared" si="3"/>
        <v>-39.635199999999998</v>
      </c>
    </row>
    <row r="98" spans="1:8" ht="12.75" x14ac:dyDescent="0.2">
      <c r="A98" s="12">
        <v>45643</v>
      </c>
      <c r="B98" s="13" t="s">
        <v>2</v>
      </c>
      <c r="C98" s="14">
        <v>0.91</v>
      </c>
      <c r="D98" s="15">
        <v>563</v>
      </c>
      <c r="E98" s="16">
        <f t="shared" si="5"/>
        <v>50.669999999999959</v>
      </c>
      <c r="F98" s="17">
        <f t="shared" si="1"/>
        <v>2786.8499999999976</v>
      </c>
      <c r="G98" s="34">
        <f t="shared" si="2"/>
        <v>28.149999999999977</v>
      </c>
      <c r="H98" s="18">
        <f t="shared" si="3"/>
        <v>-22.519999999999982</v>
      </c>
    </row>
    <row r="99" spans="1:8" ht="12.75" x14ac:dyDescent="0.2">
      <c r="A99" s="12">
        <v>45644</v>
      </c>
      <c r="B99" s="13" t="s">
        <v>3</v>
      </c>
      <c r="C99" s="14">
        <v>0.93720000000000003</v>
      </c>
      <c r="D99" s="15">
        <v>564</v>
      </c>
      <c r="E99" s="16">
        <f t="shared" si="5"/>
        <v>35.419199999999933</v>
      </c>
      <c r="F99" s="17">
        <f t="shared" si="1"/>
        <v>1948.0559999999964</v>
      </c>
      <c r="G99" s="34">
        <f t="shared" si="2"/>
        <v>28.200000000000045</v>
      </c>
      <c r="H99" s="18">
        <f t="shared" si="3"/>
        <v>-7.219199999999887</v>
      </c>
    </row>
    <row r="100" spans="1:8" ht="12.75" x14ac:dyDescent="0.2">
      <c r="A100" s="12">
        <v>45645</v>
      </c>
      <c r="B100" s="13" t="s">
        <v>4</v>
      </c>
      <c r="C100" s="14">
        <v>0.95020000000000004</v>
      </c>
      <c r="D100" s="15">
        <v>564</v>
      </c>
      <c r="E100" s="16">
        <f t="shared" si="5"/>
        <v>28.087199999999939</v>
      </c>
      <c r="F100" s="17">
        <f t="shared" si="1"/>
        <v>1544.7959999999966</v>
      </c>
      <c r="G100" s="34">
        <f t="shared" si="2"/>
        <v>28.200000000000045</v>
      </c>
      <c r="H100" s="18">
        <f t="shared" si="3"/>
        <v>0.11280000000010659</v>
      </c>
    </row>
    <row r="101" spans="1:8" ht="12.75" x14ac:dyDescent="0.2">
      <c r="A101" s="12">
        <v>45646</v>
      </c>
      <c r="B101" s="13" t="s">
        <v>5</v>
      </c>
      <c r="C101" s="14">
        <v>0.67320000000000002</v>
      </c>
      <c r="D101" s="15">
        <v>564</v>
      </c>
      <c r="E101" s="16">
        <f t="shared" si="5"/>
        <v>184.3152</v>
      </c>
      <c r="F101" s="17">
        <f t="shared" si="1"/>
        <v>10137.335999999999</v>
      </c>
      <c r="G101" s="34">
        <f t="shared" si="2"/>
        <v>28.200000000000045</v>
      </c>
      <c r="H101" s="18">
        <f t="shared" si="3"/>
        <v>-156.11519999999996</v>
      </c>
    </row>
    <row r="102" spans="1:8" ht="12.75" x14ac:dyDescent="0.2">
      <c r="A102" s="19">
        <v>45649</v>
      </c>
      <c r="B102" s="20" t="s">
        <v>1</v>
      </c>
      <c r="C102" s="21"/>
      <c r="D102" s="22"/>
      <c r="E102" s="16">
        <f t="shared" si="5"/>
        <v>0</v>
      </c>
      <c r="F102" s="17">
        <f t="shared" si="1"/>
        <v>0</v>
      </c>
      <c r="G102" s="34">
        <f t="shared" si="2"/>
        <v>0</v>
      </c>
      <c r="H102" s="35">
        <f t="shared" si="3"/>
        <v>0</v>
      </c>
    </row>
    <row r="103" spans="1:8" ht="12.75" x14ac:dyDescent="0.2">
      <c r="A103" s="19">
        <v>45650</v>
      </c>
      <c r="B103" s="20" t="s">
        <v>2</v>
      </c>
      <c r="C103" s="21"/>
      <c r="D103" s="22"/>
      <c r="E103" s="16">
        <f t="shared" ref="E103:E134" si="6">D103-(C103*D103)</f>
        <v>0</v>
      </c>
      <c r="F103" s="17">
        <f t="shared" si="1"/>
        <v>0</v>
      </c>
      <c r="G103" s="34">
        <f t="shared" si="2"/>
        <v>0</v>
      </c>
      <c r="H103" s="35">
        <f t="shared" si="3"/>
        <v>0</v>
      </c>
    </row>
    <row r="104" spans="1:8" ht="12.75" x14ac:dyDescent="0.2">
      <c r="A104" s="19">
        <v>45651</v>
      </c>
      <c r="B104" s="20" t="s">
        <v>3</v>
      </c>
      <c r="C104" s="21"/>
      <c r="D104" s="22"/>
      <c r="E104" s="16">
        <f t="shared" si="6"/>
        <v>0</v>
      </c>
      <c r="F104" s="17">
        <f t="shared" si="1"/>
        <v>0</v>
      </c>
      <c r="G104" s="34">
        <f t="shared" si="2"/>
        <v>0</v>
      </c>
      <c r="H104" s="35">
        <f t="shared" si="3"/>
        <v>0</v>
      </c>
    </row>
    <row r="105" spans="1:8" ht="12.75" x14ac:dyDescent="0.2">
      <c r="A105" s="19">
        <v>45652</v>
      </c>
      <c r="B105" s="20" t="s">
        <v>4</v>
      </c>
      <c r="C105" s="21"/>
      <c r="D105" s="22"/>
      <c r="E105" s="16">
        <f t="shared" si="6"/>
        <v>0</v>
      </c>
      <c r="F105" s="17">
        <f t="shared" si="1"/>
        <v>0</v>
      </c>
      <c r="G105" s="34">
        <f t="shared" si="2"/>
        <v>0</v>
      </c>
      <c r="H105" s="35">
        <f t="shared" si="3"/>
        <v>0</v>
      </c>
    </row>
    <row r="106" spans="1:8" ht="12.75" x14ac:dyDescent="0.2">
      <c r="A106" s="19">
        <v>45653</v>
      </c>
      <c r="B106" s="20" t="s">
        <v>5</v>
      </c>
      <c r="C106" s="21"/>
      <c r="D106" s="22"/>
      <c r="E106" s="16">
        <f t="shared" si="6"/>
        <v>0</v>
      </c>
      <c r="F106" s="17">
        <f t="shared" si="1"/>
        <v>0</v>
      </c>
      <c r="G106" s="34">
        <f t="shared" si="2"/>
        <v>0</v>
      </c>
      <c r="H106" s="35">
        <f t="shared" si="3"/>
        <v>0</v>
      </c>
    </row>
    <row r="107" spans="1:8" ht="12.75" x14ac:dyDescent="0.2">
      <c r="A107" s="19">
        <v>45656</v>
      </c>
      <c r="B107" s="20" t="s">
        <v>1</v>
      </c>
      <c r="C107" s="21"/>
      <c r="D107" s="22"/>
      <c r="E107" s="16">
        <f t="shared" si="6"/>
        <v>0</v>
      </c>
      <c r="F107" s="17">
        <f t="shared" si="1"/>
        <v>0</v>
      </c>
      <c r="G107" s="34">
        <f t="shared" si="2"/>
        <v>0</v>
      </c>
      <c r="H107" s="35">
        <f t="shared" si="3"/>
        <v>0</v>
      </c>
    </row>
    <row r="108" spans="1:8" ht="12.75" x14ac:dyDescent="0.2">
      <c r="A108" s="19">
        <v>45657</v>
      </c>
      <c r="B108" s="20" t="s">
        <v>2</v>
      </c>
      <c r="C108" s="21"/>
      <c r="D108" s="22"/>
      <c r="E108" s="16">
        <f t="shared" si="6"/>
        <v>0</v>
      </c>
      <c r="F108" s="17">
        <f t="shared" si="1"/>
        <v>0</v>
      </c>
      <c r="G108" s="34">
        <f t="shared" si="2"/>
        <v>0</v>
      </c>
      <c r="H108" s="35">
        <f t="shared" si="3"/>
        <v>0</v>
      </c>
    </row>
    <row r="109" spans="1:8" ht="12.75" x14ac:dyDescent="0.2">
      <c r="A109" s="19">
        <v>45658</v>
      </c>
      <c r="B109" s="20" t="s">
        <v>3</v>
      </c>
      <c r="C109" s="21"/>
      <c r="D109" s="22"/>
      <c r="E109" s="16">
        <f t="shared" si="6"/>
        <v>0</v>
      </c>
      <c r="F109" s="17">
        <f t="shared" si="1"/>
        <v>0</v>
      </c>
      <c r="G109" s="34">
        <f t="shared" si="2"/>
        <v>0</v>
      </c>
      <c r="H109" s="35">
        <f t="shared" si="3"/>
        <v>0</v>
      </c>
    </row>
    <row r="110" spans="1:8" ht="12.75" x14ac:dyDescent="0.2">
      <c r="A110" s="19">
        <v>45659</v>
      </c>
      <c r="B110" s="20" t="s">
        <v>4</v>
      </c>
      <c r="C110" s="21"/>
      <c r="D110" s="22"/>
      <c r="E110" s="16">
        <f t="shared" si="6"/>
        <v>0</v>
      </c>
      <c r="F110" s="17">
        <f t="shared" si="1"/>
        <v>0</v>
      </c>
      <c r="G110" s="34">
        <f t="shared" si="2"/>
        <v>0</v>
      </c>
      <c r="H110" s="35">
        <f t="shared" si="3"/>
        <v>0</v>
      </c>
    </row>
    <row r="111" spans="1:8" ht="12.75" x14ac:dyDescent="0.2">
      <c r="A111" s="19">
        <v>45660</v>
      </c>
      <c r="B111" s="20" t="s">
        <v>5</v>
      </c>
      <c r="C111" s="21"/>
      <c r="D111" s="22"/>
      <c r="E111" s="16">
        <f t="shared" si="6"/>
        <v>0</v>
      </c>
      <c r="F111" s="17">
        <f t="shared" si="1"/>
        <v>0</v>
      </c>
      <c r="G111" s="34">
        <f t="shared" si="2"/>
        <v>0</v>
      </c>
      <c r="H111" s="35">
        <f t="shared" si="3"/>
        <v>0</v>
      </c>
    </row>
    <row r="112" spans="1:8" ht="12.75" x14ac:dyDescent="0.2">
      <c r="A112" s="23">
        <v>45663</v>
      </c>
      <c r="B112" s="24" t="s">
        <v>1</v>
      </c>
      <c r="C112" s="25"/>
      <c r="D112" s="26"/>
      <c r="E112" s="16">
        <f t="shared" si="6"/>
        <v>0</v>
      </c>
      <c r="F112" s="17">
        <f t="shared" si="1"/>
        <v>0</v>
      </c>
      <c r="G112" s="34">
        <f t="shared" si="2"/>
        <v>0</v>
      </c>
      <c r="H112" s="35">
        <f t="shared" si="3"/>
        <v>0</v>
      </c>
    </row>
    <row r="113" spans="1:8" ht="12.75" x14ac:dyDescent="0.2">
      <c r="A113" s="23">
        <v>45664</v>
      </c>
      <c r="B113" s="24" t="s">
        <v>2</v>
      </c>
      <c r="C113" s="25"/>
      <c r="D113" s="26"/>
      <c r="E113" s="16">
        <f t="shared" si="6"/>
        <v>0</v>
      </c>
      <c r="F113" s="17">
        <f t="shared" si="1"/>
        <v>0</v>
      </c>
      <c r="G113" s="34">
        <f t="shared" si="2"/>
        <v>0</v>
      </c>
      <c r="H113" s="35">
        <f t="shared" si="3"/>
        <v>0</v>
      </c>
    </row>
    <row r="114" spans="1:8" ht="12.75" x14ac:dyDescent="0.2">
      <c r="A114" s="12">
        <v>45665</v>
      </c>
      <c r="B114" s="13" t="s">
        <v>3</v>
      </c>
      <c r="C114" s="14">
        <v>0.89800000000000002</v>
      </c>
      <c r="D114" s="15">
        <v>561</v>
      </c>
      <c r="E114" s="16">
        <f t="shared" si="6"/>
        <v>57.22199999999998</v>
      </c>
      <c r="F114" s="17">
        <f t="shared" si="1"/>
        <v>3147.2099999999991</v>
      </c>
      <c r="G114" s="34">
        <f t="shared" si="2"/>
        <v>28.050000000000068</v>
      </c>
      <c r="H114" s="18">
        <f t="shared" si="3"/>
        <v>-29.171999999999912</v>
      </c>
    </row>
    <row r="115" spans="1:8" ht="12.75" x14ac:dyDescent="0.2">
      <c r="A115" s="12">
        <v>45666</v>
      </c>
      <c r="B115" s="13" t="s">
        <v>4</v>
      </c>
      <c r="C115" s="14">
        <v>0.91339999999999999</v>
      </c>
      <c r="D115" s="15">
        <v>559</v>
      </c>
      <c r="E115" s="16">
        <f t="shared" si="6"/>
        <v>48.409400000000005</v>
      </c>
      <c r="F115" s="17">
        <f t="shared" si="1"/>
        <v>2662.5170000000003</v>
      </c>
      <c r="G115" s="34">
        <f t="shared" si="2"/>
        <v>27.950000000000045</v>
      </c>
      <c r="H115" s="18">
        <f t="shared" si="3"/>
        <v>-20.45939999999996</v>
      </c>
    </row>
    <row r="116" spans="1:8" ht="12.75" x14ac:dyDescent="0.2">
      <c r="A116" s="12">
        <v>45667</v>
      </c>
      <c r="B116" s="13" t="s">
        <v>5</v>
      </c>
      <c r="C116" s="14">
        <v>0.88460000000000005</v>
      </c>
      <c r="D116" s="15">
        <v>559</v>
      </c>
      <c r="E116" s="16">
        <f t="shared" si="6"/>
        <v>64.508599999999944</v>
      </c>
      <c r="F116" s="17">
        <f t="shared" si="1"/>
        <v>3547.9729999999968</v>
      </c>
      <c r="G116" s="34">
        <f t="shared" si="2"/>
        <v>27.950000000000045</v>
      </c>
      <c r="H116" s="18">
        <f t="shared" si="3"/>
        <v>-36.558599999999899</v>
      </c>
    </row>
    <row r="117" spans="1:8" ht="12.75" x14ac:dyDescent="0.2">
      <c r="A117" s="12">
        <v>45670</v>
      </c>
      <c r="B117" s="13" t="s">
        <v>1</v>
      </c>
      <c r="C117" s="14">
        <v>0.92320000000000002</v>
      </c>
      <c r="D117" s="15">
        <v>559</v>
      </c>
      <c r="E117" s="16">
        <f t="shared" si="6"/>
        <v>42.93119999999999</v>
      </c>
      <c r="F117" s="17">
        <f t="shared" si="1"/>
        <v>2361.2159999999994</v>
      </c>
      <c r="G117" s="34">
        <f t="shared" si="2"/>
        <v>27.950000000000045</v>
      </c>
      <c r="H117" s="18">
        <f t="shared" si="3"/>
        <v>-14.981199999999944</v>
      </c>
    </row>
    <row r="118" spans="1:8" ht="12.75" x14ac:dyDescent="0.2">
      <c r="A118" s="12">
        <v>45671</v>
      </c>
      <c r="B118" s="13" t="s">
        <v>2</v>
      </c>
      <c r="C118" s="14">
        <v>0.93220000000000003</v>
      </c>
      <c r="D118" s="15">
        <v>561</v>
      </c>
      <c r="E118" s="16">
        <f t="shared" si="6"/>
        <v>38.035799999999995</v>
      </c>
      <c r="F118" s="17">
        <f t="shared" si="1"/>
        <v>2091.9689999999996</v>
      </c>
      <c r="G118" s="34">
        <f t="shared" si="2"/>
        <v>28.050000000000068</v>
      </c>
      <c r="H118" s="18">
        <f t="shared" si="3"/>
        <v>-9.9857999999999265</v>
      </c>
    </row>
    <row r="119" spans="1:8" ht="12.75" x14ac:dyDescent="0.2">
      <c r="A119" s="12">
        <v>45672</v>
      </c>
      <c r="B119" s="13" t="s">
        <v>3</v>
      </c>
      <c r="C119" s="14">
        <v>0.93110000000000004</v>
      </c>
      <c r="D119" s="15">
        <v>561</v>
      </c>
      <c r="E119" s="16">
        <f t="shared" si="6"/>
        <v>38.652899999999931</v>
      </c>
      <c r="F119" s="17">
        <f t="shared" si="1"/>
        <v>2125.9094999999961</v>
      </c>
      <c r="G119" s="34">
        <f t="shared" si="2"/>
        <v>28.050000000000068</v>
      </c>
      <c r="H119" s="18">
        <f t="shared" si="3"/>
        <v>-10.602899999999863</v>
      </c>
    </row>
    <row r="120" spans="1:8" ht="12.75" x14ac:dyDescent="0.2">
      <c r="A120" s="12">
        <v>45673</v>
      </c>
      <c r="B120" s="13" t="s">
        <v>4</v>
      </c>
      <c r="C120" s="14">
        <v>0.93540000000000001</v>
      </c>
      <c r="D120" s="15">
        <v>560</v>
      </c>
      <c r="E120" s="16">
        <f t="shared" si="6"/>
        <v>36.176000000000045</v>
      </c>
      <c r="F120" s="17">
        <f t="shared" si="1"/>
        <v>1989.6800000000026</v>
      </c>
      <c r="G120" s="34">
        <f t="shared" si="2"/>
        <v>28</v>
      </c>
      <c r="H120" s="18">
        <f t="shared" si="3"/>
        <v>-8.1760000000000446</v>
      </c>
    </row>
    <row r="121" spans="1:8" ht="12.75" x14ac:dyDescent="0.2">
      <c r="A121" s="12">
        <v>45674</v>
      </c>
      <c r="B121" s="13" t="s">
        <v>5</v>
      </c>
      <c r="C121" s="14">
        <v>0.91569999999999996</v>
      </c>
      <c r="D121" s="15">
        <v>560</v>
      </c>
      <c r="E121" s="16">
        <f t="shared" si="6"/>
        <v>47.20799999999997</v>
      </c>
      <c r="F121" s="17">
        <f t="shared" si="1"/>
        <v>2596.4399999999982</v>
      </c>
      <c r="G121" s="34">
        <f t="shared" si="2"/>
        <v>28</v>
      </c>
      <c r="H121" s="18">
        <f t="shared" si="3"/>
        <v>-19.20799999999997</v>
      </c>
    </row>
    <row r="122" spans="1:8" ht="12.75" x14ac:dyDescent="0.2">
      <c r="A122" s="19">
        <v>45677</v>
      </c>
      <c r="B122" s="20" t="s">
        <v>1</v>
      </c>
      <c r="C122" s="21"/>
      <c r="D122" s="22"/>
      <c r="E122" s="16">
        <f t="shared" si="6"/>
        <v>0</v>
      </c>
      <c r="F122" s="17">
        <f t="shared" si="1"/>
        <v>0</v>
      </c>
      <c r="G122" s="34">
        <f t="shared" si="2"/>
        <v>0</v>
      </c>
      <c r="H122" s="35">
        <f t="shared" si="3"/>
        <v>0</v>
      </c>
    </row>
    <row r="123" spans="1:8" ht="12.75" x14ac:dyDescent="0.2">
      <c r="A123" s="12">
        <v>45678</v>
      </c>
      <c r="B123" s="13" t="s">
        <v>2</v>
      </c>
      <c r="C123" s="14"/>
      <c r="E123" s="16">
        <f t="shared" si="6"/>
        <v>0</v>
      </c>
      <c r="F123" s="17">
        <f t="shared" si="1"/>
        <v>0</v>
      </c>
      <c r="G123" s="34">
        <f t="shared" si="2"/>
        <v>0</v>
      </c>
      <c r="H123" s="35">
        <f t="shared" si="3"/>
        <v>0</v>
      </c>
    </row>
    <row r="124" spans="1:8" ht="12.75" x14ac:dyDescent="0.2">
      <c r="A124" s="12">
        <v>45679</v>
      </c>
      <c r="B124" s="13" t="s">
        <v>3</v>
      </c>
      <c r="C124" s="14"/>
      <c r="E124" s="16">
        <f t="shared" si="6"/>
        <v>0</v>
      </c>
      <c r="F124" s="17">
        <f t="shared" si="1"/>
        <v>0</v>
      </c>
      <c r="G124" s="34">
        <f t="shared" si="2"/>
        <v>0</v>
      </c>
      <c r="H124" s="35">
        <f t="shared" si="3"/>
        <v>0</v>
      </c>
    </row>
    <row r="125" spans="1:8" ht="12.75" x14ac:dyDescent="0.2">
      <c r="A125" s="12">
        <v>45680</v>
      </c>
      <c r="B125" s="13" t="s">
        <v>4</v>
      </c>
      <c r="C125" s="14">
        <v>0.76339999999999997</v>
      </c>
      <c r="D125" s="15">
        <v>560</v>
      </c>
      <c r="E125" s="16">
        <f t="shared" si="6"/>
        <v>132.49600000000004</v>
      </c>
      <c r="F125" s="17">
        <f t="shared" si="1"/>
        <v>7287.2800000000025</v>
      </c>
      <c r="G125" s="34">
        <f t="shared" si="2"/>
        <v>28</v>
      </c>
      <c r="H125" s="18">
        <f t="shared" si="3"/>
        <v>-104.49600000000004</v>
      </c>
    </row>
    <row r="126" spans="1:8" ht="12.75" x14ac:dyDescent="0.2">
      <c r="A126" s="12">
        <v>45681</v>
      </c>
      <c r="B126" s="13" t="s">
        <v>5</v>
      </c>
      <c r="C126" s="14">
        <v>0.86970000000000003</v>
      </c>
      <c r="D126" s="15">
        <v>560</v>
      </c>
      <c r="E126" s="16">
        <f t="shared" si="6"/>
        <v>72.967999999999961</v>
      </c>
      <c r="F126" s="17">
        <f t="shared" si="1"/>
        <v>4013.239999999998</v>
      </c>
      <c r="G126" s="34">
        <f t="shared" si="2"/>
        <v>28</v>
      </c>
      <c r="H126" s="18">
        <f t="shared" si="3"/>
        <v>-44.967999999999961</v>
      </c>
    </row>
    <row r="127" spans="1:8" ht="12.75" x14ac:dyDescent="0.2">
      <c r="A127" s="12">
        <v>45684</v>
      </c>
      <c r="B127" s="13" t="s">
        <v>1</v>
      </c>
      <c r="C127" s="14">
        <v>0.9234</v>
      </c>
      <c r="D127" s="15">
        <v>560</v>
      </c>
      <c r="E127" s="16">
        <f t="shared" si="6"/>
        <v>42.895999999999958</v>
      </c>
      <c r="F127" s="17">
        <f t="shared" si="1"/>
        <v>2359.2799999999979</v>
      </c>
      <c r="G127" s="34">
        <f t="shared" si="2"/>
        <v>28</v>
      </c>
      <c r="H127" s="18">
        <f t="shared" si="3"/>
        <v>-14.895999999999958</v>
      </c>
    </row>
    <row r="128" spans="1:8" ht="12.75" x14ac:dyDescent="0.2">
      <c r="A128" s="12">
        <v>45685</v>
      </c>
      <c r="B128" s="13" t="s">
        <v>2</v>
      </c>
      <c r="C128" s="14">
        <v>0.91149999999999998</v>
      </c>
      <c r="D128" s="15">
        <v>561</v>
      </c>
      <c r="E128" s="16">
        <f t="shared" si="6"/>
        <v>49.648500000000013</v>
      </c>
      <c r="F128" s="17">
        <f t="shared" si="1"/>
        <v>2730.6675000000005</v>
      </c>
      <c r="G128" s="34">
        <f t="shared" si="2"/>
        <v>28.050000000000068</v>
      </c>
      <c r="H128" s="18">
        <f t="shared" si="3"/>
        <v>-21.598499999999945</v>
      </c>
    </row>
    <row r="129" spans="1:8" ht="12.75" x14ac:dyDescent="0.2">
      <c r="A129" s="12">
        <v>45686</v>
      </c>
      <c r="B129" s="13" t="s">
        <v>3</v>
      </c>
      <c r="C129" s="14">
        <v>0.92249999999999999</v>
      </c>
      <c r="D129" s="15">
        <v>561</v>
      </c>
      <c r="E129" s="16">
        <f t="shared" si="6"/>
        <v>43.477499999999964</v>
      </c>
      <c r="F129" s="17">
        <f t="shared" si="1"/>
        <v>2391.262499999998</v>
      </c>
      <c r="G129" s="34">
        <f t="shared" si="2"/>
        <v>28.050000000000068</v>
      </c>
      <c r="H129" s="18">
        <f t="shared" si="3"/>
        <v>-15.427499999999895</v>
      </c>
    </row>
    <row r="130" spans="1:8" ht="12.75" x14ac:dyDescent="0.2">
      <c r="A130" s="12">
        <v>45687</v>
      </c>
      <c r="B130" s="13" t="s">
        <v>4</v>
      </c>
      <c r="C130" s="14">
        <v>0.92010000000000003</v>
      </c>
      <c r="D130" s="15">
        <v>561</v>
      </c>
      <c r="E130" s="16">
        <f t="shared" si="6"/>
        <v>44.823899999999981</v>
      </c>
      <c r="F130" s="17">
        <f t="shared" si="1"/>
        <v>2465.314499999999</v>
      </c>
      <c r="G130" s="34">
        <f t="shared" si="2"/>
        <v>28.050000000000068</v>
      </c>
      <c r="H130" s="18">
        <f t="shared" si="3"/>
        <v>-16.773899999999912</v>
      </c>
    </row>
    <row r="131" spans="1:8" ht="12.75" x14ac:dyDescent="0.2">
      <c r="A131" s="12">
        <v>45688</v>
      </c>
      <c r="B131" s="13" t="s">
        <v>5</v>
      </c>
      <c r="C131" s="14">
        <v>0.91669999999999996</v>
      </c>
      <c r="D131" s="15">
        <v>561</v>
      </c>
      <c r="E131" s="16">
        <f t="shared" si="6"/>
        <v>46.731300000000033</v>
      </c>
      <c r="F131" s="17">
        <f t="shared" si="1"/>
        <v>2570.2215000000019</v>
      </c>
      <c r="G131" s="34">
        <f t="shared" si="2"/>
        <v>28.050000000000068</v>
      </c>
      <c r="H131" s="18">
        <f t="shared" si="3"/>
        <v>-18.681299999999965</v>
      </c>
    </row>
    <row r="132" spans="1:8" ht="12.75" x14ac:dyDescent="0.2">
      <c r="A132" s="12">
        <v>45691</v>
      </c>
      <c r="B132" s="13" t="s">
        <v>1</v>
      </c>
      <c r="C132" s="14">
        <v>0.83220000000000005</v>
      </c>
      <c r="D132" s="15">
        <v>560</v>
      </c>
      <c r="E132" s="16">
        <f t="shared" si="6"/>
        <v>93.967999999999961</v>
      </c>
      <c r="F132" s="17">
        <f t="shared" si="1"/>
        <v>5168.239999999998</v>
      </c>
      <c r="G132" s="34">
        <f t="shared" si="2"/>
        <v>28</v>
      </c>
      <c r="H132" s="18">
        <f t="shared" si="3"/>
        <v>-65.967999999999961</v>
      </c>
    </row>
    <row r="133" spans="1:8" ht="12.75" x14ac:dyDescent="0.2">
      <c r="A133" s="12">
        <v>45692</v>
      </c>
      <c r="B133" s="13" t="s">
        <v>2</v>
      </c>
      <c r="C133" s="14">
        <v>0.92210000000000003</v>
      </c>
      <c r="D133" s="15">
        <v>559</v>
      </c>
      <c r="E133" s="16">
        <f t="shared" si="6"/>
        <v>43.546100000000024</v>
      </c>
      <c r="F133" s="17">
        <f t="shared" si="1"/>
        <v>2395.0355000000013</v>
      </c>
      <c r="G133" s="34">
        <f t="shared" si="2"/>
        <v>27.950000000000045</v>
      </c>
      <c r="H133" s="18">
        <f t="shared" si="3"/>
        <v>-15.596099999999979</v>
      </c>
    </row>
    <row r="134" spans="1:8" ht="12.75" x14ac:dyDescent="0.2">
      <c r="A134" s="12">
        <v>45693</v>
      </c>
      <c r="B134" s="13" t="s">
        <v>3</v>
      </c>
      <c r="C134" s="14">
        <v>0.94410000000000005</v>
      </c>
      <c r="D134" s="15">
        <v>560</v>
      </c>
      <c r="E134" s="16">
        <f t="shared" si="6"/>
        <v>31.303999999999974</v>
      </c>
      <c r="F134" s="17">
        <f t="shared" si="1"/>
        <v>1721.7199999999984</v>
      </c>
      <c r="G134" s="34">
        <f t="shared" si="2"/>
        <v>28</v>
      </c>
      <c r="H134" s="18">
        <f t="shared" si="3"/>
        <v>-3.3039999999999736</v>
      </c>
    </row>
    <row r="135" spans="1:8" ht="12.75" x14ac:dyDescent="0.2">
      <c r="A135" s="12">
        <v>45694</v>
      </c>
      <c r="B135" s="13" t="s">
        <v>4</v>
      </c>
      <c r="C135" s="14">
        <v>0.92330000000000001</v>
      </c>
      <c r="D135" s="15">
        <v>560</v>
      </c>
      <c r="E135" s="16">
        <f t="shared" ref="E135:E158" si="7">D135-(C135*D135)</f>
        <v>42.951999999999998</v>
      </c>
      <c r="F135" s="17">
        <f t="shared" si="1"/>
        <v>2362.3599999999997</v>
      </c>
      <c r="G135" s="34">
        <f t="shared" si="2"/>
        <v>28</v>
      </c>
      <c r="H135" s="18">
        <f t="shared" si="3"/>
        <v>-14.951999999999998</v>
      </c>
    </row>
    <row r="136" spans="1:8" ht="12.75" x14ac:dyDescent="0.2">
      <c r="A136" s="12">
        <v>45695</v>
      </c>
      <c r="B136" s="13" t="s">
        <v>5</v>
      </c>
      <c r="C136" s="14">
        <v>0.88939999999999997</v>
      </c>
      <c r="D136" s="15">
        <v>560</v>
      </c>
      <c r="E136" s="16">
        <f t="shared" si="7"/>
        <v>61.936000000000035</v>
      </c>
      <c r="F136" s="17">
        <f t="shared" si="1"/>
        <v>3406.4800000000018</v>
      </c>
      <c r="G136" s="34">
        <f t="shared" si="2"/>
        <v>28</v>
      </c>
      <c r="H136" s="18">
        <f t="shared" si="3"/>
        <v>-33.936000000000035</v>
      </c>
    </row>
    <row r="137" spans="1:8" ht="12.75" x14ac:dyDescent="0.2">
      <c r="A137" s="23">
        <v>45698</v>
      </c>
      <c r="B137" s="24" t="s">
        <v>1</v>
      </c>
      <c r="C137" s="25"/>
      <c r="D137" s="26"/>
      <c r="E137" s="16">
        <f t="shared" si="7"/>
        <v>0</v>
      </c>
      <c r="F137" s="17">
        <f t="shared" si="1"/>
        <v>0</v>
      </c>
      <c r="G137" s="34">
        <f t="shared" si="2"/>
        <v>0</v>
      </c>
      <c r="H137" s="18">
        <f t="shared" si="3"/>
        <v>0</v>
      </c>
    </row>
    <row r="138" spans="1:8" ht="12.75" x14ac:dyDescent="0.2">
      <c r="A138" s="23">
        <v>45699</v>
      </c>
      <c r="B138" s="24" t="s">
        <v>2</v>
      </c>
      <c r="C138" s="25"/>
      <c r="D138" s="26"/>
      <c r="E138" s="16">
        <f t="shared" si="7"/>
        <v>0</v>
      </c>
      <c r="F138" s="17">
        <f t="shared" si="1"/>
        <v>0</v>
      </c>
      <c r="G138" s="34">
        <f t="shared" si="2"/>
        <v>0</v>
      </c>
      <c r="H138" s="18">
        <f t="shared" si="3"/>
        <v>0</v>
      </c>
    </row>
    <row r="139" spans="1:8" ht="12.75" x14ac:dyDescent="0.2">
      <c r="A139" s="12">
        <v>45700</v>
      </c>
      <c r="B139" s="13" t="s">
        <v>3</v>
      </c>
      <c r="C139" s="14">
        <v>0.89180000000000004</v>
      </c>
      <c r="D139" s="15">
        <v>562</v>
      </c>
      <c r="E139" s="16">
        <f t="shared" si="7"/>
        <v>60.808400000000006</v>
      </c>
      <c r="F139" s="17">
        <f t="shared" si="1"/>
        <v>3344.4620000000004</v>
      </c>
      <c r="G139" s="34">
        <f t="shared" si="2"/>
        <v>28.100000000000023</v>
      </c>
      <c r="H139" s="18">
        <f t="shared" si="3"/>
        <v>-32.708399999999983</v>
      </c>
    </row>
    <row r="140" spans="1:8" ht="12.75" x14ac:dyDescent="0.2">
      <c r="A140" s="12">
        <v>45701</v>
      </c>
      <c r="B140" s="13" t="s">
        <v>4</v>
      </c>
      <c r="C140" s="14">
        <v>0.91579999999999995</v>
      </c>
      <c r="D140" s="15">
        <v>562</v>
      </c>
      <c r="E140" s="16">
        <f t="shared" si="7"/>
        <v>47.320400000000063</v>
      </c>
      <c r="F140" s="17">
        <f t="shared" si="1"/>
        <v>2602.6220000000035</v>
      </c>
      <c r="G140" s="34">
        <f t="shared" si="2"/>
        <v>28.100000000000023</v>
      </c>
      <c r="H140" s="18">
        <f t="shared" si="3"/>
        <v>-19.220400000000041</v>
      </c>
    </row>
    <row r="141" spans="1:8" ht="12.75" x14ac:dyDescent="0.2">
      <c r="A141" s="12">
        <v>45702</v>
      </c>
      <c r="B141" s="13" t="s">
        <v>5</v>
      </c>
      <c r="C141" s="14">
        <v>0.95750000000000002</v>
      </c>
      <c r="D141" s="15">
        <v>565</v>
      </c>
      <c r="E141" s="16">
        <f t="shared" si="7"/>
        <v>24.012500000000045</v>
      </c>
      <c r="F141" s="17">
        <f t="shared" si="1"/>
        <v>1320.6875000000025</v>
      </c>
      <c r="G141" s="34">
        <f t="shared" si="2"/>
        <v>28.25</v>
      </c>
      <c r="H141" s="18">
        <f t="shared" si="3"/>
        <v>4.2374999999999545</v>
      </c>
    </row>
    <row r="142" spans="1:8" ht="12.75" x14ac:dyDescent="0.2">
      <c r="A142" s="28">
        <v>45705</v>
      </c>
      <c r="B142" s="29" t="s">
        <v>1</v>
      </c>
      <c r="C142" s="30"/>
      <c r="D142" s="31"/>
      <c r="E142" s="16">
        <f t="shared" si="7"/>
        <v>0</v>
      </c>
      <c r="F142" s="17">
        <f t="shared" si="1"/>
        <v>0</v>
      </c>
      <c r="G142" s="34">
        <f t="shared" si="2"/>
        <v>0</v>
      </c>
      <c r="H142" s="18">
        <f t="shared" si="3"/>
        <v>0</v>
      </c>
    </row>
    <row r="143" spans="1:8" ht="12.75" x14ac:dyDescent="0.2">
      <c r="A143" s="12">
        <v>45706</v>
      </c>
      <c r="B143" s="13" t="s">
        <v>2</v>
      </c>
      <c r="C143" s="14">
        <v>0.91379999999999995</v>
      </c>
      <c r="D143" s="15">
        <v>563</v>
      </c>
      <c r="E143" s="16">
        <f t="shared" si="7"/>
        <v>48.530600000000049</v>
      </c>
      <c r="F143" s="17">
        <f t="shared" si="1"/>
        <v>2669.1830000000027</v>
      </c>
      <c r="G143" s="34">
        <f t="shared" si="2"/>
        <v>28.149999999999977</v>
      </c>
      <c r="H143" s="18">
        <f t="shared" si="3"/>
        <v>-20.380600000000072</v>
      </c>
    </row>
    <row r="144" spans="1:8" ht="12.75" x14ac:dyDescent="0.2">
      <c r="A144" s="12">
        <v>45707</v>
      </c>
      <c r="B144" s="13" t="s">
        <v>3</v>
      </c>
      <c r="C144" s="14">
        <v>0.90069999999999995</v>
      </c>
      <c r="D144" s="15">
        <v>563</v>
      </c>
      <c r="E144" s="16">
        <f t="shared" si="7"/>
        <v>55.905900000000031</v>
      </c>
      <c r="F144" s="17">
        <f t="shared" si="1"/>
        <v>3074.8245000000015</v>
      </c>
      <c r="G144" s="34">
        <f t="shared" si="2"/>
        <v>28.149999999999977</v>
      </c>
      <c r="H144" s="18">
        <f t="shared" si="3"/>
        <v>-27.755900000000054</v>
      </c>
    </row>
    <row r="145" spans="1:8" ht="12.75" x14ac:dyDescent="0.2">
      <c r="A145" s="12">
        <v>45708</v>
      </c>
      <c r="B145" s="13" t="s">
        <v>4</v>
      </c>
      <c r="C145" s="14">
        <v>0.81220000000000003</v>
      </c>
      <c r="D145" s="15">
        <v>563</v>
      </c>
      <c r="E145" s="16">
        <f t="shared" si="7"/>
        <v>105.73140000000001</v>
      </c>
      <c r="F145" s="17">
        <f t="shared" si="1"/>
        <v>5815.2270000000008</v>
      </c>
      <c r="G145" s="34">
        <f t="shared" si="2"/>
        <v>28.149999999999977</v>
      </c>
      <c r="H145" s="18">
        <f t="shared" si="3"/>
        <v>-77.581400000000031</v>
      </c>
    </row>
    <row r="146" spans="1:8" ht="12.75" x14ac:dyDescent="0.2">
      <c r="A146" s="12">
        <v>45709</v>
      </c>
      <c r="B146" s="13" t="s">
        <v>5</v>
      </c>
      <c r="C146" s="14">
        <v>0.85589999999999999</v>
      </c>
      <c r="D146" s="15">
        <v>563</v>
      </c>
      <c r="E146" s="16">
        <f t="shared" si="7"/>
        <v>81.128300000000024</v>
      </c>
      <c r="F146" s="17">
        <f t="shared" si="1"/>
        <v>4462.0565000000015</v>
      </c>
      <c r="G146" s="34">
        <f t="shared" si="2"/>
        <v>28.149999999999977</v>
      </c>
      <c r="H146" s="18">
        <f t="shared" si="3"/>
        <v>-52.978300000000047</v>
      </c>
    </row>
    <row r="147" spans="1:8" ht="12.75" x14ac:dyDescent="0.2">
      <c r="A147" s="12">
        <v>45712</v>
      </c>
      <c r="B147" s="13" t="s">
        <v>1</v>
      </c>
      <c r="C147" s="14">
        <v>0.86850000000000005</v>
      </c>
      <c r="D147" s="15">
        <v>565</v>
      </c>
      <c r="E147" s="16">
        <f t="shared" si="7"/>
        <v>74.297499999999957</v>
      </c>
      <c r="F147" s="17">
        <f t="shared" si="1"/>
        <v>4086.3624999999975</v>
      </c>
      <c r="G147" s="34">
        <f t="shared" si="2"/>
        <v>28.25</v>
      </c>
      <c r="H147" s="18">
        <f t="shared" si="3"/>
        <v>-46.047499999999957</v>
      </c>
    </row>
    <row r="148" spans="1:8" ht="12.75" x14ac:dyDescent="0.2">
      <c r="A148" s="12">
        <v>45713</v>
      </c>
      <c r="B148" s="13" t="s">
        <v>2</v>
      </c>
      <c r="C148" s="14">
        <v>0.877</v>
      </c>
      <c r="D148" s="15">
        <v>565</v>
      </c>
      <c r="E148" s="16">
        <f t="shared" si="7"/>
        <v>69.495000000000005</v>
      </c>
      <c r="F148" s="17">
        <f t="shared" si="1"/>
        <v>3822.2250000000004</v>
      </c>
      <c r="G148" s="34">
        <f t="shared" si="2"/>
        <v>28.25</v>
      </c>
      <c r="H148" s="18">
        <f t="shared" si="3"/>
        <v>-41.245000000000005</v>
      </c>
    </row>
    <row r="149" spans="1:8" ht="12.75" x14ac:dyDescent="0.2">
      <c r="A149" s="12">
        <v>45714</v>
      </c>
      <c r="B149" s="13" t="s">
        <v>3</v>
      </c>
      <c r="C149" s="14">
        <v>0.8931</v>
      </c>
      <c r="D149" s="15">
        <v>565</v>
      </c>
      <c r="E149" s="16">
        <f t="shared" si="7"/>
        <v>60.398500000000013</v>
      </c>
      <c r="F149" s="17">
        <f t="shared" si="1"/>
        <v>3321.9175000000005</v>
      </c>
      <c r="G149" s="34">
        <f t="shared" si="2"/>
        <v>28.25</v>
      </c>
      <c r="H149" s="18">
        <f t="shared" si="3"/>
        <v>-32.148500000000013</v>
      </c>
    </row>
    <row r="150" spans="1:8" ht="12.75" x14ac:dyDescent="0.2">
      <c r="A150" s="12">
        <v>45715</v>
      </c>
      <c r="B150" s="13" t="s">
        <v>4</v>
      </c>
      <c r="C150" s="14">
        <v>0.89949999999999997</v>
      </c>
      <c r="D150" s="15">
        <v>563</v>
      </c>
      <c r="E150" s="16">
        <f t="shared" si="7"/>
        <v>56.581500000000005</v>
      </c>
      <c r="F150" s="17">
        <f t="shared" si="1"/>
        <v>3111.9825000000001</v>
      </c>
      <c r="G150" s="34">
        <f t="shared" si="2"/>
        <v>28.149999999999977</v>
      </c>
      <c r="H150" s="18">
        <f t="shared" si="3"/>
        <v>-28.431500000000028</v>
      </c>
    </row>
    <row r="151" spans="1:8" ht="12.75" x14ac:dyDescent="0.2">
      <c r="A151" s="12">
        <v>45716</v>
      </c>
      <c r="B151" s="13" t="s">
        <v>5</v>
      </c>
      <c r="C151" s="14">
        <v>0.87319999999999998</v>
      </c>
      <c r="D151" s="15">
        <v>563</v>
      </c>
      <c r="E151" s="16">
        <f t="shared" si="7"/>
        <v>71.38839999999999</v>
      </c>
      <c r="F151" s="17">
        <f t="shared" si="1"/>
        <v>3926.3619999999996</v>
      </c>
      <c r="G151" s="34">
        <f t="shared" si="2"/>
        <v>28.149999999999977</v>
      </c>
      <c r="H151" s="18">
        <f t="shared" si="3"/>
        <v>-43.238400000000013</v>
      </c>
    </row>
    <row r="152" spans="1:8" ht="12.75" x14ac:dyDescent="0.2">
      <c r="A152" s="12">
        <v>45719</v>
      </c>
      <c r="B152" s="13" t="s">
        <v>1</v>
      </c>
      <c r="C152" s="14">
        <v>0.9294</v>
      </c>
      <c r="D152" s="15">
        <v>566</v>
      </c>
      <c r="E152" s="16">
        <f t="shared" si="7"/>
        <v>39.959600000000023</v>
      </c>
      <c r="F152" s="17">
        <f t="shared" si="1"/>
        <v>2197.7780000000012</v>
      </c>
      <c r="G152" s="34">
        <f t="shared" si="2"/>
        <v>28.300000000000068</v>
      </c>
      <c r="H152" s="18">
        <f t="shared" si="3"/>
        <v>-11.659599999999955</v>
      </c>
    </row>
    <row r="153" spans="1:8" ht="12.75" x14ac:dyDescent="0.2">
      <c r="A153" s="12">
        <v>45720</v>
      </c>
      <c r="B153" s="13" t="s">
        <v>2</v>
      </c>
      <c r="C153" s="14">
        <v>0.90880000000000005</v>
      </c>
      <c r="D153" s="15">
        <v>566</v>
      </c>
      <c r="E153" s="16">
        <f t="shared" si="7"/>
        <v>51.619199999999978</v>
      </c>
      <c r="F153" s="17">
        <f t="shared" si="1"/>
        <v>2839.0559999999987</v>
      </c>
      <c r="G153" s="34">
        <f t="shared" si="2"/>
        <v>28.300000000000068</v>
      </c>
      <c r="H153" s="18">
        <f t="shared" si="3"/>
        <v>-23.31919999999991</v>
      </c>
    </row>
    <row r="154" spans="1:8" ht="12.75" x14ac:dyDescent="0.2">
      <c r="A154" s="12">
        <v>45721</v>
      </c>
      <c r="B154" s="13" t="s">
        <v>3</v>
      </c>
      <c r="C154" s="14">
        <v>0.92630000000000001</v>
      </c>
      <c r="D154" s="15">
        <v>567</v>
      </c>
      <c r="E154" s="16">
        <f t="shared" si="7"/>
        <v>41.787900000000036</v>
      </c>
      <c r="F154" s="17">
        <f t="shared" si="1"/>
        <v>2298.3345000000018</v>
      </c>
      <c r="G154" s="34">
        <f t="shared" si="2"/>
        <v>28.350000000000023</v>
      </c>
      <c r="H154" s="18">
        <f t="shared" si="3"/>
        <v>-13.437900000000013</v>
      </c>
    </row>
    <row r="155" spans="1:8" ht="12.75" x14ac:dyDescent="0.2">
      <c r="A155" s="12">
        <v>45722</v>
      </c>
      <c r="B155" s="13" t="s">
        <v>4</v>
      </c>
      <c r="C155" s="14">
        <v>0.9284</v>
      </c>
      <c r="D155" s="15">
        <v>567</v>
      </c>
      <c r="E155" s="16">
        <f t="shared" si="7"/>
        <v>40.597200000000043</v>
      </c>
      <c r="F155" s="17">
        <f t="shared" si="1"/>
        <v>2232.8460000000023</v>
      </c>
      <c r="G155" s="34">
        <f t="shared" si="2"/>
        <v>28.350000000000023</v>
      </c>
      <c r="H155" s="18">
        <f t="shared" si="3"/>
        <v>-12.247200000000021</v>
      </c>
    </row>
    <row r="156" spans="1:8" ht="12.75" x14ac:dyDescent="0.2">
      <c r="A156" s="12">
        <v>45723</v>
      </c>
      <c r="B156" s="13" t="s">
        <v>5</v>
      </c>
      <c r="C156" s="14">
        <v>0.90239999999999998</v>
      </c>
      <c r="D156" s="15">
        <v>567</v>
      </c>
      <c r="E156" s="16">
        <f t="shared" si="7"/>
        <v>55.339200000000005</v>
      </c>
      <c r="F156" s="17">
        <f t="shared" si="1"/>
        <v>3043.6560000000004</v>
      </c>
      <c r="G156" s="34">
        <f t="shared" si="2"/>
        <v>28.350000000000023</v>
      </c>
      <c r="H156" s="18">
        <f t="shared" si="3"/>
        <v>-26.989199999999983</v>
      </c>
    </row>
    <row r="157" spans="1:8" ht="12.75" x14ac:dyDescent="0.2">
      <c r="A157" s="32">
        <v>45726</v>
      </c>
      <c r="B157" s="33" t="s">
        <v>1</v>
      </c>
      <c r="C157" s="14">
        <v>0.86519999999999997</v>
      </c>
      <c r="D157" s="15">
        <v>566</v>
      </c>
      <c r="E157" s="16">
        <f t="shared" si="7"/>
        <v>76.296800000000019</v>
      </c>
      <c r="F157" s="17">
        <f t="shared" si="1"/>
        <v>4196.3240000000014</v>
      </c>
      <c r="G157" s="34">
        <f t="shared" si="2"/>
        <v>28.300000000000068</v>
      </c>
      <c r="H157" s="18">
        <f t="shared" si="3"/>
        <v>-47.996799999999951</v>
      </c>
    </row>
    <row r="158" spans="1:8" ht="12.75" x14ac:dyDescent="0.2">
      <c r="A158" s="32">
        <v>45727</v>
      </c>
      <c r="B158" s="33" t="s">
        <v>2</v>
      </c>
      <c r="C158" s="14">
        <v>0.90780000000000005</v>
      </c>
      <c r="D158" s="15">
        <v>567</v>
      </c>
      <c r="E158" s="16">
        <f t="shared" si="7"/>
        <v>52.277399999999943</v>
      </c>
      <c r="F158" s="17">
        <f t="shared" si="1"/>
        <v>2875.2569999999969</v>
      </c>
      <c r="G158" s="34">
        <f t="shared" si="2"/>
        <v>28.350000000000023</v>
      </c>
      <c r="H158" s="18">
        <f t="shared" si="3"/>
        <v>-23.927399999999921</v>
      </c>
    </row>
  </sheetData>
  <autoFilter ref="A6:F158" xr:uid="{00000000-0009-0000-0000-000001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8">
    <cfRule type="cellIs" dxfId="3" priority="4" operator="lessThan">
      <formula>"92%"</formula>
    </cfRule>
  </conditionalFormatting>
  <conditionalFormatting sqref="C7:C158">
    <cfRule type="cellIs" dxfId="2" priority="1" operator="lessThan">
      <formula>"90%"</formula>
    </cfRule>
    <cfRule type="cellIs" dxfId="1" priority="2" operator="lessThan">
      <formula>"94%"</formula>
    </cfRule>
  </conditionalFormatting>
  <conditionalFormatting sqref="H1:H158">
    <cfRule type="cellIs" dxfId="0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2025-03-11T17:40:36Z</dcterms:created>
  <dcterms:modified xsi:type="dcterms:W3CDTF">2025-04-12T19:01:57Z</dcterms:modified>
</cp:coreProperties>
</file>