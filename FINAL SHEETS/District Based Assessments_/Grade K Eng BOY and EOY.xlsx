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e15242\Desktop\"/>
    </mc:Choice>
  </mc:AlternateContent>
  <xr:revisionPtr revIDLastSave="0" documentId="13_ncr:1_{ADDF5E1F-49D8-4698-89D9-7E44E66E3E46}" xr6:coauthVersionLast="47" xr6:coauthVersionMax="47" xr10:uidLastSave="{00000000-0000-0000-0000-000000000000}"/>
  <bookViews>
    <workbookView xWindow="-96" yWindow="-96" windowWidth="16608" windowHeight="10536" xr2:uid="{00000000-000D-0000-FFFF-FFFF00000000}"/>
  </bookViews>
  <sheets>
    <sheet name="2024-25 DIBELS MOY" sheetId="3" r:id="rId1"/>
    <sheet name="2024-25 DIBELS BOY " sheetId="2" state="hidden" r:id="rId2"/>
    <sheet name="2024-25 DIBELS BOY and EOY" sheetId="1" state="hidden" r:id="rId3"/>
  </sheets>
  <externalReferences>
    <externalReference r:id="rId4"/>
    <externalReference r:id="rId5"/>
  </externalReferences>
  <definedNames>
    <definedName name="_xlnm._FilterDatabase" localSheetId="1" hidden="1">'2024-25 DIBELS BOY '!$A$1:$DH$372</definedName>
    <definedName name="_xlnm._FilterDatabase" localSheetId="0" hidden="1">'2024-25 DIBELS MOY'!$A$1:$AM$366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2" i="3"/>
</calcChain>
</file>

<file path=xl/sharedStrings.xml><?xml version="1.0" encoding="utf-8"?>
<sst xmlns="http://schemas.openxmlformats.org/spreadsheetml/2006/main" count="17013" uniqueCount="467">
  <si>
    <t>Race</t>
  </si>
  <si>
    <t>Hispanic or Latino Ethnicity</t>
  </si>
  <si>
    <t>Benchmark Period</t>
  </si>
  <si>
    <t>Composite Level</t>
  </si>
  <si>
    <t>Composite Score</t>
  </si>
  <si>
    <t xml:space="preserve">%  Comp </t>
  </si>
  <si>
    <t>SHELDON EARLY CHILDHOOD ACADEMY</t>
  </si>
  <si>
    <t>K</t>
  </si>
  <si>
    <t>B</t>
  </si>
  <si>
    <t>N</t>
  </si>
  <si>
    <t>Y</t>
  </si>
  <si>
    <t>LUMPFORD, JOYLANN</t>
  </si>
  <si>
    <t>BOY</t>
  </si>
  <si>
    <t>Below Benchmark</t>
  </si>
  <si>
    <t>Well Below Benchmark</t>
  </si>
  <si>
    <t>MOY</t>
  </si>
  <si>
    <t>M</t>
  </si>
  <si>
    <t>LEZAMA, MARIA</t>
  </si>
  <si>
    <t>At Benchmark</t>
  </si>
  <si>
    <t>MCDONALD, TAVIA</t>
  </si>
  <si>
    <t>Above Benchmark</t>
  </si>
  <si>
    <t>GAINES, IDA</t>
  </si>
  <si>
    <t>JENKINS, SARAH</t>
  </si>
  <si>
    <t>NED-WILLIAMS, JASMINE</t>
  </si>
  <si>
    <t>CASTILLO-LOPEZ, JOANA</t>
  </si>
  <si>
    <t>CATAPANO, APRIL</t>
  </si>
  <si>
    <t>TOLLEY, ANALISA</t>
  </si>
  <si>
    <t>AS</t>
  </si>
  <si>
    <t>HERRERA, STEPHANIE</t>
  </si>
  <si>
    <t>W</t>
  </si>
  <si>
    <t>WILLIAMS, JUNE</t>
  </si>
  <si>
    <t>ALLEN, NICKIE</t>
  </si>
  <si>
    <t>HUNTER-BOLDEN, ASHLEY</t>
  </si>
  <si>
    <t>STEPHANIE CRAVENS EARLY CHILDHOOD</t>
  </si>
  <si>
    <t>GONZALEZ, CYNTHIA</t>
  </si>
  <si>
    <t>CUSSEN, KATHIE</t>
  </si>
  <si>
    <t>JOHNSON, LATOYA</t>
  </si>
  <si>
    <t>NAJERA, GRACIELA</t>
  </si>
  <si>
    <t>DELEON, MARIA</t>
  </si>
  <si>
    <t>GALLARDO, SAVANNAH</t>
  </si>
  <si>
    <t>CONNELL, KATLIN</t>
  </si>
  <si>
    <t>GOMEZ, STEPHANIE</t>
  </si>
  <si>
    <t>PAYNE, SAMANTHA</t>
  </si>
  <si>
    <t>FEEMSTER, AVERY</t>
  </si>
  <si>
    <t>CUNNINGHAM, MELISSA</t>
  </si>
  <si>
    <t>Student Name</t>
  </si>
  <si>
    <t>Local ID</t>
  </si>
  <si>
    <t>Current Campus</t>
  </si>
  <si>
    <t>Grade</t>
  </si>
  <si>
    <t>Subject</t>
  </si>
  <si>
    <t>Special Ed Indicator</t>
  </si>
  <si>
    <t>Economic Disadvantage</t>
  </si>
  <si>
    <t>Emergent Bilingual</t>
  </si>
  <si>
    <t>Ethnicity</t>
  </si>
  <si>
    <t>Test Lang</t>
  </si>
  <si>
    <t>Instructor</t>
  </si>
  <si>
    <t>2024 STAAR</t>
  </si>
  <si>
    <t>STAAR Per Lev</t>
  </si>
  <si>
    <t>DCA#2</t>
  </si>
  <si>
    <t>DCA#2 Per Lev</t>
  </si>
  <si>
    <t>Delta</t>
  </si>
  <si>
    <t>Growth</t>
  </si>
  <si>
    <t>HB 1416</t>
  </si>
  <si>
    <t>HB 1416 Delta</t>
  </si>
  <si>
    <t>Total Growth DCA#2</t>
  </si>
  <si>
    <t>App</t>
  </si>
  <si>
    <t>Meets</t>
  </si>
  <si>
    <t>Masters</t>
  </si>
  <si>
    <t>CS</t>
  </si>
  <si>
    <t>DCA 2 vs DCA 1</t>
  </si>
  <si>
    <t>DCA#1</t>
  </si>
  <si>
    <t>DCA#1 Per Lev</t>
  </si>
  <si>
    <t>HB 1616 Delta</t>
  </si>
  <si>
    <t>Total Growth DCA 1</t>
  </si>
  <si>
    <t>ADELAJA, ANNA</t>
  </si>
  <si>
    <t>AGUILAR, AGUSTIN</t>
  </si>
  <si>
    <t>AGUILAR, ARIANA</t>
  </si>
  <si>
    <t>ALEXANDER, RANIYAH</t>
  </si>
  <si>
    <t>ALEXANDER-YOUNG, PAISLEY</t>
  </si>
  <si>
    <t>ALLEN, KAYCEN</t>
  </si>
  <si>
    <t>ALVARADO, JOSHUA</t>
  </si>
  <si>
    <t>ALVARADO, LUNA</t>
  </si>
  <si>
    <t>ANCIRA, XANTINO</t>
  </si>
  <si>
    <t>ANGULO, PRINCETON</t>
  </si>
  <si>
    <t>ARZU, JAHMIERE</t>
  </si>
  <si>
    <t>ASCENCIO, FRANCISCO</t>
  </si>
  <si>
    <t>AVELLANEDA, DALYLAH</t>
  </si>
  <si>
    <t>BAILEY, EZRA</t>
  </si>
  <si>
    <t>BARBOSA, EMMANUEL</t>
  </si>
  <si>
    <t>BARNER, KAIDEN</t>
  </si>
  <si>
    <t>BASS, BLAKE</t>
  </si>
  <si>
    <t>BELEN, SOPHIA MAY</t>
  </si>
  <si>
    <t>BELLMORE, YULIANA</t>
  </si>
  <si>
    <t>BENAVIDEZ, AVA</t>
  </si>
  <si>
    <t>BENITEZ, MAYA</t>
  </si>
  <si>
    <t>BENOIT, L'EIR</t>
  </si>
  <si>
    <t>BINGHAM, CYDNEE</t>
  </si>
  <si>
    <t>BIRDSONG, JAYCEE</t>
  </si>
  <si>
    <t>BONILLA, JULIAN</t>
  </si>
  <si>
    <t>BOSLEY, SIRE</t>
  </si>
  <si>
    <t>BROWN, DELIYAH</t>
  </si>
  <si>
    <t>BRYANT, GIA</t>
  </si>
  <si>
    <t>BUNDAGE, IYONNA</t>
  </si>
  <si>
    <t>BURNETTE, ZA'KARI</t>
  </si>
  <si>
    <t>CABRERA, ALEXIS</t>
  </si>
  <si>
    <t>CAZAUBON, BRIELLE</t>
  </si>
  <si>
    <t>CHATT, JAYCEON</t>
  </si>
  <si>
    <t>CLAMON, FISHER</t>
  </si>
  <si>
    <t>CLAY, MAXIMILIANO</t>
  </si>
  <si>
    <t>CLINGEN, KAYLEE</t>
  </si>
  <si>
    <t>CORONA, DAMIAN</t>
  </si>
  <si>
    <t>COTTON, MONICA</t>
  </si>
  <si>
    <t>CUNNINGHAM, AMARAH</t>
  </si>
  <si>
    <t>DARGIN, CARRION</t>
  </si>
  <si>
    <t>DAVIS, ARIANA</t>
  </si>
  <si>
    <t>DE LA PAZ, ISAIAH</t>
  </si>
  <si>
    <t>DE LEON, RAUL</t>
  </si>
  <si>
    <t>DELGADO, LEONARDO</t>
  </si>
  <si>
    <t>DIAZ, AMARI</t>
  </si>
  <si>
    <t>DIAZ, DAVID</t>
  </si>
  <si>
    <t>DIAZ, RENATA</t>
  </si>
  <si>
    <t>DIOSDADO, ROSELYN</t>
  </si>
  <si>
    <t>DUONG, CAMERON</t>
  </si>
  <si>
    <t>DUONG, NHI</t>
  </si>
  <si>
    <t>ELLIOTT, JASIAH</t>
  </si>
  <si>
    <t>ESQUEDA MOYA, IVAN</t>
  </si>
  <si>
    <t>ESQUEDA MOYA, NAYELI</t>
  </si>
  <si>
    <t>EUGENE, CORIYAH</t>
  </si>
  <si>
    <t>FINLEY, LONDON</t>
  </si>
  <si>
    <t>FRAZIER, LAUREN</t>
  </si>
  <si>
    <t>FRYE, AUBREY</t>
  </si>
  <si>
    <t>GALICIA, ALEAH</t>
  </si>
  <si>
    <t>GAMEZ, ADALYNN</t>
  </si>
  <si>
    <t>GARCIA, IAN</t>
  </si>
  <si>
    <t>GARCIA, JEREMIAH</t>
  </si>
  <si>
    <t>GARZA, ALEJANDRO</t>
  </si>
  <si>
    <t>GARZA, CHLOE</t>
  </si>
  <si>
    <t>GARZA, EMILIA</t>
  </si>
  <si>
    <t>GODFREY, DASIR</t>
  </si>
  <si>
    <t>GOMEZ, EDUARDO</t>
  </si>
  <si>
    <t>GONZALES, ROBYN</t>
  </si>
  <si>
    <t>GONZALEZ, ANGELO</t>
  </si>
  <si>
    <t>GONZALEZ, BENJAMIN</t>
  </si>
  <si>
    <t>GONZALEZ, LORENZO</t>
  </si>
  <si>
    <t>GONZALEZ MEJIAS, ALEJANDRO</t>
  </si>
  <si>
    <t>GREGSON, KADE</t>
  </si>
  <si>
    <t>GUERRERO, SEAN</t>
  </si>
  <si>
    <t>GUZMAN, CARLOS</t>
  </si>
  <si>
    <t>HANCOCK, JAXSON</t>
  </si>
  <si>
    <t>HASKINS, LEEAIYSHA</t>
  </si>
  <si>
    <t>HAYWARD, JA'MIYAH</t>
  </si>
  <si>
    <t>HAYWOOD, ALAYAH</t>
  </si>
  <si>
    <t>HENDRIX, ALAIA</t>
  </si>
  <si>
    <t>HENRY, KASHORIE</t>
  </si>
  <si>
    <t>HERNANDEZ, COURTLAND</t>
  </si>
  <si>
    <t>HERNANDEZ RODRIGUEZ, ATHENA</t>
  </si>
  <si>
    <t>HERRERA, ISABELLA</t>
  </si>
  <si>
    <t>HILL, CARTIER</t>
  </si>
  <si>
    <t>HILL, JEREMIAH</t>
  </si>
  <si>
    <t>HILL, QUEEN</t>
  </si>
  <si>
    <t>HINES, AMIER</t>
  </si>
  <si>
    <t>HUBBARD, SEBASTIAN</t>
  </si>
  <si>
    <t>HYACINTH, DARIUS</t>
  </si>
  <si>
    <t>HYACINTH, NYA</t>
  </si>
  <si>
    <t>IVY, ZAYN</t>
  </si>
  <si>
    <t>JACKSON, ALLISON</t>
  </si>
  <si>
    <t>JAQUEZ, YARETZI</t>
  </si>
  <si>
    <t>JOHNSON, JEANA</t>
  </si>
  <si>
    <t>JOHNSON, KAYSON</t>
  </si>
  <si>
    <t>JONES, DREAM</t>
  </si>
  <si>
    <t>JUAREZ, MARLEEN</t>
  </si>
  <si>
    <t>KALIK, DAMIEN</t>
  </si>
  <si>
    <t>KEBEDE, KEDUS</t>
  </si>
  <si>
    <t>KING, MALIQUE</t>
  </si>
  <si>
    <t>KOTAL, KAMILA</t>
  </si>
  <si>
    <t>LEE, KEITH</t>
  </si>
  <si>
    <t>LEMELLE, SHELBY</t>
  </si>
  <si>
    <t>LEWIS, AVERY</t>
  </si>
  <si>
    <t>LEWIS, SIWEL</t>
  </si>
  <si>
    <t>LUGO, JAYLAH</t>
  </si>
  <si>
    <t>LUGO, MICHELLE</t>
  </si>
  <si>
    <t>MACIAS, AMELIA</t>
  </si>
  <si>
    <t>MALDONADO, EVERLY</t>
  </si>
  <si>
    <t>MARROQUIN-ROCA, LORENZO</t>
  </si>
  <si>
    <t>MARTINEZ, KAYLEIGH</t>
  </si>
  <si>
    <t>MARTINEZ BECK, ALAINA</t>
  </si>
  <si>
    <t>MC LAWRENCE, NATHAYLIA</t>
  </si>
  <si>
    <t>MCGEE, FAITH</t>
  </si>
  <si>
    <t>MENDEZ, MIGUEL</t>
  </si>
  <si>
    <t>MENDOZA, MIGUEL</t>
  </si>
  <si>
    <t>MERINO, JACOB</t>
  </si>
  <si>
    <t>MIRELES, ROSALINDA</t>
  </si>
  <si>
    <t>MONTOYA, ARIANNY</t>
  </si>
  <si>
    <t>MOONASAR, ANNAN</t>
  </si>
  <si>
    <t>MORALES, NATALIE</t>
  </si>
  <si>
    <t>MORALES, VIVIANA</t>
  </si>
  <si>
    <t>MORENO PEREZ, ANTONIO</t>
  </si>
  <si>
    <t>MORGAN, AMIR</t>
  </si>
  <si>
    <t>MOSLEY, CARTER</t>
  </si>
  <si>
    <t>MOUHAMMAD, DIHAN</t>
  </si>
  <si>
    <t>MOYE, MYLES</t>
  </si>
  <si>
    <t>NAVARRO, BRYSON</t>
  </si>
  <si>
    <t>NELLOMS, KINGSTON</t>
  </si>
  <si>
    <t>NEWSOME, CHARITY</t>
  </si>
  <si>
    <t>NEWSOME, ROMEO</t>
  </si>
  <si>
    <t>OCHOA, AARON</t>
  </si>
  <si>
    <t>ORR, LAYLAH</t>
  </si>
  <si>
    <t>ORTIZ, COLT</t>
  </si>
  <si>
    <t>OVIEDO, MANUEL</t>
  </si>
  <si>
    <t>OWENS, DONOVYN</t>
  </si>
  <si>
    <t>PACHECO, ELYANA</t>
  </si>
  <si>
    <t>PARRISH, JAX</t>
  </si>
  <si>
    <t>PEARSON, DAVID</t>
  </si>
  <si>
    <t>PEREZ, ISAAC</t>
  </si>
  <si>
    <t>PEREZ, ULISES</t>
  </si>
  <si>
    <t>PEREZ CELIO, AARON</t>
  </si>
  <si>
    <t>PERKINS, JOURNEE</t>
  </si>
  <si>
    <t>PETTY, VERNON</t>
  </si>
  <si>
    <t>PHILIP, JACKSON</t>
  </si>
  <si>
    <t>PIKES, ZION</t>
  </si>
  <si>
    <t>PRIETO, DELILAH</t>
  </si>
  <si>
    <t>PULIDO, MALACHI</t>
  </si>
  <si>
    <t>PULIDO DE LA TORRE, YARENI</t>
  </si>
  <si>
    <t>PULUC, ALEXANDER</t>
  </si>
  <si>
    <t>REYES, DANIELLE</t>
  </si>
  <si>
    <t>REYNOLDS, JASIAH</t>
  </si>
  <si>
    <t>RIVAS, NATALIA</t>
  </si>
  <si>
    <t>ROBINSON, ANTOINE</t>
  </si>
  <si>
    <t>ROBINSON, KARSON</t>
  </si>
  <si>
    <t>ROBLEDO, DYLAN</t>
  </si>
  <si>
    <t>RODRIGUEZ, ELI</t>
  </si>
  <si>
    <t>RODRIGUEZ, HAILEY</t>
  </si>
  <si>
    <t>RODRIGUEZ, JULIANNA</t>
  </si>
  <si>
    <t>RODRIGUEZ ESPINOZA, ALAN</t>
  </si>
  <si>
    <t>RODRIGUEZ HUSTON, LUCIA</t>
  </si>
  <si>
    <t>ROSALES, RYAN</t>
  </si>
  <si>
    <t>ROSE, RYAN</t>
  </si>
  <si>
    <t>ROSS, RASHAD</t>
  </si>
  <si>
    <t>RUBIN, ALEXANDER</t>
  </si>
  <si>
    <t>RUIZ, ANA</t>
  </si>
  <si>
    <t>SALAS, EZEQUIEL</t>
  </si>
  <si>
    <t>SALINAS, SEBASTIAN</t>
  </si>
  <si>
    <t>SAMANIEGO, SERGIO</t>
  </si>
  <si>
    <t>SANCHEZ, JAVIER</t>
  </si>
  <si>
    <t>SANCHEZ, JORGE</t>
  </si>
  <si>
    <t>SAWYER, KAMARI</t>
  </si>
  <si>
    <t>SEWELL, PAISLEY</t>
  </si>
  <si>
    <t>SHEPARD, CADEN</t>
  </si>
  <si>
    <t>SILVA, LEONEL</t>
  </si>
  <si>
    <t>SIMMONS, ISRAEL</t>
  </si>
  <si>
    <t>SINGLETON, ZAIDEN</t>
  </si>
  <si>
    <t>SMITH, JURIEL</t>
  </si>
  <si>
    <t>SOLORZANO, LUCY</t>
  </si>
  <si>
    <t>STANSEL, PENELOPE</t>
  </si>
  <si>
    <t>TAYLOR, ELIJAH</t>
  </si>
  <si>
    <t>THABIBU, WITNESS</t>
  </si>
  <si>
    <t>THOMAS, JASMINE</t>
  </si>
  <si>
    <t>THOMAS, XOE</t>
  </si>
  <si>
    <t>THOR, JARICA</t>
  </si>
  <si>
    <t>TORRES, EMERY</t>
  </si>
  <si>
    <t>TORRES, ISRAEL</t>
  </si>
  <si>
    <t>TORRES, LUIS</t>
  </si>
  <si>
    <t>VANBUSKIRK, EMMA</t>
  </si>
  <si>
    <t>VITTUR, MADISON</t>
  </si>
  <si>
    <t>WALKER, KAMIRAH</t>
  </si>
  <si>
    <t>WHITE, JAMESON</t>
  </si>
  <si>
    <t>WILLIAMS, DAMION</t>
  </si>
  <si>
    <t>WILLIAMS, IQUENTON</t>
  </si>
  <si>
    <t>WILLIAMS, NOELLE</t>
  </si>
  <si>
    <t>WILLIAMS ARTIS, AUGUST</t>
  </si>
  <si>
    <t>WILLIAMS-BLACKWELL, KOBE</t>
  </si>
  <si>
    <t>WILSON, ADDYSON</t>
  </si>
  <si>
    <t>WINSTEAD, MASON</t>
  </si>
  <si>
    <t>WOODLEY, MI'ASIA</t>
  </si>
  <si>
    <t>YBARRA, JULIAN</t>
  </si>
  <si>
    <t>ZETINA, AIDAN</t>
  </si>
  <si>
    <t>ZUNIGA, ARIANA</t>
  </si>
  <si>
    <t>AGUILAR, ANAID</t>
  </si>
  <si>
    <t>AGUIRRE, MANUEL</t>
  </si>
  <si>
    <t>ALEXANDER, DEVYN</t>
  </si>
  <si>
    <t>ALIX, KING</t>
  </si>
  <si>
    <t>AMAYA, SEBASTIAN</t>
  </si>
  <si>
    <t>ARNETT, BROOKS</t>
  </si>
  <si>
    <t>AVILES, EZEKIEL</t>
  </si>
  <si>
    <t>BAILEY, ANDRE</t>
  </si>
  <si>
    <t>BAKER, AVA</t>
  </si>
  <si>
    <t>BANKHEAD, TRISTAN</t>
  </si>
  <si>
    <t>BARAJAS, JESSENIA</t>
  </si>
  <si>
    <t>BATA, MASON</t>
  </si>
  <si>
    <t>BAUTISTA MALDONADO, FABIAN</t>
  </si>
  <si>
    <t>BECERRIL, KALANI</t>
  </si>
  <si>
    <t>BERRY, MASON</t>
  </si>
  <si>
    <t>BERRY, SA'BRIA</t>
  </si>
  <si>
    <t>BEVERLY, KAIDEN</t>
  </si>
  <si>
    <t>BOUTTE, AUGUST</t>
  </si>
  <si>
    <t>BOWEN, DRU</t>
  </si>
  <si>
    <t>BOYD, DENVER-MARIE</t>
  </si>
  <si>
    <t>BRADFORD, CAMRON</t>
  </si>
  <si>
    <t>BREEDLOVE, KENZIE</t>
  </si>
  <si>
    <t>BROWN, ALVIN</t>
  </si>
  <si>
    <t>BROWN, ZOIE</t>
  </si>
  <si>
    <t>BURRELL, LONDON</t>
  </si>
  <si>
    <t>CAMARILLO, ELIYANAH</t>
  </si>
  <si>
    <t>CASTILLO, ANNALISE</t>
  </si>
  <si>
    <t>CASTILLO, JESUS</t>
  </si>
  <si>
    <t>CEPEDA, JUBILEE</t>
  </si>
  <si>
    <t>CERF, ERIN</t>
  </si>
  <si>
    <t>CERF, TAVIAN</t>
  </si>
  <si>
    <t>CERVANTES, GABRIEL</t>
  </si>
  <si>
    <t>CERVANTES, VIOLET</t>
  </si>
  <si>
    <t>CHAMBERS, LAILA</t>
  </si>
  <si>
    <t>CHARLES, ISMAEL</t>
  </si>
  <si>
    <t>CHAVEZ, ISAIAH</t>
  </si>
  <si>
    <t>CHAVEZ, MANUEL</t>
  </si>
  <si>
    <t>CHAVIRA, RICARDO</t>
  </si>
  <si>
    <t>COLLINS, J'NIYA</t>
  </si>
  <si>
    <t>CONAWAY, ZARIA</t>
  </si>
  <si>
    <t>CRENSHAW, NATALEE</t>
  </si>
  <si>
    <t>CRUZ, SERGIO</t>
  </si>
  <si>
    <t>CURIEL, ANDREA</t>
  </si>
  <si>
    <t>CURTIS, LAWRENCE</t>
  </si>
  <si>
    <t>DAVILA, MARLEIGH</t>
  </si>
  <si>
    <t>DAVIS, AIDEN</t>
  </si>
  <si>
    <t>DE LEON LARA, ARLEY</t>
  </si>
  <si>
    <t>DONNELL, TY-ANTHONY</t>
  </si>
  <si>
    <t>DOSIA, D'AARIAN</t>
  </si>
  <si>
    <t>DRUMGOOLE, ZURI</t>
  </si>
  <si>
    <t>DUARTE, KINGSTON</t>
  </si>
  <si>
    <t>ELIZONDO, ELIZABETH</t>
  </si>
  <si>
    <t>ESTRADA, LIONEL</t>
  </si>
  <si>
    <t>EVANS, JERMIYAH</t>
  </si>
  <si>
    <t>EVANS, SANIYAH</t>
  </si>
  <si>
    <t>FOWLER, PRINCESS</t>
  </si>
  <si>
    <t>FUENTES, EMILIA</t>
  </si>
  <si>
    <t>GARCIA, MILENE</t>
  </si>
  <si>
    <t>GARZA, JOZIAH</t>
  </si>
  <si>
    <t>GEARS, NATALIE</t>
  </si>
  <si>
    <t>GLOVER, DELILAH</t>
  </si>
  <si>
    <t>GONZALEZ, ELIO</t>
  </si>
  <si>
    <t>GONZALEZ, WOLFGANG</t>
  </si>
  <si>
    <t>GREEN, ISAAC</t>
  </si>
  <si>
    <t>GRIFFITH, XIMARIA</t>
  </si>
  <si>
    <t>GUERRERO, BELLA</t>
  </si>
  <si>
    <t>GUERRERO, ELENA</t>
  </si>
  <si>
    <t>GUILLEN, CAMILA</t>
  </si>
  <si>
    <t>GUILLEN, GLORIA</t>
  </si>
  <si>
    <t>HAMMAD, ALESSANDRA</t>
  </si>
  <si>
    <t>HARO, DANIELLA</t>
  </si>
  <si>
    <t>HARTFIELD, JAYDAN</t>
  </si>
  <si>
    <t>HENDERSON, ARMARIANNA</t>
  </si>
  <si>
    <t>HERNANDEZ, DEMI</t>
  </si>
  <si>
    <t>HERNANDEZ, JAYLA</t>
  </si>
  <si>
    <t>HIGHTOWER, GIANA</t>
  </si>
  <si>
    <t>HINES, CAMERON LAVON</t>
  </si>
  <si>
    <t>HOWARD-ARRIOLA, ZARIYA</t>
  </si>
  <si>
    <t>HUDSON, NALANI</t>
  </si>
  <si>
    <t>HURD, ALIJAH</t>
  </si>
  <si>
    <t>JEFFERSON, NIVRE</t>
  </si>
  <si>
    <t>JOHNSON, ELIJAH</t>
  </si>
  <si>
    <t>JONES, JAYLA</t>
  </si>
  <si>
    <t>JONES, KINGSTON</t>
  </si>
  <si>
    <t>JONES, RICH</t>
  </si>
  <si>
    <t>JUAREZ-PENA, JOSE</t>
  </si>
  <si>
    <t>KELLEY, MI'AMOR</t>
  </si>
  <si>
    <t>LAFLEUR, MAKAYLAH</t>
  </si>
  <si>
    <t>LANDA, JOSE</t>
  </si>
  <si>
    <t>LASH, JAKE</t>
  </si>
  <si>
    <t>LEWIS, NAIJAH</t>
  </si>
  <si>
    <t>LOPEZ, DAVID</t>
  </si>
  <si>
    <t>LORING, KAISLEY</t>
  </si>
  <si>
    <t>LUJANO, ITZEL</t>
  </si>
  <si>
    <t>LUMPKIN, KAMARI</t>
  </si>
  <si>
    <t>MALDONADO HERNANDEZ, PRISCILA</t>
  </si>
  <si>
    <t>MARTINEZ, ZOE</t>
  </si>
  <si>
    <t>MATA, ZAYDEN</t>
  </si>
  <si>
    <t>MATA PACHECO, EVERLY</t>
  </si>
  <si>
    <t>MEDRANO, ISABELLA</t>
  </si>
  <si>
    <t>MEJIA, NATHANIEL</t>
  </si>
  <si>
    <t>MEMBRENO, ISAAC</t>
  </si>
  <si>
    <t>MENDEZ, GERARDO</t>
  </si>
  <si>
    <t>MENDOZA, EMILIANO</t>
  </si>
  <si>
    <t>MILLS, AVA</t>
  </si>
  <si>
    <t>MOFFETT, MYA</t>
  </si>
  <si>
    <t>MOLINA, JEREMIAH</t>
  </si>
  <si>
    <t>MONTES, KING</t>
  </si>
  <si>
    <t>MONTES, MIA</t>
  </si>
  <si>
    <t>MORENO, ALLISON</t>
  </si>
  <si>
    <t>MUNOZ, AVRIELLA</t>
  </si>
  <si>
    <t>NEWHOUSE, CARTER</t>
  </si>
  <si>
    <t>ORTEGA, JA'CEON</t>
  </si>
  <si>
    <t>OVERTON, QUEYLON</t>
  </si>
  <si>
    <t>PACHECO, MILA</t>
  </si>
  <si>
    <t>PANACCIONE, CHRISTIAN</t>
  </si>
  <si>
    <t>PARRAS, EMELY</t>
  </si>
  <si>
    <t>PENNINGTON, BRILEY</t>
  </si>
  <si>
    <t>PEREZ, ALEJANDRO</t>
  </si>
  <si>
    <t>PHILLIPS-LEWIS, PRINCE</t>
  </si>
  <si>
    <t>PULLINS, KARMA</t>
  </si>
  <si>
    <t>QUINN, SOPHIE</t>
  </si>
  <si>
    <t>RANDOLPH, MARCES</t>
  </si>
  <si>
    <t>RECIO, MARIAH</t>
  </si>
  <si>
    <t>RENTERIA, ELEANOR</t>
  </si>
  <si>
    <t>RENTERIA, NIKKO</t>
  </si>
  <si>
    <t>REYES, ADRIEL</t>
  </si>
  <si>
    <t>RICHARD, DAMIAN</t>
  </si>
  <si>
    <t>RICHARDSON, KAILIS</t>
  </si>
  <si>
    <t>RIDEAU, JAYDEN</t>
  </si>
  <si>
    <t>RIOS, DANIEL</t>
  </si>
  <si>
    <t>RIOS, VICTOR</t>
  </si>
  <si>
    <t>RIVAS-LOPEZ, IKER</t>
  </si>
  <si>
    <t>RIVERA, LORENZO</t>
  </si>
  <si>
    <t>RIVERA-DODD, ATALAYA</t>
  </si>
  <si>
    <t>RODRIGUEZ, LEGEND</t>
  </si>
  <si>
    <t>RODRIGUEZ, LEONARDO</t>
  </si>
  <si>
    <t>RODRIGUEZ, MATEO</t>
  </si>
  <si>
    <t>ROLLS, KARA</t>
  </si>
  <si>
    <t>ROMAN, CIPRIANO</t>
  </si>
  <si>
    <t>ROSE, CAMRI</t>
  </si>
  <si>
    <t>RUANO, KAIRO</t>
  </si>
  <si>
    <t>SALINAS, ELIANA</t>
  </si>
  <si>
    <t>SAMPSON, AUBREY</t>
  </si>
  <si>
    <t>SAN MIGUEL, ARIA</t>
  </si>
  <si>
    <t>SANCHEZ, ADRIAN</t>
  </si>
  <si>
    <t>SANCHEZ, MATEO</t>
  </si>
  <si>
    <t>SANDERS, JA' HEIR</t>
  </si>
  <si>
    <t>SANTOS, ZAYDEN</t>
  </si>
  <si>
    <t>SESSUM, AMIRAH</t>
  </si>
  <si>
    <t>SIDNEY-WILLIAMS, KAYSON</t>
  </si>
  <si>
    <t>SMITH, KYNDALL</t>
  </si>
  <si>
    <t>SOTO, MASON</t>
  </si>
  <si>
    <t>SPEARS, DAMIEN</t>
  </si>
  <si>
    <t>STANSBERRY, TYUNNA</t>
  </si>
  <si>
    <t>THOMAS, TAVIUS</t>
  </si>
  <si>
    <t>THOMPSON, JACOB</t>
  </si>
  <si>
    <t>TORRES, CAMILA</t>
  </si>
  <si>
    <t>TORRES, DOMINIC</t>
  </si>
  <si>
    <t>TORRES, MAURICIO</t>
  </si>
  <si>
    <t>TORRES, NOAH</t>
  </si>
  <si>
    <t>TORRES, SOFIAA</t>
  </si>
  <si>
    <t>TORRES HERNANDEZ, AIDEN</t>
  </si>
  <si>
    <t>TORREZ, HEAVEN</t>
  </si>
  <si>
    <t>TREVINO, DALEYZA</t>
  </si>
  <si>
    <t>UMANA, ALESSANDRA</t>
  </si>
  <si>
    <t>UMANA, CATALINA</t>
  </si>
  <si>
    <t>VALDEZ, EMILIO</t>
  </si>
  <si>
    <t>VALLES, MAYRA</t>
  </si>
  <si>
    <t>VASQUEZ, CATALINA</t>
  </si>
  <si>
    <t>VASQUEZ, HANNAH</t>
  </si>
  <si>
    <t>VELAZQUEZ, JIONNI</t>
  </si>
  <si>
    <t>WALKER, TORI</t>
  </si>
  <si>
    <t>WALKER-AMORA-TRUSCOTT, NAYELI</t>
  </si>
  <si>
    <t>WALLS, JA'KOBIE</t>
  </si>
  <si>
    <t>WEBB, CATALEYA</t>
  </si>
  <si>
    <t>WILLIAMS, CARTER</t>
  </si>
  <si>
    <t>WILLIAMS, GIANNIS</t>
  </si>
  <si>
    <t>WILLIAMS, KARTER</t>
  </si>
  <si>
    <t>WILLIAMS, MA'LANEI</t>
  </si>
  <si>
    <t>WILLIAMS, ZIYA</t>
  </si>
  <si>
    <t>WILLIS, LAYLA</t>
  </si>
  <si>
    <t>WISENER, DAMON</t>
  </si>
  <si>
    <t>WRIGHT, LOGAN</t>
  </si>
  <si>
    <t>ZAPATA, ALBERT</t>
  </si>
  <si>
    <t>ZUNIGA, LEAH</t>
  </si>
  <si>
    <t>RLA</t>
  </si>
  <si>
    <t xml:space="preserve">English </t>
  </si>
  <si>
    <t>No</t>
  </si>
  <si>
    <t xml:space="preserve">Instructor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</si>
</sst>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3E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15242\Desktop\2025%20KG%20Students.xlsx" TargetMode="External"/><Relationship Id="rId1" Type="http://schemas.openxmlformats.org/officeDocument/2006/relationships/externalLinkPath" Target="2025%20KG%20Stude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15242\Desktop\2025%20Teachers%20(1).xlsx" TargetMode="External"/><Relationship Id="rId1" Type="http://schemas.openxmlformats.org/officeDocument/2006/relationships/externalLinkPath" Target="2025%20Teacher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 KG Students"/>
    </sheetNames>
    <sheetDataSet>
      <sheetData sheetId="0">
        <row r="2">
          <cell r="C2" t="str">
            <v>ADELAJA, ANNA</v>
          </cell>
          <cell r="D2">
            <v>85060</v>
          </cell>
        </row>
        <row r="3">
          <cell r="C3" t="str">
            <v>AGUILAR, AGUSTIN</v>
          </cell>
          <cell r="D3">
            <v>85230</v>
          </cell>
        </row>
        <row r="4">
          <cell r="C4" t="str">
            <v>AGUILAR, ANAID</v>
          </cell>
          <cell r="D4">
            <v>86571</v>
          </cell>
        </row>
        <row r="5">
          <cell r="C5" t="str">
            <v>AGUILAR, ARIANA</v>
          </cell>
          <cell r="D5">
            <v>87397</v>
          </cell>
        </row>
        <row r="6">
          <cell r="C6" t="str">
            <v>AGUILAR, HELENA</v>
          </cell>
          <cell r="D6">
            <v>85309</v>
          </cell>
        </row>
        <row r="7">
          <cell r="C7" t="str">
            <v>AGUILAR SOTELO, LEON</v>
          </cell>
          <cell r="D7">
            <v>87353</v>
          </cell>
        </row>
        <row r="8">
          <cell r="C8" t="str">
            <v>AGUIRRE, MANUEL</v>
          </cell>
          <cell r="D8">
            <v>85449</v>
          </cell>
        </row>
        <row r="9">
          <cell r="C9" t="str">
            <v>ALBERTO, GENESIS</v>
          </cell>
          <cell r="D9">
            <v>85578</v>
          </cell>
        </row>
        <row r="10">
          <cell r="C10" t="str">
            <v>ALCALA ALVARADO, DANIA</v>
          </cell>
          <cell r="D10">
            <v>86925</v>
          </cell>
        </row>
        <row r="11">
          <cell r="C11" t="str">
            <v>ALDACO, ZAID</v>
          </cell>
          <cell r="D11">
            <v>84500</v>
          </cell>
        </row>
        <row r="12">
          <cell r="C12" t="str">
            <v>ALEMAN MARTINEZ, BRIANA</v>
          </cell>
          <cell r="D12">
            <v>86486</v>
          </cell>
        </row>
        <row r="13">
          <cell r="C13" t="str">
            <v>ALEXANDER, DEVYN</v>
          </cell>
          <cell r="D13">
            <v>88420</v>
          </cell>
        </row>
        <row r="14">
          <cell r="C14" t="str">
            <v>ALEXANDER-YOUNG, PAISLEY</v>
          </cell>
          <cell r="D14">
            <v>86502</v>
          </cell>
        </row>
        <row r="15">
          <cell r="C15" t="str">
            <v>ALEXANDER, RANIYAH</v>
          </cell>
          <cell r="D15">
            <v>85215</v>
          </cell>
        </row>
        <row r="16">
          <cell r="C16" t="str">
            <v>ALIX, KING</v>
          </cell>
          <cell r="D16">
            <v>85109</v>
          </cell>
        </row>
        <row r="17">
          <cell r="C17" t="str">
            <v>ALLEN, KAYCEN</v>
          </cell>
          <cell r="D17">
            <v>87566</v>
          </cell>
        </row>
        <row r="18">
          <cell r="C18" t="str">
            <v>ALVARADO, LUNA</v>
          </cell>
          <cell r="D18">
            <v>85437</v>
          </cell>
        </row>
        <row r="19">
          <cell r="C19" t="str">
            <v>ALVARADO, NICOLE</v>
          </cell>
          <cell r="D19">
            <v>85741</v>
          </cell>
        </row>
        <row r="20">
          <cell r="C20" t="str">
            <v>ALVARADO JIMENEZ, VICTORIA</v>
          </cell>
          <cell r="D20">
            <v>85413</v>
          </cell>
        </row>
        <row r="21">
          <cell r="C21" t="str">
            <v>ALVARADO, XIMENA</v>
          </cell>
          <cell r="D21">
            <v>86005</v>
          </cell>
        </row>
        <row r="22">
          <cell r="C22" t="str">
            <v>AMAYA, LEIDY</v>
          </cell>
          <cell r="D22">
            <v>85155</v>
          </cell>
        </row>
        <row r="23">
          <cell r="C23" t="str">
            <v>AMAYA, SEBASTIAN</v>
          </cell>
          <cell r="D23">
            <v>87965</v>
          </cell>
        </row>
        <row r="24">
          <cell r="C24" t="str">
            <v>ANCIRA, XANTINO</v>
          </cell>
          <cell r="D24">
            <v>88055</v>
          </cell>
        </row>
        <row r="25">
          <cell r="C25" t="str">
            <v>ANIAS BARZAGA, MIKE</v>
          </cell>
          <cell r="D25">
            <v>85365</v>
          </cell>
        </row>
        <row r="26">
          <cell r="C26" t="str">
            <v>ARELLANO, NATASHA</v>
          </cell>
          <cell r="D26">
            <v>85059</v>
          </cell>
        </row>
        <row r="27">
          <cell r="C27" t="str">
            <v>ARNETT, BROOKS</v>
          </cell>
          <cell r="D27">
            <v>88035</v>
          </cell>
        </row>
        <row r="28">
          <cell r="C28" t="str">
            <v>ARZU, JAHMIERE</v>
          </cell>
          <cell r="D28">
            <v>85672</v>
          </cell>
        </row>
        <row r="29">
          <cell r="C29" t="str">
            <v>ASCENCIO, FRANCISCO</v>
          </cell>
          <cell r="D29">
            <v>85057</v>
          </cell>
        </row>
        <row r="30">
          <cell r="C30" t="str">
            <v>AVELLANEDA, DALYLAH</v>
          </cell>
          <cell r="D30">
            <v>85476</v>
          </cell>
        </row>
        <row r="31">
          <cell r="C31" t="str">
            <v>AVILES, EZEKIEL</v>
          </cell>
          <cell r="D31">
            <v>85253</v>
          </cell>
        </row>
        <row r="32">
          <cell r="C32" t="str">
            <v>AYALA CABRERA, REYNA</v>
          </cell>
          <cell r="D32">
            <v>85997</v>
          </cell>
        </row>
        <row r="33">
          <cell r="C33" t="str">
            <v>BAILEY, EZRA</v>
          </cell>
          <cell r="D33">
            <v>87591</v>
          </cell>
        </row>
        <row r="34">
          <cell r="C34" t="str">
            <v>BAKER, AVA</v>
          </cell>
          <cell r="D34">
            <v>86026</v>
          </cell>
        </row>
        <row r="35">
          <cell r="C35" t="str">
            <v>BALDERAS, SAMMUEL</v>
          </cell>
          <cell r="D35">
            <v>87702</v>
          </cell>
        </row>
        <row r="36">
          <cell r="C36" t="str">
            <v>BALICO HERNANDEZ, ABRAHAM</v>
          </cell>
          <cell r="D36">
            <v>87513</v>
          </cell>
        </row>
        <row r="37">
          <cell r="C37" t="str">
            <v>BANDA, IVAN</v>
          </cell>
          <cell r="D37">
            <v>85027</v>
          </cell>
        </row>
        <row r="38">
          <cell r="C38" t="str">
            <v>BANKHEAD, TRISTAN</v>
          </cell>
          <cell r="D38">
            <v>86193</v>
          </cell>
        </row>
        <row r="39">
          <cell r="C39" t="str">
            <v>BARAJAS, ISABELLE</v>
          </cell>
          <cell r="D39">
            <v>87705</v>
          </cell>
        </row>
        <row r="40">
          <cell r="C40" t="str">
            <v>BARAJAS, JESSENIA</v>
          </cell>
          <cell r="D40">
            <v>85111</v>
          </cell>
        </row>
        <row r="41">
          <cell r="C41" t="str">
            <v>BARBOSA, EMMANUEL</v>
          </cell>
          <cell r="D41">
            <v>87458</v>
          </cell>
        </row>
        <row r="42">
          <cell r="C42" t="str">
            <v>BARCENAS, DAVID</v>
          </cell>
          <cell r="D42">
            <v>85084</v>
          </cell>
        </row>
        <row r="43">
          <cell r="C43" t="str">
            <v>BARNER, KAIDEN</v>
          </cell>
          <cell r="D43">
            <v>86192</v>
          </cell>
        </row>
        <row r="44">
          <cell r="C44" t="str">
            <v>BASS, BLAKE</v>
          </cell>
          <cell r="D44">
            <v>85420</v>
          </cell>
        </row>
        <row r="45">
          <cell r="C45" t="str">
            <v>BATA, MASON</v>
          </cell>
          <cell r="D45">
            <v>85301</v>
          </cell>
        </row>
        <row r="46">
          <cell r="C46" t="str">
            <v>BAUTISTA MALDONADO, FABIAN</v>
          </cell>
          <cell r="D46">
            <v>87890</v>
          </cell>
        </row>
        <row r="47">
          <cell r="C47" t="str">
            <v>BECERRIL, KALANI</v>
          </cell>
          <cell r="D47">
            <v>88144</v>
          </cell>
        </row>
        <row r="48">
          <cell r="C48" t="str">
            <v>BELEN, SOPHIA MAY</v>
          </cell>
          <cell r="D48">
            <v>86926</v>
          </cell>
        </row>
        <row r="49">
          <cell r="C49" t="str">
            <v>BELLMORE, YULIANA</v>
          </cell>
          <cell r="D49">
            <v>85142</v>
          </cell>
        </row>
        <row r="50">
          <cell r="C50" t="str">
            <v>BELTRAN GARCIA, LIAM</v>
          </cell>
          <cell r="D50">
            <v>85063</v>
          </cell>
        </row>
        <row r="51">
          <cell r="C51" t="str">
            <v>BENAVIDEZ, AVA</v>
          </cell>
          <cell r="D51">
            <v>85147</v>
          </cell>
        </row>
        <row r="52">
          <cell r="C52" t="str">
            <v>BENITEZ, LEONARDO</v>
          </cell>
          <cell r="D52">
            <v>84734</v>
          </cell>
        </row>
        <row r="53">
          <cell r="C53" t="str">
            <v>BENITEZ, MAYA</v>
          </cell>
          <cell r="D53">
            <v>85043</v>
          </cell>
        </row>
        <row r="54">
          <cell r="C54" t="str">
            <v>BENITEZ, YARELI</v>
          </cell>
          <cell r="D54">
            <v>88265</v>
          </cell>
        </row>
        <row r="55">
          <cell r="C55" t="str">
            <v>BENOIT, L'EIR</v>
          </cell>
          <cell r="D55">
            <v>85397</v>
          </cell>
        </row>
        <row r="56">
          <cell r="C56" t="str">
            <v>BERNAL FLORES, ANGELICA</v>
          </cell>
          <cell r="D56">
            <v>87538</v>
          </cell>
        </row>
        <row r="57">
          <cell r="C57" t="str">
            <v>BERRY, MASON</v>
          </cell>
          <cell r="D57">
            <v>87888</v>
          </cell>
        </row>
        <row r="58">
          <cell r="C58" t="str">
            <v>BERRY, SA'BRIA</v>
          </cell>
          <cell r="D58">
            <v>87232</v>
          </cell>
        </row>
        <row r="59">
          <cell r="C59" t="str">
            <v>BEVERLY, KAIDEN</v>
          </cell>
          <cell r="D59">
            <v>87886</v>
          </cell>
        </row>
        <row r="60">
          <cell r="C60" t="str">
            <v>BINGHAM, CYDNEE</v>
          </cell>
          <cell r="D60">
            <v>85189</v>
          </cell>
        </row>
        <row r="61">
          <cell r="C61" t="str">
            <v>BIRDSONG, JAYCEE</v>
          </cell>
          <cell r="D61">
            <v>85002</v>
          </cell>
        </row>
        <row r="62">
          <cell r="C62" t="str">
            <v>BONILLA, JULIAN</v>
          </cell>
          <cell r="D62">
            <v>86952</v>
          </cell>
        </row>
        <row r="63">
          <cell r="C63" t="str">
            <v>BOSLEY, SIRE</v>
          </cell>
          <cell r="D63">
            <v>86260</v>
          </cell>
        </row>
        <row r="64">
          <cell r="C64" t="str">
            <v>BOSSELL, ROYALTY</v>
          </cell>
          <cell r="D64">
            <v>89055</v>
          </cell>
        </row>
        <row r="65">
          <cell r="C65" t="str">
            <v>BOTELLO, ARLETTE</v>
          </cell>
          <cell r="D65">
            <v>85087</v>
          </cell>
        </row>
        <row r="66">
          <cell r="C66" t="str">
            <v>BOUTTE, AUGUST</v>
          </cell>
          <cell r="D66">
            <v>86016</v>
          </cell>
        </row>
        <row r="67">
          <cell r="C67" t="str">
            <v>BOWEN, DRU</v>
          </cell>
          <cell r="D67">
            <v>85259</v>
          </cell>
        </row>
        <row r="68">
          <cell r="C68" t="str">
            <v>BOYD, DENVER-MARIE</v>
          </cell>
          <cell r="D68">
            <v>85754</v>
          </cell>
        </row>
        <row r="69">
          <cell r="C69" t="str">
            <v>BRADFORD, CAMRON</v>
          </cell>
          <cell r="D69">
            <v>86125</v>
          </cell>
        </row>
        <row r="70">
          <cell r="C70" t="str">
            <v>BREEDLOVE, KENZIE</v>
          </cell>
          <cell r="D70">
            <v>85177</v>
          </cell>
        </row>
        <row r="71">
          <cell r="C71" t="str">
            <v>BROWN, ALVIN</v>
          </cell>
          <cell r="D71">
            <v>87714</v>
          </cell>
        </row>
        <row r="72">
          <cell r="C72" t="str">
            <v>BROWN, TRASHAWN</v>
          </cell>
          <cell r="D72">
            <v>88930</v>
          </cell>
        </row>
        <row r="73">
          <cell r="C73" t="str">
            <v>BROWN, ZOIE</v>
          </cell>
          <cell r="D73">
            <v>82062</v>
          </cell>
        </row>
        <row r="74">
          <cell r="C74" t="str">
            <v>BRYANT, GIA</v>
          </cell>
          <cell r="D74">
            <v>87932</v>
          </cell>
        </row>
        <row r="75">
          <cell r="C75" t="str">
            <v>BUESO RAMOS, ZOE</v>
          </cell>
          <cell r="D75">
            <v>87165</v>
          </cell>
        </row>
        <row r="76">
          <cell r="C76" t="str">
            <v>BUNDAGE, IYONNA</v>
          </cell>
          <cell r="D76">
            <v>87481</v>
          </cell>
        </row>
        <row r="77">
          <cell r="C77" t="str">
            <v>BURGER, MICAH</v>
          </cell>
          <cell r="D77">
            <v>88736</v>
          </cell>
        </row>
        <row r="78">
          <cell r="C78" t="str">
            <v>BURNETTE, ZA'KARI</v>
          </cell>
          <cell r="D78">
            <v>87647</v>
          </cell>
        </row>
        <row r="79">
          <cell r="C79" t="str">
            <v>BURRELL, LONDON</v>
          </cell>
          <cell r="D79">
            <v>88502</v>
          </cell>
        </row>
        <row r="80">
          <cell r="C80" t="str">
            <v>CABALLERO SOSA, ISMAEL</v>
          </cell>
          <cell r="D80">
            <v>85686</v>
          </cell>
        </row>
        <row r="81">
          <cell r="C81" t="str">
            <v>CABRERA, ALEXIS</v>
          </cell>
          <cell r="D81">
            <v>85288</v>
          </cell>
        </row>
        <row r="82">
          <cell r="C82" t="str">
            <v>CAMARILLO, ELIYANAH</v>
          </cell>
          <cell r="D82">
            <v>85471</v>
          </cell>
        </row>
        <row r="83">
          <cell r="C83" t="str">
            <v>CARBALLO MEJIA, VALENTINA</v>
          </cell>
          <cell r="D83">
            <v>85107</v>
          </cell>
        </row>
        <row r="84">
          <cell r="C84" t="str">
            <v>CARLOS SOLORIO, KAITLYN</v>
          </cell>
          <cell r="D84">
            <v>85108</v>
          </cell>
        </row>
        <row r="85">
          <cell r="C85" t="str">
            <v>CARLOS SOLORIO, KAILANI</v>
          </cell>
          <cell r="D85">
            <v>85633</v>
          </cell>
        </row>
        <row r="86">
          <cell r="C86" t="str">
            <v>CARLOS, SANTIAGO</v>
          </cell>
          <cell r="D86">
            <v>85372</v>
          </cell>
        </row>
        <row r="87">
          <cell r="C87" t="str">
            <v>CARREON, JAILYNE</v>
          </cell>
          <cell r="D87">
            <v>87017</v>
          </cell>
        </row>
        <row r="88">
          <cell r="C88" t="str">
            <v>CARREON, SOPHIA</v>
          </cell>
          <cell r="D88">
            <v>85180</v>
          </cell>
        </row>
        <row r="89">
          <cell r="C89" t="str">
            <v>CARTA HERNANDEZ, MAYKOL</v>
          </cell>
          <cell r="D89">
            <v>85322</v>
          </cell>
        </row>
        <row r="90">
          <cell r="C90" t="str">
            <v>CASAS MARTINEZ, THIAGO</v>
          </cell>
          <cell r="D90">
            <v>87749</v>
          </cell>
        </row>
        <row r="91">
          <cell r="C91" t="str">
            <v>CASTANEDA HERRERA, AITANA</v>
          </cell>
          <cell r="D91">
            <v>85053</v>
          </cell>
        </row>
        <row r="92">
          <cell r="C92" t="str">
            <v>CASTILLO, ALLISON</v>
          </cell>
          <cell r="D92">
            <v>86171</v>
          </cell>
        </row>
        <row r="93">
          <cell r="C93" t="str">
            <v>CASTILLO, ANNALISE</v>
          </cell>
          <cell r="D93">
            <v>85175</v>
          </cell>
        </row>
        <row r="94">
          <cell r="C94" t="str">
            <v>CASTILLO RODRIGUEZ, CARLOS</v>
          </cell>
          <cell r="D94">
            <v>87796</v>
          </cell>
        </row>
        <row r="95">
          <cell r="C95" t="str">
            <v>CASTILLO, JESUS</v>
          </cell>
          <cell r="D95">
            <v>85595</v>
          </cell>
        </row>
        <row r="96">
          <cell r="C96" t="str">
            <v>CASTILLO, TONY</v>
          </cell>
          <cell r="D96">
            <v>85257</v>
          </cell>
        </row>
        <row r="97">
          <cell r="C97" t="str">
            <v>CAZAUBON, BRIELLE</v>
          </cell>
          <cell r="D97">
            <v>87892</v>
          </cell>
        </row>
        <row r="98">
          <cell r="C98" t="str">
            <v>CEPEDA, ESMERALDA</v>
          </cell>
          <cell r="D98">
            <v>85621</v>
          </cell>
        </row>
        <row r="99">
          <cell r="C99" t="str">
            <v>CEPEDA, JUBILEE</v>
          </cell>
          <cell r="D99">
            <v>85448</v>
          </cell>
        </row>
        <row r="100">
          <cell r="C100" t="str">
            <v>CERDA-RANGEL, ELIJAH</v>
          </cell>
          <cell r="D100">
            <v>87118</v>
          </cell>
        </row>
        <row r="101">
          <cell r="C101" t="str">
            <v>CERF, ERIN</v>
          </cell>
          <cell r="D101">
            <v>87508</v>
          </cell>
        </row>
        <row r="102">
          <cell r="C102" t="str">
            <v>CERF, TAVIAN</v>
          </cell>
          <cell r="D102">
            <v>87668</v>
          </cell>
        </row>
        <row r="103">
          <cell r="C103" t="str">
            <v>CERVANTES, GABRIEL</v>
          </cell>
          <cell r="D103">
            <v>83792</v>
          </cell>
        </row>
        <row r="104">
          <cell r="C104" t="str">
            <v>CERVANTES, VIOLET</v>
          </cell>
          <cell r="D104">
            <v>85157</v>
          </cell>
        </row>
        <row r="105">
          <cell r="C105" t="str">
            <v>CHAMBERS, LAILA</v>
          </cell>
          <cell r="D105">
            <v>85244</v>
          </cell>
        </row>
        <row r="106">
          <cell r="C106" t="str">
            <v>CHARLES, ISMAEL</v>
          </cell>
          <cell r="D106">
            <v>85562</v>
          </cell>
        </row>
        <row r="107">
          <cell r="C107" t="str">
            <v>CHATT, JAYCEON</v>
          </cell>
          <cell r="D107">
            <v>85134</v>
          </cell>
        </row>
        <row r="108">
          <cell r="C108" t="str">
            <v>CHAVEZ CABRERA, DANIEL</v>
          </cell>
          <cell r="D108">
            <v>85227</v>
          </cell>
        </row>
        <row r="109">
          <cell r="C109" t="str">
            <v>CHAVEZ MENDOZA, ERACLEO</v>
          </cell>
          <cell r="D109">
            <v>85268</v>
          </cell>
        </row>
        <row r="110">
          <cell r="C110" t="str">
            <v>CHAVEZ, ISAIAH</v>
          </cell>
          <cell r="D110">
            <v>85290</v>
          </cell>
        </row>
        <row r="111">
          <cell r="C111" t="str">
            <v>CHAVEZ, MANUEL</v>
          </cell>
          <cell r="D111">
            <v>85171</v>
          </cell>
        </row>
        <row r="112">
          <cell r="C112" t="str">
            <v>CHAVIRA, RICARDO</v>
          </cell>
          <cell r="D112">
            <v>85701</v>
          </cell>
        </row>
        <row r="113">
          <cell r="C113" t="str">
            <v>CLAMON, FISHER</v>
          </cell>
          <cell r="D113">
            <v>85003</v>
          </cell>
        </row>
        <row r="114">
          <cell r="C114" t="str">
            <v>CLAY, MAXIMILIANO</v>
          </cell>
          <cell r="D114">
            <v>85461</v>
          </cell>
        </row>
        <row r="115">
          <cell r="C115" t="str">
            <v>CLINGEN, KAYLEE</v>
          </cell>
          <cell r="D115">
            <v>87429</v>
          </cell>
        </row>
        <row r="116">
          <cell r="C116" t="str">
            <v>COLLINS, J'NIYA</v>
          </cell>
          <cell r="D116">
            <v>86358</v>
          </cell>
        </row>
        <row r="117">
          <cell r="C117" t="str">
            <v>CONAWAY, ZARIA</v>
          </cell>
          <cell r="D117">
            <v>85560</v>
          </cell>
        </row>
        <row r="118">
          <cell r="C118" t="str">
            <v>CONTRERAS UMANZOR, MATTHEW</v>
          </cell>
          <cell r="D118">
            <v>85098</v>
          </cell>
        </row>
        <row r="119">
          <cell r="C119" t="str">
            <v>CONTRERAS, MIGUEL</v>
          </cell>
          <cell r="D119">
            <v>87908</v>
          </cell>
        </row>
        <row r="120">
          <cell r="C120" t="str">
            <v>CORDOVA, EDUARDO</v>
          </cell>
          <cell r="D120">
            <v>85172</v>
          </cell>
        </row>
        <row r="121">
          <cell r="C121" t="str">
            <v>CORNEJO, JOSE</v>
          </cell>
          <cell r="D121">
            <v>85842</v>
          </cell>
        </row>
        <row r="122">
          <cell r="C122" t="str">
            <v>CORONA, DAMIAN</v>
          </cell>
          <cell r="D122">
            <v>85470</v>
          </cell>
        </row>
        <row r="123">
          <cell r="C123" t="str">
            <v>COTTON, MONICA</v>
          </cell>
          <cell r="D123">
            <v>88041</v>
          </cell>
        </row>
        <row r="124">
          <cell r="C124" t="str">
            <v>CRENSHAW, NATALEE</v>
          </cell>
          <cell r="D124">
            <v>87921</v>
          </cell>
        </row>
        <row r="125">
          <cell r="C125" t="str">
            <v>CRUZ, SERGIO</v>
          </cell>
          <cell r="D125">
            <v>86100</v>
          </cell>
        </row>
        <row r="126">
          <cell r="C126" t="str">
            <v>CUELLAR, SOPHIA</v>
          </cell>
          <cell r="D126">
            <v>85139</v>
          </cell>
        </row>
        <row r="127">
          <cell r="C127" t="str">
            <v>CUEVAS ARANO, ARIEL</v>
          </cell>
          <cell r="D127">
            <v>86954</v>
          </cell>
        </row>
        <row r="128">
          <cell r="C128" t="str">
            <v>CUNNINGHAM, AMARAH</v>
          </cell>
          <cell r="D128">
            <v>86190</v>
          </cell>
        </row>
        <row r="129">
          <cell r="C129" t="str">
            <v>CURIEL, ANDREA</v>
          </cell>
          <cell r="D129">
            <v>85263</v>
          </cell>
        </row>
        <row r="130">
          <cell r="C130" t="str">
            <v>CURTIS, LAWRENCE</v>
          </cell>
          <cell r="D130">
            <v>86135</v>
          </cell>
        </row>
        <row r="131">
          <cell r="C131" t="str">
            <v>DAMAS ARREDONDO, JIMENA</v>
          </cell>
          <cell r="D131">
            <v>88781</v>
          </cell>
        </row>
        <row r="132">
          <cell r="C132" t="str">
            <v>DARGIN, CARRION</v>
          </cell>
          <cell r="D132">
            <v>86078</v>
          </cell>
        </row>
        <row r="133">
          <cell r="C133" t="str">
            <v>DAVILA, MARLEIGH</v>
          </cell>
          <cell r="D133">
            <v>85629</v>
          </cell>
        </row>
        <row r="134">
          <cell r="C134" t="str">
            <v>DAVIS, AIDEN</v>
          </cell>
          <cell r="D134">
            <v>85245</v>
          </cell>
        </row>
        <row r="135">
          <cell r="C135" t="str">
            <v>DAVIS, ARIANA</v>
          </cell>
          <cell r="D135">
            <v>88119</v>
          </cell>
        </row>
        <row r="136">
          <cell r="C136" t="str">
            <v>DE LA CRUZ, EMMA</v>
          </cell>
          <cell r="D136">
            <v>85281</v>
          </cell>
        </row>
        <row r="137">
          <cell r="C137" t="str">
            <v>DE LA PAZ, ISAIAH</v>
          </cell>
          <cell r="D137">
            <v>87897</v>
          </cell>
        </row>
        <row r="138">
          <cell r="C138" t="str">
            <v>DE LA CRUZ LOPEZ, ISABELLA</v>
          </cell>
          <cell r="D138">
            <v>88403</v>
          </cell>
        </row>
        <row r="139">
          <cell r="C139" t="str">
            <v>DE LEON LARA, ARLEY</v>
          </cell>
          <cell r="D139">
            <v>84968</v>
          </cell>
        </row>
        <row r="140">
          <cell r="C140" t="str">
            <v>DE LEON, NATALY</v>
          </cell>
          <cell r="D140">
            <v>85232</v>
          </cell>
        </row>
        <row r="141">
          <cell r="C141" t="str">
            <v>DE LEON, RAUL</v>
          </cell>
          <cell r="D141">
            <v>85302</v>
          </cell>
        </row>
        <row r="142">
          <cell r="C142" t="str">
            <v>DE LOS SANTOS, ELISA</v>
          </cell>
          <cell r="D142">
            <v>85226</v>
          </cell>
        </row>
        <row r="143">
          <cell r="C143" t="str">
            <v>DEL SOL VALDES, SCARLETT</v>
          </cell>
          <cell r="D143">
            <v>87804</v>
          </cell>
        </row>
        <row r="144">
          <cell r="C144" t="str">
            <v>DELEON, MOSAIC</v>
          </cell>
          <cell r="D144">
            <v>85203</v>
          </cell>
        </row>
        <row r="145">
          <cell r="C145" t="str">
            <v>DELGADO, LEONARDO</v>
          </cell>
          <cell r="D145">
            <v>87236</v>
          </cell>
        </row>
        <row r="146">
          <cell r="C146" t="str">
            <v>DIAZ, AMARI</v>
          </cell>
          <cell r="D146">
            <v>85275</v>
          </cell>
        </row>
        <row r="147">
          <cell r="C147" t="str">
            <v>DIAZ, DAVID</v>
          </cell>
          <cell r="D147">
            <v>85749</v>
          </cell>
        </row>
        <row r="148">
          <cell r="C148" t="str">
            <v>DIAZ, JAYDEN</v>
          </cell>
          <cell r="D148">
            <v>85116</v>
          </cell>
        </row>
        <row r="149">
          <cell r="C149" t="str">
            <v>DIAZ, RENATA</v>
          </cell>
          <cell r="D149">
            <v>88701</v>
          </cell>
        </row>
        <row r="150">
          <cell r="C150" t="str">
            <v>DIOSDADO, ROSELYN</v>
          </cell>
          <cell r="D150">
            <v>84871</v>
          </cell>
        </row>
        <row r="151">
          <cell r="C151" t="str">
            <v>DOMINGUEZ, JOHAN</v>
          </cell>
          <cell r="D151">
            <v>85714</v>
          </cell>
        </row>
        <row r="152">
          <cell r="C152" t="str">
            <v>DONIS DELGADO, ANGELLO</v>
          </cell>
          <cell r="D152">
            <v>85312</v>
          </cell>
        </row>
        <row r="153">
          <cell r="C153" t="str">
            <v>DRUMGOOLE, ZURI</v>
          </cell>
          <cell r="D153">
            <v>87922</v>
          </cell>
        </row>
        <row r="154">
          <cell r="C154" t="str">
            <v>DUARTE, KINGSTON</v>
          </cell>
          <cell r="D154">
            <v>87486</v>
          </cell>
        </row>
        <row r="155">
          <cell r="C155" t="str">
            <v>DUONG, CAMERON</v>
          </cell>
          <cell r="D155">
            <v>85483</v>
          </cell>
        </row>
        <row r="156">
          <cell r="C156" t="str">
            <v>DUONG, NHI</v>
          </cell>
          <cell r="D156">
            <v>85090</v>
          </cell>
        </row>
        <row r="157">
          <cell r="C157" t="str">
            <v>ELIZONDO, ELIZABETH</v>
          </cell>
          <cell r="D157">
            <v>85454</v>
          </cell>
        </row>
        <row r="158">
          <cell r="C158" t="str">
            <v>ELLIOTT, JASIAH</v>
          </cell>
          <cell r="D158">
            <v>85148</v>
          </cell>
        </row>
        <row r="159">
          <cell r="C159" t="str">
            <v>ERAZO VILLEGAS, ALEXA</v>
          </cell>
          <cell r="D159">
            <v>85156</v>
          </cell>
        </row>
        <row r="160">
          <cell r="C160" t="str">
            <v>ESCOBAR, JOSE</v>
          </cell>
          <cell r="D160">
            <v>86210</v>
          </cell>
        </row>
        <row r="161">
          <cell r="C161" t="str">
            <v>ESCOBEDO GONZALEZ, MARISSA</v>
          </cell>
          <cell r="D161">
            <v>88043</v>
          </cell>
        </row>
        <row r="162">
          <cell r="C162" t="str">
            <v>ESPINAL EUCEDA, JOSE</v>
          </cell>
          <cell r="D162">
            <v>87681</v>
          </cell>
        </row>
        <row r="163">
          <cell r="C163" t="str">
            <v>ESQUEDA MOYA, IVAN</v>
          </cell>
          <cell r="D163">
            <v>88000</v>
          </cell>
        </row>
        <row r="164">
          <cell r="C164" t="str">
            <v>ESQUEDA MOYA, NAYELI</v>
          </cell>
          <cell r="D164">
            <v>87998</v>
          </cell>
        </row>
        <row r="165">
          <cell r="C165" t="str">
            <v>ESQUIVEL, ANDREW</v>
          </cell>
          <cell r="D165">
            <v>82011</v>
          </cell>
        </row>
        <row r="166">
          <cell r="C166" t="str">
            <v>ESTRADA, LIONEL</v>
          </cell>
          <cell r="D166">
            <v>85093</v>
          </cell>
        </row>
        <row r="167">
          <cell r="C167" t="str">
            <v>ESTRADA, SOL</v>
          </cell>
          <cell r="D167">
            <v>85052</v>
          </cell>
        </row>
        <row r="168">
          <cell r="C168" t="str">
            <v>EUGENE, CORIYAH</v>
          </cell>
          <cell r="D168">
            <v>87634</v>
          </cell>
        </row>
        <row r="169">
          <cell r="C169" t="str">
            <v>EVANS, JERMIYAH</v>
          </cell>
          <cell r="D169">
            <v>88515</v>
          </cell>
        </row>
        <row r="170">
          <cell r="C170" t="str">
            <v>EVANS, SANIYAH</v>
          </cell>
          <cell r="D170">
            <v>88516</v>
          </cell>
        </row>
        <row r="171">
          <cell r="C171" t="str">
            <v>FEMAT, JULIAN</v>
          </cell>
          <cell r="D171">
            <v>85473</v>
          </cell>
        </row>
        <row r="172">
          <cell r="C172" t="str">
            <v>FERMAN-LEAL, ARLET</v>
          </cell>
          <cell r="D172">
            <v>85236</v>
          </cell>
        </row>
        <row r="173">
          <cell r="C173" t="str">
            <v>FERNANDEZ, LIAM</v>
          </cell>
          <cell r="D173">
            <v>85097</v>
          </cell>
        </row>
        <row r="174">
          <cell r="C174" t="str">
            <v>FERRO, LUKAS</v>
          </cell>
          <cell r="D174">
            <v>85689</v>
          </cell>
        </row>
        <row r="175">
          <cell r="C175" t="str">
            <v>FIGUEROA, ANGEL</v>
          </cell>
          <cell r="D175">
            <v>87402</v>
          </cell>
        </row>
        <row r="176">
          <cell r="C176" t="str">
            <v>FINLEY, LONDON</v>
          </cell>
          <cell r="D176">
            <v>86366</v>
          </cell>
        </row>
        <row r="177">
          <cell r="C177" t="str">
            <v>FLORES, BRYAN</v>
          </cell>
          <cell r="D177">
            <v>87683</v>
          </cell>
        </row>
        <row r="178">
          <cell r="C178" t="str">
            <v>FLORES SIERRA, ELIAN</v>
          </cell>
          <cell r="D178">
            <v>86040</v>
          </cell>
        </row>
        <row r="179">
          <cell r="C179" t="str">
            <v>FLORES, IVAN</v>
          </cell>
          <cell r="D179">
            <v>85187</v>
          </cell>
        </row>
        <row r="180">
          <cell r="C180" t="str">
            <v>FOWLER, PRINCESS</v>
          </cell>
          <cell r="D180">
            <v>85378</v>
          </cell>
        </row>
        <row r="181">
          <cell r="C181" t="str">
            <v>FRANCO CRUZ, NATHALY</v>
          </cell>
          <cell r="D181">
            <v>87240</v>
          </cell>
        </row>
        <row r="182">
          <cell r="C182" t="str">
            <v>FRAZIER, LAUREN</v>
          </cell>
          <cell r="D182">
            <v>85146</v>
          </cell>
        </row>
        <row r="183">
          <cell r="C183" t="str">
            <v>FRYE, AUBREY</v>
          </cell>
          <cell r="D183">
            <v>85051</v>
          </cell>
        </row>
        <row r="184">
          <cell r="C184" t="str">
            <v>FUENTES, EMILIA</v>
          </cell>
          <cell r="D184">
            <v>87963</v>
          </cell>
        </row>
        <row r="185">
          <cell r="C185" t="str">
            <v>FUENTES VILLALOBOS, MILAN</v>
          </cell>
          <cell r="D185">
            <v>88649</v>
          </cell>
        </row>
        <row r="186">
          <cell r="C186" t="str">
            <v>FUNEZ CASTRO, JIMENA</v>
          </cell>
          <cell r="D186">
            <v>87534</v>
          </cell>
        </row>
        <row r="187">
          <cell r="C187" t="str">
            <v>GALICIA, ALEAH</v>
          </cell>
          <cell r="D187">
            <v>86059</v>
          </cell>
        </row>
        <row r="188">
          <cell r="C188" t="str">
            <v>GALLEGOS, ALEXA</v>
          </cell>
          <cell r="D188">
            <v>85117</v>
          </cell>
        </row>
        <row r="189">
          <cell r="C189" t="str">
            <v>GALVAN LUNA, ADRIANA</v>
          </cell>
          <cell r="D189">
            <v>87930</v>
          </cell>
        </row>
        <row r="190">
          <cell r="C190" t="str">
            <v>GAMBOA DAVILA, ZHAMIRA</v>
          </cell>
          <cell r="D190">
            <v>85980</v>
          </cell>
        </row>
        <row r="191">
          <cell r="C191" t="str">
            <v>GAMEZ, ADALYNN</v>
          </cell>
          <cell r="D191">
            <v>86351</v>
          </cell>
        </row>
        <row r="192">
          <cell r="C192" t="str">
            <v>GARCIA TOLEDO, AARON</v>
          </cell>
          <cell r="D192">
            <v>85306</v>
          </cell>
        </row>
        <row r="193">
          <cell r="C193" t="str">
            <v>GARCIA SAN AGUSTIN, ALICE</v>
          </cell>
          <cell r="D193">
            <v>88795</v>
          </cell>
        </row>
        <row r="194">
          <cell r="C194" t="str">
            <v>GARCIA, ASHLEY</v>
          </cell>
          <cell r="D194">
            <v>88128</v>
          </cell>
        </row>
        <row r="195">
          <cell r="C195" t="str">
            <v>GARCIA, IAN</v>
          </cell>
          <cell r="D195">
            <v>87833</v>
          </cell>
        </row>
        <row r="196">
          <cell r="C196" t="str">
            <v>GARCIA, JAHN</v>
          </cell>
          <cell r="D196">
            <v>87101</v>
          </cell>
        </row>
        <row r="197">
          <cell r="C197" t="str">
            <v>GARCIA, JEREMIAH</v>
          </cell>
          <cell r="D197">
            <v>85150</v>
          </cell>
        </row>
        <row r="198">
          <cell r="C198" t="str">
            <v>GARCIA, MILENE</v>
          </cell>
          <cell r="D198">
            <v>87228</v>
          </cell>
        </row>
        <row r="199">
          <cell r="C199" t="str">
            <v>GARCIA, VICTORIA</v>
          </cell>
          <cell r="D199">
            <v>87241</v>
          </cell>
        </row>
        <row r="200">
          <cell r="C200" t="str">
            <v>GARCIA CABRERA, ZOFIM</v>
          </cell>
          <cell r="D200">
            <v>86027</v>
          </cell>
        </row>
        <row r="201">
          <cell r="C201" t="str">
            <v>GARZA, ALEJANDRO</v>
          </cell>
          <cell r="D201">
            <v>85700</v>
          </cell>
        </row>
        <row r="202">
          <cell r="C202" t="str">
            <v>GARZA, CHLOE</v>
          </cell>
          <cell r="D202">
            <v>85774</v>
          </cell>
        </row>
        <row r="203">
          <cell r="C203" t="str">
            <v>GARZA, EMILIA</v>
          </cell>
          <cell r="D203">
            <v>85347</v>
          </cell>
        </row>
        <row r="204">
          <cell r="C204" t="str">
            <v>GARZA, JAYDEN</v>
          </cell>
          <cell r="D204">
            <v>87624</v>
          </cell>
        </row>
        <row r="205">
          <cell r="C205" t="str">
            <v>GARZA, JOZIAH</v>
          </cell>
          <cell r="D205">
            <v>86280</v>
          </cell>
        </row>
        <row r="206">
          <cell r="C206" t="str">
            <v>GARZA, SANDRA</v>
          </cell>
          <cell r="D206">
            <v>86850</v>
          </cell>
        </row>
        <row r="207">
          <cell r="C207" t="str">
            <v>GEARS, NATALIE</v>
          </cell>
          <cell r="D207">
            <v>87498</v>
          </cell>
        </row>
        <row r="208">
          <cell r="C208" t="str">
            <v>GLOVER, DELILAH</v>
          </cell>
          <cell r="D208">
            <v>86081</v>
          </cell>
        </row>
        <row r="209">
          <cell r="C209" t="str">
            <v>GODFREY, DASIR</v>
          </cell>
          <cell r="D209">
            <v>87194</v>
          </cell>
        </row>
        <row r="210">
          <cell r="C210" t="str">
            <v>GOMEZ, DAMARIS</v>
          </cell>
          <cell r="D210">
            <v>89083</v>
          </cell>
        </row>
        <row r="211">
          <cell r="C211" t="str">
            <v>GOMEZ, EDUARDO</v>
          </cell>
          <cell r="D211">
            <v>86433</v>
          </cell>
        </row>
        <row r="212">
          <cell r="C212" t="str">
            <v>GOMEZ, MANUEL</v>
          </cell>
          <cell r="D212">
            <v>85389</v>
          </cell>
        </row>
        <row r="213">
          <cell r="C213" t="str">
            <v>GOMEZ, MARIA</v>
          </cell>
          <cell r="D213">
            <v>85048</v>
          </cell>
        </row>
        <row r="214">
          <cell r="C214" t="str">
            <v>GOMEZ, VICTOR</v>
          </cell>
          <cell r="D214">
            <v>82937</v>
          </cell>
        </row>
        <row r="215">
          <cell r="C215" t="str">
            <v>GONZALEZ MEJIAS, ALEJANDRO</v>
          </cell>
          <cell r="D215">
            <v>82724</v>
          </cell>
        </row>
        <row r="216">
          <cell r="C216" t="str">
            <v>GONZALEZ, ANGELO</v>
          </cell>
          <cell r="D216">
            <v>86431</v>
          </cell>
        </row>
        <row r="217">
          <cell r="C217" t="str">
            <v>GONZALEZ, BENJAMIN</v>
          </cell>
          <cell r="D217">
            <v>88038</v>
          </cell>
        </row>
        <row r="218">
          <cell r="C218" t="str">
            <v>GONZALEZ, ELIO</v>
          </cell>
          <cell r="D218">
            <v>87719</v>
          </cell>
        </row>
        <row r="219">
          <cell r="C219" t="str">
            <v>GONZALEZ, ELLA</v>
          </cell>
          <cell r="D219">
            <v>85736</v>
          </cell>
        </row>
        <row r="220">
          <cell r="C220" t="str">
            <v>GONZALEZ, FRANCISCO</v>
          </cell>
          <cell r="D220">
            <v>85304</v>
          </cell>
        </row>
        <row r="221">
          <cell r="C221" t="str">
            <v>GONZALEZ RODRIGUEZ, IVANNA</v>
          </cell>
          <cell r="D221">
            <v>85276</v>
          </cell>
        </row>
        <row r="222">
          <cell r="C222" t="str">
            <v>GONZALEZ, JEDIEL</v>
          </cell>
          <cell r="D222">
            <v>82958</v>
          </cell>
        </row>
        <row r="223">
          <cell r="C223" t="str">
            <v>GONZALEZ ORTIZ, JEIMY</v>
          </cell>
          <cell r="D223">
            <v>87869</v>
          </cell>
        </row>
        <row r="224">
          <cell r="C224" t="str">
            <v>GONZALEZ, LIZET</v>
          </cell>
          <cell r="D224">
            <v>87246</v>
          </cell>
        </row>
        <row r="225">
          <cell r="C225" t="str">
            <v>GONZALEZ, LLUVIA</v>
          </cell>
          <cell r="D225">
            <v>87573</v>
          </cell>
        </row>
        <row r="226">
          <cell r="C226" t="str">
            <v>GONZALEZ, LORENZO</v>
          </cell>
          <cell r="D226">
            <v>85773</v>
          </cell>
        </row>
        <row r="227">
          <cell r="C227" t="str">
            <v>GONZALEZ TORRES, LUIS</v>
          </cell>
          <cell r="D227">
            <v>86319</v>
          </cell>
        </row>
        <row r="228">
          <cell r="C228" t="str">
            <v>GONZALEZ, MANUEL</v>
          </cell>
          <cell r="D228">
            <v>85712</v>
          </cell>
        </row>
        <row r="229">
          <cell r="C229" t="str">
            <v>GONZALES, ROBYN</v>
          </cell>
          <cell r="D229">
            <v>85482</v>
          </cell>
        </row>
        <row r="230">
          <cell r="C230" t="str">
            <v>GONZALEZ, WOLFGANG</v>
          </cell>
          <cell r="D230">
            <v>85252</v>
          </cell>
        </row>
        <row r="231">
          <cell r="C231" t="str">
            <v>GRANADOS, THIAGO</v>
          </cell>
          <cell r="D231">
            <v>87625</v>
          </cell>
        </row>
        <row r="232">
          <cell r="C232" t="str">
            <v>GREEN, ISAAC</v>
          </cell>
          <cell r="D232">
            <v>88715</v>
          </cell>
        </row>
        <row r="233">
          <cell r="C233" t="str">
            <v>GREGSON, KADE</v>
          </cell>
          <cell r="D233">
            <v>85650</v>
          </cell>
        </row>
        <row r="234">
          <cell r="C234" t="str">
            <v>GRIFFITH, XIMARIA</v>
          </cell>
          <cell r="D234">
            <v>88643</v>
          </cell>
        </row>
        <row r="235">
          <cell r="C235" t="str">
            <v>GUERRERO, BELLA</v>
          </cell>
          <cell r="D235">
            <v>87953</v>
          </cell>
        </row>
        <row r="236">
          <cell r="C236" t="str">
            <v>GUERRA GONZALEZ, DERECK</v>
          </cell>
          <cell r="D236">
            <v>86200</v>
          </cell>
        </row>
        <row r="237">
          <cell r="C237" t="str">
            <v>GUERRERO, ELENA</v>
          </cell>
          <cell r="D237">
            <v>85206</v>
          </cell>
        </row>
        <row r="238">
          <cell r="C238" t="str">
            <v>GUERRERO, SEAN</v>
          </cell>
          <cell r="D238">
            <v>88012</v>
          </cell>
        </row>
        <row r="239">
          <cell r="C239" t="str">
            <v>GUEVARA RIVERA, DYLAN</v>
          </cell>
          <cell r="D239">
            <v>87382</v>
          </cell>
        </row>
        <row r="240">
          <cell r="C240" t="str">
            <v>GUEVARA MENDOZA, ESTHER</v>
          </cell>
          <cell r="D240">
            <v>85152</v>
          </cell>
        </row>
        <row r="241">
          <cell r="C241" t="str">
            <v>GUILLEN, CAMILA</v>
          </cell>
          <cell r="D241">
            <v>85455</v>
          </cell>
        </row>
        <row r="242">
          <cell r="C242" t="str">
            <v>GUILLEN MARQUEZ, GABRIEL</v>
          </cell>
          <cell r="D242">
            <v>88854</v>
          </cell>
        </row>
        <row r="243">
          <cell r="C243" t="str">
            <v>GUILLEN, GLORIA</v>
          </cell>
          <cell r="D243">
            <v>86605</v>
          </cell>
        </row>
        <row r="244">
          <cell r="C244" t="str">
            <v>GUILLEN, LESLIE</v>
          </cell>
          <cell r="D244">
            <v>85234</v>
          </cell>
        </row>
        <row r="245">
          <cell r="C245" t="str">
            <v>GUTIERREZ SALGUERA, JASMINE</v>
          </cell>
          <cell r="D245">
            <v>86475</v>
          </cell>
        </row>
        <row r="246">
          <cell r="C246" t="str">
            <v>GUTIERREZ SALGUERA, JOHAN</v>
          </cell>
          <cell r="D246">
            <v>86477</v>
          </cell>
        </row>
        <row r="247">
          <cell r="C247" t="str">
            <v>GUZMAN, CARLOS</v>
          </cell>
          <cell r="D247">
            <v>85179</v>
          </cell>
        </row>
        <row r="248">
          <cell r="C248" t="str">
            <v>HAMMAD, ALESSANDRA</v>
          </cell>
          <cell r="D248">
            <v>85624</v>
          </cell>
        </row>
        <row r="249">
          <cell r="C249" t="str">
            <v>HANCOCK, JAXSON</v>
          </cell>
          <cell r="D249">
            <v>88297</v>
          </cell>
        </row>
        <row r="250">
          <cell r="C250" t="str">
            <v>HARO, DANIELLA</v>
          </cell>
          <cell r="D250">
            <v>86024</v>
          </cell>
        </row>
        <row r="251">
          <cell r="C251" t="str">
            <v>HARTFIELD, JAYDAN</v>
          </cell>
          <cell r="D251">
            <v>85094</v>
          </cell>
        </row>
        <row r="252">
          <cell r="C252" t="str">
            <v>HAYWARD, JA'MIYAH</v>
          </cell>
          <cell r="D252">
            <v>85316</v>
          </cell>
        </row>
        <row r="253">
          <cell r="C253" t="str">
            <v>HAYWOOD, ALAYAH</v>
          </cell>
          <cell r="D253">
            <v>85469</v>
          </cell>
        </row>
        <row r="254">
          <cell r="C254" t="str">
            <v>HENDERSON, ARMARIANNA</v>
          </cell>
          <cell r="D254">
            <v>85241</v>
          </cell>
        </row>
        <row r="255">
          <cell r="C255" t="str">
            <v>HENDRIX, ALAIA</v>
          </cell>
          <cell r="D255">
            <v>86355</v>
          </cell>
        </row>
        <row r="256">
          <cell r="C256" t="str">
            <v>HENRY, KASHORIE</v>
          </cell>
          <cell r="D256">
            <v>85497</v>
          </cell>
        </row>
        <row r="257">
          <cell r="C257" t="str">
            <v>HERNANDEZ DIAZ, ALEJANDRA</v>
          </cell>
          <cell r="D257">
            <v>85106</v>
          </cell>
        </row>
        <row r="258">
          <cell r="C258" t="str">
            <v>HERNANDEZ RODRIGUEZ, ATHENA</v>
          </cell>
          <cell r="D258">
            <v>88486</v>
          </cell>
        </row>
        <row r="259">
          <cell r="C259" t="str">
            <v>HERNANDEZ MEZA, AYLIN</v>
          </cell>
          <cell r="D259">
            <v>88514</v>
          </cell>
        </row>
        <row r="260">
          <cell r="C260" t="str">
            <v>HERNANDEZ CHAVEZ, CALEB</v>
          </cell>
          <cell r="D260">
            <v>87994</v>
          </cell>
        </row>
        <row r="261">
          <cell r="C261" t="str">
            <v>HERNANDEZ, COURTLAND</v>
          </cell>
          <cell r="D261">
            <v>85652</v>
          </cell>
        </row>
        <row r="262">
          <cell r="C262" t="str">
            <v>HERNANDEZ, DEMI</v>
          </cell>
          <cell r="D262">
            <v>85422</v>
          </cell>
        </row>
        <row r="263">
          <cell r="C263" t="str">
            <v>HERNANDEZ, ERNESTINA</v>
          </cell>
          <cell r="D263">
            <v>86033</v>
          </cell>
        </row>
        <row r="264">
          <cell r="C264" t="str">
            <v>HERNANDEZ, GERALDINE</v>
          </cell>
          <cell r="D264">
            <v>86035</v>
          </cell>
        </row>
        <row r="265">
          <cell r="C265" t="str">
            <v>HERNANDEZ, JAYLA</v>
          </cell>
          <cell r="D265">
            <v>85255</v>
          </cell>
        </row>
        <row r="266">
          <cell r="C266" t="str">
            <v>HERNANDEZ, MADELYN</v>
          </cell>
          <cell r="D266">
            <v>85046</v>
          </cell>
        </row>
        <row r="267">
          <cell r="C267" t="str">
            <v>HERNANDEZ, ROMINA</v>
          </cell>
          <cell r="D267">
            <v>88031</v>
          </cell>
        </row>
        <row r="268">
          <cell r="C268" t="str">
            <v>HERRERA, ALEX</v>
          </cell>
          <cell r="D268">
            <v>85219</v>
          </cell>
        </row>
        <row r="269">
          <cell r="C269" t="str">
            <v>HERRERA, ISABELLA</v>
          </cell>
          <cell r="D269">
            <v>85533</v>
          </cell>
        </row>
        <row r="270">
          <cell r="C270" t="str">
            <v>HERRERA, ISRAEL</v>
          </cell>
          <cell r="D270">
            <v>86032</v>
          </cell>
        </row>
        <row r="271">
          <cell r="C271" t="str">
            <v>HIDALGO, KYLA</v>
          </cell>
          <cell r="D271">
            <v>85644</v>
          </cell>
        </row>
        <row r="272">
          <cell r="C272" t="str">
            <v>HIGHTOWER, GIANA</v>
          </cell>
          <cell r="D272">
            <v>86403</v>
          </cell>
        </row>
        <row r="273">
          <cell r="C273" t="str">
            <v>HILL, CARTIER</v>
          </cell>
          <cell r="D273">
            <v>87296</v>
          </cell>
        </row>
        <row r="274">
          <cell r="C274" t="str">
            <v>HINES, AMIER</v>
          </cell>
          <cell r="D274">
            <v>86316</v>
          </cell>
        </row>
        <row r="275">
          <cell r="C275" t="str">
            <v>HINES, CAMERON LAVON</v>
          </cell>
          <cell r="D275">
            <v>88764</v>
          </cell>
        </row>
        <row r="276">
          <cell r="C276" t="str">
            <v>HINOJOSA, XAVIER</v>
          </cell>
          <cell r="D276">
            <v>85045</v>
          </cell>
        </row>
        <row r="277">
          <cell r="C277" t="str">
            <v>HIPOLITO SANTOS, MIGUEL</v>
          </cell>
          <cell r="D277">
            <v>85761</v>
          </cell>
        </row>
        <row r="278">
          <cell r="C278" t="str">
            <v>HOPKINS, ANNISTYN</v>
          </cell>
          <cell r="D278">
            <v>88945</v>
          </cell>
        </row>
        <row r="279">
          <cell r="C279" t="str">
            <v>HOWARD-ARRIOLA, ZARIYA</v>
          </cell>
          <cell r="D279">
            <v>86019</v>
          </cell>
        </row>
        <row r="280">
          <cell r="C280" t="str">
            <v>HUBBARD, SEBASTIAN</v>
          </cell>
          <cell r="D280">
            <v>86434</v>
          </cell>
        </row>
        <row r="281">
          <cell r="C281" t="str">
            <v>HUDSON, NALANI</v>
          </cell>
          <cell r="D281">
            <v>85183</v>
          </cell>
        </row>
        <row r="282">
          <cell r="C282" t="str">
            <v>HUERTA, JOSELYN</v>
          </cell>
          <cell r="D282">
            <v>86088</v>
          </cell>
        </row>
        <row r="283">
          <cell r="C283" t="str">
            <v>HURD, ALIJAH</v>
          </cell>
          <cell r="D283">
            <v>86045</v>
          </cell>
        </row>
        <row r="284">
          <cell r="C284" t="str">
            <v>HURTADO FLORES, ABRAHAM</v>
          </cell>
          <cell r="D284">
            <v>87905</v>
          </cell>
        </row>
        <row r="285">
          <cell r="C285" t="str">
            <v>HURTADO FLORES, ANNA</v>
          </cell>
          <cell r="D285">
            <v>87907</v>
          </cell>
        </row>
        <row r="286">
          <cell r="C286" t="str">
            <v>HYACINTH, DARIUS</v>
          </cell>
          <cell r="D286">
            <v>85414</v>
          </cell>
        </row>
        <row r="287">
          <cell r="C287" t="str">
            <v>HYACINTH, NYA</v>
          </cell>
          <cell r="D287">
            <v>85412</v>
          </cell>
        </row>
        <row r="288">
          <cell r="C288" t="str">
            <v>IBARRA BARRIGA, STELLA</v>
          </cell>
          <cell r="D288">
            <v>85037</v>
          </cell>
        </row>
        <row r="289">
          <cell r="C289" t="str">
            <v>IVY, ZAYN</v>
          </cell>
          <cell r="D289">
            <v>85083</v>
          </cell>
        </row>
        <row r="290">
          <cell r="C290" t="str">
            <v>JACKSON, ALLISON</v>
          </cell>
          <cell r="D290">
            <v>88605</v>
          </cell>
        </row>
        <row r="291">
          <cell r="C291" t="str">
            <v>JAQUEZ, YARETZI</v>
          </cell>
          <cell r="D291">
            <v>85366</v>
          </cell>
        </row>
        <row r="292">
          <cell r="C292" t="str">
            <v>JEFFERSON, NIVRE</v>
          </cell>
          <cell r="D292">
            <v>85103</v>
          </cell>
        </row>
        <row r="293">
          <cell r="C293" t="str">
            <v>JIMENEZ, ADAN</v>
          </cell>
          <cell r="D293">
            <v>85159</v>
          </cell>
        </row>
        <row r="294">
          <cell r="C294" t="str">
            <v>JIMENEZ, GIANA</v>
          </cell>
          <cell r="D294">
            <v>85069</v>
          </cell>
        </row>
        <row r="295">
          <cell r="C295" t="str">
            <v>JIMENEZ, JESUS</v>
          </cell>
          <cell r="D295">
            <v>86534</v>
          </cell>
        </row>
        <row r="296">
          <cell r="C296" t="str">
            <v>JOHNSON, ELIJAH</v>
          </cell>
          <cell r="D296">
            <v>86615</v>
          </cell>
        </row>
        <row r="297">
          <cell r="C297" t="str">
            <v>JOHNSON, JEANA</v>
          </cell>
          <cell r="D297">
            <v>85646</v>
          </cell>
        </row>
        <row r="298">
          <cell r="C298" t="str">
            <v>JOHNSON, JOSIAH</v>
          </cell>
          <cell r="D298">
            <v>83665</v>
          </cell>
        </row>
        <row r="299">
          <cell r="C299" t="str">
            <v>JOHNSON, KAYSON</v>
          </cell>
          <cell r="D299">
            <v>85707</v>
          </cell>
        </row>
        <row r="300">
          <cell r="C300" t="str">
            <v>JONES, JAYLA</v>
          </cell>
          <cell r="D300">
            <v>86085</v>
          </cell>
        </row>
        <row r="301">
          <cell r="C301" t="str">
            <v>JONES, RICH</v>
          </cell>
          <cell r="D301">
            <v>88146</v>
          </cell>
        </row>
        <row r="302">
          <cell r="C302" t="str">
            <v>JUAREZ-PENA, JOSE</v>
          </cell>
          <cell r="D302">
            <v>88600</v>
          </cell>
        </row>
        <row r="303">
          <cell r="C303" t="str">
            <v>JUAREZ, MARLEEN</v>
          </cell>
          <cell r="D303">
            <v>85044</v>
          </cell>
        </row>
        <row r="304">
          <cell r="C304" t="str">
            <v>KALIK, DAMIEN</v>
          </cell>
          <cell r="D304">
            <v>86058</v>
          </cell>
        </row>
        <row r="305">
          <cell r="C305" t="str">
            <v>KEBEDE, KEDUS</v>
          </cell>
          <cell r="D305">
            <v>88328</v>
          </cell>
        </row>
        <row r="306">
          <cell r="C306" t="str">
            <v>KELLEY, MI'AMOR</v>
          </cell>
          <cell r="D306">
            <v>88792</v>
          </cell>
        </row>
        <row r="307">
          <cell r="C307" t="str">
            <v>KING, MALIQUE</v>
          </cell>
          <cell r="D307">
            <v>87563</v>
          </cell>
        </row>
        <row r="308">
          <cell r="C308" t="str">
            <v>KOTAL, KAMILA</v>
          </cell>
          <cell r="D308">
            <v>85182</v>
          </cell>
        </row>
        <row r="309">
          <cell r="C309" t="str">
            <v>LAFLEUR, MAKAYLAH</v>
          </cell>
          <cell r="D309">
            <v>85634</v>
          </cell>
        </row>
        <row r="310">
          <cell r="C310" t="str">
            <v>LANDA, JOSE</v>
          </cell>
          <cell r="D310">
            <v>87264</v>
          </cell>
        </row>
        <row r="311">
          <cell r="C311" t="str">
            <v>LASH, JAKE</v>
          </cell>
          <cell r="D311">
            <v>85696</v>
          </cell>
        </row>
        <row r="312">
          <cell r="C312" t="str">
            <v>LAZALDE, GENESIS</v>
          </cell>
          <cell r="D312">
            <v>85216</v>
          </cell>
        </row>
        <row r="313">
          <cell r="C313" t="str">
            <v>LEE, ISAIAH</v>
          </cell>
          <cell r="D313">
            <v>89017</v>
          </cell>
        </row>
        <row r="314">
          <cell r="C314" t="str">
            <v>LEE, KEITH</v>
          </cell>
          <cell r="D314">
            <v>88433</v>
          </cell>
        </row>
        <row r="315">
          <cell r="C315" t="str">
            <v>LEMELLE, SHELBY</v>
          </cell>
          <cell r="D315">
            <v>85831</v>
          </cell>
        </row>
        <row r="316">
          <cell r="C316" t="str">
            <v>LERMA MARTINEZ, ASHLEY</v>
          </cell>
          <cell r="D316">
            <v>87003</v>
          </cell>
        </row>
        <row r="317">
          <cell r="C317" t="str">
            <v>LEWIS, AVERY</v>
          </cell>
          <cell r="D317">
            <v>87981</v>
          </cell>
        </row>
        <row r="318">
          <cell r="C318" t="str">
            <v>LEWIS, LEVI</v>
          </cell>
          <cell r="D318">
            <v>89000</v>
          </cell>
        </row>
        <row r="319">
          <cell r="C319" t="str">
            <v>LEWIS, NAIJAH</v>
          </cell>
          <cell r="D319">
            <v>87677</v>
          </cell>
        </row>
        <row r="320">
          <cell r="C320" t="str">
            <v>LEWIS, SIWEL</v>
          </cell>
          <cell r="D320">
            <v>86407</v>
          </cell>
        </row>
        <row r="321">
          <cell r="C321" t="str">
            <v>LEWIS, WINTER</v>
          </cell>
          <cell r="D321">
            <v>84642</v>
          </cell>
        </row>
        <row r="322">
          <cell r="C322" t="str">
            <v>LEYVA RODRIGUEZ, VALENTINA</v>
          </cell>
          <cell r="D322">
            <v>85357</v>
          </cell>
        </row>
        <row r="323">
          <cell r="C323" t="str">
            <v>LEZAMA GARCIA, LUIS</v>
          </cell>
          <cell r="D323">
            <v>85604</v>
          </cell>
        </row>
        <row r="324">
          <cell r="C324" t="str">
            <v>LIRA, SOPHIA</v>
          </cell>
          <cell r="D324">
            <v>85188</v>
          </cell>
        </row>
        <row r="325">
          <cell r="C325" t="str">
            <v>LIZCANO, SARAH</v>
          </cell>
          <cell r="D325">
            <v>86183</v>
          </cell>
        </row>
        <row r="326">
          <cell r="C326" t="str">
            <v>LOPEZ LUJAN, ADELYN</v>
          </cell>
          <cell r="D326">
            <v>85113</v>
          </cell>
        </row>
        <row r="327">
          <cell r="C327" t="str">
            <v>LOPEZ, DAVID</v>
          </cell>
          <cell r="D327">
            <v>85628</v>
          </cell>
        </row>
        <row r="328">
          <cell r="C328" t="str">
            <v>LOPEZ, EMILY</v>
          </cell>
          <cell r="D328">
            <v>86031</v>
          </cell>
        </row>
        <row r="329">
          <cell r="C329" t="str">
            <v>LOPEZ REYES, JASON</v>
          </cell>
          <cell r="D329">
            <v>85945</v>
          </cell>
        </row>
        <row r="330">
          <cell r="C330" t="str">
            <v>LOREDO, ADAM</v>
          </cell>
          <cell r="D330">
            <v>85729</v>
          </cell>
        </row>
        <row r="331">
          <cell r="C331" t="str">
            <v>LORING, KAISLEY</v>
          </cell>
          <cell r="D331">
            <v>86357</v>
          </cell>
        </row>
        <row r="332">
          <cell r="C332" t="str">
            <v>LOZANO, EMILIO</v>
          </cell>
          <cell r="D332">
            <v>86015</v>
          </cell>
        </row>
        <row r="333">
          <cell r="C333" t="str">
            <v>LUGO, JAYLAH</v>
          </cell>
          <cell r="D333">
            <v>85462</v>
          </cell>
        </row>
        <row r="334">
          <cell r="C334" t="str">
            <v>LUJANO, ITZEL</v>
          </cell>
          <cell r="D334">
            <v>85400</v>
          </cell>
        </row>
        <row r="335">
          <cell r="C335" t="str">
            <v>LUMPKIN, KAMARI</v>
          </cell>
          <cell r="D335">
            <v>87114</v>
          </cell>
        </row>
        <row r="336">
          <cell r="C336" t="str">
            <v>MACIAS, AMELIA</v>
          </cell>
          <cell r="D336">
            <v>86103</v>
          </cell>
        </row>
        <row r="337">
          <cell r="C337" t="str">
            <v>MADRID, YAMILET</v>
          </cell>
          <cell r="D337">
            <v>85112</v>
          </cell>
        </row>
        <row r="338">
          <cell r="C338" t="str">
            <v>MAGALLON, ANGEL</v>
          </cell>
          <cell r="D338">
            <v>85767</v>
          </cell>
        </row>
        <row r="339">
          <cell r="C339" t="str">
            <v>MALDONADO, EVERLY</v>
          </cell>
          <cell r="D339">
            <v>85486</v>
          </cell>
        </row>
        <row r="340">
          <cell r="C340" t="str">
            <v>MALDONADO HERNANDEZ, PRISCILA</v>
          </cell>
          <cell r="D340">
            <v>86001</v>
          </cell>
        </row>
        <row r="341">
          <cell r="C341" t="str">
            <v>MANCIA, WALTER</v>
          </cell>
          <cell r="D341">
            <v>86104</v>
          </cell>
        </row>
        <row r="342">
          <cell r="C342" t="str">
            <v>MARCOS, JHONATAN</v>
          </cell>
          <cell r="D342">
            <v>87325</v>
          </cell>
        </row>
        <row r="343">
          <cell r="C343" t="str">
            <v>MARIN, TADEO</v>
          </cell>
          <cell r="D343">
            <v>85261</v>
          </cell>
        </row>
        <row r="344">
          <cell r="C344" t="str">
            <v>MARROQUIN-ROCA, LORENZO</v>
          </cell>
          <cell r="D344">
            <v>85121</v>
          </cell>
        </row>
        <row r="345">
          <cell r="C345" t="str">
            <v>MARTINEZ AGUILERA, ADRIANA</v>
          </cell>
          <cell r="D345">
            <v>85258</v>
          </cell>
        </row>
        <row r="346">
          <cell r="C346" t="str">
            <v>MARTINEZ GOMEZ, ALIZE</v>
          </cell>
          <cell r="D346">
            <v>82402</v>
          </cell>
        </row>
        <row r="347">
          <cell r="C347" t="str">
            <v>MARTINEZ, ARTURO</v>
          </cell>
          <cell r="D347">
            <v>85079</v>
          </cell>
        </row>
        <row r="348">
          <cell r="C348" t="str">
            <v>MARTINEZ, DANIEL</v>
          </cell>
          <cell r="D348">
            <v>85127</v>
          </cell>
        </row>
        <row r="349">
          <cell r="C349" t="str">
            <v>MARTINEZ, KAYLEIGH</v>
          </cell>
          <cell r="D349">
            <v>85658</v>
          </cell>
        </row>
        <row r="350">
          <cell r="C350" t="str">
            <v>MARTINEZ, LUIS</v>
          </cell>
          <cell r="D350">
            <v>82425</v>
          </cell>
        </row>
        <row r="351">
          <cell r="C351" t="str">
            <v>MARTINEZ, ZOE</v>
          </cell>
          <cell r="D351">
            <v>85447</v>
          </cell>
        </row>
        <row r="352">
          <cell r="C352" t="str">
            <v>MARTINEZ, ZOE</v>
          </cell>
          <cell r="D352">
            <v>86427</v>
          </cell>
        </row>
        <row r="353">
          <cell r="C353" t="str">
            <v>MATA CAMPOS, EMMANUEL</v>
          </cell>
          <cell r="D353">
            <v>85119</v>
          </cell>
        </row>
        <row r="354">
          <cell r="C354" t="str">
            <v>MATA PACHECO, EVERLY</v>
          </cell>
          <cell r="D354">
            <v>85270</v>
          </cell>
        </row>
        <row r="355">
          <cell r="C355" t="str">
            <v>MATA, ZAYDEN</v>
          </cell>
          <cell r="D355">
            <v>85431</v>
          </cell>
        </row>
        <row r="356">
          <cell r="C356" t="str">
            <v>MC LAWRENCE, NATHAYLIA</v>
          </cell>
          <cell r="D356">
            <v>87688</v>
          </cell>
        </row>
        <row r="357">
          <cell r="C357" t="str">
            <v>MCCOLLISTER, NEVAEH</v>
          </cell>
          <cell r="D357">
            <v>86349</v>
          </cell>
        </row>
        <row r="358">
          <cell r="C358" t="str">
            <v>MCGEE, FAITH</v>
          </cell>
          <cell r="D358">
            <v>87819</v>
          </cell>
        </row>
        <row r="359">
          <cell r="C359" t="str">
            <v>MEDINA FUENTES, BRANDON</v>
          </cell>
          <cell r="D359">
            <v>86218</v>
          </cell>
        </row>
        <row r="360">
          <cell r="C360" t="str">
            <v>MEDRANO, ISABELLA</v>
          </cell>
          <cell r="D360">
            <v>85374</v>
          </cell>
        </row>
        <row r="361">
          <cell r="C361" t="str">
            <v>MEJIA, NATHANIEL</v>
          </cell>
          <cell r="D361">
            <v>86022</v>
          </cell>
        </row>
        <row r="362">
          <cell r="C362" t="str">
            <v>MEMBRENO, ISAAC</v>
          </cell>
          <cell r="D362">
            <v>86037</v>
          </cell>
        </row>
        <row r="363">
          <cell r="C363" t="str">
            <v>MENDEZ, ACSA</v>
          </cell>
          <cell r="D363">
            <v>86099</v>
          </cell>
        </row>
        <row r="364">
          <cell r="C364" t="str">
            <v>MENDEZ MENDOZA, ANTHONY</v>
          </cell>
          <cell r="D364">
            <v>85262</v>
          </cell>
        </row>
        <row r="365">
          <cell r="C365" t="str">
            <v>MENDEZ, GERARDO</v>
          </cell>
          <cell r="D365">
            <v>85202</v>
          </cell>
        </row>
        <row r="366">
          <cell r="C366" t="str">
            <v>MENDEZ, MIGUEL</v>
          </cell>
          <cell r="D366">
            <v>85923</v>
          </cell>
        </row>
        <row r="367">
          <cell r="C367" t="str">
            <v>MENDOZA, EMILIANO</v>
          </cell>
          <cell r="D367">
            <v>85198</v>
          </cell>
        </row>
        <row r="368">
          <cell r="C368" t="str">
            <v>MENDOZA, MIGUEL</v>
          </cell>
          <cell r="D368">
            <v>88317</v>
          </cell>
        </row>
        <row r="369">
          <cell r="C369" t="str">
            <v>MENESES, MARCOS</v>
          </cell>
          <cell r="D369">
            <v>85766</v>
          </cell>
        </row>
        <row r="370">
          <cell r="C370" t="str">
            <v>MERINO, JACOB</v>
          </cell>
          <cell r="D370">
            <v>85588</v>
          </cell>
        </row>
        <row r="371">
          <cell r="C371" t="str">
            <v>MEZA, ANGELICA</v>
          </cell>
          <cell r="D371">
            <v>86002</v>
          </cell>
        </row>
        <row r="372">
          <cell r="C372" t="str">
            <v>MEZA, JOSIAH</v>
          </cell>
          <cell r="D372">
            <v>86480</v>
          </cell>
        </row>
        <row r="373">
          <cell r="C373" t="str">
            <v>MILLS, AVA</v>
          </cell>
          <cell r="D373">
            <v>85173</v>
          </cell>
        </row>
        <row r="374">
          <cell r="C374" t="str">
            <v>MIMS, ISRAEL</v>
          </cell>
          <cell r="D374">
            <v>88809</v>
          </cell>
        </row>
        <row r="375">
          <cell r="C375" t="str">
            <v>MIRELES, JOSEPH</v>
          </cell>
          <cell r="D375">
            <v>86014</v>
          </cell>
        </row>
        <row r="376">
          <cell r="C376" t="str">
            <v>MIRELES, ROSALINDA</v>
          </cell>
          <cell r="D376">
            <v>86075</v>
          </cell>
        </row>
        <row r="377">
          <cell r="C377" t="str">
            <v>MOFFETT, MYA</v>
          </cell>
          <cell r="D377">
            <v>85625</v>
          </cell>
        </row>
        <row r="378">
          <cell r="C378" t="str">
            <v>MOGUEL, KIMBERLY</v>
          </cell>
          <cell r="D378">
            <v>86261</v>
          </cell>
        </row>
        <row r="379">
          <cell r="C379" t="str">
            <v>MOLINA, JEREMIAH</v>
          </cell>
          <cell r="D379">
            <v>88884</v>
          </cell>
        </row>
        <row r="380">
          <cell r="C380" t="str">
            <v>MONDRAGON, TONY</v>
          </cell>
          <cell r="D380">
            <v>84645</v>
          </cell>
        </row>
        <row r="381">
          <cell r="C381" t="str">
            <v>MONTALVO-TORRES, AXEL</v>
          </cell>
          <cell r="D381">
            <v>85669</v>
          </cell>
        </row>
        <row r="382">
          <cell r="C382" t="str">
            <v>MONTES, KING</v>
          </cell>
          <cell r="D382">
            <v>87891</v>
          </cell>
        </row>
        <row r="383">
          <cell r="C383" t="str">
            <v>MONTERO-DIAZ, MALAKAI</v>
          </cell>
          <cell r="D383">
            <v>84420</v>
          </cell>
        </row>
        <row r="384">
          <cell r="C384" t="str">
            <v>MONTOYA, ARIANNY</v>
          </cell>
          <cell r="D384">
            <v>88912</v>
          </cell>
        </row>
        <row r="385">
          <cell r="C385" t="str">
            <v>MONTOYA RODRIGUEZ, SOFIA</v>
          </cell>
          <cell r="D385">
            <v>87419</v>
          </cell>
        </row>
        <row r="386">
          <cell r="C386" t="str">
            <v>MOONASAR, ANNAN</v>
          </cell>
          <cell r="D386">
            <v>85138</v>
          </cell>
        </row>
        <row r="387">
          <cell r="C387" t="str">
            <v>MORALES LOREDO, ALEXA</v>
          </cell>
          <cell r="D387">
            <v>85505</v>
          </cell>
        </row>
        <row r="388">
          <cell r="C388" t="str">
            <v>MORALES, NATALIE</v>
          </cell>
          <cell r="D388">
            <v>85683</v>
          </cell>
        </row>
        <row r="389">
          <cell r="C389" t="str">
            <v>MORALES, NATHAN</v>
          </cell>
          <cell r="D389">
            <v>86426</v>
          </cell>
        </row>
        <row r="390">
          <cell r="C390" t="str">
            <v>MORALES, VIVIANA</v>
          </cell>
          <cell r="D390">
            <v>87441</v>
          </cell>
        </row>
        <row r="391">
          <cell r="C391" t="str">
            <v>MORENO, ALIAH</v>
          </cell>
          <cell r="D391">
            <v>85133</v>
          </cell>
        </row>
        <row r="392">
          <cell r="C392" t="str">
            <v>MORENO, ALLISON</v>
          </cell>
          <cell r="D392">
            <v>85264</v>
          </cell>
        </row>
        <row r="393">
          <cell r="C393" t="str">
            <v>MORENO, ANGEL</v>
          </cell>
          <cell r="D393">
            <v>85311</v>
          </cell>
        </row>
        <row r="394">
          <cell r="C394" t="str">
            <v>MORENO PEREZ, ANTONIO</v>
          </cell>
          <cell r="D394">
            <v>85534</v>
          </cell>
        </row>
        <row r="395">
          <cell r="C395" t="str">
            <v>MORENO, ENRIQUE</v>
          </cell>
          <cell r="D395">
            <v>85066</v>
          </cell>
        </row>
        <row r="396">
          <cell r="C396" t="str">
            <v>MORENO, MATTEO</v>
          </cell>
          <cell r="D396">
            <v>85168</v>
          </cell>
        </row>
        <row r="397">
          <cell r="C397" t="str">
            <v>MORENO, XIMENA</v>
          </cell>
          <cell r="D397">
            <v>85169</v>
          </cell>
        </row>
        <row r="398">
          <cell r="C398" t="str">
            <v>MORGAN, AMIR</v>
          </cell>
          <cell r="D398">
            <v>85548</v>
          </cell>
        </row>
        <row r="399">
          <cell r="C399" t="str">
            <v>MOSLEY, CARTER</v>
          </cell>
          <cell r="D399">
            <v>85293</v>
          </cell>
        </row>
        <row r="400">
          <cell r="C400" t="str">
            <v>MOUHAMMAD, DIHAN</v>
          </cell>
          <cell r="D400">
            <v>85065</v>
          </cell>
        </row>
        <row r="401">
          <cell r="C401" t="str">
            <v>MOYE, MYLES</v>
          </cell>
          <cell r="D401">
            <v>88434</v>
          </cell>
        </row>
        <row r="402">
          <cell r="C402" t="str">
            <v>MUJICA, IVANNA</v>
          </cell>
          <cell r="D402">
            <v>85376</v>
          </cell>
        </row>
        <row r="403">
          <cell r="C403" t="str">
            <v>MUNOZ, AVRIELLA</v>
          </cell>
          <cell r="D403">
            <v>82939</v>
          </cell>
        </row>
        <row r="404">
          <cell r="C404" t="str">
            <v>MUNOZ, EMMA</v>
          </cell>
          <cell r="D404">
            <v>85573</v>
          </cell>
        </row>
        <row r="405">
          <cell r="C405" t="str">
            <v>MUNOZ GARRIDO, VALERIA</v>
          </cell>
          <cell r="D405">
            <v>88696</v>
          </cell>
        </row>
        <row r="406">
          <cell r="C406" t="str">
            <v>NAVARRO, BRYSON</v>
          </cell>
          <cell r="D406">
            <v>86077</v>
          </cell>
        </row>
        <row r="407">
          <cell r="C407" t="str">
            <v>NELLOMS, KINGSTON</v>
          </cell>
          <cell r="D407">
            <v>88356</v>
          </cell>
        </row>
        <row r="408">
          <cell r="C408" t="str">
            <v>NEWHOUSE, CARTER</v>
          </cell>
          <cell r="D408">
            <v>85269</v>
          </cell>
        </row>
        <row r="409">
          <cell r="C409" t="str">
            <v>NEWSOME, CHARITY</v>
          </cell>
          <cell r="D409">
            <v>84999</v>
          </cell>
        </row>
        <row r="410">
          <cell r="C410" t="str">
            <v>NEWSOME, ROMEO</v>
          </cell>
          <cell r="D410">
            <v>88310</v>
          </cell>
        </row>
        <row r="411">
          <cell r="C411" t="str">
            <v>NIETO, JAYLYN</v>
          </cell>
          <cell r="D411">
            <v>86076</v>
          </cell>
        </row>
        <row r="412">
          <cell r="C412" t="str">
            <v>OCHOA, AARON</v>
          </cell>
          <cell r="D412">
            <v>84587</v>
          </cell>
        </row>
        <row r="413">
          <cell r="C413" t="str">
            <v>OCHOA HERNANDEZ, ANGIE</v>
          </cell>
          <cell r="D413">
            <v>85126</v>
          </cell>
        </row>
        <row r="414">
          <cell r="C414" t="str">
            <v>OLIVA, JOALI</v>
          </cell>
          <cell r="D414">
            <v>87983</v>
          </cell>
        </row>
        <row r="415">
          <cell r="C415" t="str">
            <v>OLVERA, MATIAS</v>
          </cell>
          <cell r="D415">
            <v>85054</v>
          </cell>
        </row>
        <row r="416">
          <cell r="C416" t="str">
            <v>ORELLANA, DYLAN</v>
          </cell>
          <cell r="D416">
            <v>88036</v>
          </cell>
        </row>
        <row r="417">
          <cell r="C417" t="str">
            <v>OROZCO SANDOVAL, AYLEEN</v>
          </cell>
          <cell r="D417">
            <v>88598</v>
          </cell>
        </row>
        <row r="418">
          <cell r="C418" t="str">
            <v>ORR, LAYLAH</v>
          </cell>
          <cell r="D418">
            <v>88190</v>
          </cell>
        </row>
        <row r="419">
          <cell r="C419" t="str">
            <v>ORTEGA, JA'CEON</v>
          </cell>
          <cell r="D419">
            <v>86573</v>
          </cell>
        </row>
        <row r="420">
          <cell r="C420" t="str">
            <v>ORTIZ, COLT</v>
          </cell>
          <cell r="D420">
            <v>85433</v>
          </cell>
        </row>
        <row r="421">
          <cell r="C421" t="str">
            <v>OVERTON, QUEYLON</v>
          </cell>
          <cell r="D421">
            <v>88870</v>
          </cell>
        </row>
        <row r="422">
          <cell r="C422" t="str">
            <v>OVIEDO, MANUEL</v>
          </cell>
          <cell r="D422">
            <v>85718</v>
          </cell>
        </row>
        <row r="423">
          <cell r="C423" t="str">
            <v>OWENS, DONOVYN</v>
          </cell>
          <cell r="D423">
            <v>86164</v>
          </cell>
        </row>
        <row r="424">
          <cell r="C424" t="str">
            <v>PABLO, ABRAHAM</v>
          </cell>
          <cell r="D424">
            <v>85050</v>
          </cell>
        </row>
        <row r="425">
          <cell r="C425" t="str">
            <v>PACHECO, ELYANA</v>
          </cell>
          <cell r="D425">
            <v>86736</v>
          </cell>
        </row>
        <row r="426">
          <cell r="C426" t="str">
            <v>PACHECO, GRACE</v>
          </cell>
          <cell r="D426">
            <v>85558</v>
          </cell>
        </row>
        <row r="427">
          <cell r="C427" t="str">
            <v>PACHECO, MILA</v>
          </cell>
          <cell r="D427">
            <v>86023</v>
          </cell>
        </row>
        <row r="428">
          <cell r="C428" t="str">
            <v>PANACCIONE, CHRISTIAN</v>
          </cell>
          <cell r="D428">
            <v>87277</v>
          </cell>
        </row>
        <row r="429">
          <cell r="C429" t="str">
            <v>PANTOJA RAMOS, LIAM</v>
          </cell>
          <cell r="D429">
            <v>88852</v>
          </cell>
        </row>
        <row r="430">
          <cell r="C430" t="str">
            <v>PARRAS, EMELY</v>
          </cell>
          <cell r="D430">
            <v>85938</v>
          </cell>
        </row>
        <row r="431">
          <cell r="C431" t="str">
            <v>PARRISH, JAX</v>
          </cell>
          <cell r="D431">
            <v>87393</v>
          </cell>
        </row>
        <row r="432">
          <cell r="C432" t="str">
            <v>PASTRANA, ANNTONIA</v>
          </cell>
          <cell r="D432">
            <v>88641</v>
          </cell>
        </row>
        <row r="433">
          <cell r="C433" t="str">
            <v>PAULIN, ISRAEL</v>
          </cell>
          <cell r="D433">
            <v>85176</v>
          </cell>
        </row>
        <row r="434">
          <cell r="C434" t="str">
            <v>PENNINGTON, BRILEY</v>
          </cell>
          <cell r="D434">
            <v>85559</v>
          </cell>
        </row>
        <row r="435">
          <cell r="C435" t="str">
            <v>PERALES, CALEB</v>
          </cell>
          <cell r="D435">
            <v>86606</v>
          </cell>
        </row>
        <row r="436">
          <cell r="C436" t="str">
            <v>PERALTA HERRERA, NOA</v>
          </cell>
          <cell r="D436">
            <v>85737</v>
          </cell>
        </row>
        <row r="437">
          <cell r="C437" t="str">
            <v>PEREZ CELIO, AARON</v>
          </cell>
          <cell r="D437">
            <v>82307</v>
          </cell>
        </row>
        <row r="438">
          <cell r="C438" t="str">
            <v>PEREZ, ALEJANDRO</v>
          </cell>
          <cell r="D438">
            <v>84508</v>
          </cell>
        </row>
        <row r="439">
          <cell r="C439" t="str">
            <v>PEREZ, CARLOS</v>
          </cell>
          <cell r="D439">
            <v>87491</v>
          </cell>
        </row>
        <row r="440">
          <cell r="C440" t="str">
            <v>PEREZ, CHRISTOPHER</v>
          </cell>
          <cell r="D440">
            <v>85197</v>
          </cell>
        </row>
        <row r="441">
          <cell r="C441" t="str">
            <v>PEREZ, ISAAC</v>
          </cell>
          <cell r="D441">
            <v>87604</v>
          </cell>
        </row>
        <row r="442">
          <cell r="C442" t="str">
            <v>PEREZ LOPEZ, ISRAEL</v>
          </cell>
          <cell r="D442">
            <v>85022</v>
          </cell>
        </row>
        <row r="443">
          <cell r="C443" t="str">
            <v>PEREZ, ULISES</v>
          </cell>
          <cell r="D443">
            <v>85055</v>
          </cell>
        </row>
        <row r="444">
          <cell r="C444" t="str">
            <v>PEREZ LOERA, VALENTINA</v>
          </cell>
          <cell r="D444">
            <v>85260</v>
          </cell>
        </row>
        <row r="445">
          <cell r="C445" t="str">
            <v>PEREZ, VALERIA</v>
          </cell>
          <cell r="D445">
            <v>85838</v>
          </cell>
        </row>
        <row r="446">
          <cell r="C446" t="str">
            <v>PERKINS, JOURNEE</v>
          </cell>
          <cell r="D446">
            <v>85398</v>
          </cell>
        </row>
        <row r="447">
          <cell r="C447" t="str">
            <v>PETTY, VERNON</v>
          </cell>
          <cell r="D447">
            <v>87686</v>
          </cell>
        </row>
        <row r="448">
          <cell r="C448" t="str">
            <v>PHILIP, JACKSON</v>
          </cell>
          <cell r="D448">
            <v>85435</v>
          </cell>
        </row>
        <row r="449">
          <cell r="C449" t="str">
            <v>PHILLIPS-LEWIS, PRINCE</v>
          </cell>
          <cell r="D449">
            <v>87309</v>
          </cell>
        </row>
        <row r="450">
          <cell r="C450" t="str">
            <v>PIKES, ZION</v>
          </cell>
          <cell r="D450">
            <v>86626</v>
          </cell>
        </row>
        <row r="451">
          <cell r="C451" t="str">
            <v>PILLOT CRUZ, NAHIA</v>
          </cell>
          <cell r="D451">
            <v>88042</v>
          </cell>
        </row>
        <row r="452">
          <cell r="C452" t="str">
            <v>PINEDA LOPEZ, AMIE</v>
          </cell>
          <cell r="D452">
            <v>87657</v>
          </cell>
        </row>
        <row r="453">
          <cell r="C453" t="str">
            <v>PINTI, CAMILA</v>
          </cell>
          <cell r="D453">
            <v>88304</v>
          </cell>
        </row>
        <row r="454">
          <cell r="C454" t="str">
            <v>PONCE, PAOLA</v>
          </cell>
          <cell r="D454">
            <v>86159</v>
          </cell>
        </row>
        <row r="455">
          <cell r="C455" t="str">
            <v>PRIETO, DELILAH</v>
          </cell>
          <cell r="D455">
            <v>85764</v>
          </cell>
        </row>
        <row r="456">
          <cell r="C456" t="str">
            <v>PULIDO, MALACHI</v>
          </cell>
          <cell r="D456">
            <v>86472</v>
          </cell>
        </row>
        <row r="457">
          <cell r="C457" t="str">
            <v>PULLINS, KARMA</v>
          </cell>
          <cell r="D457">
            <v>85411</v>
          </cell>
        </row>
        <row r="458">
          <cell r="C458" t="str">
            <v>PULUC, ALEXANDER</v>
          </cell>
          <cell r="D458">
            <v>85272</v>
          </cell>
        </row>
        <row r="459">
          <cell r="C459" t="str">
            <v>QUINN, SOPHIE</v>
          </cell>
          <cell r="D459">
            <v>85228</v>
          </cell>
        </row>
        <row r="460">
          <cell r="C460" t="str">
            <v>QUINTANILLA PEREZ, JUAN</v>
          </cell>
          <cell r="D460">
            <v>88270</v>
          </cell>
        </row>
        <row r="461">
          <cell r="C461" t="str">
            <v>QUIROGA, ESMERALDA</v>
          </cell>
          <cell r="D461">
            <v>85191</v>
          </cell>
        </row>
        <row r="462">
          <cell r="C462" t="str">
            <v>QUIROZ REYES, FERNANDO</v>
          </cell>
          <cell r="D462">
            <v>85174</v>
          </cell>
        </row>
        <row r="463">
          <cell r="C463" t="str">
            <v>RAMIREZ, ALEJANDRO</v>
          </cell>
          <cell r="D463">
            <v>85118</v>
          </cell>
        </row>
        <row r="464">
          <cell r="C464" t="str">
            <v>RAMIREZ, JOHN</v>
          </cell>
          <cell r="D464">
            <v>85535</v>
          </cell>
        </row>
        <row r="465">
          <cell r="C465" t="str">
            <v>RANDOLPH, MARCES</v>
          </cell>
          <cell r="D465">
            <v>88186</v>
          </cell>
        </row>
        <row r="466">
          <cell r="C466" t="str">
            <v>RANGEL, ALLEN</v>
          </cell>
          <cell r="D466">
            <v>85444</v>
          </cell>
        </row>
        <row r="467">
          <cell r="C467" t="str">
            <v>RANGEL, ARIANNA</v>
          </cell>
          <cell r="D467">
            <v>85267</v>
          </cell>
        </row>
        <row r="468">
          <cell r="C468" t="str">
            <v>RECIO, MARIAH</v>
          </cell>
          <cell r="D468">
            <v>85360</v>
          </cell>
        </row>
        <row r="469">
          <cell r="C469" t="str">
            <v>REGINO, EMILY</v>
          </cell>
          <cell r="D469">
            <v>85062</v>
          </cell>
        </row>
        <row r="470">
          <cell r="C470" t="str">
            <v>RENTERIA, ELEANOR</v>
          </cell>
          <cell r="D470">
            <v>86353</v>
          </cell>
        </row>
        <row r="471">
          <cell r="C471" t="str">
            <v>RENTERIA, NIKKO</v>
          </cell>
          <cell r="D471">
            <v>85769</v>
          </cell>
        </row>
        <row r="472">
          <cell r="C472" t="str">
            <v>REYES, ALEX</v>
          </cell>
          <cell r="D472">
            <v>85336</v>
          </cell>
        </row>
        <row r="473">
          <cell r="C473" t="str">
            <v>REYES, DANIELLE</v>
          </cell>
          <cell r="D473">
            <v>85564</v>
          </cell>
        </row>
        <row r="474">
          <cell r="C474" t="str">
            <v>REYES ALVAREZ, DYLAN</v>
          </cell>
          <cell r="D474">
            <v>87493</v>
          </cell>
        </row>
        <row r="475">
          <cell r="C475" t="str">
            <v>REYNA, AARON</v>
          </cell>
          <cell r="D475">
            <v>85942</v>
          </cell>
        </row>
        <row r="476">
          <cell r="C476" t="str">
            <v>REYNOLDS, JASIAH</v>
          </cell>
          <cell r="D476">
            <v>85131</v>
          </cell>
        </row>
        <row r="477">
          <cell r="C477" t="str">
            <v>RICHARDSON, KAILIS</v>
          </cell>
          <cell r="D477">
            <v>85207</v>
          </cell>
        </row>
        <row r="478">
          <cell r="C478" t="str">
            <v>RIDEAU, JAYDEN</v>
          </cell>
          <cell r="D478">
            <v>86181</v>
          </cell>
        </row>
        <row r="479">
          <cell r="C479" t="str">
            <v>RIOS, DANIEL</v>
          </cell>
          <cell r="D479">
            <v>85491</v>
          </cell>
        </row>
        <row r="480">
          <cell r="C480" t="str">
            <v>RIOS, VICTOR</v>
          </cell>
          <cell r="D480">
            <v>85095</v>
          </cell>
        </row>
        <row r="481">
          <cell r="C481" t="str">
            <v>RIVAS-LOPEZ, IKER</v>
          </cell>
          <cell r="D481">
            <v>85691</v>
          </cell>
        </row>
        <row r="482">
          <cell r="C482" t="str">
            <v>RIVAS, NATALIA</v>
          </cell>
          <cell r="D482">
            <v>87989</v>
          </cell>
        </row>
        <row r="483">
          <cell r="C483" t="str">
            <v>RIVAS, SOPHIA</v>
          </cell>
          <cell r="D483">
            <v>86199</v>
          </cell>
        </row>
        <row r="484">
          <cell r="C484" t="str">
            <v>RIVERA, ARI</v>
          </cell>
          <cell r="D484">
            <v>84986</v>
          </cell>
        </row>
        <row r="485">
          <cell r="C485" t="str">
            <v>RIVERA-DODD, ATALAYA</v>
          </cell>
          <cell r="D485">
            <v>86208</v>
          </cell>
        </row>
        <row r="486">
          <cell r="C486" t="str">
            <v>RIVERA, LORENZO</v>
          </cell>
          <cell r="D486">
            <v>85726</v>
          </cell>
        </row>
        <row r="487">
          <cell r="C487" t="str">
            <v>RIVERA, LUNA</v>
          </cell>
          <cell r="D487">
            <v>85163</v>
          </cell>
        </row>
        <row r="488">
          <cell r="C488" t="str">
            <v>RIVERA, YARISHNA</v>
          </cell>
          <cell r="D488">
            <v>85630</v>
          </cell>
        </row>
        <row r="489">
          <cell r="C489" t="str">
            <v>ROA, GALILEA</v>
          </cell>
          <cell r="D489">
            <v>85115</v>
          </cell>
        </row>
        <row r="490">
          <cell r="C490" t="str">
            <v>ROBINSON, ANTOINE</v>
          </cell>
          <cell r="D490">
            <v>87141</v>
          </cell>
        </row>
        <row r="491">
          <cell r="C491" t="str">
            <v>ROBINSON, KARSON</v>
          </cell>
          <cell r="D491">
            <v>87535</v>
          </cell>
        </row>
        <row r="492">
          <cell r="C492" t="str">
            <v>ROBLEDO, DYLAN</v>
          </cell>
          <cell r="D492">
            <v>85145</v>
          </cell>
        </row>
        <row r="493">
          <cell r="C493" t="str">
            <v>RODRIGUEZ, ALLYSON</v>
          </cell>
          <cell r="D493">
            <v>88096</v>
          </cell>
        </row>
        <row r="494">
          <cell r="C494" t="str">
            <v>RODRIGUEZ, CHRISTOPHER</v>
          </cell>
          <cell r="D494">
            <v>85763</v>
          </cell>
        </row>
        <row r="495">
          <cell r="C495" t="str">
            <v>RODRIGUEZ, ELI</v>
          </cell>
          <cell r="D495">
            <v>87487</v>
          </cell>
        </row>
        <row r="496">
          <cell r="C496" t="str">
            <v>RODRIGUEZ HERNANDEZ, GAEL</v>
          </cell>
          <cell r="D496">
            <v>86487</v>
          </cell>
        </row>
        <row r="497">
          <cell r="C497" t="str">
            <v>RODRIGUEZ, HAILEY</v>
          </cell>
          <cell r="D497">
            <v>85479</v>
          </cell>
        </row>
        <row r="498">
          <cell r="C498" t="str">
            <v>RODRIGUEZ FUENTES, JAMES</v>
          </cell>
          <cell r="D498">
            <v>87955</v>
          </cell>
        </row>
        <row r="499">
          <cell r="C499" t="str">
            <v>RODRIGUEZ, LAYSAH</v>
          </cell>
          <cell r="D499">
            <v>85250</v>
          </cell>
        </row>
        <row r="500">
          <cell r="C500" t="str">
            <v>RODRIGUEZ, LEGEND</v>
          </cell>
          <cell r="D500">
            <v>85195</v>
          </cell>
        </row>
        <row r="501">
          <cell r="C501" t="str">
            <v>RODRIGUEZ, LEONARDO</v>
          </cell>
          <cell r="D501">
            <v>85105</v>
          </cell>
        </row>
        <row r="502">
          <cell r="C502" t="str">
            <v>RODRIGUEZ HUSTON, LUCIA</v>
          </cell>
          <cell r="D502">
            <v>86321</v>
          </cell>
        </row>
        <row r="503">
          <cell r="C503" t="str">
            <v>RODRIGUEZ, MATEO</v>
          </cell>
          <cell r="D503">
            <v>88807</v>
          </cell>
        </row>
        <row r="504">
          <cell r="C504" t="str">
            <v>RODRIGUEZ-TAMEZ, REGINA</v>
          </cell>
          <cell r="D504">
            <v>85229</v>
          </cell>
        </row>
        <row r="505">
          <cell r="C505" t="str">
            <v>ROLLS, KARA</v>
          </cell>
          <cell r="D505">
            <v>85822</v>
          </cell>
        </row>
        <row r="506">
          <cell r="C506" t="str">
            <v>ROMERO, YTZEL</v>
          </cell>
          <cell r="D506">
            <v>85666</v>
          </cell>
        </row>
        <row r="507">
          <cell r="C507" t="str">
            <v>ROSALES, RYAN</v>
          </cell>
          <cell r="D507">
            <v>85645</v>
          </cell>
        </row>
        <row r="508">
          <cell r="C508" t="str">
            <v>ROSE, CAMRI</v>
          </cell>
          <cell r="D508">
            <v>85114</v>
          </cell>
        </row>
        <row r="509">
          <cell r="C509" t="str">
            <v>ROSE, RYAN</v>
          </cell>
          <cell r="D509">
            <v>88407</v>
          </cell>
        </row>
        <row r="510">
          <cell r="C510" t="str">
            <v>ROSETE, YARETZI</v>
          </cell>
          <cell r="D510">
            <v>85572</v>
          </cell>
        </row>
        <row r="511">
          <cell r="C511" t="str">
            <v>ROSS, RASHAD</v>
          </cell>
          <cell r="D511">
            <v>85334</v>
          </cell>
        </row>
        <row r="512">
          <cell r="C512" t="str">
            <v>RUANO, KAIRO</v>
          </cell>
          <cell r="D512">
            <v>86882</v>
          </cell>
        </row>
        <row r="513">
          <cell r="C513" t="str">
            <v>RUBIN, ALEXANDER</v>
          </cell>
          <cell r="D513">
            <v>84615</v>
          </cell>
        </row>
        <row r="514">
          <cell r="C514" t="str">
            <v>RUIZ, ANA</v>
          </cell>
          <cell r="D514">
            <v>86062</v>
          </cell>
        </row>
        <row r="515">
          <cell r="C515" t="str">
            <v>RUIZ, JONATHAN</v>
          </cell>
          <cell r="D515">
            <v>86083</v>
          </cell>
        </row>
        <row r="516">
          <cell r="C516" t="str">
            <v>SAENZ-FIGUEROA, EMMANUEL</v>
          </cell>
          <cell r="D516">
            <v>85319</v>
          </cell>
        </row>
        <row r="517">
          <cell r="C517" t="str">
            <v>SAENZ, IZANIEL</v>
          </cell>
          <cell r="D517">
            <v>85466</v>
          </cell>
        </row>
        <row r="518">
          <cell r="C518" t="str">
            <v>SAENZ, VALERIA</v>
          </cell>
          <cell r="D518">
            <v>87299</v>
          </cell>
        </row>
        <row r="519">
          <cell r="C519" t="str">
            <v>SALAS, EZEQUIEL</v>
          </cell>
          <cell r="D519">
            <v>82914</v>
          </cell>
        </row>
        <row r="520">
          <cell r="C520" t="str">
            <v>SALDANA SANCHEZ, EMMANUEL</v>
          </cell>
          <cell r="D520">
            <v>85210</v>
          </cell>
        </row>
        <row r="521">
          <cell r="C521" t="str">
            <v>SALGUERO, CAMILA</v>
          </cell>
          <cell r="D521">
            <v>87771</v>
          </cell>
        </row>
        <row r="522">
          <cell r="C522" t="str">
            <v>SALINAS, ANA</v>
          </cell>
          <cell r="D522">
            <v>85240</v>
          </cell>
        </row>
        <row r="523">
          <cell r="C523" t="str">
            <v>SALINAS, ELIANA</v>
          </cell>
          <cell r="D523">
            <v>88281</v>
          </cell>
        </row>
        <row r="524">
          <cell r="C524" t="str">
            <v>SALINAS, SEBASTIAN</v>
          </cell>
          <cell r="D524">
            <v>87786</v>
          </cell>
        </row>
        <row r="525">
          <cell r="C525" t="str">
            <v>SAMANIEGO, SERGIO</v>
          </cell>
          <cell r="D525">
            <v>87284</v>
          </cell>
        </row>
        <row r="526">
          <cell r="C526" t="str">
            <v>SAMPSON, AUBREY</v>
          </cell>
          <cell r="D526">
            <v>85487</v>
          </cell>
        </row>
        <row r="527">
          <cell r="C527" t="str">
            <v>SAN MIGUEL, ARIA</v>
          </cell>
          <cell r="D527">
            <v>86017</v>
          </cell>
        </row>
        <row r="528">
          <cell r="C528" t="str">
            <v>SANCHEZ HERNANDEZ, ABRAHAM</v>
          </cell>
          <cell r="D528">
            <v>85494</v>
          </cell>
        </row>
        <row r="529">
          <cell r="C529" t="str">
            <v>SANCHEZ, ELIANNA</v>
          </cell>
          <cell r="D529">
            <v>85073</v>
          </cell>
        </row>
        <row r="530">
          <cell r="C530" t="str">
            <v>SANCHEZ, JAVIER</v>
          </cell>
          <cell r="D530">
            <v>88121</v>
          </cell>
        </row>
        <row r="531">
          <cell r="C531" t="str">
            <v>SANCHEZ, JORGE</v>
          </cell>
          <cell r="D531">
            <v>87835</v>
          </cell>
        </row>
        <row r="532">
          <cell r="C532" t="str">
            <v>SANCHEZ, JOSUE</v>
          </cell>
          <cell r="D532">
            <v>85847</v>
          </cell>
        </row>
        <row r="533">
          <cell r="C533" t="str">
            <v>SANCHEZ, MATEO</v>
          </cell>
          <cell r="D533">
            <v>85468</v>
          </cell>
        </row>
        <row r="534">
          <cell r="C534" t="str">
            <v>SANCHEZ, SOPHIA</v>
          </cell>
          <cell r="D534">
            <v>85274</v>
          </cell>
        </row>
        <row r="535">
          <cell r="C535" t="str">
            <v>SANDERS, JA' HEIR</v>
          </cell>
          <cell r="D535">
            <v>86087</v>
          </cell>
        </row>
        <row r="536">
          <cell r="C536" t="str">
            <v>SANDOVAL, IKER</v>
          </cell>
          <cell r="D536">
            <v>85061</v>
          </cell>
        </row>
        <row r="537">
          <cell r="C537" t="str">
            <v>SANTOS RUBIO, ORLANDO</v>
          </cell>
          <cell r="D537">
            <v>85049</v>
          </cell>
        </row>
        <row r="538">
          <cell r="C538" t="str">
            <v>SANTOS, ZAYDEN</v>
          </cell>
          <cell r="D538">
            <v>85765</v>
          </cell>
        </row>
        <row r="539">
          <cell r="C539" t="str">
            <v>SAWYER, KAMARI</v>
          </cell>
          <cell r="D539">
            <v>88775</v>
          </cell>
        </row>
        <row r="540">
          <cell r="C540" t="str">
            <v>SESSUM, AMIRAH</v>
          </cell>
          <cell r="D540">
            <v>85237</v>
          </cell>
        </row>
        <row r="541">
          <cell r="C541" t="str">
            <v>SEWELL, PAISLEY</v>
          </cell>
          <cell r="D541">
            <v>86574</v>
          </cell>
        </row>
        <row r="542">
          <cell r="C542" t="str">
            <v>SIDNEY-WILLIAMS, KAYSON</v>
          </cell>
          <cell r="D542">
            <v>88774</v>
          </cell>
        </row>
        <row r="543">
          <cell r="C543" t="str">
            <v>SILVA, LEONEL</v>
          </cell>
          <cell r="D543">
            <v>87359</v>
          </cell>
        </row>
        <row r="544">
          <cell r="C544" t="str">
            <v>SIMMONS, ISRAEL</v>
          </cell>
          <cell r="D544">
            <v>88147</v>
          </cell>
        </row>
        <row r="545">
          <cell r="C545" t="str">
            <v>SINGLETON, ZAIDEN</v>
          </cell>
          <cell r="D545">
            <v>85273</v>
          </cell>
        </row>
        <row r="546">
          <cell r="C546" t="str">
            <v>SMITH, JURIEL</v>
          </cell>
          <cell r="D546">
            <v>88519</v>
          </cell>
        </row>
        <row r="547">
          <cell r="C547" t="str">
            <v>SMITH, KYNDALL</v>
          </cell>
          <cell r="D547">
            <v>85603</v>
          </cell>
        </row>
        <row r="548">
          <cell r="C548" t="str">
            <v>SOLORZANO, LUCY</v>
          </cell>
          <cell r="D548">
            <v>87154</v>
          </cell>
        </row>
        <row r="549">
          <cell r="C549" t="str">
            <v>SOLORZANO, ROSIE</v>
          </cell>
          <cell r="D549">
            <v>85525</v>
          </cell>
        </row>
        <row r="550">
          <cell r="C550" t="str">
            <v>SORIANO, ALIYANNA</v>
          </cell>
          <cell r="D550">
            <v>85723</v>
          </cell>
        </row>
        <row r="551">
          <cell r="C551" t="str">
            <v>SOSA, MARLENY</v>
          </cell>
          <cell r="D551">
            <v>85602</v>
          </cell>
        </row>
        <row r="552">
          <cell r="C552" t="str">
            <v>SOSA, MATEO</v>
          </cell>
          <cell r="D552">
            <v>85186</v>
          </cell>
        </row>
        <row r="553">
          <cell r="C553" t="str">
            <v>SOSA FLORES, VICTOR</v>
          </cell>
          <cell r="D553">
            <v>85415</v>
          </cell>
        </row>
        <row r="554">
          <cell r="C554" t="str">
            <v>SOTO, KHALIYAH</v>
          </cell>
          <cell r="D554">
            <v>87283</v>
          </cell>
        </row>
        <row r="555">
          <cell r="C555" t="str">
            <v>SOTO, MASON</v>
          </cell>
          <cell r="D555">
            <v>88277</v>
          </cell>
        </row>
        <row r="556">
          <cell r="C556" t="str">
            <v>SPEARS, DAMIEN</v>
          </cell>
          <cell r="D556">
            <v>86082</v>
          </cell>
        </row>
        <row r="557">
          <cell r="C557" t="str">
            <v>STANSEL, PENELOPE</v>
          </cell>
          <cell r="D557">
            <v>85601</v>
          </cell>
        </row>
        <row r="558">
          <cell r="C558" t="str">
            <v>STANSBERRY, TYUNNA</v>
          </cell>
          <cell r="D558">
            <v>87424</v>
          </cell>
        </row>
        <row r="559">
          <cell r="C559" t="str">
            <v>TAYLOR, ELIJAH</v>
          </cell>
          <cell r="D559">
            <v>85212</v>
          </cell>
        </row>
        <row r="560">
          <cell r="C560" t="str">
            <v>THABIBU, WITNESS</v>
          </cell>
          <cell r="D560">
            <v>86130</v>
          </cell>
        </row>
        <row r="561">
          <cell r="C561" t="str">
            <v>THOMAS, JASMINE</v>
          </cell>
          <cell r="D561">
            <v>86053</v>
          </cell>
        </row>
        <row r="562">
          <cell r="C562" t="str">
            <v>THOMAS, TAVIUS</v>
          </cell>
          <cell r="D562">
            <v>86447</v>
          </cell>
        </row>
        <row r="563">
          <cell r="C563" t="str">
            <v>THOMAS, XOE</v>
          </cell>
          <cell r="D563">
            <v>85762</v>
          </cell>
        </row>
        <row r="564">
          <cell r="C564" t="str">
            <v>THOMPSON, JACOB</v>
          </cell>
          <cell r="D564">
            <v>85704</v>
          </cell>
        </row>
        <row r="565">
          <cell r="C565" t="str">
            <v>THOR, JARICA</v>
          </cell>
          <cell r="D565">
            <v>85211</v>
          </cell>
        </row>
        <row r="566">
          <cell r="C566" t="str">
            <v>THRASH, AKEEL</v>
          </cell>
          <cell r="D566">
            <v>83763</v>
          </cell>
        </row>
        <row r="567">
          <cell r="C567" t="str">
            <v>TOLEDO GONZALEZ, DANIELA</v>
          </cell>
          <cell r="D567">
            <v>85185</v>
          </cell>
        </row>
        <row r="568">
          <cell r="C568" t="str">
            <v>TORRES HERNANDEZ, AIDEN</v>
          </cell>
          <cell r="D568">
            <v>86282</v>
          </cell>
        </row>
        <row r="569">
          <cell r="C569" t="str">
            <v>TORRES ALFARO, AYELEN</v>
          </cell>
          <cell r="D569">
            <v>85451</v>
          </cell>
        </row>
        <row r="570">
          <cell r="C570" t="str">
            <v>TORRES, CAMILA</v>
          </cell>
          <cell r="D570">
            <v>88090</v>
          </cell>
        </row>
        <row r="571">
          <cell r="C571" t="str">
            <v>TORRES, DOMINIC</v>
          </cell>
          <cell r="D571">
            <v>85265</v>
          </cell>
        </row>
        <row r="572">
          <cell r="C572" t="str">
            <v>TORRES, EMERY</v>
          </cell>
          <cell r="D572">
            <v>88493</v>
          </cell>
        </row>
        <row r="573">
          <cell r="C573" t="str">
            <v>TORRES, ISRAEL</v>
          </cell>
          <cell r="D573">
            <v>86221</v>
          </cell>
        </row>
        <row r="574">
          <cell r="C574" t="str">
            <v>TORRES, LUIS</v>
          </cell>
          <cell r="D574">
            <v>85511</v>
          </cell>
        </row>
        <row r="575">
          <cell r="C575" t="str">
            <v>TORRES, MAURICIO</v>
          </cell>
          <cell r="D575">
            <v>82424</v>
          </cell>
        </row>
        <row r="576">
          <cell r="C576" t="str">
            <v>TORRES, NOAH</v>
          </cell>
          <cell r="D576">
            <v>86003</v>
          </cell>
        </row>
        <row r="577">
          <cell r="C577" t="str">
            <v>TORRES, SOFIAA</v>
          </cell>
          <cell r="D577">
            <v>86224</v>
          </cell>
        </row>
        <row r="578">
          <cell r="C578" t="str">
            <v>TOVAR, JULIANNA</v>
          </cell>
          <cell r="D578">
            <v>85251</v>
          </cell>
        </row>
        <row r="579">
          <cell r="C579" t="str">
            <v>TREJO, CALEB</v>
          </cell>
          <cell r="D579">
            <v>86356</v>
          </cell>
        </row>
        <row r="580">
          <cell r="C580" t="str">
            <v>TREVINO, DALEYZA</v>
          </cell>
          <cell r="D580">
            <v>85574</v>
          </cell>
        </row>
        <row r="581">
          <cell r="C581" t="str">
            <v>TRUJILLO HERNANDEZ, RENATA</v>
          </cell>
          <cell r="D581">
            <v>85201</v>
          </cell>
        </row>
        <row r="582">
          <cell r="C582" t="str">
            <v>TURCIOS VILLATORO, JEREMIAS</v>
          </cell>
          <cell r="D582">
            <v>87805</v>
          </cell>
        </row>
        <row r="583">
          <cell r="C583" t="str">
            <v>UMANA, ALESSANDRA</v>
          </cell>
          <cell r="D583">
            <v>85170</v>
          </cell>
        </row>
        <row r="584">
          <cell r="C584" t="str">
            <v>UMANA, CATALINA</v>
          </cell>
          <cell r="D584">
            <v>86084</v>
          </cell>
        </row>
        <row r="585">
          <cell r="C585" t="str">
            <v>USAND, ZYLA</v>
          </cell>
          <cell r="D585">
            <v>88755</v>
          </cell>
        </row>
        <row r="586">
          <cell r="C586" t="str">
            <v>VALDEZ, EMILIO</v>
          </cell>
          <cell r="D586">
            <v>87306</v>
          </cell>
        </row>
        <row r="587">
          <cell r="C587" t="str">
            <v>VALLADARES, ANGELA</v>
          </cell>
          <cell r="D587">
            <v>85521</v>
          </cell>
        </row>
        <row r="588">
          <cell r="C588" t="str">
            <v>VALLES, MAYRA</v>
          </cell>
          <cell r="D588">
            <v>88863</v>
          </cell>
        </row>
        <row r="589">
          <cell r="C589" t="str">
            <v>VANBUSKIRK, EMMA</v>
          </cell>
          <cell r="D589">
            <v>88505</v>
          </cell>
        </row>
        <row r="590">
          <cell r="C590" t="str">
            <v>VASQUEZ, CATALINA</v>
          </cell>
          <cell r="D590">
            <v>86004</v>
          </cell>
        </row>
        <row r="591">
          <cell r="C591" t="str">
            <v>VASQUEZ, HANNAH</v>
          </cell>
          <cell r="D591">
            <v>85153</v>
          </cell>
        </row>
        <row r="592">
          <cell r="C592" t="str">
            <v>VELAZQUEZ, JIONNI</v>
          </cell>
          <cell r="D592">
            <v>85162</v>
          </cell>
        </row>
        <row r="593">
          <cell r="C593" t="str">
            <v>VENCES RAMOS, LYNNETH</v>
          </cell>
          <cell r="D593">
            <v>88503</v>
          </cell>
        </row>
        <row r="594">
          <cell r="C594" t="str">
            <v>VERA, CELINE</v>
          </cell>
          <cell r="D594">
            <v>87540</v>
          </cell>
        </row>
        <row r="595">
          <cell r="C595" t="str">
            <v>VILLALOBOS MENDOZA, CARLA</v>
          </cell>
          <cell r="D595">
            <v>85856</v>
          </cell>
        </row>
        <row r="596">
          <cell r="C596" t="str">
            <v>VILLAVERDE ARREDONDO, JASON</v>
          </cell>
          <cell r="D596">
            <v>87253</v>
          </cell>
        </row>
        <row r="597">
          <cell r="C597" t="str">
            <v>VILLA, SOPHIA</v>
          </cell>
          <cell r="D597">
            <v>85320</v>
          </cell>
        </row>
        <row r="598">
          <cell r="C598" t="str">
            <v>VILLARREAL, XIMENA</v>
          </cell>
          <cell r="D598">
            <v>85254</v>
          </cell>
        </row>
        <row r="599">
          <cell r="C599" t="str">
            <v>VILLEGAS, GABRIEL</v>
          </cell>
          <cell r="D599">
            <v>85566</v>
          </cell>
        </row>
        <row r="600">
          <cell r="C600" t="str">
            <v>VILLEDA, ROBERTO</v>
          </cell>
          <cell r="D600">
            <v>84423</v>
          </cell>
        </row>
        <row r="601">
          <cell r="C601" t="str">
            <v>VITTUR, MADISON</v>
          </cell>
          <cell r="D601">
            <v>87636</v>
          </cell>
        </row>
        <row r="602">
          <cell r="C602" t="str">
            <v>WALKER, KAMIRAH</v>
          </cell>
          <cell r="D602">
            <v>85313</v>
          </cell>
        </row>
        <row r="603">
          <cell r="C603" t="str">
            <v>WALKER-AMORA-TRUSCOTT, NAYELI</v>
          </cell>
          <cell r="D603">
            <v>86020</v>
          </cell>
        </row>
        <row r="604">
          <cell r="C604" t="str">
            <v>WALKER, TORI</v>
          </cell>
          <cell r="D604">
            <v>86219</v>
          </cell>
        </row>
        <row r="605">
          <cell r="C605" t="str">
            <v>WEBB, CATALEYA</v>
          </cell>
          <cell r="D605">
            <v>85702</v>
          </cell>
        </row>
        <row r="606">
          <cell r="C606" t="str">
            <v>WHITE, JAMESON</v>
          </cell>
          <cell r="D606">
            <v>87133</v>
          </cell>
        </row>
        <row r="607">
          <cell r="C607" t="str">
            <v>WHITE, JOUR'NAE</v>
          </cell>
          <cell r="D607">
            <v>85929</v>
          </cell>
        </row>
        <row r="608">
          <cell r="C608" t="str">
            <v>WILLIAMS ARTIS, AUGUST</v>
          </cell>
          <cell r="D608">
            <v>85478</v>
          </cell>
        </row>
        <row r="609">
          <cell r="C609" t="str">
            <v>WILLIAMS, CARTER</v>
          </cell>
          <cell r="D609">
            <v>85614</v>
          </cell>
        </row>
        <row r="610">
          <cell r="C610" t="str">
            <v>WILLIAMS, DAMION</v>
          </cell>
          <cell r="D610">
            <v>87041</v>
          </cell>
        </row>
        <row r="611">
          <cell r="C611" t="str">
            <v>WILLIAMS, GIANNIS</v>
          </cell>
          <cell r="D611">
            <v>85576</v>
          </cell>
        </row>
        <row r="612">
          <cell r="C612" t="str">
            <v>WILLIAMS, KARTER</v>
          </cell>
          <cell r="D612">
            <v>86400</v>
          </cell>
        </row>
        <row r="613">
          <cell r="C613" t="str">
            <v>WILLIAMS-BLACKWELL, KOBE</v>
          </cell>
          <cell r="D613">
            <v>87000</v>
          </cell>
        </row>
        <row r="614">
          <cell r="C614" t="str">
            <v>WILLIAMS, KOLIN</v>
          </cell>
          <cell r="D614">
            <v>83426</v>
          </cell>
        </row>
        <row r="615">
          <cell r="C615" t="str">
            <v>WILLIS, LAYLA</v>
          </cell>
          <cell r="D615">
            <v>88418</v>
          </cell>
        </row>
        <row r="616">
          <cell r="C616" t="str">
            <v>WILLIAMS, MA'LANEI</v>
          </cell>
          <cell r="D616">
            <v>85771</v>
          </cell>
        </row>
        <row r="617">
          <cell r="C617" t="str">
            <v>WILLIAMS, NOELLE</v>
          </cell>
          <cell r="D617">
            <v>85832</v>
          </cell>
        </row>
        <row r="618">
          <cell r="C618" t="str">
            <v>WILLIAMS, ZIYA</v>
          </cell>
          <cell r="D618">
            <v>85523</v>
          </cell>
        </row>
        <row r="619">
          <cell r="C619" t="str">
            <v>WILSON, ADDYSON</v>
          </cell>
          <cell r="D619">
            <v>87845</v>
          </cell>
        </row>
        <row r="620">
          <cell r="C620" t="str">
            <v>WINSTEAD, MASON</v>
          </cell>
          <cell r="D620">
            <v>86697</v>
          </cell>
        </row>
        <row r="621">
          <cell r="C621" t="str">
            <v>WOODLEY, MI'ASIA</v>
          </cell>
          <cell r="D621">
            <v>88129</v>
          </cell>
        </row>
        <row r="622">
          <cell r="C622" t="str">
            <v>YANCY, KYRESE</v>
          </cell>
          <cell r="D622">
            <v>88950</v>
          </cell>
        </row>
        <row r="623">
          <cell r="C623" t="str">
            <v>YARBROUGH, AMIRAH</v>
          </cell>
          <cell r="D623">
            <v>83870</v>
          </cell>
        </row>
        <row r="624">
          <cell r="C624" t="str">
            <v>YBARRA, JULIAN</v>
          </cell>
          <cell r="D624">
            <v>85078</v>
          </cell>
        </row>
        <row r="625">
          <cell r="C625" t="str">
            <v>ZAMARRIPA, AZIEL</v>
          </cell>
          <cell r="D625">
            <v>85088</v>
          </cell>
        </row>
        <row r="626">
          <cell r="C626" t="str">
            <v>ZAPATA, AARON</v>
          </cell>
          <cell r="D626">
            <v>85196</v>
          </cell>
        </row>
        <row r="627">
          <cell r="C627" t="str">
            <v>ZAPATA, ALBERT</v>
          </cell>
          <cell r="D627">
            <v>88511</v>
          </cell>
        </row>
        <row r="628">
          <cell r="C628" t="str">
            <v>ZUNIGA, ARIANA</v>
          </cell>
          <cell r="D628">
            <v>85518</v>
          </cell>
        </row>
        <row r="629">
          <cell r="C629" t="str">
            <v>ZUNIGA, DYLAN</v>
          </cell>
          <cell r="D629">
            <v>88621</v>
          </cell>
        </row>
        <row r="630">
          <cell r="C630" t="str">
            <v>ZUNIGA, LEAH</v>
          </cell>
          <cell r="D630">
            <v>87889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 Teachers (1)"/>
    </sheetNames>
    <sheetDataSet>
      <sheetData sheetId="0">
        <row r="2">
          <cell r="C2" t="str">
            <v>ABARCA ALCALA, KARINA</v>
          </cell>
          <cell r="D2">
            <v>15032</v>
          </cell>
        </row>
        <row r="3">
          <cell r="C3" t="str">
            <v>ABDEL MOUMEN, MOULAY</v>
          </cell>
          <cell r="D3">
            <v>12276</v>
          </cell>
        </row>
        <row r="4">
          <cell r="C4" t="str">
            <v>ABNER, ASHLEY</v>
          </cell>
          <cell r="D4">
            <v>14637</v>
          </cell>
        </row>
        <row r="5">
          <cell r="C5" t="str">
            <v>ABSHIRE, STEPHANIE</v>
          </cell>
          <cell r="D5">
            <v>10687</v>
          </cell>
        </row>
        <row r="6">
          <cell r="C6" t="str">
            <v>ADAMS, ARACELY</v>
          </cell>
          <cell r="D6">
            <v>18843</v>
          </cell>
        </row>
        <row r="7">
          <cell r="C7" t="str">
            <v>ADAMS, SACAJAWEA</v>
          </cell>
          <cell r="D7">
            <v>14815</v>
          </cell>
        </row>
        <row r="8">
          <cell r="C8" t="str">
            <v>AGUERO, JAZMINE</v>
          </cell>
          <cell r="D8">
            <v>18115</v>
          </cell>
        </row>
        <row r="9">
          <cell r="C9" t="str">
            <v>AGUILAR, ESTHER</v>
          </cell>
          <cell r="D9">
            <v>17657</v>
          </cell>
        </row>
        <row r="10">
          <cell r="C10" t="str">
            <v>AGUILAR, LUCERO</v>
          </cell>
          <cell r="D10">
            <v>15578</v>
          </cell>
        </row>
        <row r="11">
          <cell r="C11" t="str">
            <v>AGUIRRE, SARITA</v>
          </cell>
          <cell r="D11">
            <v>17994</v>
          </cell>
        </row>
        <row r="12">
          <cell r="C12" t="str">
            <v>AKERS, MA EDELYN</v>
          </cell>
          <cell r="D12">
            <v>18049</v>
          </cell>
        </row>
        <row r="13">
          <cell r="C13" t="str">
            <v>AKHUEMOKHAN, ODION</v>
          </cell>
          <cell r="D13">
            <v>19025</v>
          </cell>
        </row>
        <row r="14">
          <cell r="C14" t="str">
            <v>ALDACO SIFUENTES, JESUS</v>
          </cell>
          <cell r="D14">
            <v>16664</v>
          </cell>
        </row>
        <row r="15">
          <cell r="C15" t="str">
            <v>ALEXANDER, JENNIFER</v>
          </cell>
          <cell r="D15">
            <v>12437</v>
          </cell>
        </row>
        <row r="16">
          <cell r="C16" t="str">
            <v>ALLEN, KAYLA</v>
          </cell>
          <cell r="D16">
            <v>18982</v>
          </cell>
        </row>
        <row r="17">
          <cell r="C17" t="str">
            <v>ALLEN, NICKIE</v>
          </cell>
          <cell r="D17">
            <v>10321</v>
          </cell>
        </row>
        <row r="18">
          <cell r="C18" t="str">
            <v>ALONZO, AMALIA</v>
          </cell>
          <cell r="D18">
            <v>18890</v>
          </cell>
        </row>
        <row r="19">
          <cell r="C19" t="str">
            <v>ALVAREZ, ARMANDINA</v>
          </cell>
          <cell r="D19">
            <v>16708</v>
          </cell>
        </row>
        <row r="20">
          <cell r="C20" t="str">
            <v>ALVAREZ, BLANCA</v>
          </cell>
          <cell r="D20">
            <v>13837</v>
          </cell>
        </row>
        <row r="21">
          <cell r="C21" t="str">
            <v>ALVAREZ, JAQUELIN</v>
          </cell>
          <cell r="D21">
            <v>18447</v>
          </cell>
        </row>
        <row r="22">
          <cell r="C22" t="str">
            <v>AMAYA, RUBEN</v>
          </cell>
          <cell r="D22">
            <v>17846</v>
          </cell>
        </row>
        <row r="23">
          <cell r="C23" t="str">
            <v>ANDERS, ANGELICA</v>
          </cell>
          <cell r="D23">
            <v>18423</v>
          </cell>
        </row>
        <row r="24">
          <cell r="C24" t="str">
            <v>ANDERSON, ANGELA</v>
          </cell>
          <cell r="D24">
            <v>11207</v>
          </cell>
        </row>
        <row r="25">
          <cell r="C25" t="str">
            <v>ANDERSON-LAFLEUR, KAREL</v>
          </cell>
          <cell r="D25">
            <v>14506</v>
          </cell>
        </row>
        <row r="26">
          <cell r="C26" t="str">
            <v>ANGUIANO, ARACELI</v>
          </cell>
          <cell r="D26">
            <v>12415</v>
          </cell>
        </row>
        <row r="27">
          <cell r="C27" t="str">
            <v>APONTE, DEMETRA</v>
          </cell>
          <cell r="D27">
            <v>18002</v>
          </cell>
        </row>
        <row r="28">
          <cell r="C28" t="str">
            <v>ARABIE, ANGELA</v>
          </cell>
          <cell r="D28">
            <v>16153</v>
          </cell>
        </row>
        <row r="29">
          <cell r="C29" t="str">
            <v>ARAGON, GUADALUPE</v>
          </cell>
          <cell r="D29">
            <v>12955</v>
          </cell>
        </row>
        <row r="30">
          <cell r="C30" t="str">
            <v>ARCENEAUX, CHRISTOPHER</v>
          </cell>
          <cell r="D30">
            <v>15714</v>
          </cell>
        </row>
        <row r="31">
          <cell r="C31" t="str">
            <v>ASHCRAFT, SCOTT</v>
          </cell>
          <cell r="D31">
            <v>18427</v>
          </cell>
        </row>
        <row r="32">
          <cell r="C32" t="str">
            <v>AUBESPIN, JENNIFER</v>
          </cell>
          <cell r="D32">
            <v>15053</v>
          </cell>
        </row>
        <row r="33">
          <cell r="C33" t="str">
            <v>AUGUSTINE, JOY</v>
          </cell>
          <cell r="D33">
            <v>18545</v>
          </cell>
        </row>
        <row r="34">
          <cell r="C34" t="str">
            <v>AUTRY, AUDREY</v>
          </cell>
          <cell r="D34">
            <v>12211</v>
          </cell>
        </row>
        <row r="35">
          <cell r="C35" t="str">
            <v>AXUM, JULIE</v>
          </cell>
          <cell r="D35">
            <v>18889</v>
          </cell>
        </row>
        <row r="36">
          <cell r="C36" t="str">
            <v>BAILEY, CRYSTAL</v>
          </cell>
          <cell r="D36">
            <v>18500</v>
          </cell>
        </row>
        <row r="37">
          <cell r="C37" t="str">
            <v>BALTAZAR, KAYLA</v>
          </cell>
          <cell r="D37">
            <v>18815</v>
          </cell>
        </row>
        <row r="38">
          <cell r="C38" t="str">
            <v>BARAHONA, MARVIN</v>
          </cell>
          <cell r="D38">
            <v>17101</v>
          </cell>
        </row>
        <row r="39">
          <cell r="C39" t="str">
            <v>BARKLEY, ASHLEY</v>
          </cell>
          <cell r="D39">
            <v>14660</v>
          </cell>
        </row>
        <row r="40">
          <cell r="C40" t="str">
            <v>BARR, DESTINY</v>
          </cell>
          <cell r="D40">
            <v>17418</v>
          </cell>
        </row>
        <row r="41">
          <cell r="C41" t="str">
            <v>BARRIENTOS, ILDEFONSO</v>
          </cell>
          <cell r="D41">
            <v>14583</v>
          </cell>
        </row>
        <row r="42">
          <cell r="C42" t="str">
            <v>BARRON, ACENET</v>
          </cell>
          <cell r="D42">
            <v>18712</v>
          </cell>
        </row>
        <row r="43">
          <cell r="C43" t="str">
            <v>BARTLEY, TAMIKA</v>
          </cell>
          <cell r="D43">
            <v>11933</v>
          </cell>
        </row>
        <row r="44">
          <cell r="C44" t="str">
            <v>BASANTES ZURITA, MARTHA</v>
          </cell>
          <cell r="D44">
            <v>18248</v>
          </cell>
        </row>
        <row r="45">
          <cell r="C45" t="str">
            <v>BASS, JERALD</v>
          </cell>
          <cell r="D45">
            <v>13354</v>
          </cell>
        </row>
        <row r="46">
          <cell r="C46" t="str">
            <v>BATY-RICE, TAMMY</v>
          </cell>
          <cell r="D46">
            <v>11232</v>
          </cell>
        </row>
        <row r="47">
          <cell r="C47" t="str">
            <v>BAZEMORE, SHAVON</v>
          </cell>
          <cell r="D47">
            <v>16325</v>
          </cell>
        </row>
        <row r="48">
          <cell r="C48" t="str">
            <v>BELL, LATAVIA</v>
          </cell>
          <cell r="D48">
            <v>15743</v>
          </cell>
        </row>
        <row r="49">
          <cell r="C49" t="str">
            <v>BELTRAN, EDUARDO</v>
          </cell>
          <cell r="D49">
            <v>19138</v>
          </cell>
        </row>
        <row r="50">
          <cell r="C50" t="str">
            <v>BERRIOS-HEBERT, LILLIAN</v>
          </cell>
          <cell r="D50">
            <v>17398</v>
          </cell>
        </row>
        <row r="51">
          <cell r="C51" t="str">
            <v>BERRUETE, CANDY</v>
          </cell>
          <cell r="D51">
            <v>15566</v>
          </cell>
        </row>
        <row r="52">
          <cell r="C52" t="str">
            <v>BERRUETE, DAISY</v>
          </cell>
          <cell r="D52">
            <v>17134</v>
          </cell>
        </row>
        <row r="53">
          <cell r="C53" t="str">
            <v>BICE, JONATHAN</v>
          </cell>
          <cell r="D53">
            <v>18409</v>
          </cell>
        </row>
        <row r="54">
          <cell r="C54" t="str">
            <v>BILL, JASMINE</v>
          </cell>
          <cell r="D54">
            <v>16843</v>
          </cell>
        </row>
        <row r="55">
          <cell r="C55" t="str">
            <v>BLACK, KATHRYN</v>
          </cell>
          <cell r="D55">
            <v>17163</v>
          </cell>
        </row>
        <row r="56">
          <cell r="C56" t="str">
            <v>BLACK, MARGARET</v>
          </cell>
          <cell r="D56">
            <v>15372</v>
          </cell>
        </row>
        <row r="57">
          <cell r="C57" t="str">
            <v>BLACKSHURE, ADDIE</v>
          </cell>
          <cell r="D57">
            <v>18816</v>
          </cell>
        </row>
        <row r="58">
          <cell r="C58" t="str">
            <v>BLAIR, JOSHUA</v>
          </cell>
          <cell r="D58">
            <v>17894</v>
          </cell>
        </row>
        <row r="59">
          <cell r="C59" t="str">
            <v>BOCARD, ALBERT</v>
          </cell>
          <cell r="D59">
            <v>17996</v>
          </cell>
        </row>
        <row r="60">
          <cell r="C60" t="str">
            <v>BODEREK, PAULA</v>
          </cell>
          <cell r="D60">
            <v>10855</v>
          </cell>
        </row>
        <row r="61">
          <cell r="C61" t="str">
            <v>BOGANY, KAYLA</v>
          </cell>
          <cell r="D61">
            <v>15880</v>
          </cell>
        </row>
        <row r="62">
          <cell r="C62" t="str">
            <v>BOONE, BRADLEY</v>
          </cell>
          <cell r="D62">
            <v>17862</v>
          </cell>
        </row>
        <row r="63">
          <cell r="C63" t="str">
            <v>BOONE, ELIZABETH</v>
          </cell>
          <cell r="D63">
            <v>16150</v>
          </cell>
        </row>
        <row r="64">
          <cell r="C64" t="str">
            <v>BORONELL-HUNTER, ANDREA</v>
          </cell>
          <cell r="D64">
            <v>18847</v>
          </cell>
        </row>
        <row r="65">
          <cell r="C65" t="str">
            <v>BOSTON, KENNEDY</v>
          </cell>
          <cell r="D65">
            <v>18833</v>
          </cell>
        </row>
        <row r="66">
          <cell r="C66" t="str">
            <v>BOUTTE, JANTEL</v>
          </cell>
          <cell r="D66">
            <v>14272</v>
          </cell>
        </row>
        <row r="67">
          <cell r="C67" t="str">
            <v>BOWMAN, ALEXANDRA</v>
          </cell>
          <cell r="D67">
            <v>16724</v>
          </cell>
        </row>
        <row r="68">
          <cell r="C68" t="str">
            <v>BOWMAN, THOMAS</v>
          </cell>
          <cell r="D68">
            <v>17432</v>
          </cell>
        </row>
        <row r="69">
          <cell r="C69" t="str">
            <v>BRADFORD, JERRY</v>
          </cell>
          <cell r="D69">
            <v>16693</v>
          </cell>
        </row>
        <row r="70">
          <cell r="C70" t="str">
            <v>BRADFORD, KIERRA</v>
          </cell>
          <cell r="D70">
            <v>17525</v>
          </cell>
        </row>
        <row r="71">
          <cell r="C71" t="str">
            <v>BRADLEY, LATISHA</v>
          </cell>
          <cell r="D71">
            <v>15831</v>
          </cell>
        </row>
        <row r="72">
          <cell r="C72" t="str">
            <v>BRADSHAW, DELROSE</v>
          </cell>
          <cell r="D72">
            <v>12144</v>
          </cell>
        </row>
        <row r="73">
          <cell r="C73" t="str">
            <v>BRECKENRIDGE, RACHAEL</v>
          </cell>
          <cell r="D73">
            <v>18404</v>
          </cell>
        </row>
        <row r="74">
          <cell r="C74" t="str">
            <v>BROCK, TAYLOR</v>
          </cell>
          <cell r="D74">
            <v>17751</v>
          </cell>
        </row>
        <row r="75">
          <cell r="C75" t="str">
            <v>BROOKS, TAMELA</v>
          </cell>
          <cell r="D75">
            <v>18900</v>
          </cell>
        </row>
        <row r="76">
          <cell r="C76" t="str">
            <v>BROOM, ALISHA</v>
          </cell>
          <cell r="D76">
            <v>11579</v>
          </cell>
        </row>
        <row r="77">
          <cell r="C77" t="str">
            <v>BROWN, ARIANA</v>
          </cell>
          <cell r="D77">
            <v>18068</v>
          </cell>
        </row>
        <row r="78">
          <cell r="C78" t="str">
            <v>BROWN, CHRISTOPHER</v>
          </cell>
          <cell r="D78">
            <v>17363</v>
          </cell>
        </row>
        <row r="79">
          <cell r="C79" t="str">
            <v>BROWN, DUWAYNE</v>
          </cell>
          <cell r="D79">
            <v>18169</v>
          </cell>
        </row>
        <row r="80">
          <cell r="C80" t="str">
            <v>BROWN, FRANCENTA</v>
          </cell>
          <cell r="D80">
            <v>17118</v>
          </cell>
        </row>
        <row r="81">
          <cell r="C81" t="str">
            <v>BROWN, TRASHONDA</v>
          </cell>
          <cell r="D81">
            <v>15321</v>
          </cell>
        </row>
        <row r="82">
          <cell r="C82" t="str">
            <v>BRYANT, LATRESHA</v>
          </cell>
          <cell r="D82">
            <v>18532</v>
          </cell>
        </row>
        <row r="83">
          <cell r="C83" t="str">
            <v>BUCHANAN, ARTRELLE</v>
          </cell>
          <cell r="D83">
            <v>18872</v>
          </cell>
        </row>
        <row r="84">
          <cell r="C84" t="str">
            <v>BUCHANAN, SHEILA</v>
          </cell>
          <cell r="D84">
            <v>16695</v>
          </cell>
        </row>
        <row r="85">
          <cell r="C85" t="str">
            <v>BUENO, CLAUDIA</v>
          </cell>
          <cell r="D85">
            <v>18940</v>
          </cell>
        </row>
        <row r="86">
          <cell r="C86" t="str">
            <v>BUNDAGE, KEISHA</v>
          </cell>
          <cell r="D86">
            <v>18546</v>
          </cell>
        </row>
        <row r="87">
          <cell r="C87" t="str">
            <v>BURCHERT, KELSEY</v>
          </cell>
          <cell r="D87">
            <v>17977</v>
          </cell>
        </row>
        <row r="88">
          <cell r="C88" t="str">
            <v>BURNS, CHANGELA</v>
          </cell>
          <cell r="D88">
            <v>17951</v>
          </cell>
        </row>
        <row r="89">
          <cell r="C89" t="str">
            <v>BURNS, DANIEL</v>
          </cell>
          <cell r="D89">
            <v>18958</v>
          </cell>
        </row>
        <row r="90">
          <cell r="C90" t="str">
            <v>BURNSIDE, DETRA</v>
          </cell>
          <cell r="D90">
            <v>18936</v>
          </cell>
        </row>
        <row r="91">
          <cell r="C91" t="str">
            <v>BURSE, ALEXA</v>
          </cell>
          <cell r="D91">
            <v>18452</v>
          </cell>
        </row>
        <row r="92">
          <cell r="C92" t="str">
            <v>BURTON, HERMANDA</v>
          </cell>
          <cell r="D92">
            <v>13627</v>
          </cell>
        </row>
        <row r="93">
          <cell r="C93" t="str">
            <v>BUSTILLOS, JASON</v>
          </cell>
          <cell r="D93">
            <v>18377</v>
          </cell>
        </row>
        <row r="94">
          <cell r="C94" t="str">
            <v>BUXIE, PAUL</v>
          </cell>
          <cell r="D94">
            <v>18000</v>
          </cell>
        </row>
        <row r="95">
          <cell r="C95" t="str">
            <v>CABRERA, ALEIZA</v>
          </cell>
          <cell r="D95">
            <v>16246</v>
          </cell>
        </row>
        <row r="96">
          <cell r="C96" t="str">
            <v>CAJAS, SANDY</v>
          </cell>
          <cell r="D96">
            <v>13415</v>
          </cell>
        </row>
        <row r="97">
          <cell r="C97" t="str">
            <v>CAJAS, TANYA</v>
          </cell>
          <cell r="D97">
            <v>12880</v>
          </cell>
        </row>
        <row r="98">
          <cell r="C98" t="str">
            <v>CALDWELL, ADRIAN</v>
          </cell>
          <cell r="D98">
            <v>16311</v>
          </cell>
        </row>
        <row r="99">
          <cell r="C99" t="str">
            <v>CALDWELL, DIAMOND</v>
          </cell>
          <cell r="D99">
            <v>19145</v>
          </cell>
        </row>
        <row r="100">
          <cell r="C100" t="str">
            <v>CALHOUN, LATORIA</v>
          </cell>
          <cell r="D100">
            <v>17466</v>
          </cell>
        </row>
        <row r="101">
          <cell r="C101" t="str">
            <v>CAMACHO, GUADALUPE</v>
          </cell>
          <cell r="D101">
            <v>18875</v>
          </cell>
        </row>
        <row r="102">
          <cell r="C102" t="str">
            <v>CANTU, LUZDIVINA</v>
          </cell>
          <cell r="D102">
            <v>13828</v>
          </cell>
        </row>
        <row r="103">
          <cell r="C103" t="str">
            <v>CARDOSO, JACQUELINE</v>
          </cell>
          <cell r="D103">
            <v>18419</v>
          </cell>
        </row>
        <row r="104">
          <cell r="C104" t="str">
            <v>CARMON, MARLO</v>
          </cell>
          <cell r="D104">
            <v>18485</v>
          </cell>
        </row>
        <row r="105">
          <cell r="C105" t="str">
            <v>CARPENTER, APRIL</v>
          </cell>
          <cell r="D105">
            <v>15713</v>
          </cell>
        </row>
        <row r="106">
          <cell r="C106" t="str">
            <v>CARTER, DONALD</v>
          </cell>
          <cell r="D106">
            <v>10361</v>
          </cell>
        </row>
        <row r="107">
          <cell r="C107" t="str">
            <v>CARTER, SHARISE</v>
          </cell>
          <cell r="D107">
            <v>18705</v>
          </cell>
        </row>
        <row r="108">
          <cell r="C108" t="str">
            <v>CARTER, TRINITY</v>
          </cell>
          <cell r="D108">
            <v>16565</v>
          </cell>
        </row>
        <row r="109">
          <cell r="C109" t="str">
            <v>CARTHERN, SHUNDRA</v>
          </cell>
          <cell r="D109">
            <v>18966</v>
          </cell>
        </row>
        <row r="110">
          <cell r="C110" t="str">
            <v>CASTILLO, GLORIA</v>
          </cell>
          <cell r="D110">
            <v>16644</v>
          </cell>
        </row>
        <row r="111">
          <cell r="C111" t="str">
            <v>CASTILLO, ROCIO</v>
          </cell>
          <cell r="D111">
            <v>14037</v>
          </cell>
        </row>
        <row r="112">
          <cell r="C112" t="str">
            <v>CASTILLO-LOPEZ, JOANA</v>
          </cell>
          <cell r="D112">
            <v>14530</v>
          </cell>
        </row>
        <row r="113">
          <cell r="C113" t="str">
            <v>CASTRO, MARTHA</v>
          </cell>
          <cell r="D113">
            <v>18835</v>
          </cell>
        </row>
        <row r="114">
          <cell r="C114" t="str">
            <v>CATAPANO, APRIL</v>
          </cell>
          <cell r="D114">
            <v>17649</v>
          </cell>
        </row>
        <row r="115">
          <cell r="C115" t="str">
            <v>CATO, SHANQUETTA</v>
          </cell>
          <cell r="D115">
            <v>17933</v>
          </cell>
        </row>
        <row r="116">
          <cell r="C116" t="str">
            <v>CERRATO, VANESSA</v>
          </cell>
          <cell r="D116">
            <v>18512</v>
          </cell>
        </row>
        <row r="117">
          <cell r="C117" t="str">
            <v>CHACON, AMANDA</v>
          </cell>
          <cell r="D117">
            <v>15316</v>
          </cell>
        </row>
        <row r="118">
          <cell r="C118" t="str">
            <v>CHADWICK, CRYSTAL</v>
          </cell>
          <cell r="D118">
            <v>18590</v>
          </cell>
        </row>
        <row r="119">
          <cell r="C119" t="str">
            <v>CHAMBERS, ANGELA</v>
          </cell>
          <cell r="D119">
            <v>17437</v>
          </cell>
        </row>
        <row r="120">
          <cell r="C120" t="str">
            <v>CHAMBERS, CHARLI</v>
          </cell>
          <cell r="D120">
            <v>13856</v>
          </cell>
        </row>
        <row r="121">
          <cell r="C121" t="str">
            <v>CHARCOUSSE, LISSETTE</v>
          </cell>
          <cell r="D121">
            <v>13966</v>
          </cell>
        </row>
        <row r="122">
          <cell r="C122" t="str">
            <v>CHARLES, AALAYSIAH</v>
          </cell>
          <cell r="D122">
            <v>17683</v>
          </cell>
        </row>
        <row r="123">
          <cell r="C123" t="str">
            <v>CHARLES, SHARONDA</v>
          </cell>
          <cell r="D123">
            <v>18928</v>
          </cell>
        </row>
        <row r="124">
          <cell r="C124" t="str">
            <v>CHASE, MEAGAN</v>
          </cell>
          <cell r="D124">
            <v>15742</v>
          </cell>
        </row>
        <row r="125">
          <cell r="C125" t="str">
            <v>CHAVANNE, TIM</v>
          </cell>
          <cell r="D125">
            <v>18402</v>
          </cell>
        </row>
        <row r="126">
          <cell r="C126" t="str">
            <v>CHAVEZ, AGNES</v>
          </cell>
          <cell r="D126">
            <v>15390</v>
          </cell>
        </row>
        <row r="127">
          <cell r="C127" t="str">
            <v>CHAVEZ, JANETTE</v>
          </cell>
          <cell r="D127">
            <v>13893</v>
          </cell>
        </row>
        <row r="128">
          <cell r="C128" t="str">
            <v>CHAVEZ, JESSICA</v>
          </cell>
          <cell r="D128">
            <v>17307</v>
          </cell>
        </row>
        <row r="129">
          <cell r="C129" t="str">
            <v>CHAVEZ, JESY</v>
          </cell>
          <cell r="D129">
            <v>13036</v>
          </cell>
        </row>
        <row r="130">
          <cell r="C130" t="str">
            <v>CHOUDHRY, DALILA</v>
          </cell>
          <cell r="D130">
            <v>16802</v>
          </cell>
        </row>
        <row r="131">
          <cell r="C131" t="str">
            <v>CHRISTOPHER, ALDE</v>
          </cell>
          <cell r="D131">
            <v>15869</v>
          </cell>
        </row>
        <row r="132">
          <cell r="C132" t="str">
            <v>CITIZEN, VERONICA</v>
          </cell>
          <cell r="D132">
            <v>15541</v>
          </cell>
        </row>
        <row r="133">
          <cell r="C133" t="str">
            <v>CLEAVES, QUENTIN</v>
          </cell>
          <cell r="D133">
            <v>15323</v>
          </cell>
        </row>
        <row r="134">
          <cell r="C134" t="str">
            <v>CLEM, MICHELLE</v>
          </cell>
          <cell r="D134">
            <v>18449</v>
          </cell>
        </row>
        <row r="135">
          <cell r="C135" t="str">
            <v>CLEMENTE, MAYRA</v>
          </cell>
          <cell r="D135">
            <v>10883</v>
          </cell>
        </row>
        <row r="136">
          <cell r="C136" t="str">
            <v>CLERK, LUCRETIA</v>
          </cell>
          <cell r="D136">
            <v>19131</v>
          </cell>
        </row>
        <row r="137">
          <cell r="C137" t="str">
            <v>CLIFTON, RONDRICIKA</v>
          </cell>
          <cell r="D137">
            <v>18446</v>
          </cell>
        </row>
        <row r="138">
          <cell r="C138" t="str">
            <v>CLUSE, SHALONICA</v>
          </cell>
          <cell r="D138">
            <v>15860</v>
          </cell>
        </row>
        <row r="139">
          <cell r="C139" t="str">
            <v>COELLO, BANI</v>
          </cell>
          <cell r="D139">
            <v>14623</v>
          </cell>
        </row>
        <row r="140">
          <cell r="C140" t="str">
            <v>COLEMAN, ANGELA</v>
          </cell>
          <cell r="D140">
            <v>16697</v>
          </cell>
        </row>
        <row r="141">
          <cell r="C141" t="str">
            <v>COLEMAN, CHADRIC</v>
          </cell>
          <cell r="D141">
            <v>18564</v>
          </cell>
        </row>
        <row r="142">
          <cell r="C142" t="str">
            <v>COLEMAN, SHALEKA</v>
          </cell>
          <cell r="D142">
            <v>12321</v>
          </cell>
        </row>
        <row r="143">
          <cell r="C143" t="str">
            <v>CONNELL, KATLIN</v>
          </cell>
          <cell r="D143">
            <v>18030</v>
          </cell>
        </row>
        <row r="144">
          <cell r="C144" t="str">
            <v>COOK, MIA</v>
          </cell>
          <cell r="D144">
            <v>16171</v>
          </cell>
        </row>
        <row r="145">
          <cell r="C145" t="str">
            <v>COOPER, DEANDRE</v>
          </cell>
          <cell r="D145">
            <v>18374</v>
          </cell>
        </row>
        <row r="146">
          <cell r="C146" t="str">
            <v>COOPER, JENNY</v>
          </cell>
          <cell r="D146">
            <v>18457</v>
          </cell>
        </row>
        <row r="147">
          <cell r="C147" t="str">
            <v>COOPER, KORA</v>
          </cell>
          <cell r="D147">
            <v>17656</v>
          </cell>
        </row>
        <row r="148">
          <cell r="C148" t="str">
            <v>COOPER, SHALONDA</v>
          </cell>
          <cell r="D148">
            <v>18509</v>
          </cell>
        </row>
        <row r="149">
          <cell r="C149" t="str">
            <v>CORDOVA ORDONEZ, ERICK</v>
          </cell>
          <cell r="D149">
            <v>18578</v>
          </cell>
        </row>
        <row r="150">
          <cell r="C150" t="str">
            <v>COREATHERS, CHIOKE</v>
          </cell>
          <cell r="D150">
            <v>17848</v>
          </cell>
        </row>
        <row r="151">
          <cell r="C151" t="str">
            <v>COTTEN, NORMA</v>
          </cell>
          <cell r="D151">
            <v>10127</v>
          </cell>
        </row>
        <row r="152">
          <cell r="C152" t="str">
            <v>COTTON, HENRY</v>
          </cell>
          <cell r="D152">
            <v>11753</v>
          </cell>
        </row>
        <row r="153">
          <cell r="C153" t="str">
            <v>CREEKS, STERLING</v>
          </cell>
          <cell r="D153">
            <v>18417</v>
          </cell>
        </row>
        <row r="154">
          <cell r="C154" t="str">
            <v>CROSS, STACY</v>
          </cell>
          <cell r="D154">
            <v>17060</v>
          </cell>
        </row>
        <row r="155">
          <cell r="C155" t="str">
            <v>CROSS, TIFFANY</v>
          </cell>
          <cell r="D155">
            <v>16578</v>
          </cell>
        </row>
        <row r="156">
          <cell r="C156" t="str">
            <v>CRUZ, ALEJANDRO</v>
          </cell>
          <cell r="D156">
            <v>17528</v>
          </cell>
        </row>
        <row r="157">
          <cell r="C157" t="str">
            <v>CRUZ, CRYSELLE</v>
          </cell>
          <cell r="D157">
            <v>18454</v>
          </cell>
        </row>
        <row r="158">
          <cell r="C158" t="str">
            <v>CRUZ, FELIX</v>
          </cell>
          <cell r="D158">
            <v>16477</v>
          </cell>
        </row>
        <row r="159">
          <cell r="C159" t="str">
            <v>CRUZ, LUZ</v>
          </cell>
          <cell r="D159">
            <v>10925</v>
          </cell>
        </row>
        <row r="160">
          <cell r="C160" t="str">
            <v>CUNNINGHAM, MELISSA</v>
          </cell>
          <cell r="D160">
            <v>15553</v>
          </cell>
        </row>
        <row r="161">
          <cell r="C161" t="str">
            <v>CURL, BETSY</v>
          </cell>
          <cell r="D161">
            <v>14963</v>
          </cell>
        </row>
        <row r="162">
          <cell r="C162" t="str">
            <v>CURRIE, ALLISON</v>
          </cell>
          <cell r="D162">
            <v>18474</v>
          </cell>
        </row>
        <row r="163">
          <cell r="C163" t="str">
            <v>CUSSEN, KATHIE</v>
          </cell>
          <cell r="D163">
            <v>14129</v>
          </cell>
        </row>
        <row r="164">
          <cell r="C164" t="str">
            <v>DANIELS, ALIECE</v>
          </cell>
          <cell r="D164">
            <v>17399</v>
          </cell>
        </row>
        <row r="165">
          <cell r="C165" t="str">
            <v>DANIELS, DERRICK</v>
          </cell>
          <cell r="D165">
            <v>17871</v>
          </cell>
        </row>
        <row r="166">
          <cell r="C166" t="str">
            <v>DARBY, CANDACE</v>
          </cell>
          <cell r="D166">
            <v>10558</v>
          </cell>
        </row>
        <row r="167">
          <cell r="C167" t="str">
            <v>DARBY, JAMES</v>
          </cell>
          <cell r="D167">
            <v>18568</v>
          </cell>
        </row>
        <row r="168">
          <cell r="C168" t="str">
            <v>DARDEN, CASSANDRA</v>
          </cell>
          <cell r="D168">
            <v>17963</v>
          </cell>
        </row>
        <row r="169">
          <cell r="C169" t="str">
            <v>DARRIS, MACKENZIE</v>
          </cell>
          <cell r="D169">
            <v>18956</v>
          </cell>
        </row>
        <row r="170">
          <cell r="C170" t="str">
            <v>DARWICH, JAMIL</v>
          </cell>
          <cell r="D170">
            <v>18842</v>
          </cell>
        </row>
        <row r="171">
          <cell r="C171" t="str">
            <v>DAVILA, DANIEL</v>
          </cell>
          <cell r="D171">
            <v>15747</v>
          </cell>
        </row>
        <row r="172">
          <cell r="C172" t="str">
            <v>DAVIS, CHARMAGNE</v>
          </cell>
          <cell r="D172">
            <v>17433</v>
          </cell>
        </row>
        <row r="173">
          <cell r="C173" t="str">
            <v>DAVIS, LAVHONTE</v>
          </cell>
          <cell r="D173">
            <v>18633</v>
          </cell>
        </row>
        <row r="174">
          <cell r="C174" t="str">
            <v>DAVIS, MARNECIA</v>
          </cell>
          <cell r="D174">
            <v>17978</v>
          </cell>
        </row>
        <row r="175">
          <cell r="C175" t="str">
            <v>DAVIS, RANDAL</v>
          </cell>
          <cell r="D175">
            <v>18534</v>
          </cell>
        </row>
        <row r="176">
          <cell r="C176" t="str">
            <v>DAVIS, WHITNEY</v>
          </cell>
          <cell r="D176">
            <v>17768</v>
          </cell>
        </row>
        <row r="177">
          <cell r="C177" t="str">
            <v>DAVISON, MITCHELL</v>
          </cell>
          <cell r="D177">
            <v>17705</v>
          </cell>
        </row>
        <row r="178">
          <cell r="C178" t="str">
            <v>DE LA GARZA, JOANNE</v>
          </cell>
          <cell r="D178">
            <v>15721</v>
          </cell>
        </row>
        <row r="179">
          <cell r="C179" t="str">
            <v>DE LEON, DIANA</v>
          </cell>
          <cell r="D179">
            <v>18891</v>
          </cell>
        </row>
        <row r="180">
          <cell r="C180" t="str">
            <v>DECKER, CARRIE</v>
          </cell>
          <cell r="D180">
            <v>17155</v>
          </cell>
        </row>
        <row r="181">
          <cell r="C181" t="str">
            <v>DEES, CYNTHIA</v>
          </cell>
          <cell r="D181">
            <v>18924</v>
          </cell>
        </row>
        <row r="182">
          <cell r="C182" t="str">
            <v>DELEON, MARIA</v>
          </cell>
          <cell r="D182">
            <v>12216</v>
          </cell>
        </row>
        <row r="183">
          <cell r="C183" t="str">
            <v>DELGADO, MARIA</v>
          </cell>
          <cell r="D183">
            <v>18927</v>
          </cell>
        </row>
        <row r="184">
          <cell r="C184" t="str">
            <v>DELGADO, MARISHA</v>
          </cell>
          <cell r="D184">
            <v>16651</v>
          </cell>
        </row>
        <row r="185">
          <cell r="C185" t="str">
            <v>DESTIN, CECILY</v>
          </cell>
          <cell r="D185">
            <v>19148</v>
          </cell>
        </row>
        <row r="186">
          <cell r="C186" t="str">
            <v>DEVERY, STEPHAN</v>
          </cell>
          <cell r="D186">
            <v>18344</v>
          </cell>
        </row>
        <row r="187">
          <cell r="C187" t="str">
            <v>DEVLIN, EDWARD</v>
          </cell>
          <cell r="D187">
            <v>12455</v>
          </cell>
        </row>
        <row r="188">
          <cell r="C188" t="str">
            <v>DIAZ, GABRIELA</v>
          </cell>
          <cell r="D188">
            <v>16806</v>
          </cell>
        </row>
        <row r="189">
          <cell r="C189" t="str">
            <v>DICKSON, NICOLE</v>
          </cell>
          <cell r="D189">
            <v>11350</v>
          </cell>
        </row>
        <row r="190">
          <cell r="C190" t="str">
            <v>DOMINGUEZ, JAVIER</v>
          </cell>
          <cell r="D190">
            <v>12430</v>
          </cell>
        </row>
        <row r="191">
          <cell r="C191" t="str">
            <v>DOWDEN, KELLIE</v>
          </cell>
          <cell r="D191">
            <v>19066</v>
          </cell>
        </row>
        <row r="192">
          <cell r="C192" t="str">
            <v>DRAINE, ALIZA</v>
          </cell>
          <cell r="D192">
            <v>10724</v>
          </cell>
        </row>
        <row r="193">
          <cell r="C193" t="str">
            <v>DRUMGOOLE, ARIEL</v>
          </cell>
          <cell r="D193">
            <v>18919</v>
          </cell>
        </row>
        <row r="194">
          <cell r="C194" t="str">
            <v>DUBLER, DARCIE</v>
          </cell>
          <cell r="D194">
            <v>18855</v>
          </cell>
        </row>
        <row r="195">
          <cell r="C195" t="str">
            <v>DUNN, SHAUNA</v>
          </cell>
          <cell r="D195">
            <v>14893</v>
          </cell>
        </row>
        <row r="196">
          <cell r="C196" t="str">
            <v>DUQUE, ASHLEY</v>
          </cell>
          <cell r="D196">
            <v>16421</v>
          </cell>
        </row>
        <row r="197">
          <cell r="C197" t="str">
            <v>EDWARDS, JOHANNA</v>
          </cell>
          <cell r="D197">
            <v>18522</v>
          </cell>
        </row>
        <row r="198">
          <cell r="C198" t="str">
            <v>EDWARDS, RACQUEL</v>
          </cell>
          <cell r="D198">
            <v>16440</v>
          </cell>
        </row>
        <row r="199">
          <cell r="C199" t="str">
            <v>EGGERT, CHARLOTTE</v>
          </cell>
          <cell r="D199">
            <v>11572</v>
          </cell>
        </row>
        <row r="200">
          <cell r="C200" t="str">
            <v>EGGLETON, NICOLE</v>
          </cell>
          <cell r="D200">
            <v>15304</v>
          </cell>
        </row>
        <row r="201">
          <cell r="C201" t="str">
            <v>EICHELBERGER FOREST, JAMIE</v>
          </cell>
          <cell r="D201">
            <v>18620</v>
          </cell>
        </row>
        <row r="202">
          <cell r="C202" t="str">
            <v>ELLIS, KHADIJAH</v>
          </cell>
          <cell r="D202">
            <v>18476</v>
          </cell>
        </row>
        <row r="203">
          <cell r="C203" t="str">
            <v>EMILIEN, RODNEY</v>
          </cell>
          <cell r="D203">
            <v>18771</v>
          </cell>
        </row>
        <row r="204">
          <cell r="C204" t="str">
            <v>ESQUIVEL, VERONICA</v>
          </cell>
          <cell r="D204">
            <v>17186</v>
          </cell>
        </row>
        <row r="205">
          <cell r="C205" t="str">
            <v>ESTRADA, DIANNA</v>
          </cell>
          <cell r="D205">
            <v>16636</v>
          </cell>
        </row>
        <row r="206">
          <cell r="C206" t="str">
            <v>EVERHART, RONALD</v>
          </cell>
          <cell r="D206">
            <v>11354</v>
          </cell>
        </row>
        <row r="207">
          <cell r="C207" t="str">
            <v>FAROOQUI, RANA</v>
          </cell>
          <cell r="D207">
            <v>11120</v>
          </cell>
        </row>
        <row r="208">
          <cell r="C208" t="str">
            <v>FARRELL, PENNI</v>
          </cell>
          <cell r="D208">
            <v>15716</v>
          </cell>
        </row>
        <row r="209">
          <cell r="C209" t="str">
            <v>FEEMSTER, AVERY</v>
          </cell>
          <cell r="D209">
            <v>18846</v>
          </cell>
        </row>
        <row r="210">
          <cell r="C210" t="str">
            <v>FERGUSON, JESSICA</v>
          </cell>
          <cell r="D210">
            <v>17366</v>
          </cell>
        </row>
        <row r="211">
          <cell r="C211" t="str">
            <v>FERNANDEZ, MIRIAM</v>
          </cell>
          <cell r="D211">
            <v>14809</v>
          </cell>
        </row>
        <row r="212">
          <cell r="C212" t="str">
            <v>FISCHER, NICHOLAS</v>
          </cell>
          <cell r="D212">
            <v>18939</v>
          </cell>
        </row>
        <row r="213">
          <cell r="C213" t="str">
            <v>FITZHENRY, DEREK</v>
          </cell>
          <cell r="D213">
            <v>15647</v>
          </cell>
        </row>
        <row r="214">
          <cell r="C214" t="str">
            <v>FITZHENRY, MATTHEW</v>
          </cell>
          <cell r="D214">
            <v>18901</v>
          </cell>
        </row>
        <row r="215">
          <cell r="C215" t="str">
            <v>FITZPATRICK, ZION</v>
          </cell>
          <cell r="D215">
            <v>18536</v>
          </cell>
        </row>
        <row r="216">
          <cell r="C216" t="str">
            <v>FLORES, ALYSSA</v>
          </cell>
          <cell r="D216">
            <v>18967</v>
          </cell>
        </row>
        <row r="217">
          <cell r="C217" t="str">
            <v>FLORES, BELKIS</v>
          </cell>
          <cell r="D217">
            <v>17781</v>
          </cell>
        </row>
        <row r="218">
          <cell r="C218" t="str">
            <v>FLORES, CARMELA</v>
          </cell>
          <cell r="D218">
            <v>14533</v>
          </cell>
        </row>
        <row r="219">
          <cell r="C219" t="str">
            <v>FLORES, DEIDRA</v>
          </cell>
          <cell r="D219">
            <v>18911</v>
          </cell>
        </row>
        <row r="220">
          <cell r="C220" t="str">
            <v>FLORES, MARIAH</v>
          </cell>
          <cell r="D220">
            <v>15907</v>
          </cell>
        </row>
        <row r="221">
          <cell r="C221" t="str">
            <v>FLORES, PHYLICIA</v>
          </cell>
          <cell r="D221">
            <v>18961</v>
          </cell>
        </row>
        <row r="222">
          <cell r="C222" t="str">
            <v>FORD, REUBEN</v>
          </cell>
          <cell r="D222">
            <v>18442</v>
          </cell>
        </row>
        <row r="223">
          <cell r="C223" t="str">
            <v>FORTNER, MICHELE</v>
          </cell>
          <cell r="D223">
            <v>18369</v>
          </cell>
        </row>
        <row r="224">
          <cell r="C224" t="str">
            <v>FOURNIER, ADRIENNE</v>
          </cell>
          <cell r="D224">
            <v>11014</v>
          </cell>
        </row>
        <row r="225">
          <cell r="C225" t="str">
            <v>FRANKLIN, KIMBERLEY</v>
          </cell>
          <cell r="D225">
            <v>18080</v>
          </cell>
        </row>
        <row r="226">
          <cell r="C226" t="str">
            <v>FRESHWATER, CHARLES</v>
          </cell>
          <cell r="D226">
            <v>13257</v>
          </cell>
        </row>
        <row r="227">
          <cell r="C227" t="str">
            <v>FUENTES, STEPHANIE</v>
          </cell>
          <cell r="D227">
            <v>18910</v>
          </cell>
        </row>
        <row r="228">
          <cell r="C228" t="str">
            <v>GADDIS, ASHLEY</v>
          </cell>
          <cell r="D228">
            <v>16441</v>
          </cell>
        </row>
        <row r="229">
          <cell r="C229" t="str">
            <v>GAINES, IDA</v>
          </cell>
          <cell r="D229">
            <v>15019</v>
          </cell>
        </row>
        <row r="230">
          <cell r="C230" t="str">
            <v>GALARZA, JHOANNA</v>
          </cell>
          <cell r="D230">
            <v>18834</v>
          </cell>
        </row>
        <row r="231">
          <cell r="C231" t="str">
            <v>GALLARDO, SAVANNAH</v>
          </cell>
          <cell r="D231">
            <v>18695</v>
          </cell>
        </row>
        <row r="232">
          <cell r="C232" t="str">
            <v>GALO, ROGEL</v>
          </cell>
          <cell r="D232">
            <v>12592</v>
          </cell>
        </row>
        <row r="233">
          <cell r="C233" t="str">
            <v>GALVAN, PRISCILLA</v>
          </cell>
          <cell r="D233">
            <v>17617</v>
          </cell>
        </row>
        <row r="234">
          <cell r="C234" t="str">
            <v>GAMERO, ROSEANNE</v>
          </cell>
          <cell r="D234">
            <v>15456</v>
          </cell>
        </row>
        <row r="235">
          <cell r="C235" t="str">
            <v>GARCIA, ADRIANA</v>
          </cell>
          <cell r="D235">
            <v>11256</v>
          </cell>
        </row>
        <row r="236">
          <cell r="C236" t="str">
            <v>GARCIA, CARLA</v>
          </cell>
          <cell r="D236">
            <v>18565</v>
          </cell>
        </row>
        <row r="237">
          <cell r="C237" t="str">
            <v>GARCIA, CHRISTOPHER</v>
          </cell>
          <cell r="D237">
            <v>18871</v>
          </cell>
        </row>
        <row r="238">
          <cell r="C238" t="str">
            <v>GARCIA, MARIA</v>
          </cell>
          <cell r="D238">
            <v>18376</v>
          </cell>
        </row>
        <row r="239">
          <cell r="C239" t="str">
            <v>GARCIA, MICHELLE</v>
          </cell>
          <cell r="D239">
            <v>16716</v>
          </cell>
        </row>
        <row r="240">
          <cell r="C240" t="str">
            <v>GARLITOS, TERRI</v>
          </cell>
          <cell r="D240">
            <v>15000</v>
          </cell>
        </row>
        <row r="241">
          <cell r="C241" t="str">
            <v>GARRISON, TONI</v>
          </cell>
          <cell r="D241">
            <v>17530</v>
          </cell>
        </row>
        <row r="242">
          <cell r="C242" t="str">
            <v>GARZA, ALEJANDRA</v>
          </cell>
          <cell r="D242">
            <v>17961</v>
          </cell>
        </row>
        <row r="243">
          <cell r="C243" t="str">
            <v>GARZA, ANTHONY</v>
          </cell>
          <cell r="D243">
            <v>17925</v>
          </cell>
        </row>
        <row r="244">
          <cell r="C244" t="str">
            <v>GARZA, BRAYLA</v>
          </cell>
          <cell r="D244">
            <v>18535</v>
          </cell>
        </row>
        <row r="245">
          <cell r="C245" t="str">
            <v>GARZA, ELIZABETH</v>
          </cell>
          <cell r="D245">
            <v>18559</v>
          </cell>
        </row>
        <row r="246">
          <cell r="C246" t="str">
            <v>GARZA, ERICK</v>
          </cell>
          <cell r="D246">
            <v>18599</v>
          </cell>
        </row>
        <row r="247">
          <cell r="C247" t="str">
            <v>GARZA, GEOFFREY</v>
          </cell>
          <cell r="D247">
            <v>17445</v>
          </cell>
        </row>
        <row r="248">
          <cell r="C248" t="str">
            <v>GARZA, JASMIN</v>
          </cell>
          <cell r="D248">
            <v>18856</v>
          </cell>
        </row>
        <row r="249">
          <cell r="C249" t="str">
            <v>GARZA, MARCIA</v>
          </cell>
          <cell r="D249">
            <v>16632</v>
          </cell>
        </row>
        <row r="250">
          <cell r="C250" t="str">
            <v>GARZA, VENESSA</v>
          </cell>
          <cell r="D250">
            <v>15830</v>
          </cell>
        </row>
        <row r="251">
          <cell r="C251" t="str">
            <v>GASPARD, JEFFREY</v>
          </cell>
          <cell r="D251">
            <v>17071</v>
          </cell>
        </row>
        <row r="252">
          <cell r="C252" t="str">
            <v>GAZELAS, DIMITRI</v>
          </cell>
          <cell r="D252">
            <v>15662</v>
          </cell>
        </row>
        <row r="253">
          <cell r="C253" t="str">
            <v>GEEGAN, GISELLE</v>
          </cell>
          <cell r="D253">
            <v>18680</v>
          </cell>
        </row>
        <row r="254">
          <cell r="C254" t="str">
            <v>GILDERSLEEVE, TAWNYA</v>
          </cell>
          <cell r="D254">
            <v>17869</v>
          </cell>
        </row>
        <row r="255">
          <cell r="C255" t="str">
            <v>GILSHENAN, OCTAVIA</v>
          </cell>
          <cell r="D255">
            <v>18414</v>
          </cell>
        </row>
        <row r="256">
          <cell r="C256" t="str">
            <v>GLOVER, CHARDAE</v>
          </cell>
          <cell r="D256">
            <v>18501</v>
          </cell>
        </row>
        <row r="257">
          <cell r="C257" t="str">
            <v>GLOVER, KIMBERLY</v>
          </cell>
          <cell r="D257">
            <v>14512</v>
          </cell>
        </row>
        <row r="258">
          <cell r="C258" t="str">
            <v>GODINEZ, LESLY</v>
          </cell>
          <cell r="D258">
            <v>17547</v>
          </cell>
        </row>
        <row r="259">
          <cell r="C259" t="str">
            <v>GOMEZ, CATALINA</v>
          </cell>
          <cell r="D259">
            <v>17900</v>
          </cell>
        </row>
        <row r="260">
          <cell r="C260" t="str">
            <v>GOMEZ, STEPHANIE</v>
          </cell>
          <cell r="D260">
            <v>17400</v>
          </cell>
        </row>
        <row r="261">
          <cell r="C261" t="str">
            <v>GONZALES, ANA</v>
          </cell>
          <cell r="D261">
            <v>18992</v>
          </cell>
        </row>
        <row r="262">
          <cell r="C262" t="str">
            <v>GONZALEZ, CYNTHIA</v>
          </cell>
          <cell r="D262">
            <v>18232</v>
          </cell>
        </row>
        <row r="263">
          <cell r="C263" t="str">
            <v>GONZALEZ, KAREN</v>
          </cell>
          <cell r="D263">
            <v>16277</v>
          </cell>
        </row>
        <row r="264">
          <cell r="C264" t="str">
            <v>GONZALEZ, MAYRA</v>
          </cell>
          <cell r="D264">
            <v>18896</v>
          </cell>
        </row>
        <row r="265">
          <cell r="C265" t="str">
            <v>GONZALEZ BERT, MANUEL</v>
          </cell>
          <cell r="D265">
            <v>14163</v>
          </cell>
        </row>
        <row r="266">
          <cell r="C266" t="str">
            <v>GORDON, RONDA</v>
          </cell>
          <cell r="D266">
            <v>18440</v>
          </cell>
        </row>
        <row r="267">
          <cell r="C267" t="str">
            <v>GOUARD, TOSHIRA</v>
          </cell>
          <cell r="D267">
            <v>18496</v>
          </cell>
        </row>
        <row r="268">
          <cell r="C268" t="str">
            <v>GOUGISHA, AMANDA</v>
          </cell>
          <cell r="D268">
            <v>17422</v>
          </cell>
        </row>
        <row r="269">
          <cell r="C269" t="str">
            <v>GRAHAM, VONCILE</v>
          </cell>
          <cell r="D269">
            <v>18844</v>
          </cell>
        </row>
        <row r="270">
          <cell r="C270" t="str">
            <v>GRAY, DEIRDRE</v>
          </cell>
          <cell r="D270">
            <v>10594</v>
          </cell>
        </row>
        <row r="271">
          <cell r="C271" t="str">
            <v>GRAY, MEGAN</v>
          </cell>
          <cell r="D271">
            <v>16647</v>
          </cell>
        </row>
        <row r="272">
          <cell r="C272" t="str">
            <v>GRAY, MONIQUE</v>
          </cell>
          <cell r="D272">
            <v>15867</v>
          </cell>
        </row>
        <row r="273">
          <cell r="C273" t="str">
            <v>GREEN, ALLENIQUE</v>
          </cell>
          <cell r="D273">
            <v>17119</v>
          </cell>
        </row>
        <row r="274">
          <cell r="C274" t="str">
            <v>GREEN, SHAWANNA</v>
          </cell>
          <cell r="D274">
            <v>16064</v>
          </cell>
        </row>
        <row r="275">
          <cell r="C275" t="str">
            <v>GREENE, NATASHA</v>
          </cell>
          <cell r="D275">
            <v>15380</v>
          </cell>
        </row>
        <row r="276">
          <cell r="C276" t="str">
            <v>GREER, BRIAN</v>
          </cell>
          <cell r="D276">
            <v>18925</v>
          </cell>
        </row>
        <row r="277">
          <cell r="C277" t="str">
            <v>GUEARY, KAILA</v>
          </cell>
          <cell r="D277">
            <v>16457</v>
          </cell>
        </row>
        <row r="278">
          <cell r="C278" t="str">
            <v>GUERRERO ORDONEZ, ALDA</v>
          </cell>
          <cell r="D278">
            <v>16877</v>
          </cell>
        </row>
        <row r="279">
          <cell r="C279" t="str">
            <v>GUIDRY, REBECCA</v>
          </cell>
          <cell r="D279">
            <v>17061</v>
          </cell>
        </row>
        <row r="280">
          <cell r="C280" t="str">
            <v>GUILLORY, CHRISTINA</v>
          </cell>
          <cell r="D280">
            <v>15728</v>
          </cell>
        </row>
        <row r="281">
          <cell r="C281" t="str">
            <v>GUILLORY, ROBYN</v>
          </cell>
          <cell r="D281">
            <v>17067</v>
          </cell>
        </row>
        <row r="282">
          <cell r="C282" t="str">
            <v>GUINTO, JOSEPH</v>
          </cell>
          <cell r="D282">
            <v>10094</v>
          </cell>
        </row>
        <row r="283">
          <cell r="C283" t="str">
            <v>HALL, CHAZ</v>
          </cell>
          <cell r="D283">
            <v>18519</v>
          </cell>
        </row>
        <row r="284">
          <cell r="C284" t="str">
            <v>HAMILTON, RENESHA</v>
          </cell>
          <cell r="D284">
            <v>18914</v>
          </cell>
        </row>
        <row r="285">
          <cell r="C285" t="str">
            <v>HAMILTON, SHAMEKA</v>
          </cell>
          <cell r="D285">
            <v>11515</v>
          </cell>
        </row>
        <row r="286">
          <cell r="C286" t="str">
            <v>HAMILTON-GREEN, SHANICE</v>
          </cell>
          <cell r="D286">
            <v>17874</v>
          </cell>
        </row>
        <row r="287">
          <cell r="C287" t="str">
            <v>HARDIN, BETINNA</v>
          </cell>
          <cell r="D287">
            <v>18851</v>
          </cell>
        </row>
        <row r="288">
          <cell r="C288" t="str">
            <v>HARDY, CHAUNTE</v>
          </cell>
          <cell r="D288">
            <v>13512</v>
          </cell>
        </row>
        <row r="289">
          <cell r="C289" t="str">
            <v>HARDY, TRAMESHA</v>
          </cell>
          <cell r="D289">
            <v>18629</v>
          </cell>
        </row>
        <row r="290">
          <cell r="C290" t="str">
            <v>HARMON WELCH, KIMBERLY</v>
          </cell>
          <cell r="D290">
            <v>19080</v>
          </cell>
        </row>
        <row r="291">
          <cell r="C291" t="str">
            <v>HARPER, WILLAZNARD</v>
          </cell>
          <cell r="D291">
            <v>18986</v>
          </cell>
        </row>
        <row r="292">
          <cell r="C292" t="str">
            <v>HARRIS, ANNIE</v>
          </cell>
          <cell r="D292">
            <v>17593</v>
          </cell>
        </row>
        <row r="293">
          <cell r="C293" t="str">
            <v>HARRIS, DAVION</v>
          </cell>
          <cell r="D293">
            <v>18542</v>
          </cell>
        </row>
        <row r="294">
          <cell r="C294" t="str">
            <v>HARRISON, SHANNON</v>
          </cell>
          <cell r="D294">
            <v>18403</v>
          </cell>
        </row>
        <row r="295">
          <cell r="C295" t="str">
            <v>HASTINGS, EMILY</v>
          </cell>
          <cell r="D295">
            <v>18823</v>
          </cell>
        </row>
        <row r="296">
          <cell r="C296" t="str">
            <v>HAUCH, GEOFFREY</v>
          </cell>
          <cell r="D296">
            <v>16762</v>
          </cell>
        </row>
        <row r="297">
          <cell r="C297" t="str">
            <v>HAYDEN, ARISSA</v>
          </cell>
          <cell r="D297">
            <v>16768</v>
          </cell>
        </row>
        <row r="298">
          <cell r="C298" t="str">
            <v>HAYNES, EBONI</v>
          </cell>
          <cell r="D298">
            <v>16242</v>
          </cell>
        </row>
        <row r="299">
          <cell r="C299" t="str">
            <v>HAYNES, JAKEISHA</v>
          </cell>
          <cell r="D299">
            <v>18991</v>
          </cell>
        </row>
        <row r="300">
          <cell r="C300" t="str">
            <v>HEALEY, JAMES</v>
          </cell>
          <cell r="D300">
            <v>17916</v>
          </cell>
        </row>
        <row r="301">
          <cell r="C301" t="str">
            <v>HEINTZE, FRANCINE</v>
          </cell>
          <cell r="D301">
            <v>18854</v>
          </cell>
        </row>
        <row r="302">
          <cell r="C302" t="str">
            <v>HELMS, CALEB</v>
          </cell>
          <cell r="D302">
            <v>18869</v>
          </cell>
        </row>
        <row r="303">
          <cell r="C303" t="str">
            <v>HENDERSON, ASHLEY</v>
          </cell>
          <cell r="D303">
            <v>18916</v>
          </cell>
        </row>
        <row r="304">
          <cell r="C304" t="str">
            <v>HENDERSON, KARLA</v>
          </cell>
          <cell r="D304">
            <v>18931</v>
          </cell>
        </row>
        <row r="305">
          <cell r="C305" t="str">
            <v>HENDERSON, NATASHIA</v>
          </cell>
          <cell r="D305">
            <v>18962</v>
          </cell>
        </row>
        <row r="306">
          <cell r="C306" t="str">
            <v>HENSLEY, ELODIE</v>
          </cell>
          <cell r="D306">
            <v>18864</v>
          </cell>
        </row>
        <row r="307">
          <cell r="C307" t="str">
            <v>HENSLEY, LAURA</v>
          </cell>
          <cell r="D307">
            <v>11359</v>
          </cell>
        </row>
        <row r="308">
          <cell r="C308" t="str">
            <v>HERNANDEZ, ANA</v>
          </cell>
          <cell r="D308">
            <v>19023</v>
          </cell>
        </row>
        <row r="309">
          <cell r="C309" t="str">
            <v>HERNANDEZ, BLANCA</v>
          </cell>
          <cell r="D309">
            <v>14896</v>
          </cell>
        </row>
        <row r="310">
          <cell r="C310" t="str">
            <v>HERNANDEZ, BRIANNA</v>
          </cell>
          <cell r="D310">
            <v>18386</v>
          </cell>
        </row>
        <row r="311">
          <cell r="C311" t="str">
            <v>HERRAR, TENESHA</v>
          </cell>
          <cell r="D311">
            <v>18431</v>
          </cell>
        </row>
        <row r="312">
          <cell r="C312" t="str">
            <v>HERRERA, STEPHANIE</v>
          </cell>
          <cell r="D312">
            <v>15143</v>
          </cell>
        </row>
        <row r="313">
          <cell r="C313" t="str">
            <v>HERRERA, SUSANA</v>
          </cell>
          <cell r="D313">
            <v>17090</v>
          </cell>
        </row>
        <row r="314">
          <cell r="C314" t="str">
            <v>HERRON, NATALIE</v>
          </cell>
          <cell r="D314">
            <v>18831</v>
          </cell>
        </row>
        <row r="315">
          <cell r="C315" t="str">
            <v>HICKS, ANISHA</v>
          </cell>
          <cell r="D315">
            <v>13348</v>
          </cell>
        </row>
        <row r="316">
          <cell r="C316" t="str">
            <v>HIGH, DAVID</v>
          </cell>
          <cell r="D316">
            <v>16605</v>
          </cell>
        </row>
        <row r="317">
          <cell r="C317" t="str">
            <v>HIGHTOWER, SHARA</v>
          </cell>
          <cell r="D317">
            <v>14419</v>
          </cell>
        </row>
        <row r="318">
          <cell r="C318" t="str">
            <v>HINOJOSA, BRENDA</v>
          </cell>
          <cell r="D318">
            <v>14071</v>
          </cell>
        </row>
        <row r="319">
          <cell r="C319" t="str">
            <v>HOBBS, WHITNEY</v>
          </cell>
          <cell r="D319">
            <v>18523</v>
          </cell>
        </row>
        <row r="320">
          <cell r="C320" t="str">
            <v>HODGE, FREDERICK</v>
          </cell>
          <cell r="D320">
            <v>14554</v>
          </cell>
        </row>
        <row r="321">
          <cell r="C321" t="str">
            <v>HOFFMAN, EVAN</v>
          </cell>
          <cell r="D321">
            <v>18507</v>
          </cell>
        </row>
        <row r="322">
          <cell r="C322" t="str">
            <v>HOKE, JUSTINE</v>
          </cell>
          <cell r="D322">
            <v>17878</v>
          </cell>
        </row>
        <row r="323">
          <cell r="C323" t="str">
            <v>HOLIDAY, CANDACE</v>
          </cell>
          <cell r="D323">
            <v>14070</v>
          </cell>
        </row>
        <row r="324">
          <cell r="C324" t="str">
            <v>HOLLOWAY, WARREN</v>
          </cell>
          <cell r="D324">
            <v>16800</v>
          </cell>
        </row>
        <row r="325">
          <cell r="C325" t="str">
            <v>HOLMAN-MARES, TAMMETTA</v>
          </cell>
          <cell r="D325">
            <v>16767</v>
          </cell>
        </row>
        <row r="326">
          <cell r="C326" t="str">
            <v>HOLMES, MELANIE</v>
          </cell>
          <cell r="D326">
            <v>14593</v>
          </cell>
        </row>
        <row r="327">
          <cell r="C327" t="str">
            <v>HOLT, JESSICA</v>
          </cell>
          <cell r="D327">
            <v>10342</v>
          </cell>
        </row>
        <row r="328">
          <cell r="C328" t="str">
            <v>HOLT, JOSHUA</v>
          </cell>
          <cell r="D328">
            <v>12654</v>
          </cell>
        </row>
        <row r="329">
          <cell r="C329" t="str">
            <v>HOLT, STACY</v>
          </cell>
          <cell r="D329">
            <v>12458</v>
          </cell>
        </row>
        <row r="330">
          <cell r="C330" t="str">
            <v>HOMEBOUND, OFF-SITE</v>
          </cell>
          <cell r="D330" t="str">
            <v xml:space="preserve"> </v>
          </cell>
        </row>
        <row r="331">
          <cell r="C331" t="str">
            <v>HOOD, TAHGI</v>
          </cell>
          <cell r="D331">
            <v>18456</v>
          </cell>
        </row>
        <row r="332">
          <cell r="C332" t="str">
            <v>HOPE, HOUSTON</v>
          </cell>
          <cell r="D332">
            <v>14132</v>
          </cell>
        </row>
        <row r="333">
          <cell r="C333" t="str">
            <v>HOPKINS, BRIANA</v>
          </cell>
          <cell r="D333">
            <v>17942</v>
          </cell>
        </row>
        <row r="334">
          <cell r="C334" t="str">
            <v>HOUSTON, DENISHA</v>
          </cell>
          <cell r="D334">
            <v>17435</v>
          </cell>
        </row>
        <row r="335">
          <cell r="C335" t="str">
            <v>HOWARD, KIMBERLEY</v>
          </cell>
          <cell r="D335">
            <v>18874</v>
          </cell>
        </row>
        <row r="336">
          <cell r="C336" t="str">
            <v>HOWARD, MARK</v>
          </cell>
          <cell r="D336">
            <v>18903</v>
          </cell>
        </row>
        <row r="337">
          <cell r="C337" t="str">
            <v>HOWARD, SHERI</v>
          </cell>
          <cell r="D337">
            <v>13276</v>
          </cell>
        </row>
        <row r="338">
          <cell r="C338" t="str">
            <v>HOWARD, TRACIE</v>
          </cell>
          <cell r="D338">
            <v>10062</v>
          </cell>
        </row>
        <row r="339">
          <cell r="C339" t="str">
            <v>HOWELL, DOMINIQUE</v>
          </cell>
          <cell r="D339">
            <v>18876</v>
          </cell>
        </row>
        <row r="340">
          <cell r="C340" t="str">
            <v>HUDSON, SHEARONE</v>
          </cell>
          <cell r="D340">
            <v>14514</v>
          </cell>
        </row>
        <row r="341">
          <cell r="C341" t="str">
            <v>HUNTER-BOLDEN, ASHLEY</v>
          </cell>
          <cell r="D341">
            <v>18473</v>
          </cell>
        </row>
        <row r="342">
          <cell r="C342" t="str">
            <v>HURST, JONATHAN</v>
          </cell>
          <cell r="D342">
            <v>14464</v>
          </cell>
        </row>
        <row r="343">
          <cell r="C343" t="str">
            <v>HUTCHINSON, TWILA</v>
          </cell>
          <cell r="D343">
            <v>16711</v>
          </cell>
        </row>
        <row r="344">
          <cell r="C344" t="str">
            <v>HYACINTH, WILLIAM</v>
          </cell>
          <cell r="D344">
            <v>17305</v>
          </cell>
        </row>
        <row r="345">
          <cell r="C345" t="str">
            <v>HYMON, JEREA</v>
          </cell>
          <cell r="D345">
            <v>15517</v>
          </cell>
        </row>
        <row r="346">
          <cell r="C346" t="str">
            <v>IRCHIRL, SHAUN</v>
          </cell>
          <cell r="D346">
            <v>18974</v>
          </cell>
        </row>
        <row r="347">
          <cell r="C347" t="str">
            <v>IRFAN, SAJID</v>
          </cell>
          <cell r="D347">
            <v>17151</v>
          </cell>
        </row>
        <row r="348">
          <cell r="C348" t="str">
            <v>IRVIN, TEIYONIKE</v>
          </cell>
          <cell r="D348">
            <v>14936</v>
          </cell>
        </row>
        <row r="349">
          <cell r="C349" t="str">
            <v>JACKSON, ALETHEA</v>
          </cell>
          <cell r="D349">
            <v>14848</v>
          </cell>
        </row>
        <row r="350">
          <cell r="C350" t="str">
            <v>JACKSON, ERNESTINE</v>
          </cell>
          <cell r="D350">
            <v>14515</v>
          </cell>
        </row>
        <row r="351">
          <cell r="C351" t="str">
            <v>JACKSON, GREGORY</v>
          </cell>
          <cell r="D351">
            <v>18740</v>
          </cell>
        </row>
        <row r="352">
          <cell r="C352" t="str">
            <v>JACKSON, LASHON</v>
          </cell>
          <cell r="D352">
            <v>17069</v>
          </cell>
        </row>
        <row r="353">
          <cell r="C353" t="str">
            <v>JACKSON, MARCY</v>
          </cell>
          <cell r="D353">
            <v>16622</v>
          </cell>
        </row>
        <row r="354">
          <cell r="C354" t="str">
            <v>JACKSON-HUDSON, ALEXIA</v>
          </cell>
          <cell r="D354">
            <v>18311</v>
          </cell>
        </row>
        <row r="355">
          <cell r="C355" t="str">
            <v>JACOBS, DEANDRA</v>
          </cell>
          <cell r="D355">
            <v>14732</v>
          </cell>
        </row>
        <row r="356">
          <cell r="C356" t="str">
            <v>JACOBS, EDITH</v>
          </cell>
          <cell r="D356">
            <v>18109</v>
          </cell>
        </row>
        <row r="357">
          <cell r="C357" t="str">
            <v>JACQUET, AH-KEE-SHA</v>
          </cell>
          <cell r="D357">
            <v>18950</v>
          </cell>
        </row>
        <row r="358">
          <cell r="C358" t="str">
            <v>JAMES, DENISSIA</v>
          </cell>
          <cell r="D358">
            <v>17351</v>
          </cell>
        </row>
        <row r="359">
          <cell r="C359" t="str">
            <v>JAMES, LASHANDA</v>
          </cell>
          <cell r="D359">
            <v>16671</v>
          </cell>
        </row>
        <row r="360">
          <cell r="C360" t="str">
            <v>JARREAU, REGINA</v>
          </cell>
          <cell r="D360">
            <v>18056</v>
          </cell>
        </row>
        <row r="361">
          <cell r="C361" t="str">
            <v>JASSO, PRINCESS</v>
          </cell>
          <cell r="D361">
            <v>14987</v>
          </cell>
        </row>
        <row r="362">
          <cell r="C362" t="str">
            <v>JEFFERSON LAVAN, DIZTORSHA</v>
          </cell>
          <cell r="D362">
            <v>18411</v>
          </cell>
        </row>
        <row r="363">
          <cell r="C363" t="str">
            <v>JENKINS, ERICA</v>
          </cell>
          <cell r="D363">
            <v>18412</v>
          </cell>
        </row>
        <row r="364">
          <cell r="C364" t="str">
            <v>JENKINS, SARAH</v>
          </cell>
          <cell r="D364">
            <v>18825</v>
          </cell>
        </row>
        <row r="365">
          <cell r="C365" t="str">
            <v>JIMENEZ, JONATHAN</v>
          </cell>
          <cell r="D365">
            <v>18462</v>
          </cell>
        </row>
        <row r="366">
          <cell r="C366" t="str">
            <v>JOBE, CHERELLE</v>
          </cell>
          <cell r="D366">
            <v>18044</v>
          </cell>
        </row>
        <row r="367">
          <cell r="C367" t="str">
            <v>JOHNS, KAYSHA</v>
          </cell>
          <cell r="D367">
            <v>16412</v>
          </cell>
        </row>
        <row r="368">
          <cell r="C368" t="str">
            <v>JOHNSON, FELICIA</v>
          </cell>
          <cell r="D368">
            <v>17423</v>
          </cell>
        </row>
        <row r="369">
          <cell r="C369" t="str">
            <v>JOHNSON, GABRIELLE</v>
          </cell>
          <cell r="D369">
            <v>16193</v>
          </cell>
        </row>
        <row r="370">
          <cell r="C370" t="str">
            <v>JOHNSON, KENDRALYN</v>
          </cell>
          <cell r="D370">
            <v>18390</v>
          </cell>
        </row>
        <row r="371">
          <cell r="C371" t="str">
            <v>JOHNSON, LATOYA</v>
          </cell>
          <cell r="D371">
            <v>10374</v>
          </cell>
        </row>
        <row r="372">
          <cell r="C372" t="str">
            <v>JOHNSON, MADELINE</v>
          </cell>
          <cell r="D372">
            <v>12652</v>
          </cell>
        </row>
        <row r="373">
          <cell r="C373" t="str">
            <v>JOHNSON, PRECIOUS</v>
          </cell>
          <cell r="D373">
            <v>18549</v>
          </cell>
        </row>
        <row r="374">
          <cell r="C374" t="str">
            <v>JOHNSON, RAQUEL</v>
          </cell>
          <cell r="D374">
            <v>17821</v>
          </cell>
        </row>
        <row r="375">
          <cell r="C375" t="str">
            <v>JOHNSON, SARA</v>
          </cell>
          <cell r="D375">
            <v>14998</v>
          </cell>
        </row>
        <row r="376">
          <cell r="C376" t="str">
            <v>JOHNSON, TASHAUNNA</v>
          </cell>
          <cell r="D376">
            <v>18850</v>
          </cell>
        </row>
        <row r="377">
          <cell r="C377" t="str">
            <v>JOHNSON, VANETTA</v>
          </cell>
          <cell r="D377">
            <v>18047</v>
          </cell>
        </row>
        <row r="378">
          <cell r="C378" t="str">
            <v>JOHNSON HARRIS, JONAE</v>
          </cell>
          <cell r="D378">
            <v>14758</v>
          </cell>
        </row>
        <row r="379">
          <cell r="C379" t="str">
            <v>JOINER, LEXIS</v>
          </cell>
          <cell r="D379">
            <v>18819</v>
          </cell>
        </row>
        <row r="380">
          <cell r="C380" t="str">
            <v>JONES, AJA</v>
          </cell>
          <cell r="D380">
            <v>18361</v>
          </cell>
        </row>
        <row r="381">
          <cell r="C381" t="str">
            <v>JONES, CHRISTOPHER</v>
          </cell>
          <cell r="D381">
            <v>10525</v>
          </cell>
        </row>
        <row r="382">
          <cell r="C382" t="str">
            <v>JONES, CRAIG</v>
          </cell>
          <cell r="D382">
            <v>17054</v>
          </cell>
        </row>
        <row r="383">
          <cell r="C383" t="str">
            <v>JONES, NATASHA</v>
          </cell>
          <cell r="D383">
            <v>18975</v>
          </cell>
        </row>
        <row r="384">
          <cell r="C384" t="str">
            <v>JONES, PAULA</v>
          </cell>
          <cell r="D384">
            <v>17160</v>
          </cell>
        </row>
        <row r="385">
          <cell r="C385" t="str">
            <v>JONES, ROBYN</v>
          </cell>
          <cell r="D385">
            <v>10626</v>
          </cell>
        </row>
        <row r="386">
          <cell r="C386" t="str">
            <v>JONES, TYLISHA</v>
          </cell>
          <cell r="D386">
            <v>16148</v>
          </cell>
        </row>
        <row r="387">
          <cell r="C387" t="str">
            <v>JONES, VARSHA</v>
          </cell>
          <cell r="D387">
            <v>15987</v>
          </cell>
        </row>
        <row r="388">
          <cell r="C388" t="str">
            <v>JORDAN, FELISHI</v>
          </cell>
          <cell r="D388">
            <v>18892</v>
          </cell>
        </row>
        <row r="389">
          <cell r="C389" t="str">
            <v>JORDAN SIMS, DESTANY</v>
          </cell>
          <cell r="D389">
            <v>18027</v>
          </cell>
        </row>
        <row r="390">
          <cell r="C390" t="str">
            <v>JORGENSEN, JOANNA</v>
          </cell>
          <cell r="D390">
            <v>13426</v>
          </cell>
        </row>
        <row r="391">
          <cell r="C391" t="str">
            <v>JOSEPH, KAREN</v>
          </cell>
          <cell r="D391">
            <v>15820</v>
          </cell>
        </row>
        <row r="392">
          <cell r="C392" t="str">
            <v>KASSA, LYDIA</v>
          </cell>
          <cell r="D392">
            <v>18448</v>
          </cell>
        </row>
        <row r="393">
          <cell r="C393" t="str">
            <v>KEELING, KIANNA</v>
          </cell>
          <cell r="D393">
            <v>13551</v>
          </cell>
        </row>
        <row r="394">
          <cell r="C394" t="str">
            <v>KEESEE, AARON</v>
          </cell>
          <cell r="D394">
            <v>17085</v>
          </cell>
        </row>
        <row r="395">
          <cell r="C395" t="str">
            <v>KEGLER, CAMERON</v>
          </cell>
          <cell r="D395">
            <v>18589</v>
          </cell>
        </row>
        <row r="396">
          <cell r="C396" t="str">
            <v>KELLY, LESLIE</v>
          </cell>
          <cell r="D396">
            <v>12068</v>
          </cell>
        </row>
        <row r="397">
          <cell r="C397" t="str">
            <v>KELLY, RAQUEL</v>
          </cell>
          <cell r="D397">
            <v>18845</v>
          </cell>
        </row>
        <row r="398">
          <cell r="C398" t="str">
            <v>KENNEDY, LAHOIA</v>
          </cell>
          <cell r="D398">
            <v>17172</v>
          </cell>
        </row>
        <row r="399">
          <cell r="C399" t="str">
            <v>KENNEY, JENNIFER</v>
          </cell>
          <cell r="D399">
            <v>17932</v>
          </cell>
        </row>
        <row r="400">
          <cell r="C400" t="str">
            <v>KERN, HILLARY</v>
          </cell>
          <cell r="D400">
            <v>10128</v>
          </cell>
        </row>
        <row r="401">
          <cell r="C401" t="str">
            <v>KIMBLE, MISSIE</v>
          </cell>
          <cell r="D401">
            <v>15329</v>
          </cell>
        </row>
        <row r="402">
          <cell r="C402" t="str">
            <v>KING, BARRY</v>
          </cell>
          <cell r="D402">
            <v>11839</v>
          </cell>
        </row>
        <row r="403">
          <cell r="C403" t="str">
            <v>KING, CARLTON</v>
          </cell>
          <cell r="D403">
            <v>15030</v>
          </cell>
        </row>
        <row r="404">
          <cell r="C404" t="str">
            <v>KING, NATALIE</v>
          </cell>
          <cell r="D404">
            <v>15336</v>
          </cell>
        </row>
        <row r="405">
          <cell r="C405" t="str">
            <v>KISER, DAISHA</v>
          </cell>
          <cell r="D405">
            <v>17391</v>
          </cell>
        </row>
        <row r="406">
          <cell r="C406" t="str">
            <v>KOHNHORST, RACHEL</v>
          </cell>
          <cell r="D406">
            <v>18987</v>
          </cell>
        </row>
        <row r="407">
          <cell r="C407" t="str">
            <v>LACY, JEANNE</v>
          </cell>
          <cell r="D407">
            <v>11891</v>
          </cell>
        </row>
        <row r="408">
          <cell r="C408" t="str">
            <v>LACY, TINA</v>
          </cell>
          <cell r="D408">
            <v>14782</v>
          </cell>
        </row>
        <row r="409">
          <cell r="C409" t="str">
            <v>LANDEROS, GABRIELLE</v>
          </cell>
          <cell r="D409">
            <v>18862</v>
          </cell>
        </row>
        <row r="410">
          <cell r="C410" t="str">
            <v>LANGLEY, AMANDA</v>
          </cell>
          <cell r="D410">
            <v>12309</v>
          </cell>
        </row>
        <row r="411">
          <cell r="C411" t="str">
            <v>LARA, JESSICA</v>
          </cell>
          <cell r="D411">
            <v>17084</v>
          </cell>
        </row>
        <row r="412">
          <cell r="C412" t="str">
            <v>LARA, JOSE</v>
          </cell>
          <cell r="D412">
            <v>18009</v>
          </cell>
        </row>
        <row r="413">
          <cell r="C413" t="str">
            <v>LAXEN, CORY</v>
          </cell>
          <cell r="D413">
            <v>17806</v>
          </cell>
        </row>
        <row r="414">
          <cell r="C414" t="str">
            <v>LEA, DAVID</v>
          </cell>
          <cell r="D414">
            <v>16748</v>
          </cell>
        </row>
        <row r="415">
          <cell r="C415" t="str">
            <v>LEAL, GLORIA</v>
          </cell>
          <cell r="D415">
            <v>17345</v>
          </cell>
        </row>
        <row r="416">
          <cell r="C416" t="str">
            <v>LEDEZMA, JACKLINE</v>
          </cell>
          <cell r="D416">
            <v>17941</v>
          </cell>
        </row>
        <row r="417">
          <cell r="C417" t="str">
            <v>LEE, DEVIN</v>
          </cell>
          <cell r="D417">
            <v>19022</v>
          </cell>
        </row>
        <row r="418">
          <cell r="C418" t="str">
            <v>LEE, REGINALD</v>
          </cell>
          <cell r="D418">
            <v>18389</v>
          </cell>
        </row>
        <row r="419">
          <cell r="C419" t="str">
            <v>LEE, TOLENIA</v>
          </cell>
          <cell r="D419">
            <v>16758</v>
          </cell>
        </row>
        <row r="420">
          <cell r="C420" t="str">
            <v>LEMMON, TRICIA</v>
          </cell>
          <cell r="D420">
            <v>18415</v>
          </cell>
        </row>
        <row r="421">
          <cell r="C421" t="str">
            <v>LEMON, TAWANA</v>
          </cell>
          <cell r="D421">
            <v>18951</v>
          </cell>
        </row>
        <row r="422">
          <cell r="C422" t="str">
            <v>LERMA, MANUEL</v>
          </cell>
          <cell r="D422">
            <v>17040</v>
          </cell>
        </row>
        <row r="423">
          <cell r="C423" t="str">
            <v>LEVER, KATHLEEN</v>
          </cell>
          <cell r="D423">
            <v>14626</v>
          </cell>
        </row>
        <row r="424">
          <cell r="C424" t="str">
            <v>LEWIS, AHLON</v>
          </cell>
          <cell r="D424">
            <v>13326</v>
          </cell>
        </row>
        <row r="425">
          <cell r="C425" t="str">
            <v>LEWIS, JAMAAL</v>
          </cell>
          <cell r="D425">
            <v>18343</v>
          </cell>
        </row>
        <row r="426">
          <cell r="C426" t="str">
            <v>LEZAMA, MARIA</v>
          </cell>
          <cell r="D426">
            <v>13866</v>
          </cell>
        </row>
        <row r="427">
          <cell r="C427" t="str">
            <v>LITTLE, JESSICA</v>
          </cell>
          <cell r="D427">
            <v>12414</v>
          </cell>
        </row>
        <row r="428">
          <cell r="C428" t="str">
            <v>LOGAN, KAREN</v>
          </cell>
          <cell r="D428">
            <v>15384</v>
          </cell>
        </row>
        <row r="429">
          <cell r="C429" t="str">
            <v>LONGORIA, LAURA</v>
          </cell>
          <cell r="D429">
            <v>14087</v>
          </cell>
        </row>
        <row r="430">
          <cell r="C430" t="str">
            <v>LONGORIA-HERNANDEZ, OMAR</v>
          </cell>
          <cell r="D430">
            <v>17338</v>
          </cell>
        </row>
        <row r="431">
          <cell r="C431" t="str">
            <v>LONGORIA-MATA, MARA</v>
          </cell>
          <cell r="D431">
            <v>10488</v>
          </cell>
        </row>
        <row r="432">
          <cell r="C432" t="str">
            <v>LOPEZ, ADRIANA</v>
          </cell>
          <cell r="D432">
            <v>16648</v>
          </cell>
        </row>
        <row r="433">
          <cell r="C433" t="str">
            <v>LOPEZ, GLENDA</v>
          </cell>
          <cell r="D433">
            <v>15872</v>
          </cell>
        </row>
        <row r="434">
          <cell r="C434" t="str">
            <v>LOPEZ, MARIA</v>
          </cell>
          <cell r="D434">
            <v>16657</v>
          </cell>
        </row>
        <row r="435">
          <cell r="C435" t="str">
            <v>LOPEZ, RUTH</v>
          </cell>
          <cell r="D435">
            <v>17478</v>
          </cell>
        </row>
        <row r="436">
          <cell r="C436" t="str">
            <v>LOVE, CLARENCE</v>
          </cell>
          <cell r="D436">
            <v>18010</v>
          </cell>
        </row>
        <row r="437">
          <cell r="C437" t="str">
            <v>LOZANO, VERONICA</v>
          </cell>
          <cell r="D437">
            <v>18604</v>
          </cell>
        </row>
        <row r="438">
          <cell r="C438" t="str">
            <v>LUCAS GUERRERO, HEIDI</v>
          </cell>
          <cell r="D438">
            <v>16829</v>
          </cell>
        </row>
        <row r="439">
          <cell r="C439" t="str">
            <v>LUGO, FRANK</v>
          </cell>
          <cell r="D439">
            <v>17082</v>
          </cell>
        </row>
        <row r="440">
          <cell r="C440" t="str">
            <v>LUMPFORD, JOYLANN</v>
          </cell>
          <cell r="D440">
            <v>18548</v>
          </cell>
        </row>
        <row r="441">
          <cell r="C441" t="str">
            <v>LUNA, GABRIELA</v>
          </cell>
          <cell r="D441">
            <v>18932</v>
          </cell>
        </row>
        <row r="442">
          <cell r="C442" t="str">
            <v>LUNA, MONICA</v>
          </cell>
          <cell r="D442">
            <v>18873</v>
          </cell>
        </row>
        <row r="443">
          <cell r="C443" t="str">
            <v>LUNA DE PACHECO, MARIA</v>
          </cell>
          <cell r="D443">
            <v>12280</v>
          </cell>
        </row>
        <row r="444">
          <cell r="C444" t="str">
            <v>LUNDY, TRINA</v>
          </cell>
          <cell r="D444">
            <v>15618</v>
          </cell>
        </row>
        <row r="445">
          <cell r="C445" t="str">
            <v>LUTHER, BROOKE</v>
          </cell>
          <cell r="D445">
            <v>13043</v>
          </cell>
        </row>
        <row r="446">
          <cell r="C446" t="str">
            <v>MALDONADO, VIANCA</v>
          </cell>
          <cell r="D446">
            <v>17912</v>
          </cell>
        </row>
        <row r="447">
          <cell r="C447" t="str">
            <v>MANDELLA, SARAH</v>
          </cell>
          <cell r="D447">
            <v>13867</v>
          </cell>
        </row>
        <row r="448">
          <cell r="C448" t="str">
            <v>MARIN, JOCELIN</v>
          </cell>
          <cell r="D448">
            <v>17917</v>
          </cell>
        </row>
        <row r="449">
          <cell r="C449" t="str">
            <v>MARROQUIN, RAUL</v>
          </cell>
          <cell r="D449">
            <v>12471</v>
          </cell>
        </row>
        <row r="450">
          <cell r="C450" t="str">
            <v>MARTIN, ALEXANDRIA</v>
          </cell>
          <cell r="D450">
            <v>18822</v>
          </cell>
        </row>
        <row r="451">
          <cell r="C451" t="str">
            <v>MARTINEZ, ANGELA</v>
          </cell>
          <cell r="D451">
            <v>17056</v>
          </cell>
        </row>
        <row r="452">
          <cell r="C452" t="str">
            <v>MARTINEZ, BRISA</v>
          </cell>
          <cell r="D452">
            <v>18832</v>
          </cell>
        </row>
        <row r="453">
          <cell r="C453" t="str">
            <v>MARTINEZ, CANDICE</v>
          </cell>
          <cell r="D453">
            <v>18114</v>
          </cell>
        </row>
        <row r="454">
          <cell r="C454" t="str">
            <v>MARTINEZ, GABRIELA</v>
          </cell>
          <cell r="D454">
            <v>18826</v>
          </cell>
        </row>
        <row r="455">
          <cell r="C455" t="str">
            <v>MARTINEZ, MICHELLE</v>
          </cell>
          <cell r="D455">
            <v>11292</v>
          </cell>
        </row>
        <row r="456">
          <cell r="C456" t="str">
            <v>MARTINEZ, VIVIANA</v>
          </cell>
          <cell r="D456">
            <v>17003</v>
          </cell>
        </row>
        <row r="457">
          <cell r="C457" t="str">
            <v>MARTINEZ SALINAS, KARINA</v>
          </cell>
          <cell r="D457">
            <v>18471</v>
          </cell>
        </row>
        <row r="458">
          <cell r="C458" t="str">
            <v>MATTHEWS, CAROL</v>
          </cell>
          <cell r="D458">
            <v>15822</v>
          </cell>
        </row>
        <row r="459">
          <cell r="C459" t="str">
            <v>MATTHEWS, KIMBERLY</v>
          </cell>
          <cell r="D459">
            <v>11137</v>
          </cell>
        </row>
        <row r="460">
          <cell r="C460" t="str">
            <v>MAYS, KELVIN</v>
          </cell>
          <cell r="D460">
            <v>18645</v>
          </cell>
        </row>
        <row r="461">
          <cell r="C461" t="str">
            <v>MCCANN, RYAN</v>
          </cell>
          <cell r="D461">
            <v>14786</v>
          </cell>
        </row>
        <row r="462">
          <cell r="C462" t="str">
            <v>MCCLOSKY, NOLAN</v>
          </cell>
          <cell r="D462">
            <v>15002</v>
          </cell>
        </row>
        <row r="463">
          <cell r="C463" t="str">
            <v>MCCULLUM, CHARLIE</v>
          </cell>
          <cell r="D463">
            <v>17481</v>
          </cell>
        </row>
        <row r="464">
          <cell r="C464" t="str">
            <v>MCDERMOTT, CALLIE</v>
          </cell>
          <cell r="D464">
            <v>15793</v>
          </cell>
        </row>
        <row r="465">
          <cell r="C465" t="str">
            <v>MCDONALD, TAVIA</v>
          </cell>
          <cell r="D465">
            <v>18050</v>
          </cell>
        </row>
        <row r="466">
          <cell r="C466" t="str">
            <v>MCFADYEN, CYNTHIA</v>
          </cell>
          <cell r="D466">
            <v>14570</v>
          </cell>
        </row>
        <row r="467">
          <cell r="C467" t="str">
            <v>MCINTOSH, MARCUS</v>
          </cell>
          <cell r="D467">
            <v>18459</v>
          </cell>
        </row>
        <row r="468">
          <cell r="C468" t="str">
            <v>MCMILLAN, LYNDSEY</v>
          </cell>
          <cell r="D468">
            <v>16189</v>
          </cell>
        </row>
        <row r="469">
          <cell r="C469" t="str">
            <v>MCNEIL, HOLLI</v>
          </cell>
          <cell r="D469">
            <v>18306</v>
          </cell>
        </row>
        <row r="470">
          <cell r="C470" t="str">
            <v>MEARS, YOLIMAR</v>
          </cell>
          <cell r="D470">
            <v>13200</v>
          </cell>
        </row>
        <row r="471">
          <cell r="C471" t="str">
            <v>MEBANE, GAIL</v>
          </cell>
          <cell r="D471">
            <v>18922</v>
          </cell>
        </row>
        <row r="472">
          <cell r="C472" t="str">
            <v>MEDINA KIM, VIANNYS</v>
          </cell>
          <cell r="D472">
            <v>17749</v>
          </cell>
        </row>
        <row r="473">
          <cell r="C473" t="str">
            <v>MEJIA, DORA</v>
          </cell>
          <cell r="D473">
            <v>18861</v>
          </cell>
        </row>
        <row r="474">
          <cell r="C474" t="str">
            <v>MENCHACA, SANDRA</v>
          </cell>
          <cell r="D474">
            <v>13776</v>
          </cell>
        </row>
        <row r="475">
          <cell r="C475" t="str">
            <v>MENDEZ, RODOLFO</v>
          </cell>
          <cell r="D475">
            <v>17094</v>
          </cell>
        </row>
        <row r="476">
          <cell r="C476" t="str">
            <v>MENDOZA, DIANA</v>
          </cell>
          <cell r="D476">
            <v>18999</v>
          </cell>
        </row>
        <row r="477">
          <cell r="C477" t="str">
            <v>MENDOZA, JESSICA</v>
          </cell>
          <cell r="D477">
            <v>17463</v>
          </cell>
        </row>
        <row r="478">
          <cell r="C478" t="str">
            <v>MENN, CONNIE</v>
          </cell>
          <cell r="D478">
            <v>10824</v>
          </cell>
        </row>
        <row r="479">
          <cell r="C479" t="str">
            <v>MERINO, WENDI</v>
          </cell>
          <cell r="D479">
            <v>18450</v>
          </cell>
        </row>
        <row r="480">
          <cell r="C480" t="str">
            <v>MERIWETHER, SARAH</v>
          </cell>
          <cell r="D480">
            <v>18612</v>
          </cell>
        </row>
        <row r="481">
          <cell r="C481" t="str">
            <v>MIDDLETON, BENITA</v>
          </cell>
          <cell r="D481">
            <v>18484</v>
          </cell>
        </row>
        <row r="482">
          <cell r="C482" t="str">
            <v>MIDDLETON, ERIC</v>
          </cell>
          <cell r="D482">
            <v>13545</v>
          </cell>
        </row>
        <row r="483">
          <cell r="C483" t="str">
            <v>MILLER, CARJARIAN</v>
          </cell>
          <cell r="D483">
            <v>17207</v>
          </cell>
        </row>
        <row r="484">
          <cell r="C484" t="str">
            <v>MILLER, JACQUELINE</v>
          </cell>
          <cell r="D484">
            <v>14495</v>
          </cell>
        </row>
        <row r="485">
          <cell r="C485" t="str">
            <v>MILLER, MISHAWN</v>
          </cell>
          <cell r="D485">
            <v>19137</v>
          </cell>
        </row>
        <row r="486">
          <cell r="C486" t="str">
            <v>MILLER, REBECCA</v>
          </cell>
          <cell r="D486">
            <v>19112</v>
          </cell>
        </row>
        <row r="487">
          <cell r="C487" t="str">
            <v>MILLS, SETH</v>
          </cell>
          <cell r="D487">
            <v>15740</v>
          </cell>
        </row>
        <row r="488">
          <cell r="C488" t="str">
            <v>MITCHELL, JANAE</v>
          </cell>
          <cell r="D488">
            <v>18985</v>
          </cell>
        </row>
        <row r="489">
          <cell r="C489" t="str">
            <v>MITCHELL, QIEANA</v>
          </cell>
          <cell r="D489">
            <v>18691</v>
          </cell>
        </row>
        <row r="490">
          <cell r="C490" t="str">
            <v>MITCHELL, WILLIAM</v>
          </cell>
          <cell r="D490">
            <v>18930</v>
          </cell>
        </row>
        <row r="491">
          <cell r="C491" t="str">
            <v>MOBLEY, DAMIEN</v>
          </cell>
          <cell r="D491">
            <v>18388</v>
          </cell>
        </row>
        <row r="492">
          <cell r="C492" t="str">
            <v>MONROY, BIANCA</v>
          </cell>
          <cell r="D492">
            <v>17918</v>
          </cell>
        </row>
        <row r="493">
          <cell r="C493" t="str">
            <v>MONTELONGO, LIZETH</v>
          </cell>
          <cell r="D493">
            <v>18859</v>
          </cell>
        </row>
        <row r="494">
          <cell r="C494" t="str">
            <v>MONTEMAYOR, ELENA</v>
          </cell>
          <cell r="D494">
            <v>12748</v>
          </cell>
        </row>
        <row r="495">
          <cell r="C495" t="str">
            <v>MOON, AARON</v>
          </cell>
          <cell r="D495">
            <v>16801</v>
          </cell>
        </row>
        <row r="496">
          <cell r="C496" t="str">
            <v>MOORE, EARNEST</v>
          </cell>
          <cell r="D496">
            <v>10363</v>
          </cell>
        </row>
        <row r="497">
          <cell r="C497" t="str">
            <v>MOORE, JIMMY</v>
          </cell>
          <cell r="D497">
            <v>18503</v>
          </cell>
        </row>
        <row r="498">
          <cell r="C498" t="str">
            <v>MORA, MALYN</v>
          </cell>
          <cell r="D498">
            <v>17931</v>
          </cell>
        </row>
        <row r="499">
          <cell r="C499" t="str">
            <v>MORALES, YUDITH</v>
          </cell>
          <cell r="D499">
            <v>16839</v>
          </cell>
        </row>
        <row r="500">
          <cell r="C500" t="str">
            <v>MORAN, GLENDA</v>
          </cell>
          <cell r="D500">
            <v>18964</v>
          </cell>
        </row>
        <row r="501">
          <cell r="C501" t="str">
            <v>MOREHAM, WALTER</v>
          </cell>
          <cell r="D501">
            <v>16564</v>
          </cell>
        </row>
        <row r="502">
          <cell r="C502" t="str">
            <v>MORENO, ESTHER</v>
          </cell>
          <cell r="D502">
            <v>15845</v>
          </cell>
        </row>
        <row r="503">
          <cell r="C503" t="str">
            <v>MORENO, MICHAEL</v>
          </cell>
          <cell r="D503">
            <v>19010</v>
          </cell>
        </row>
        <row r="504">
          <cell r="C504" t="str">
            <v>MORENO, TERESA</v>
          </cell>
          <cell r="D504">
            <v>16595</v>
          </cell>
        </row>
        <row r="505">
          <cell r="C505" t="str">
            <v>MORGAN, LEA</v>
          </cell>
          <cell r="D505">
            <v>18265</v>
          </cell>
        </row>
        <row r="506">
          <cell r="C506" t="str">
            <v>MORRIS, ANTHONY</v>
          </cell>
          <cell r="D506">
            <v>18970</v>
          </cell>
        </row>
        <row r="507">
          <cell r="C507" t="str">
            <v>MORRIS, CYNTHIA</v>
          </cell>
          <cell r="D507">
            <v>17441</v>
          </cell>
        </row>
        <row r="508">
          <cell r="C508" t="str">
            <v>MOSES, KENDAL</v>
          </cell>
          <cell r="D508">
            <v>18472</v>
          </cell>
        </row>
        <row r="509">
          <cell r="C509" t="str">
            <v>MULLER-SIERRA, IVAN</v>
          </cell>
          <cell r="D509">
            <v>16409</v>
          </cell>
        </row>
        <row r="510">
          <cell r="C510" t="str">
            <v>MUNDSTOCK, JONAE</v>
          </cell>
          <cell r="D510">
            <v>18821</v>
          </cell>
        </row>
        <row r="511">
          <cell r="C511" t="str">
            <v>MUNOZ, TIFFANY</v>
          </cell>
          <cell r="D511">
            <v>18481</v>
          </cell>
        </row>
        <row r="512">
          <cell r="C512" t="str">
            <v>MURILLO SALINAS, SONIA</v>
          </cell>
          <cell r="D512">
            <v>14102</v>
          </cell>
        </row>
        <row r="513">
          <cell r="C513" t="str">
            <v>NABORS, COURTNEY</v>
          </cell>
          <cell r="D513">
            <v>18563</v>
          </cell>
        </row>
        <row r="514">
          <cell r="C514" t="str">
            <v>NAJERA, GRACIELA</v>
          </cell>
          <cell r="D514">
            <v>11301</v>
          </cell>
        </row>
        <row r="515">
          <cell r="C515" t="str">
            <v>NEAL, SHALLAYA</v>
          </cell>
          <cell r="D515">
            <v>18489</v>
          </cell>
        </row>
        <row r="516">
          <cell r="C516" t="str">
            <v>NED-WILLIAMS, JASMINE</v>
          </cell>
          <cell r="D516">
            <v>17879</v>
          </cell>
        </row>
        <row r="517">
          <cell r="C517" t="str">
            <v>NELSON, DAUBREYON</v>
          </cell>
          <cell r="D517">
            <v>16696</v>
          </cell>
        </row>
        <row r="518">
          <cell r="C518" t="str">
            <v>NELSON, JEFFREY</v>
          </cell>
          <cell r="D518">
            <v>16704</v>
          </cell>
        </row>
        <row r="519">
          <cell r="C519" t="str">
            <v>NICHOLS, CANDICE</v>
          </cell>
          <cell r="D519">
            <v>15155</v>
          </cell>
        </row>
        <row r="520">
          <cell r="C520" t="str">
            <v>NIEMES-SIEGA, VICKY</v>
          </cell>
          <cell r="D520">
            <v>18955</v>
          </cell>
        </row>
        <row r="521">
          <cell r="C521" t="str">
            <v>O GRADY, HILLARY</v>
          </cell>
          <cell r="D521">
            <v>18853</v>
          </cell>
        </row>
        <row r="522">
          <cell r="C522" t="str">
            <v>OCHOA, MARIA</v>
          </cell>
          <cell r="D522">
            <v>19104</v>
          </cell>
        </row>
        <row r="523">
          <cell r="C523" t="str">
            <v>OFF-CAMPUS, ABC, ETC.</v>
          </cell>
          <cell r="D523" t="str">
            <v xml:space="preserve"> </v>
          </cell>
        </row>
        <row r="524">
          <cell r="C524" t="str">
            <v>OFF-SITE, ABC, ETC.</v>
          </cell>
          <cell r="D524" t="str">
            <v xml:space="preserve"> </v>
          </cell>
        </row>
        <row r="525">
          <cell r="C525" t="str">
            <v>OFF-SITE, OFF-SITE</v>
          </cell>
          <cell r="D525" t="str">
            <v xml:space="preserve"> </v>
          </cell>
        </row>
        <row r="526">
          <cell r="C526" t="str">
            <v>OKPALEKE, STEVANIE</v>
          </cell>
          <cell r="D526">
            <v>18796</v>
          </cell>
        </row>
        <row r="527">
          <cell r="C527" t="str">
            <v>OLIVER, TINIQUA</v>
          </cell>
          <cell r="D527">
            <v>18827</v>
          </cell>
        </row>
        <row r="528">
          <cell r="C528" t="str">
            <v>OROZCO, ANGELICA</v>
          </cell>
          <cell r="D528">
            <v>18839</v>
          </cell>
        </row>
        <row r="529">
          <cell r="C529" t="str">
            <v>ORPHEY, CHANIAH</v>
          </cell>
          <cell r="D529">
            <v>15415</v>
          </cell>
        </row>
        <row r="530">
          <cell r="C530" t="str">
            <v>ORTEGA, ADAN</v>
          </cell>
          <cell r="D530">
            <v>16630</v>
          </cell>
        </row>
        <row r="531">
          <cell r="C531" t="str">
            <v>ORTEGA, ELIZABETH</v>
          </cell>
          <cell r="D531">
            <v>13296</v>
          </cell>
        </row>
        <row r="532">
          <cell r="C532" t="str">
            <v>OUTTEN, CORY</v>
          </cell>
          <cell r="D532">
            <v>18399</v>
          </cell>
        </row>
        <row r="533">
          <cell r="C533" t="str">
            <v>OVALLE, CLAUDIA</v>
          </cell>
          <cell r="D533">
            <v>11478</v>
          </cell>
        </row>
        <row r="534">
          <cell r="C534" t="str">
            <v>OVALLE, JOSE</v>
          </cell>
          <cell r="D534">
            <v>18965</v>
          </cell>
        </row>
        <row r="535">
          <cell r="C535" t="str">
            <v>OVALLES, GUILLERMO</v>
          </cell>
          <cell r="D535">
            <v>10252</v>
          </cell>
        </row>
        <row r="536">
          <cell r="C536" t="str">
            <v>PACE, VICKI</v>
          </cell>
          <cell r="D536">
            <v>18976</v>
          </cell>
        </row>
        <row r="537">
          <cell r="C537" t="str">
            <v>PAEZ GUTIERREZ, EDGAR</v>
          </cell>
          <cell r="D537">
            <v>18387</v>
          </cell>
        </row>
        <row r="538">
          <cell r="C538" t="str">
            <v>PANCHOO-MONTGOMERY, ALLYEAH</v>
          </cell>
          <cell r="D538">
            <v>18375</v>
          </cell>
        </row>
        <row r="539">
          <cell r="C539" t="str">
            <v>PARHAM, ANDREW</v>
          </cell>
          <cell r="D539">
            <v>18396</v>
          </cell>
        </row>
        <row r="540">
          <cell r="C540" t="str">
            <v>PAULIN ROMERO, SANDRA</v>
          </cell>
          <cell r="D540">
            <v>15769</v>
          </cell>
        </row>
        <row r="541">
          <cell r="C541" t="str">
            <v>PAYNE, SAMANTHA</v>
          </cell>
          <cell r="D541">
            <v>18541</v>
          </cell>
        </row>
        <row r="542">
          <cell r="C542" t="str">
            <v>PEACE, JAMES</v>
          </cell>
          <cell r="D542">
            <v>12464</v>
          </cell>
        </row>
        <row r="543">
          <cell r="C543" t="str">
            <v>PENALOZA, BRENDA</v>
          </cell>
          <cell r="D543">
            <v>17577</v>
          </cell>
        </row>
        <row r="544">
          <cell r="C544" t="str">
            <v>PERALES, JOSHUA</v>
          </cell>
          <cell r="D544">
            <v>14496</v>
          </cell>
        </row>
        <row r="545">
          <cell r="C545" t="str">
            <v>PERDUE, JURNEE</v>
          </cell>
          <cell r="D545">
            <v>18575</v>
          </cell>
        </row>
        <row r="546">
          <cell r="C546" t="str">
            <v>PEREZ, LORENA</v>
          </cell>
          <cell r="D546">
            <v>17496</v>
          </cell>
        </row>
        <row r="547">
          <cell r="C547" t="str">
            <v>PEREZ, MARTHA</v>
          </cell>
          <cell r="D547">
            <v>15057</v>
          </cell>
        </row>
        <row r="548">
          <cell r="C548" t="str">
            <v>PEREZ, PAUL</v>
          </cell>
          <cell r="D548">
            <v>18574</v>
          </cell>
        </row>
        <row r="549">
          <cell r="C549" t="str">
            <v>PEREZ, STEPHANIE</v>
          </cell>
          <cell r="D549">
            <v>19017</v>
          </cell>
        </row>
        <row r="550">
          <cell r="C550" t="str">
            <v>PERKINS, ESTHER</v>
          </cell>
          <cell r="D550">
            <v>17301</v>
          </cell>
        </row>
        <row r="551">
          <cell r="C551" t="str">
            <v>PERRY, ASHLEY</v>
          </cell>
          <cell r="D551">
            <v>18543</v>
          </cell>
        </row>
        <row r="552">
          <cell r="C552" t="str">
            <v>PETOSA, RACHELE</v>
          </cell>
          <cell r="D552">
            <v>18957</v>
          </cell>
        </row>
        <row r="553">
          <cell r="C553" t="str">
            <v>PETTEWAY, CHIMERE</v>
          </cell>
          <cell r="D553">
            <v>17842</v>
          </cell>
        </row>
        <row r="554">
          <cell r="C554" t="str">
            <v>PETTIT, ROBERT</v>
          </cell>
          <cell r="D554">
            <v>18478</v>
          </cell>
        </row>
        <row r="555">
          <cell r="C555" t="str">
            <v>PEYTON, LATITIA</v>
          </cell>
          <cell r="D555">
            <v>14151</v>
          </cell>
        </row>
        <row r="556">
          <cell r="C556" t="str">
            <v>PHILIP, MADISON</v>
          </cell>
          <cell r="D556">
            <v>12869</v>
          </cell>
        </row>
        <row r="557">
          <cell r="C557" t="str">
            <v>PILARTA, JOSELITO</v>
          </cell>
          <cell r="D557">
            <v>17413</v>
          </cell>
        </row>
        <row r="558">
          <cell r="C558" t="str">
            <v>PINA, FERNANDO</v>
          </cell>
          <cell r="D558">
            <v>19058</v>
          </cell>
        </row>
        <row r="559">
          <cell r="C559" t="str">
            <v>PORTILLO-MATUTE, SUSANA</v>
          </cell>
          <cell r="D559">
            <v>16131</v>
          </cell>
        </row>
        <row r="560">
          <cell r="C560" t="str">
            <v>POWELL, JASMINE</v>
          </cell>
          <cell r="D560">
            <v>15765</v>
          </cell>
        </row>
        <row r="561">
          <cell r="C561" t="str">
            <v>POWERS, JR, JACKIE</v>
          </cell>
          <cell r="D561">
            <v>18952</v>
          </cell>
        </row>
        <row r="562">
          <cell r="C562" t="str">
            <v>PRADO, SAIDAS</v>
          </cell>
          <cell r="D562">
            <v>16731</v>
          </cell>
        </row>
        <row r="563">
          <cell r="C563" t="str">
            <v>PRATT, LAURA</v>
          </cell>
          <cell r="D563">
            <v>19004</v>
          </cell>
        </row>
        <row r="564">
          <cell r="C564" t="str">
            <v>PRESTON, STEPHANIE</v>
          </cell>
          <cell r="D564">
            <v>17475</v>
          </cell>
        </row>
        <row r="565">
          <cell r="C565" t="str">
            <v>PREVOST, ARTHUR</v>
          </cell>
          <cell r="D565">
            <v>17360</v>
          </cell>
        </row>
        <row r="566">
          <cell r="C566" t="str">
            <v>PURVIS, GABRIEL</v>
          </cell>
          <cell r="D566">
            <v>17944</v>
          </cell>
        </row>
        <row r="567">
          <cell r="C567" t="str">
            <v>PUTMAN, KELLI</v>
          </cell>
          <cell r="D567">
            <v>14235</v>
          </cell>
        </row>
        <row r="568">
          <cell r="C568" t="str">
            <v>QUALLS, LORIN</v>
          </cell>
          <cell r="D568">
            <v>17889</v>
          </cell>
        </row>
        <row r="569">
          <cell r="C569" t="str">
            <v>QUINTANILLA, ROSA</v>
          </cell>
          <cell r="D569">
            <v>18494</v>
          </cell>
        </row>
        <row r="570">
          <cell r="C570" t="str">
            <v>RAGLON, JOSHUA</v>
          </cell>
          <cell r="D570">
            <v>14612</v>
          </cell>
        </row>
        <row r="571">
          <cell r="C571" t="str">
            <v>RAMGULAM, KIANDA</v>
          </cell>
          <cell r="D571">
            <v>15914</v>
          </cell>
        </row>
        <row r="572">
          <cell r="C572" t="str">
            <v>RAMIREZ, PATRICIA</v>
          </cell>
          <cell r="D572">
            <v>11705</v>
          </cell>
        </row>
        <row r="573">
          <cell r="C573" t="str">
            <v>RAMIREZ, III, ROMEO</v>
          </cell>
          <cell r="D573">
            <v>15421</v>
          </cell>
        </row>
        <row r="574">
          <cell r="C574" t="str">
            <v>RAMOS, ROSA</v>
          </cell>
          <cell r="D574">
            <v>12884</v>
          </cell>
        </row>
        <row r="575">
          <cell r="C575" t="str">
            <v>RANDLE, JAZMYNE</v>
          </cell>
          <cell r="D575">
            <v>18466</v>
          </cell>
        </row>
        <row r="576">
          <cell r="C576" t="str">
            <v>RANDOLPH, DAMION</v>
          </cell>
          <cell r="D576">
            <v>16627</v>
          </cell>
        </row>
        <row r="577">
          <cell r="C577" t="str">
            <v>RANDOLPH, DINEKA</v>
          </cell>
          <cell r="D577">
            <v>17614</v>
          </cell>
        </row>
        <row r="578">
          <cell r="C578" t="str">
            <v>RATLIFF, RODNEY</v>
          </cell>
          <cell r="D578">
            <v>10873</v>
          </cell>
        </row>
        <row r="579">
          <cell r="C579" t="str">
            <v>RAVEN, INDYA</v>
          </cell>
          <cell r="D579">
            <v>18061</v>
          </cell>
        </row>
        <row r="580">
          <cell r="C580" t="str">
            <v>RAY, ROSANNA</v>
          </cell>
          <cell r="D580">
            <v>18960</v>
          </cell>
        </row>
        <row r="581">
          <cell r="C581" t="str">
            <v>REBOLLAR, YADIRA</v>
          </cell>
          <cell r="D581">
            <v>17142</v>
          </cell>
        </row>
        <row r="582">
          <cell r="C582" t="str">
            <v>RECK, APRIL</v>
          </cell>
          <cell r="D582">
            <v>18988</v>
          </cell>
        </row>
        <row r="583">
          <cell r="C583" t="str">
            <v>REED, JAVESHELYN</v>
          </cell>
          <cell r="D583">
            <v>13621</v>
          </cell>
        </row>
        <row r="584">
          <cell r="C584" t="str">
            <v>REESCANO, MYA</v>
          </cell>
          <cell r="D584">
            <v>17159</v>
          </cell>
        </row>
        <row r="585">
          <cell r="C585" t="str">
            <v>REVELS, KIARA</v>
          </cell>
          <cell r="D585">
            <v>17165</v>
          </cell>
        </row>
        <row r="586">
          <cell r="C586" t="str">
            <v>REY, ZULEMA</v>
          </cell>
          <cell r="D586">
            <v>12115</v>
          </cell>
        </row>
        <row r="587">
          <cell r="C587" t="str">
            <v>REYES, ALEJANDRA</v>
          </cell>
          <cell r="D587">
            <v>15058</v>
          </cell>
        </row>
        <row r="588">
          <cell r="C588" t="str">
            <v>REYES, CRISTINA</v>
          </cell>
          <cell r="D588">
            <v>17750</v>
          </cell>
        </row>
        <row r="589">
          <cell r="C589" t="str">
            <v>REYES AGUIRRE, ILIANA</v>
          </cell>
          <cell r="D589">
            <v>18885</v>
          </cell>
        </row>
        <row r="590">
          <cell r="C590" t="str">
            <v>REYNOLDS, KOLEEN</v>
          </cell>
          <cell r="D590">
            <v>12540</v>
          </cell>
        </row>
        <row r="591">
          <cell r="C591" t="str">
            <v>RHODEN, NICHOLAS</v>
          </cell>
          <cell r="D591">
            <v>18421</v>
          </cell>
        </row>
        <row r="592">
          <cell r="C592" t="str">
            <v>RICE, IKEA</v>
          </cell>
          <cell r="D592">
            <v>16506</v>
          </cell>
        </row>
        <row r="593">
          <cell r="C593" t="str">
            <v>RICHARD, ASHLYN</v>
          </cell>
          <cell r="D593">
            <v>17927</v>
          </cell>
        </row>
        <row r="594">
          <cell r="C594" t="str">
            <v>RICHARDS, MICHAEL</v>
          </cell>
          <cell r="D594">
            <v>18063</v>
          </cell>
        </row>
        <row r="595">
          <cell r="C595" t="str">
            <v>RICHARDSON, WAYNE</v>
          </cell>
          <cell r="D595">
            <v>13034</v>
          </cell>
        </row>
        <row r="596">
          <cell r="C596" t="str">
            <v>RIDEAU, KIMBERLY</v>
          </cell>
          <cell r="D596">
            <v>14243</v>
          </cell>
        </row>
        <row r="597">
          <cell r="C597" t="str">
            <v>RIGSBY, DENNIS</v>
          </cell>
          <cell r="D597">
            <v>18048</v>
          </cell>
        </row>
        <row r="598">
          <cell r="C598" t="str">
            <v>RINCON, DAINA</v>
          </cell>
          <cell r="D598">
            <v>16637</v>
          </cell>
        </row>
        <row r="599">
          <cell r="C599" t="str">
            <v>RIOS, MONICA</v>
          </cell>
          <cell r="D599">
            <v>13434</v>
          </cell>
        </row>
        <row r="600">
          <cell r="C600" t="str">
            <v>ROADES, LESLIE</v>
          </cell>
          <cell r="D600">
            <v>13260</v>
          </cell>
        </row>
        <row r="601">
          <cell r="C601" t="str">
            <v>ROBERTSON, PATRICK</v>
          </cell>
          <cell r="D601">
            <v>17835</v>
          </cell>
        </row>
        <row r="602">
          <cell r="C602" t="str">
            <v>ROBINSON, JOCELYN</v>
          </cell>
          <cell r="D602">
            <v>18443</v>
          </cell>
        </row>
        <row r="603">
          <cell r="C603" t="str">
            <v>ROBINSON, TIFFANY</v>
          </cell>
          <cell r="D603">
            <v>18430</v>
          </cell>
        </row>
        <row r="604">
          <cell r="C604" t="str">
            <v>ROCHA, VICTOR</v>
          </cell>
          <cell r="D604">
            <v>17935</v>
          </cell>
        </row>
        <row r="605">
          <cell r="C605" t="str">
            <v>RODRIGUEZ, LILIANA</v>
          </cell>
          <cell r="D605">
            <v>15313</v>
          </cell>
        </row>
        <row r="606">
          <cell r="C606" t="str">
            <v>RODRIGUEZ, MARISSA</v>
          </cell>
          <cell r="D606">
            <v>17937</v>
          </cell>
        </row>
        <row r="607">
          <cell r="C607" t="str">
            <v>RODRIGUEZ RESENDIZ, LESLIE</v>
          </cell>
          <cell r="D607">
            <v>18497</v>
          </cell>
        </row>
        <row r="608">
          <cell r="C608" t="str">
            <v>ROGERS, LEIGH</v>
          </cell>
          <cell r="D608">
            <v>17877</v>
          </cell>
        </row>
        <row r="609">
          <cell r="C609" t="str">
            <v>ROJAS, PAULA</v>
          </cell>
          <cell r="D609">
            <v>17467</v>
          </cell>
        </row>
        <row r="610">
          <cell r="C610" t="str">
            <v>ROLAND, JE'NEAL</v>
          </cell>
          <cell r="D610">
            <v>12149</v>
          </cell>
        </row>
        <row r="611">
          <cell r="C611" t="str">
            <v>ROLLOCKS, JOYCELYN</v>
          </cell>
          <cell r="D611">
            <v>18758</v>
          </cell>
        </row>
        <row r="612">
          <cell r="C612" t="str">
            <v>ROMANO JULIAN, LIZBETH</v>
          </cell>
          <cell r="D612">
            <v>18477</v>
          </cell>
        </row>
        <row r="613">
          <cell r="C613" t="str">
            <v>ROMIG, JEFF</v>
          </cell>
          <cell r="D613">
            <v>10244</v>
          </cell>
        </row>
        <row r="614">
          <cell r="C614" t="str">
            <v>ROSACIA, KEVIN</v>
          </cell>
          <cell r="D614">
            <v>18051</v>
          </cell>
        </row>
        <row r="615">
          <cell r="C615" t="str">
            <v>ROSALES LEYVA, ZENIA</v>
          </cell>
          <cell r="D615">
            <v>17448</v>
          </cell>
        </row>
        <row r="616">
          <cell r="C616" t="str">
            <v>RUIZ, CATHERINE</v>
          </cell>
          <cell r="D616">
            <v>18413</v>
          </cell>
        </row>
        <row r="617">
          <cell r="C617" t="str">
            <v>RUIZ, NOEMI</v>
          </cell>
          <cell r="D617">
            <v>16266</v>
          </cell>
        </row>
        <row r="618">
          <cell r="C618" t="str">
            <v>RUIZ TORRES, MICHELLE</v>
          </cell>
          <cell r="D618">
            <v>15207</v>
          </cell>
        </row>
        <row r="619">
          <cell r="C619" t="str">
            <v>RUNK, HANS</v>
          </cell>
          <cell r="D619">
            <v>18422</v>
          </cell>
        </row>
        <row r="620">
          <cell r="C620" t="str">
            <v>RUSHING, MICHAEL</v>
          </cell>
          <cell r="D620">
            <v>13750</v>
          </cell>
        </row>
        <row r="621">
          <cell r="C621" t="str">
            <v>RUSSELL, INGRID</v>
          </cell>
          <cell r="D621">
            <v>17843</v>
          </cell>
        </row>
        <row r="622">
          <cell r="C622" t="str">
            <v>SAAD, JESSICA</v>
          </cell>
          <cell r="D622">
            <v>14621</v>
          </cell>
        </row>
        <row r="623">
          <cell r="C623" t="str">
            <v>SAEED, SHERYL</v>
          </cell>
          <cell r="D623">
            <v>11690</v>
          </cell>
        </row>
        <row r="624">
          <cell r="C624" t="str">
            <v>SAENZ, YOLANDA</v>
          </cell>
          <cell r="D624">
            <v>10146</v>
          </cell>
        </row>
        <row r="625">
          <cell r="C625" t="str">
            <v>SALAS SAUCEDO, ALEJANDRA</v>
          </cell>
          <cell r="D625">
            <v>18418</v>
          </cell>
        </row>
        <row r="626">
          <cell r="C626" t="str">
            <v>SALDANA, ALEXANDRA</v>
          </cell>
          <cell r="D626">
            <v>18865</v>
          </cell>
        </row>
        <row r="627">
          <cell r="C627" t="str">
            <v>SALINAS, NANCY</v>
          </cell>
          <cell r="D627">
            <v>15076</v>
          </cell>
        </row>
        <row r="628">
          <cell r="C628" t="str">
            <v>SALINAS, SOFIA</v>
          </cell>
          <cell r="D628">
            <v>17471</v>
          </cell>
        </row>
        <row r="629">
          <cell r="C629" t="str">
            <v>SALINAS, VERONICA</v>
          </cell>
          <cell r="D629">
            <v>19005</v>
          </cell>
        </row>
        <row r="630">
          <cell r="C630" t="str">
            <v>SALINAS MERCADO, EVELYN</v>
          </cell>
          <cell r="D630">
            <v>15161</v>
          </cell>
        </row>
        <row r="631">
          <cell r="C631" t="str">
            <v>SAN JACINTO NORTH, SAN</v>
          </cell>
          <cell r="D631" t="str">
            <v xml:space="preserve"> </v>
          </cell>
        </row>
        <row r="632">
          <cell r="C632" t="str">
            <v>SANCHEZ, ISYLEE</v>
          </cell>
          <cell r="D632">
            <v>17095</v>
          </cell>
        </row>
        <row r="633">
          <cell r="C633" t="str">
            <v>SANCHEZ, MAYRA</v>
          </cell>
          <cell r="D633">
            <v>16422</v>
          </cell>
        </row>
        <row r="634">
          <cell r="C634" t="str">
            <v>SANCHEZ HERNANDEZ, ADRIANA</v>
          </cell>
          <cell r="D634">
            <v>17353</v>
          </cell>
        </row>
        <row r="635">
          <cell r="C635" t="str">
            <v>SANDER, ELIZABETH</v>
          </cell>
          <cell r="D635">
            <v>18052</v>
          </cell>
        </row>
        <row r="636">
          <cell r="C636" t="str">
            <v>SANDERS, ARIANA</v>
          </cell>
          <cell r="D636">
            <v>18037</v>
          </cell>
        </row>
        <row r="637">
          <cell r="C637" t="str">
            <v>SANDERS, DONALD</v>
          </cell>
          <cell r="D637">
            <v>17936</v>
          </cell>
        </row>
        <row r="638">
          <cell r="C638" t="str">
            <v>SANDERS, MONQUISHA</v>
          </cell>
          <cell r="D638">
            <v>18299</v>
          </cell>
        </row>
        <row r="639">
          <cell r="C639" t="str">
            <v>SANGER, MEGAN</v>
          </cell>
          <cell r="D639">
            <v>18407</v>
          </cell>
        </row>
        <row r="640">
          <cell r="C640" t="str">
            <v>SANTAMARIA, SAMANTHA</v>
          </cell>
          <cell r="D640">
            <v>18015</v>
          </cell>
        </row>
        <row r="641">
          <cell r="C641" t="str">
            <v>SCARBOROUGH, MARISA</v>
          </cell>
          <cell r="D641">
            <v>18937</v>
          </cell>
        </row>
        <row r="642">
          <cell r="C642" t="str">
            <v>SCHAEFER, CAYLYN</v>
          </cell>
          <cell r="D642">
            <v>18734</v>
          </cell>
        </row>
        <row r="643">
          <cell r="C643" t="str">
            <v>SCOPPA, MEGAN</v>
          </cell>
          <cell r="D643">
            <v>17468</v>
          </cell>
        </row>
        <row r="644">
          <cell r="C644" t="str">
            <v>SCOTT, DARLA</v>
          </cell>
          <cell r="D644">
            <v>12482</v>
          </cell>
        </row>
        <row r="645">
          <cell r="C645" t="str">
            <v>SEPULVEDA, RAFAEL</v>
          </cell>
          <cell r="D645">
            <v>17367</v>
          </cell>
        </row>
        <row r="646">
          <cell r="C646" t="str">
            <v>SHANNON, TEHEERAH</v>
          </cell>
          <cell r="D646">
            <v>11843</v>
          </cell>
        </row>
        <row r="647">
          <cell r="C647" t="str">
            <v>SHAW, SHAQUITA</v>
          </cell>
          <cell r="D647">
            <v>18867</v>
          </cell>
        </row>
        <row r="648">
          <cell r="C648" t="str">
            <v>SHEAD, DORNISHA</v>
          </cell>
          <cell r="D648">
            <v>16638</v>
          </cell>
        </row>
        <row r="649">
          <cell r="C649" t="str">
            <v>SHEETS, MARCUS</v>
          </cell>
          <cell r="D649">
            <v>18441</v>
          </cell>
        </row>
        <row r="650">
          <cell r="C650" t="str">
            <v>SHEPPARD, QUINESHA</v>
          </cell>
          <cell r="D650">
            <v>11576</v>
          </cell>
        </row>
        <row r="651">
          <cell r="C651" t="str">
            <v>SHIELDS, KENNESHIA</v>
          </cell>
          <cell r="D651">
            <v>17088</v>
          </cell>
        </row>
        <row r="652">
          <cell r="C652" t="str">
            <v>SILVA, JENNIFER</v>
          </cell>
          <cell r="D652">
            <v>18921</v>
          </cell>
        </row>
        <row r="653">
          <cell r="C653" t="str">
            <v>SIMS, CLAYTON</v>
          </cell>
          <cell r="D653">
            <v>16579</v>
          </cell>
        </row>
        <row r="654">
          <cell r="C654" t="str">
            <v>SIMS, TIANNY</v>
          </cell>
          <cell r="D654">
            <v>18480</v>
          </cell>
        </row>
        <row r="655">
          <cell r="C655" t="str">
            <v>SINGLETON, D'YAUNA</v>
          </cell>
          <cell r="D655">
            <v>17950</v>
          </cell>
        </row>
        <row r="656">
          <cell r="C656" t="str">
            <v>SITTON, LEIGH ANN</v>
          </cell>
          <cell r="D656">
            <v>14471</v>
          </cell>
        </row>
        <row r="657">
          <cell r="C657" t="str">
            <v>SLOAN, ANTONIO</v>
          </cell>
          <cell r="D657">
            <v>16719</v>
          </cell>
        </row>
        <row r="658">
          <cell r="C658" t="str">
            <v>SLOAN, TIFFANY</v>
          </cell>
          <cell r="D658">
            <v>18394</v>
          </cell>
        </row>
        <row r="659">
          <cell r="C659" t="str">
            <v>SMALL, REBECCA</v>
          </cell>
          <cell r="D659">
            <v>17887</v>
          </cell>
        </row>
        <row r="660">
          <cell r="C660" t="str">
            <v>SMALL, TERRY</v>
          </cell>
          <cell r="D660">
            <v>18104</v>
          </cell>
        </row>
        <row r="661">
          <cell r="C661" t="str">
            <v>SMEYA, SHANON</v>
          </cell>
          <cell r="D661">
            <v>17706</v>
          </cell>
        </row>
        <row r="662">
          <cell r="C662" t="str">
            <v>SMITH, ASHLEY</v>
          </cell>
          <cell r="D662">
            <v>16169</v>
          </cell>
        </row>
        <row r="663">
          <cell r="C663" t="str">
            <v>SMITH, CARLASKIO</v>
          </cell>
          <cell r="D663">
            <v>17148</v>
          </cell>
        </row>
        <row r="664">
          <cell r="C664" t="str">
            <v>SMITH, CHRISTOPHER</v>
          </cell>
          <cell r="D664">
            <v>18562</v>
          </cell>
        </row>
        <row r="665">
          <cell r="C665" t="str">
            <v>SMITH, KRISTEN</v>
          </cell>
          <cell r="D665">
            <v>18888</v>
          </cell>
        </row>
        <row r="666">
          <cell r="C666" t="str">
            <v>SMITH, JR, LAFREDRICK</v>
          </cell>
          <cell r="D666">
            <v>18849</v>
          </cell>
        </row>
        <row r="667">
          <cell r="C667" t="str">
            <v>SMITH, TIFFANY</v>
          </cell>
          <cell r="D667">
            <v>17425</v>
          </cell>
        </row>
        <row r="668">
          <cell r="C668" t="str">
            <v>SMITH, TRISTAN</v>
          </cell>
          <cell r="D668">
            <v>15220</v>
          </cell>
        </row>
        <row r="669">
          <cell r="C669" t="str">
            <v>SMITH, TYLON</v>
          </cell>
          <cell r="D669">
            <v>18857</v>
          </cell>
        </row>
        <row r="670">
          <cell r="C670" t="str">
            <v>SOLIS, JOSSELINE</v>
          </cell>
          <cell r="D670">
            <v>18817</v>
          </cell>
        </row>
        <row r="671">
          <cell r="C671" t="str">
            <v>SOLIZ, THERESA</v>
          </cell>
          <cell r="D671">
            <v>17891</v>
          </cell>
        </row>
        <row r="672">
          <cell r="C672" t="str">
            <v>SONIER, CASEY</v>
          </cell>
          <cell r="D672">
            <v>17955</v>
          </cell>
        </row>
        <row r="673">
          <cell r="C673" t="str">
            <v>SOTO, SUSANA</v>
          </cell>
          <cell r="D673">
            <v>19074</v>
          </cell>
        </row>
        <row r="674">
          <cell r="C674" t="str">
            <v>SPEARS, ASHLEY</v>
          </cell>
          <cell r="D674">
            <v>17146</v>
          </cell>
        </row>
        <row r="675">
          <cell r="C675" t="str">
            <v>SPENCER, TERRAHKEYSHEA</v>
          </cell>
          <cell r="D675">
            <v>16560</v>
          </cell>
        </row>
        <row r="676">
          <cell r="C676" t="str">
            <v>SPIKES, MARILYN</v>
          </cell>
          <cell r="D676">
            <v>14300</v>
          </cell>
        </row>
        <row r="677">
          <cell r="C677" t="str">
            <v>SPOONER, ALLISON</v>
          </cell>
          <cell r="D677">
            <v>15035</v>
          </cell>
        </row>
        <row r="678">
          <cell r="C678" t="str">
            <v>SPREHE, LISA</v>
          </cell>
          <cell r="D678">
            <v>14222</v>
          </cell>
        </row>
        <row r="679">
          <cell r="C679" t="str">
            <v>SPRIGGS, NICHOLE</v>
          </cell>
          <cell r="D679">
            <v>12096</v>
          </cell>
        </row>
        <row r="680">
          <cell r="C680" t="str">
            <v>STAMBAUGH, FRANK</v>
          </cell>
          <cell r="D680">
            <v>18482</v>
          </cell>
        </row>
        <row r="681">
          <cell r="C681" t="str">
            <v>STANLEY, ADAM</v>
          </cell>
          <cell r="D681">
            <v>14499</v>
          </cell>
        </row>
        <row r="682">
          <cell r="C682" t="str">
            <v>STARGELL, JR, SEBASTIAN</v>
          </cell>
          <cell r="D682">
            <v>16718</v>
          </cell>
        </row>
        <row r="683">
          <cell r="C683" t="str">
            <v>STEADMAN, ECKO</v>
          </cell>
          <cell r="D683">
            <v>15565</v>
          </cell>
        </row>
        <row r="684">
          <cell r="C684" t="str">
            <v>STEVENSON, MONTEVIOUS</v>
          </cell>
          <cell r="D684">
            <v>18852</v>
          </cell>
        </row>
        <row r="685">
          <cell r="C685" t="str">
            <v>STEWART, BRIAN</v>
          </cell>
          <cell r="D685">
            <v>17982</v>
          </cell>
        </row>
        <row r="686">
          <cell r="C686" t="str">
            <v>STEWART, RODDRELL</v>
          </cell>
          <cell r="D686">
            <v>17960</v>
          </cell>
        </row>
        <row r="687">
          <cell r="C687" t="str">
            <v>STEWART, WILLEAN</v>
          </cell>
          <cell r="D687">
            <v>18912</v>
          </cell>
        </row>
        <row r="688">
          <cell r="C688" t="str">
            <v>STEWART, ZAHID</v>
          </cell>
          <cell r="D688">
            <v>16745</v>
          </cell>
        </row>
        <row r="689">
          <cell r="C689" t="str">
            <v>STRONG, LATOYA</v>
          </cell>
          <cell r="D689">
            <v>18567</v>
          </cell>
        </row>
        <row r="690">
          <cell r="C690" t="str">
            <v>STURM, RHONDA</v>
          </cell>
          <cell r="D690">
            <v>10395</v>
          </cell>
        </row>
        <row r="691">
          <cell r="C691" t="str">
            <v>SUAREZ, MARIA</v>
          </cell>
          <cell r="D691">
            <v>17078</v>
          </cell>
        </row>
        <row r="692">
          <cell r="C692" t="str">
            <v>SURRATT, TAYLOR</v>
          </cell>
          <cell r="D692">
            <v>17856</v>
          </cell>
        </row>
        <row r="693">
          <cell r="C693" t="str">
            <v>SURRATT, TYLER</v>
          </cell>
          <cell r="D693">
            <v>16675</v>
          </cell>
        </row>
        <row r="694">
          <cell r="C694" t="str">
            <v>SWAFFORD, STACEY</v>
          </cell>
          <cell r="D694">
            <v>16177</v>
          </cell>
        </row>
        <row r="695">
          <cell r="C695" t="str">
            <v>SYLVESTER, KENYATTA</v>
          </cell>
          <cell r="D695">
            <v>15391</v>
          </cell>
        </row>
        <row r="696">
          <cell r="C696" t="str">
            <v>TAMEZ, BRENDA</v>
          </cell>
          <cell r="D696">
            <v>15221</v>
          </cell>
        </row>
        <row r="697">
          <cell r="C697" t="str">
            <v>TAMEZ, LESLEY</v>
          </cell>
          <cell r="D697">
            <v>16870</v>
          </cell>
        </row>
        <row r="698">
          <cell r="C698" t="str">
            <v>TAMEZ, YARITZA</v>
          </cell>
          <cell r="D698">
            <v>15445</v>
          </cell>
        </row>
        <row r="699">
          <cell r="C699" t="str">
            <v>TAMEZ TOVAR, VIRGINIA</v>
          </cell>
          <cell r="D699">
            <v>17344</v>
          </cell>
        </row>
        <row r="700">
          <cell r="C700" t="str">
            <v>TATEM, DENA</v>
          </cell>
          <cell r="D700">
            <v>18527</v>
          </cell>
        </row>
        <row r="701">
          <cell r="C701" t="str">
            <v>TAYLOR, BONITA</v>
          </cell>
          <cell r="D701">
            <v>11830</v>
          </cell>
        </row>
        <row r="702">
          <cell r="C702" t="str">
            <v>TAYLOR, FLORENCE</v>
          </cell>
          <cell r="D702">
            <v>14172</v>
          </cell>
        </row>
        <row r="703">
          <cell r="C703" t="str">
            <v>TAYLOR, MICHELLE</v>
          </cell>
          <cell r="D703">
            <v>14738</v>
          </cell>
        </row>
        <row r="704">
          <cell r="C704" t="str">
            <v>TAYLOR, REGINALD</v>
          </cell>
          <cell r="D704">
            <v>17945</v>
          </cell>
        </row>
        <row r="705">
          <cell r="C705" t="str">
            <v>TEAGUE, YASMINE</v>
          </cell>
          <cell r="D705">
            <v>17424</v>
          </cell>
        </row>
        <row r="706">
          <cell r="C706" t="str">
            <v>TEAL, TROYLYN</v>
          </cell>
          <cell r="D706">
            <v>17130</v>
          </cell>
        </row>
        <row r="707">
          <cell r="C707" t="str">
            <v>TELLEZ, URSULA</v>
          </cell>
          <cell r="D707">
            <v>18818</v>
          </cell>
        </row>
        <row r="708">
          <cell r="C708" t="str">
            <v>TERRY, JASMINE</v>
          </cell>
          <cell r="D708">
            <v>18521</v>
          </cell>
        </row>
        <row r="709">
          <cell r="C709" t="str">
            <v>THIBODEAUX, PAULA</v>
          </cell>
          <cell r="D709">
            <v>14224</v>
          </cell>
        </row>
        <row r="710">
          <cell r="C710" t="str">
            <v>THOMAS, ALEXYCIA</v>
          </cell>
          <cell r="D710">
            <v>18504</v>
          </cell>
        </row>
        <row r="711">
          <cell r="C711" t="str">
            <v>THOMAS, KAYLA</v>
          </cell>
          <cell r="D711">
            <v>18917</v>
          </cell>
        </row>
        <row r="712">
          <cell r="C712" t="str">
            <v>THOMAS, KRYSTAL</v>
          </cell>
          <cell r="D712">
            <v>18445</v>
          </cell>
        </row>
        <row r="713">
          <cell r="C713" t="str">
            <v>THOMAS, LATISHE</v>
          </cell>
          <cell r="D713">
            <v>18488</v>
          </cell>
        </row>
        <row r="714">
          <cell r="C714" t="str">
            <v>THOMAS, RENEE</v>
          </cell>
          <cell r="D714">
            <v>18993</v>
          </cell>
        </row>
        <row r="715">
          <cell r="C715" t="str">
            <v>THOMAS-AUBREY, ALBERTHA</v>
          </cell>
          <cell r="D715">
            <v>17355</v>
          </cell>
        </row>
        <row r="716">
          <cell r="C716" t="str">
            <v>THORN, MICAH</v>
          </cell>
          <cell r="D716">
            <v>17158</v>
          </cell>
        </row>
        <row r="717">
          <cell r="C717" t="str">
            <v>THORNTON, II, RONALD</v>
          </cell>
          <cell r="D717">
            <v>14245</v>
          </cell>
        </row>
        <row r="718">
          <cell r="C718" t="str">
            <v>TILLMAN, GLENN</v>
          </cell>
          <cell r="D718">
            <v>15777</v>
          </cell>
        </row>
        <row r="719">
          <cell r="C719" t="str">
            <v>TISDEL, KAREN</v>
          </cell>
          <cell r="D719">
            <v>18587</v>
          </cell>
        </row>
        <row r="720">
          <cell r="C720" t="str">
            <v>TOLBERT, VALERIE</v>
          </cell>
          <cell r="D720">
            <v>16812</v>
          </cell>
        </row>
        <row r="721">
          <cell r="C721" t="str">
            <v>TOLLEY, ANALISA</v>
          </cell>
          <cell r="D721">
            <v>18941</v>
          </cell>
        </row>
        <row r="722">
          <cell r="C722" t="str">
            <v>TONEY, RENITA</v>
          </cell>
          <cell r="D722">
            <v>18362</v>
          </cell>
        </row>
        <row r="723">
          <cell r="C723" t="str">
            <v>TONEY, VICTORIA</v>
          </cell>
          <cell r="D723">
            <v>18838</v>
          </cell>
        </row>
        <row r="724">
          <cell r="C724" t="str">
            <v>TRAHAN, JOHNNIE</v>
          </cell>
          <cell r="D724">
            <v>17924</v>
          </cell>
        </row>
        <row r="725">
          <cell r="C725" t="str">
            <v>TRAYLOR, KEVIN</v>
          </cell>
          <cell r="D725">
            <v>16950</v>
          </cell>
        </row>
        <row r="726">
          <cell r="C726" t="str">
            <v>TREVINO, SAVANNA</v>
          </cell>
          <cell r="D726">
            <v>15594</v>
          </cell>
        </row>
        <row r="727">
          <cell r="C727" t="str">
            <v>TREVINO GARZA, EMMA</v>
          </cell>
          <cell r="D727">
            <v>17873</v>
          </cell>
        </row>
        <row r="728">
          <cell r="C728" t="str">
            <v>TREVINO LEIJA, SPENCER</v>
          </cell>
          <cell r="D728">
            <v>18024</v>
          </cell>
        </row>
        <row r="729">
          <cell r="C729" t="str">
            <v>TREVIZO, ADILENE</v>
          </cell>
          <cell r="D729">
            <v>17406</v>
          </cell>
        </row>
        <row r="730">
          <cell r="C730" t="str">
            <v>TROCHE, ROSE</v>
          </cell>
          <cell r="D730">
            <v>18499</v>
          </cell>
        </row>
        <row r="731">
          <cell r="C731" t="str">
            <v>TRUJILLO, WENDY</v>
          </cell>
          <cell r="D731">
            <v>15260</v>
          </cell>
        </row>
        <row r="732">
          <cell r="C732" t="str">
            <v>TRUTMAN, ANTHONY</v>
          </cell>
          <cell r="D732">
            <v>18464</v>
          </cell>
        </row>
        <row r="733">
          <cell r="C733" t="str">
            <v>TURNER, APRIL</v>
          </cell>
          <cell r="D733">
            <v>14286</v>
          </cell>
        </row>
        <row r="734">
          <cell r="C734" t="str">
            <v>TURNER, CARLOS</v>
          </cell>
          <cell r="D734">
            <v>15800</v>
          </cell>
        </row>
        <row r="735">
          <cell r="C735" t="str">
            <v>TUTTLE, JASON</v>
          </cell>
          <cell r="D735">
            <v>16460</v>
          </cell>
        </row>
        <row r="736">
          <cell r="C736" t="str">
            <v>UPCHURCH, JUSTIN</v>
          </cell>
          <cell r="D736">
            <v>17857</v>
          </cell>
        </row>
        <row r="737">
          <cell r="C737" t="str">
            <v>VALDEZ, CRYSTAL</v>
          </cell>
          <cell r="D737">
            <v>13902</v>
          </cell>
        </row>
        <row r="738">
          <cell r="C738" t="str">
            <v>VALDEZ, JULIETA</v>
          </cell>
          <cell r="D738">
            <v>18420</v>
          </cell>
        </row>
        <row r="739">
          <cell r="C739" t="str">
            <v>VALLEJO, MARIA</v>
          </cell>
          <cell r="D739">
            <v>14651</v>
          </cell>
        </row>
        <row r="740">
          <cell r="C740" t="str">
            <v>VARGAS, YASMIN</v>
          </cell>
          <cell r="D740">
            <v>13191</v>
          </cell>
        </row>
        <row r="741">
          <cell r="C741" t="str">
            <v>VARNER, MYAVIA</v>
          </cell>
          <cell r="D741">
            <v>17460</v>
          </cell>
        </row>
        <row r="742">
          <cell r="C742" t="str">
            <v>VASQUEZ, LESLIE</v>
          </cell>
          <cell r="D742">
            <v>14845</v>
          </cell>
        </row>
        <row r="743">
          <cell r="C743" t="str">
            <v>VASQUEZ, MIGUEL</v>
          </cell>
          <cell r="D743">
            <v>18370</v>
          </cell>
        </row>
        <row r="744">
          <cell r="C744" t="str">
            <v>VASQUEZ, MONICA</v>
          </cell>
          <cell r="D744">
            <v>14191</v>
          </cell>
        </row>
        <row r="745">
          <cell r="C745" t="str">
            <v>VEAL, PAIGE</v>
          </cell>
          <cell r="D745">
            <v>18698</v>
          </cell>
        </row>
        <row r="746">
          <cell r="C746" t="str">
            <v>VELASQUEZ, ESTEFANI</v>
          </cell>
          <cell r="D746">
            <v>15209</v>
          </cell>
        </row>
        <row r="747">
          <cell r="C747" t="str">
            <v>VELASQUEZ, IRIS</v>
          </cell>
          <cell r="D747">
            <v>15937</v>
          </cell>
        </row>
        <row r="748">
          <cell r="C748" t="str">
            <v>VELEZ, MICHELL</v>
          </cell>
          <cell r="D748">
            <v>15886</v>
          </cell>
        </row>
        <row r="749">
          <cell r="C749" t="str">
            <v>VENEGAS, VANESSA</v>
          </cell>
          <cell r="D749">
            <v>15890</v>
          </cell>
        </row>
        <row r="750">
          <cell r="C750" t="str">
            <v>VESTAL, EDWARD</v>
          </cell>
          <cell r="D750">
            <v>11109</v>
          </cell>
        </row>
        <row r="751">
          <cell r="C751" t="str">
            <v>VICTOR, JOHN-CLIFTON</v>
          </cell>
          <cell r="D751">
            <v>17847</v>
          </cell>
        </row>
        <row r="752">
          <cell r="C752" t="str">
            <v>VILLARREAL, MARILU</v>
          </cell>
          <cell r="D752">
            <v>16679</v>
          </cell>
        </row>
        <row r="753">
          <cell r="C753" t="str">
            <v>VILLELA, BRENDA</v>
          </cell>
          <cell r="D753">
            <v>16694</v>
          </cell>
        </row>
        <row r="754">
          <cell r="C754" t="str">
            <v>WALKER, GLORIA</v>
          </cell>
          <cell r="D754">
            <v>16223</v>
          </cell>
        </row>
        <row r="755">
          <cell r="C755" t="str">
            <v>WALKER, SERITA</v>
          </cell>
          <cell r="D755">
            <v>13263</v>
          </cell>
        </row>
        <row r="756">
          <cell r="C756" t="str">
            <v>WALKER-BALDWIN, NICHOLAS</v>
          </cell>
          <cell r="D756">
            <v>18886</v>
          </cell>
        </row>
        <row r="757">
          <cell r="C757" t="str">
            <v>WALLER, SHAVONN</v>
          </cell>
          <cell r="D757">
            <v>17470</v>
          </cell>
        </row>
        <row r="758">
          <cell r="C758" t="str">
            <v>WALSH, SHONA</v>
          </cell>
          <cell r="D758">
            <v>16734</v>
          </cell>
        </row>
        <row r="759">
          <cell r="C759" t="str">
            <v>WARNER-ROPPOLO, MARY</v>
          </cell>
          <cell r="D759">
            <v>18378</v>
          </cell>
        </row>
        <row r="760">
          <cell r="C760" t="str">
            <v>WASHINGTON, ANYEL</v>
          </cell>
          <cell r="D760">
            <v>17957</v>
          </cell>
        </row>
        <row r="761">
          <cell r="C761" t="str">
            <v>WASHINGTON, BRENEESHA</v>
          </cell>
          <cell r="D761">
            <v>19136</v>
          </cell>
        </row>
        <row r="762">
          <cell r="C762" t="str">
            <v>WASHINGTON, COLEDA</v>
          </cell>
          <cell r="D762">
            <v>14166</v>
          </cell>
        </row>
        <row r="763">
          <cell r="C763" t="str">
            <v>WASHINGTON, JAKWANNAI</v>
          </cell>
          <cell r="D763">
            <v>18038</v>
          </cell>
        </row>
        <row r="764">
          <cell r="C764" t="str">
            <v>WASHINGTON, LACHESCA</v>
          </cell>
          <cell r="D764">
            <v>17906</v>
          </cell>
        </row>
        <row r="765">
          <cell r="C765" t="str">
            <v>WEBB, KARLEIGH</v>
          </cell>
          <cell r="D765">
            <v>16685</v>
          </cell>
        </row>
        <row r="766">
          <cell r="C766" t="str">
            <v>WEBB, OLIVIA</v>
          </cell>
          <cell r="D766">
            <v>10943</v>
          </cell>
        </row>
        <row r="767">
          <cell r="C767" t="str">
            <v>WEBSTER-GARDINER, JUSTICE</v>
          </cell>
          <cell r="D767">
            <v>16168</v>
          </cell>
        </row>
        <row r="768">
          <cell r="C768" t="str">
            <v>WELCH, MADIE</v>
          </cell>
          <cell r="D768">
            <v>19001</v>
          </cell>
        </row>
        <row r="769">
          <cell r="C769" t="str">
            <v>WELCH, NANCI</v>
          </cell>
          <cell r="D769">
            <v>17914</v>
          </cell>
        </row>
        <row r="770">
          <cell r="C770" t="str">
            <v>WEST, BRITTON</v>
          </cell>
          <cell r="D770">
            <v>15785</v>
          </cell>
        </row>
        <row r="771">
          <cell r="C771" t="str">
            <v>WESTON, MESHA</v>
          </cell>
          <cell r="D771">
            <v>18363</v>
          </cell>
        </row>
        <row r="772">
          <cell r="C772" t="str">
            <v>WHITE, ALLISON</v>
          </cell>
          <cell r="D772">
            <v>18954</v>
          </cell>
        </row>
        <row r="773">
          <cell r="C773" t="str">
            <v>WHITE, CRYSTAL</v>
          </cell>
          <cell r="D773">
            <v>18934</v>
          </cell>
        </row>
        <row r="774">
          <cell r="C774" t="str">
            <v>WHITE, MELODY</v>
          </cell>
          <cell r="D774">
            <v>17443</v>
          </cell>
        </row>
        <row r="775">
          <cell r="C775" t="str">
            <v>WHITERS, TAMIKA</v>
          </cell>
          <cell r="D775">
            <v>18075</v>
          </cell>
        </row>
        <row r="776">
          <cell r="C776" t="str">
            <v>WHITING, JANICE</v>
          </cell>
          <cell r="D776">
            <v>10620</v>
          </cell>
        </row>
        <row r="777">
          <cell r="C777" t="str">
            <v>WILLIAMS, ALTERA</v>
          </cell>
          <cell r="D777">
            <v>10827</v>
          </cell>
        </row>
        <row r="778">
          <cell r="C778" t="str">
            <v>WILLIAMS, AUNDREANA</v>
          </cell>
          <cell r="D778">
            <v>18028</v>
          </cell>
        </row>
        <row r="779">
          <cell r="C779" t="str">
            <v>WILLIAMS, CHANARITH</v>
          </cell>
          <cell r="D779">
            <v>18506</v>
          </cell>
        </row>
        <row r="780">
          <cell r="C780" t="str">
            <v>WILLIAMS, DEREK</v>
          </cell>
          <cell r="D780">
            <v>17113</v>
          </cell>
        </row>
        <row r="781">
          <cell r="C781" t="str">
            <v>WILLIAMS, HORACE</v>
          </cell>
          <cell r="D781">
            <v>10784</v>
          </cell>
        </row>
        <row r="782">
          <cell r="C782" t="str">
            <v>WILLIAMS, JORDAN</v>
          </cell>
          <cell r="D782">
            <v>19013</v>
          </cell>
        </row>
        <row r="783">
          <cell r="C783" t="str">
            <v>WILLIAMS, JUNE</v>
          </cell>
          <cell r="D783">
            <v>17919</v>
          </cell>
        </row>
        <row r="784">
          <cell r="C784" t="str">
            <v>WILLIAMS, LATERRICA</v>
          </cell>
          <cell r="D784">
            <v>14925</v>
          </cell>
        </row>
        <row r="785">
          <cell r="C785" t="str">
            <v>WILLIAMS, MAURICE</v>
          </cell>
          <cell r="D785">
            <v>16230</v>
          </cell>
        </row>
        <row r="786">
          <cell r="C786" t="str">
            <v>WILLIAMS, NICOLE</v>
          </cell>
          <cell r="D786">
            <v>17135</v>
          </cell>
        </row>
        <row r="787">
          <cell r="C787" t="str">
            <v>WILLIAMS, STARLI</v>
          </cell>
          <cell r="D787">
            <v>17179</v>
          </cell>
        </row>
        <row r="788">
          <cell r="C788" t="str">
            <v>WILLIAMS, STEVEN</v>
          </cell>
          <cell r="D788">
            <v>18117</v>
          </cell>
        </row>
        <row r="789">
          <cell r="C789" t="str">
            <v>WILLIS, JASON</v>
          </cell>
          <cell r="D789">
            <v>15754</v>
          </cell>
        </row>
        <row r="790">
          <cell r="C790" t="str">
            <v>WILSON, ADA</v>
          </cell>
          <cell r="D790">
            <v>17444</v>
          </cell>
        </row>
        <row r="791">
          <cell r="C791" t="str">
            <v>WILSON, DESTINY</v>
          </cell>
          <cell r="D791">
            <v>16797</v>
          </cell>
        </row>
        <row r="792">
          <cell r="C792" t="str">
            <v>WILSON, SHERRELL</v>
          </cell>
          <cell r="D792">
            <v>10726</v>
          </cell>
        </row>
        <row r="793">
          <cell r="C793" t="str">
            <v>WILSON ADELAJA, ASHLEY</v>
          </cell>
          <cell r="D793">
            <v>17393</v>
          </cell>
        </row>
        <row r="794">
          <cell r="C794" t="str">
            <v>WINANS, JENNIFER</v>
          </cell>
          <cell r="D794">
            <v>14954</v>
          </cell>
        </row>
        <row r="795">
          <cell r="C795" t="str">
            <v>WISE, DANIEL</v>
          </cell>
          <cell r="D795">
            <v>17417</v>
          </cell>
        </row>
        <row r="796">
          <cell r="C796" t="str">
            <v>WOMACK, ANN</v>
          </cell>
          <cell r="D796">
            <v>14408</v>
          </cell>
        </row>
        <row r="797">
          <cell r="C797" t="str">
            <v>WREN, JARED</v>
          </cell>
          <cell r="D797">
            <v>18829</v>
          </cell>
        </row>
        <row r="798">
          <cell r="C798" t="str">
            <v>YANTIS, LINDA</v>
          </cell>
          <cell r="D798">
            <v>12063</v>
          </cell>
        </row>
        <row r="799">
          <cell r="C799" t="str">
            <v>YELDELL, LEE</v>
          </cell>
          <cell r="D799">
            <v>14195</v>
          </cell>
        </row>
        <row r="800">
          <cell r="C800" t="str">
            <v>YELDER, TAYLOR</v>
          </cell>
          <cell r="D800">
            <v>18544</v>
          </cell>
        </row>
        <row r="801">
          <cell r="C801" t="str">
            <v>YOUNG, GEORGE</v>
          </cell>
          <cell r="D801">
            <v>16540</v>
          </cell>
        </row>
        <row r="802">
          <cell r="C802" t="str">
            <v>YOUNG, MEAGAN</v>
          </cell>
          <cell r="D802">
            <v>17372</v>
          </cell>
        </row>
        <row r="803">
          <cell r="C803" t="str">
            <v>YOUNKER, NORA</v>
          </cell>
          <cell r="D803">
            <v>15013</v>
          </cell>
        </row>
        <row r="804">
          <cell r="C804" t="str">
            <v>ZARZOZA, VICTOR</v>
          </cell>
          <cell r="D804">
            <v>12953</v>
          </cell>
        </row>
        <row r="805">
          <cell r="C805" t="str">
            <v>ZENO, TIESHA</v>
          </cell>
          <cell r="D805">
            <v>17426</v>
          </cell>
        </row>
        <row r="806">
          <cell r="C806" t="str">
            <v>ZEPEDA, NORMA</v>
          </cell>
          <cell r="D806">
            <v>11801</v>
          </cell>
        </row>
        <row r="807">
          <cell r="C807" t="str">
            <v>ZUKLIC, STEPHEN</v>
          </cell>
          <cell r="D807">
            <v>17630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4F92-7366-449C-9598-8E78B6503C1E}">
  <sheetPr>
    <outlinePr summaryBelow="0" summaryRight="0"/>
  </sheetPr>
  <dimension ref="A1:AM940"/>
  <sheetViews>
    <sheetView tabSelected="1" workbookViewId="0">
      <pane xSplit="1" ySplit="1" topLeftCell="L5" activePane="bottomRight" state="frozen"/>
      <selection pane="topRight" activeCell="B1" sqref="B1"/>
      <selection pane="bottomLeft" activeCell="A2" sqref="A2"/>
      <selection pane="bottomRight" activeCell="M366" sqref="M366"/>
    </sheetView>
  </sheetViews>
  <sheetFormatPr defaultColWidth="12.5546875" defaultRowHeight="15.75" customHeight="1" x14ac:dyDescent="0.4"/>
  <cols>
    <col min="1" max="1" width="35.1640625" bestFit="1" customWidth="1"/>
    <col min="3" max="3" width="40" bestFit="1" customWidth="1"/>
    <col min="10" max="10" width="24.1640625" bestFit="1" customWidth="1"/>
    <col min="12" max="12" width="25.71875" bestFit="1" customWidth="1"/>
    <col min="13" max="13" width="25.71875" customWidth="1"/>
    <col min="15" max="15" width="27.1640625" bestFit="1" customWidth="1"/>
    <col min="16" max="16" width="17.5546875" bestFit="1" customWidth="1"/>
    <col min="17" max="17" width="35.1640625" bestFit="1" customWidth="1"/>
  </cols>
  <sheetData>
    <row r="1" spans="1:39" s="11" customFormat="1" ht="49.5" customHeight="1" thickTop="1" thickBot="1" x14ac:dyDescent="0.45">
      <c r="A1" s="6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  <c r="I1" s="7" t="s">
        <v>53</v>
      </c>
      <c r="J1" s="7"/>
      <c r="K1" s="7" t="s">
        <v>54</v>
      </c>
      <c r="L1" s="7" t="s">
        <v>55</v>
      </c>
      <c r="M1" s="9" t="s">
        <v>466</v>
      </c>
      <c r="N1" s="7" t="s">
        <v>56</v>
      </c>
      <c r="O1" s="7" t="s">
        <v>57</v>
      </c>
      <c r="P1" s="7" t="s">
        <v>58</v>
      </c>
      <c r="Q1" s="7" t="s">
        <v>59</v>
      </c>
      <c r="R1" s="8" t="s">
        <v>60</v>
      </c>
      <c r="S1" s="8" t="s">
        <v>61</v>
      </c>
      <c r="T1" s="8" t="s">
        <v>62</v>
      </c>
      <c r="U1" s="8" t="s">
        <v>63</v>
      </c>
      <c r="V1" s="8" t="s">
        <v>64</v>
      </c>
      <c r="W1" s="8" t="s">
        <v>65</v>
      </c>
      <c r="X1" s="8" t="s">
        <v>66</v>
      </c>
      <c r="Y1" s="8" t="s">
        <v>67</v>
      </c>
      <c r="Z1" s="8" t="s">
        <v>68</v>
      </c>
      <c r="AA1" s="8" t="s">
        <v>69</v>
      </c>
      <c r="AB1" s="7" t="s">
        <v>70</v>
      </c>
      <c r="AC1" s="7" t="s">
        <v>71</v>
      </c>
      <c r="AD1" s="8" t="s">
        <v>60</v>
      </c>
      <c r="AE1" s="8" t="s">
        <v>61</v>
      </c>
      <c r="AF1" s="8" t="s">
        <v>62</v>
      </c>
      <c r="AG1" s="8" t="s">
        <v>72</v>
      </c>
      <c r="AH1" s="8" t="s">
        <v>73</v>
      </c>
      <c r="AI1" s="8" t="s">
        <v>65</v>
      </c>
      <c r="AJ1" s="8" t="s">
        <v>66</v>
      </c>
      <c r="AK1" s="8" t="s">
        <v>67</v>
      </c>
      <c r="AL1" s="8" t="s">
        <v>68</v>
      </c>
    </row>
    <row r="2" spans="1:39" ht="12.6" thickTop="1" x14ac:dyDescent="0.4">
      <c r="A2" s="1" t="s">
        <v>74</v>
      </c>
      <c r="B2" s="10">
        <f>VLOOKUP(A2,'[1]2025 KG Students'!$C$2:$D$630,2,FALSE)</f>
        <v>85060</v>
      </c>
      <c r="C2" s="1" t="s">
        <v>6</v>
      </c>
      <c r="D2" s="5" t="s">
        <v>7</v>
      </c>
      <c r="E2" s="5" t="s">
        <v>463</v>
      </c>
      <c r="F2" s="4" t="s">
        <v>465</v>
      </c>
      <c r="G2" s="4" t="s">
        <v>465</v>
      </c>
      <c r="I2" s="1" t="s">
        <v>8</v>
      </c>
      <c r="J2" s="1" t="s">
        <v>9</v>
      </c>
      <c r="K2" s="4" t="s">
        <v>464</v>
      </c>
      <c r="L2" s="1" t="s">
        <v>11</v>
      </c>
      <c r="M2" s="10">
        <f>VLOOKUP(L2,'[2]2025 Teachers (1)'!$C$2:$D$807,2,FALSE)</f>
        <v>18548</v>
      </c>
      <c r="O2" s="1"/>
      <c r="P2" s="3">
        <v>0.55000000000000004</v>
      </c>
      <c r="Q2" s="1"/>
      <c r="S2" s="2"/>
      <c r="T2" s="1"/>
      <c r="U2" s="1"/>
      <c r="V2" s="1"/>
      <c r="Y2" s="1"/>
      <c r="AA2" s="1"/>
      <c r="AB2" s="1"/>
      <c r="AC2" s="1"/>
      <c r="AD2" s="1"/>
      <c r="AE2" s="1"/>
      <c r="AF2" s="1"/>
      <c r="AG2" s="1"/>
      <c r="AH2" s="13">
        <f>VLOOKUP(A2,'2024-25 DIBELS BOY '!A2:AP372,42,FALSE)</f>
        <v>0.46833333333333332</v>
      </c>
      <c r="AI2" s="1"/>
      <c r="AJ2" s="1"/>
      <c r="AK2" s="1"/>
      <c r="AL2" s="1"/>
      <c r="AM2" s="1"/>
    </row>
    <row r="3" spans="1:39" ht="12.3" x14ac:dyDescent="0.4">
      <c r="A3" s="1" t="s">
        <v>75</v>
      </c>
      <c r="B3" s="10">
        <f>VLOOKUP(A3,'[1]2025 KG Students'!$C$2:$D$630,2,FALSE)</f>
        <v>85230</v>
      </c>
      <c r="C3" s="1" t="s">
        <v>6</v>
      </c>
      <c r="D3" s="5" t="s">
        <v>7</v>
      </c>
      <c r="E3" s="5" t="s">
        <v>463</v>
      </c>
      <c r="F3" s="4" t="s">
        <v>465</v>
      </c>
      <c r="G3" s="4" t="s">
        <v>465</v>
      </c>
      <c r="I3" s="1" t="s">
        <v>16</v>
      </c>
      <c r="J3" s="1" t="s">
        <v>10</v>
      </c>
      <c r="K3" s="4" t="s">
        <v>464</v>
      </c>
      <c r="L3" s="1" t="s">
        <v>17</v>
      </c>
      <c r="M3" s="10">
        <f>VLOOKUP(L3,'[2]2025 Teachers (1)'!$C$2:$D$807,2,FALSE)</f>
        <v>13866</v>
      </c>
      <c r="O3" s="1"/>
      <c r="P3" s="3">
        <v>0.625</v>
      </c>
      <c r="Q3" s="1"/>
      <c r="S3" s="2"/>
      <c r="T3" s="1"/>
      <c r="U3" s="1"/>
      <c r="V3" s="1"/>
      <c r="Y3" s="1"/>
      <c r="AA3" s="1"/>
      <c r="AB3" s="1"/>
      <c r="AC3" s="1"/>
      <c r="AD3" s="1"/>
      <c r="AE3" s="1"/>
      <c r="AF3" s="1"/>
      <c r="AG3" s="1"/>
      <c r="AH3" s="13">
        <f>VLOOKUP(A3,'2024-25 DIBELS BOY '!A3:AP373,42,FALSE)</f>
        <v>0.49</v>
      </c>
      <c r="AI3" s="1"/>
      <c r="AJ3" s="1"/>
      <c r="AK3" s="1"/>
      <c r="AL3" s="1"/>
      <c r="AM3" s="1"/>
    </row>
    <row r="4" spans="1:39" ht="12.3" x14ac:dyDescent="0.4">
      <c r="A4" s="1" t="s">
        <v>76</v>
      </c>
      <c r="B4" s="10">
        <f>VLOOKUP(A4,'[1]2025 KG Students'!$C$2:$D$630,2,FALSE)</f>
        <v>87397</v>
      </c>
      <c r="C4" s="1" t="s">
        <v>6</v>
      </c>
      <c r="D4" s="5" t="s">
        <v>7</v>
      </c>
      <c r="E4" s="5" t="s">
        <v>463</v>
      </c>
      <c r="F4" s="4" t="s">
        <v>465</v>
      </c>
      <c r="G4" s="4" t="s">
        <v>465</v>
      </c>
      <c r="I4" s="1" t="s">
        <v>16</v>
      </c>
      <c r="J4" s="1" t="s">
        <v>10</v>
      </c>
      <c r="K4" s="4" t="s">
        <v>464</v>
      </c>
      <c r="L4" s="1" t="s">
        <v>19</v>
      </c>
      <c r="M4" s="10">
        <f>VLOOKUP(L4,'[2]2025 Teachers (1)'!$C$2:$D$807,2,FALSE)</f>
        <v>18050</v>
      </c>
      <c r="O4" s="1"/>
      <c r="P4" s="3">
        <v>0.66500000000000004</v>
      </c>
      <c r="Q4" s="1"/>
      <c r="S4" s="1"/>
      <c r="T4" s="1"/>
      <c r="U4" s="2"/>
      <c r="V4" s="1"/>
      <c r="Y4" s="1"/>
      <c r="AA4" s="1"/>
      <c r="AB4" s="1"/>
      <c r="AC4" s="1"/>
      <c r="AD4" s="1"/>
      <c r="AE4" s="1"/>
      <c r="AF4" s="1"/>
      <c r="AG4" s="1"/>
      <c r="AH4" s="13">
        <f>VLOOKUP(A4,'2024-25 DIBELS BOY '!A4:AP374,42,FALSE)</f>
        <v>0.65</v>
      </c>
      <c r="AI4" s="1"/>
      <c r="AJ4" s="1"/>
      <c r="AK4" s="1"/>
      <c r="AL4" s="1"/>
      <c r="AM4" s="1"/>
    </row>
    <row r="5" spans="1:39" ht="12.3" x14ac:dyDescent="0.4">
      <c r="A5" s="1" t="s">
        <v>77</v>
      </c>
      <c r="B5" s="10">
        <f>VLOOKUP(A5,'[1]2025 KG Students'!$C$2:$D$630,2,FALSE)</f>
        <v>85215</v>
      </c>
      <c r="C5" s="1" t="s">
        <v>6</v>
      </c>
      <c r="D5" s="5" t="s">
        <v>7</v>
      </c>
      <c r="E5" s="5" t="s">
        <v>463</v>
      </c>
      <c r="F5" s="4" t="s">
        <v>465</v>
      </c>
      <c r="G5" s="4" t="s">
        <v>465</v>
      </c>
      <c r="I5" s="1" t="s">
        <v>8</v>
      </c>
      <c r="J5" s="1" t="s">
        <v>9</v>
      </c>
      <c r="K5" s="4" t="s">
        <v>464</v>
      </c>
      <c r="L5" s="1" t="s">
        <v>19</v>
      </c>
      <c r="M5" s="10">
        <f>VLOOKUP(L5,'[2]2025 Teachers (1)'!$C$2:$D$807,2,FALSE)</f>
        <v>18050</v>
      </c>
      <c r="O5" s="1"/>
      <c r="P5" s="3">
        <v>0.6166666666666667</v>
      </c>
      <c r="Q5" s="1"/>
      <c r="S5" s="2"/>
      <c r="T5" s="1"/>
      <c r="U5" s="2"/>
      <c r="V5" s="1"/>
      <c r="Y5" s="1"/>
      <c r="AA5" s="1"/>
      <c r="AB5" s="1"/>
      <c r="AC5" s="1"/>
      <c r="AD5" s="1"/>
      <c r="AE5" s="1"/>
      <c r="AF5" s="1"/>
      <c r="AG5" s="1"/>
      <c r="AH5" s="13">
        <f>VLOOKUP(A5,'2024-25 DIBELS BOY '!A5:AP375,42,FALSE)</f>
        <v>0.55500000000000005</v>
      </c>
      <c r="AI5" s="1"/>
      <c r="AJ5" s="1"/>
      <c r="AK5" s="1"/>
      <c r="AL5" s="1"/>
      <c r="AM5" s="1"/>
    </row>
    <row r="6" spans="1:39" ht="12.3" x14ac:dyDescent="0.4">
      <c r="A6" s="1" t="s">
        <v>79</v>
      </c>
      <c r="B6" s="10">
        <f>VLOOKUP(A6,'[1]2025 KG Students'!$C$2:$D$630,2,FALSE)</f>
        <v>87566</v>
      </c>
      <c r="C6" s="1" t="s">
        <v>6</v>
      </c>
      <c r="D6" s="5" t="s">
        <v>7</v>
      </c>
      <c r="E6" s="5" t="s">
        <v>463</v>
      </c>
      <c r="F6" s="4" t="s">
        <v>465</v>
      </c>
      <c r="G6" s="4" t="s">
        <v>465</v>
      </c>
      <c r="I6" s="1" t="s">
        <v>8</v>
      </c>
      <c r="J6" s="1" t="s">
        <v>9</v>
      </c>
      <c r="K6" s="4" t="s">
        <v>464</v>
      </c>
      <c r="L6" s="1" t="s">
        <v>19</v>
      </c>
      <c r="M6" s="10">
        <f>VLOOKUP(L6,'[2]2025 Teachers (1)'!$C$2:$D$807,2,FALSE)</f>
        <v>18050</v>
      </c>
      <c r="O6" s="1"/>
      <c r="P6" s="3">
        <v>0.53333333333333333</v>
      </c>
      <c r="Q6" s="1"/>
      <c r="S6" s="1"/>
      <c r="T6" s="1"/>
      <c r="U6" s="2"/>
      <c r="V6" s="1"/>
      <c r="Y6" s="1"/>
      <c r="AA6" s="1"/>
      <c r="AB6" s="1"/>
      <c r="AC6" s="1"/>
      <c r="AD6" s="1"/>
      <c r="AE6" s="1"/>
      <c r="AF6" s="1"/>
      <c r="AG6" s="1"/>
      <c r="AH6" s="13">
        <f>VLOOKUP(A6,'2024-25 DIBELS BOY '!A6:AP376,42,FALSE)</f>
        <v>0.44</v>
      </c>
      <c r="AI6" s="1"/>
      <c r="AJ6" s="1"/>
      <c r="AK6" s="1"/>
      <c r="AL6" s="1"/>
      <c r="AM6" s="1"/>
    </row>
    <row r="7" spans="1:39" ht="12.3" x14ac:dyDescent="0.4">
      <c r="A7" s="1" t="s">
        <v>81</v>
      </c>
      <c r="B7" s="10">
        <f>VLOOKUP(A7,'[1]2025 KG Students'!$C$2:$D$630,2,FALSE)</f>
        <v>85437</v>
      </c>
      <c r="C7" s="1" t="s">
        <v>6</v>
      </c>
      <c r="D7" s="5" t="s">
        <v>7</v>
      </c>
      <c r="E7" s="5" t="s">
        <v>463</v>
      </c>
      <c r="F7" s="4" t="s">
        <v>465</v>
      </c>
      <c r="G7" s="4" t="s">
        <v>465</v>
      </c>
      <c r="I7" s="1" t="s">
        <v>16</v>
      </c>
      <c r="J7" s="1" t="s">
        <v>10</v>
      </c>
      <c r="K7" s="4" t="s">
        <v>464</v>
      </c>
      <c r="L7" s="1" t="s">
        <v>21</v>
      </c>
      <c r="M7" s="10">
        <f>VLOOKUP(L7,'[2]2025 Teachers (1)'!$C$2:$D$807,2,FALSE)</f>
        <v>15019</v>
      </c>
      <c r="O7" s="1"/>
      <c r="P7" s="3">
        <v>0.56499999999999995</v>
      </c>
      <c r="Q7" s="1"/>
      <c r="S7" s="2"/>
      <c r="T7" s="1"/>
      <c r="U7" s="1"/>
      <c r="V7" s="1"/>
      <c r="Y7" s="1"/>
      <c r="AA7" s="1"/>
      <c r="AB7" s="1"/>
      <c r="AC7" s="1"/>
      <c r="AD7" s="1"/>
      <c r="AE7" s="1"/>
      <c r="AF7" s="1"/>
      <c r="AG7" s="1"/>
      <c r="AH7" s="13">
        <f>VLOOKUP(A7,'2024-25 DIBELS BOY '!A7:AP377,42,FALSE)</f>
        <v>0.44833333333333331</v>
      </c>
      <c r="AI7" s="1"/>
      <c r="AJ7" s="1"/>
      <c r="AK7" s="1"/>
      <c r="AL7" s="1"/>
      <c r="AM7" s="1"/>
    </row>
    <row r="8" spans="1:39" ht="12.3" x14ac:dyDescent="0.4">
      <c r="A8" s="1" t="s">
        <v>82</v>
      </c>
      <c r="B8" s="10">
        <f>VLOOKUP(A8,'[1]2025 KG Students'!$C$2:$D$630,2,FALSE)</f>
        <v>88055</v>
      </c>
      <c r="C8" s="1" t="s">
        <v>6</v>
      </c>
      <c r="D8" s="5" t="s">
        <v>7</v>
      </c>
      <c r="E8" s="5" t="s">
        <v>463</v>
      </c>
      <c r="F8" s="4" t="s">
        <v>465</v>
      </c>
      <c r="G8" s="4" t="s">
        <v>465</v>
      </c>
      <c r="I8" s="1" t="s">
        <v>16</v>
      </c>
      <c r="J8" s="1" t="s">
        <v>10</v>
      </c>
      <c r="K8" s="4" t="s">
        <v>464</v>
      </c>
      <c r="L8" s="1" t="s">
        <v>22</v>
      </c>
      <c r="M8" s="10">
        <f>VLOOKUP(L8,'[2]2025 Teachers (1)'!$C$2:$D$807,2,FALSE)</f>
        <v>18825</v>
      </c>
      <c r="O8" s="1"/>
      <c r="P8" s="3">
        <v>0.60666666666666669</v>
      </c>
      <c r="Q8" s="1"/>
      <c r="S8" s="1"/>
      <c r="T8" s="1"/>
      <c r="U8" s="1"/>
      <c r="V8" s="1"/>
      <c r="Y8" s="1"/>
      <c r="AA8" s="1"/>
      <c r="AB8" s="1"/>
      <c r="AC8" s="1"/>
      <c r="AD8" s="1"/>
      <c r="AE8" s="1"/>
      <c r="AF8" s="1"/>
      <c r="AG8" s="1"/>
      <c r="AH8" s="13">
        <f>VLOOKUP(A8,'2024-25 DIBELS BOY '!A8:AP378,42,FALSE)</f>
        <v>0.51</v>
      </c>
      <c r="AI8" s="1"/>
      <c r="AJ8" s="1"/>
      <c r="AK8" s="1"/>
      <c r="AL8" s="1"/>
      <c r="AM8" s="1"/>
    </row>
    <row r="9" spans="1:39" ht="12.3" x14ac:dyDescent="0.4">
      <c r="A9" s="1" t="s">
        <v>84</v>
      </c>
      <c r="B9" s="10">
        <f>VLOOKUP(A9,'[1]2025 KG Students'!$C$2:$D$630,2,FALSE)</f>
        <v>85672</v>
      </c>
      <c r="C9" s="1" t="s">
        <v>6</v>
      </c>
      <c r="D9" s="5" t="s">
        <v>7</v>
      </c>
      <c r="E9" s="5" t="s">
        <v>463</v>
      </c>
      <c r="F9" s="4" t="s">
        <v>465</v>
      </c>
      <c r="G9" s="4" t="s">
        <v>465</v>
      </c>
      <c r="I9" s="1" t="s">
        <v>8</v>
      </c>
      <c r="J9" s="1" t="s">
        <v>9</v>
      </c>
      <c r="K9" s="4" t="s">
        <v>464</v>
      </c>
      <c r="L9" s="1" t="s">
        <v>23</v>
      </c>
      <c r="M9" s="10">
        <f>VLOOKUP(L9,'[2]2025 Teachers (1)'!$C$2:$D$807,2,FALSE)</f>
        <v>17879</v>
      </c>
      <c r="O9" s="1"/>
      <c r="P9" s="3">
        <v>0.65500000000000003</v>
      </c>
      <c r="Q9" s="1"/>
      <c r="S9" s="2"/>
      <c r="T9" s="1"/>
      <c r="U9" s="1"/>
      <c r="V9" s="1"/>
      <c r="Y9" s="1"/>
      <c r="AA9" s="1"/>
      <c r="AB9" s="1"/>
      <c r="AC9" s="1"/>
      <c r="AD9" s="1"/>
      <c r="AE9" s="1"/>
      <c r="AF9" s="1"/>
      <c r="AG9" s="1"/>
      <c r="AH9" s="13">
        <f>VLOOKUP(A9,'2024-25 DIBELS BOY '!A9:AP379,42,FALSE)</f>
        <v>0.46666666666666667</v>
      </c>
      <c r="AI9" s="1"/>
      <c r="AJ9" s="1"/>
      <c r="AK9" s="1"/>
      <c r="AL9" s="1"/>
      <c r="AM9" s="1"/>
    </row>
    <row r="10" spans="1:39" ht="12.3" x14ac:dyDescent="0.4">
      <c r="A10" s="1" t="s">
        <v>85</v>
      </c>
      <c r="B10" s="10">
        <f>VLOOKUP(A10,'[1]2025 KG Students'!$C$2:$D$630,2,FALSE)</f>
        <v>85057</v>
      </c>
      <c r="C10" s="1" t="s">
        <v>6</v>
      </c>
      <c r="D10" s="5" t="s">
        <v>7</v>
      </c>
      <c r="E10" s="5" t="s">
        <v>463</v>
      </c>
      <c r="F10" s="4" t="s">
        <v>465</v>
      </c>
      <c r="G10" s="4" t="s">
        <v>465</v>
      </c>
      <c r="I10" s="1" t="s">
        <v>16</v>
      </c>
      <c r="J10" s="1" t="s">
        <v>10</v>
      </c>
      <c r="K10" s="4" t="s">
        <v>464</v>
      </c>
      <c r="L10" s="1" t="s">
        <v>24</v>
      </c>
      <c r="M10" s="10">
        <f>VLOOKUP(L10,'[2]2025 Teachers (1)'!$C$2:$D$807,2,FALSE)</f>
        <v>14530</v>
      </c>
      <c r="O10" s="1"/>
      <c r="P10" s="3">
        <v>0.60666666666666669</v>
      </c>
      <c r="Q10" s="1"/>
      <c r="S10" s="2"/>
      <c r="T10" s="1"/>
      <c r="U10" s="1"/>
      <c r="V10" s="1"/>
      <c r="Y10" s="1"/>
      <c r="AA10" s="1"/>
      <c r="AB10" s="1"/>
      <c r="AC10" s="1"/>
      <c r="AD10" s="1"/>
      <c r="AE10" s="1"/>
      <c r="AF10" s="1"/>
      <c r="AG10" s="1"/>
      <c r="AH10" s="13">
        <f>VLOOKUP(A10,'2024-25 DIBELS BOY '!A10:AP380,42,FALSE)</f>
        <v>0.47666666666666668</v>
      </c>
      <c r="AI10" s="1"/>
      <c r="AJ10" s="1"/>
      <c r="AK10" s="1"/>
      <c r="AL10" s="1"/>
      <c r="AM10" s="1"/>
    </row>
    <row r="11" spans="1:39" ht="12.3" x14ac:dyDescent="0.4">
      <c r="A11" s="1" t="s">
        <v>86</v>
      </c>
      <c r="B11" s="10">
        <f>VLOOKUP(A11,'[1]2025 KG Students'!$C$2:$D$630,2,FALSE)</f>
        <v>85476</v>
      </c>
      <c r="C11" s="1" t="s">
        <v>6</v>
      </c>
      <c r="D11" s="5" t="s">
        <v>7</v>
      </c>
      <c r="E11" s="5" t="s">
        <v>463</v>
      </c>
      <c r="F11" s="4" t="s">
        <v>465</v>
      </c>
      <c r="G11" s="4" t="s">
        <v>465</v>
      </c>
      <c r="I11" s="1" t="s">
        <v>16</v>
      </c>
      <c r="J11" s="1" t="s">
        <v>10</v>
      </c>
      <c r="K11" s="4" t="s">
        <v>464</v>
      </c>
      <c r="L11" s="1" t="s">
        <v>25</v>
      </c>
      <c r="M11" s="10">
        <f>VLOOKUP(L11,'[2]2025 Teachers (1)'!$C$2:$D$807,2,FALSE)</f>
        <v>17649</v>
      </c>
      <c r="O11" s="1"/>
      <c r="P11" s="3">
        <v>0.63666666666666671</v>
      </c>
      <c r="Q11" s="1"/>
      <c r="S11" s="2"/>
      <c r="T11" s="1"/>
      <c r="U11" s="1"/>
      <c r="V11" s="1"/>
      <c r="Y11" s="1"/>
      <c r="AA11" s="1"/>
      <c r="AB11" s="1"/>
      <c r="AC11" s="1"/>
      <c r="AD11" s="1"/>
      <c r="AE11" s="1"/>
      <c r="AF11" s="1"/>
      <c r="AG11" s="1"/>
      <c r="AH11" s="13">
        <f>VLOOKUP(A11,'2024-25 DIBELS BOY '!A11:AP381,42,FALSE)</f>
        <v>0.54333333333333333</v>
      </c>
      <c r="AI11" s="1"/>
      <c r="AJ11" s="1"/>
      <c r="AK11" s="1"/>
      <c r="AL11" s="1"/>
      <c r="AM11" s="1"/>
    </row>
    <row r="12" spans="1:39" ht="12.3" x14ac:dyDescent="0.4">
      <c r="A12" s="1" t="s">
        <v>87</v>
      </c>
      <c r="B12" s="10">
        <f>VLOOKUP(A12,'[1]2025 KG Students'!$C$2:$D$630,2,FALSE)</f>
        <v>87591</v>
      </c>
      <c r="C12" s="1" t="s">
        <v>6</v>
      </c>
      <c r="D12" s="5" t="s">
        <v>7</v>
      </c>
      <c r="E12" s="5" t="s">
        <v>463</v>
      </c>
      <c r="F12" s="4" t="s">
        <v>465</v>
      </c>
      <c r="G12" s="4" t="s">
        <v>465</v>
      </c>
      <c r="I12" s="1" t="s">
        <v>16</v>
      </c>
      <c r="J12" s="1" t="s">
        <v>10</v>
      </c>
      <c r="K12" s="4" t="s">
        <v>464</v>
      </c>
      <c r="L12" s="1" t="s">
        <v>25</v>
      </c>
      <c r="M12" s="10">
        <f>VLOOKUP(L12,'[2]2025 Teachers (1)'!$C$2:$D$807,2,FALSE)</f>
        <v>17649</v>
      </c>
      <c r="O12" s="1"/>
      <c r="P12" s="3">
        <v>0.62333333333333329</v>
      </c>
      <c r="Q12" s="1"/>
      <c r="S12" s="1"/>
      <c r="T12" s="1"/>
      <c r="U12" s="1"/>
      <c r="V12" s="1"/>
      <c r="Y12" s="1"/>
      <c r="AA12" s="1"/>
      <c r="AB12" s="1"/>
      <c r="AC12" s="1"/>
      <c r="AD12" s="1"/>
      <c r="AE12" s="1"/>
      <c r="AF12" s="1"/>
      <c r="AG12" s="1"/>
      <c r="AH12" s="13">
        <f>VLOOKUP(A12,'2024-25 DIBELS BOY '!A12:AP382,42,FALSE)</f>
        <v>0.55500000000000005</v>
      </c>
      <c r="AI12" s="1"/>
      <c r="AJ12" s="1"/>
      <c r="AK12" s="1"/>
      <c r="AL12" s="1"/>
      <c r="AM12" s="1"/>
    </row>
    <row r="13" spans="1:39" ht="12.3" x14ac:dyDescent="0.4">
      <c r="A13" s="1" t="s">
        <v>88</v>
      </c>
      <c r="B13" s="10">
        <f>VLOOKUP(A13,'[1]2025 KG Students'!$C$2:$D$630,2,FALSE)</f>
        <v>87458</v>
      </c>
      <c r="C13" s="1" t="s">
        <v>6</v>
      </c>
      <c r="D13" s="5" t="s">
        <v>7</v>
      </c>
      <c r="E13" s="5" t="s">
        <v>463</v>
      </c>
      <c r="F13" s="4" t="s">
        <v>465</v>
      </c>
      <c r="G13" s="4" t="s">
        <v>465</v>
      </c>
      <c r="I13" s="1" t="s">
        <v>16</v>
      </c>
      <c r="J13" s="1" t="s">
        <v>10</v>
      </c>
      <c r="K13" s="4" t="s">
        <v>464</v>
      </c>
      <c r="L13" s="1" t="s">
        <v>25</v>
      </c>
      <c r="M13" s="10">
        <f>VLOOKUP(L13,'[2]2025 Teachers (1)'!$C$2:$D$807,2,FALSE)</f>
        <v>17649</v>
      </c>
      <c r="O13" s="1"/>
      <c r="P13" s="3">
        <v>0.62333333333333329</v>
      </c>
      <c r="Q13" s="1"/>
      <c r="S13" s="1"/>
      <c r="T13" s="1"/>
      <c r="U13" s="2"/>
      <c r="V13" s="1"/>
      <c r="Y13" s="1"/>
      <c r="AA13" s="1"/>
      <c r="AB13" s="1"/>
      <c r="AC13" s="1"/>
      <c r="AD13" s="1"/>
      <c r="AE13" s="1"/>
      <c r="AF13" s="1"/>
      <c r="AG13" s="1"/>
      <c r="AH13" s="13">
        <f>VLOOKUP(A13,'2024-25 DIBELS BOY '!A13:AP383,42,FALSE)</f>
        <v>0.41333333333333333</v>
      </c>
      <c r="AI13" s="1"/>
      <c r="AJ13" s="1"/>
      <c r="AK13" s="1"/>
      <c r="AL13" s="1"/>
      <c r="AM13" s="1"/>
    </row>
    <row r="14" spans="1:39" ht="12.3" x14ac:dyDescent="0.4">
      <c r="A14" s="1" t="s">
        <v>89</v>
      </c>
      <c r="B14" s="10">
        <f>VLOOKUP(A14,'[1]2025 KG Students'!$C$2:$D$630,2,FALSE)</f>
        <v>86192</v>
      </c>
      <c r="C14" s="1" t="s">
        <v>6</v>
      </c>
      <c r="D14" s="5" t="s">
        <v>7</v>
      </c>
      <c r="E14" s="5" t="s">
        <v>463</v>
      </c>
      <c r="F14" s="4" t="s">
        <v>465</v>
      </c>
      <c r="G14" s="4" t="s">
        <v>465</v>
      </c>
      <c r="I14" s="1" t="s">
        <v>8</v>
      </c>
      <c r="J14" s="1" t="s">
        <v>9</v>
      </c>
      <c r="K14" s="4" t="s">
        <v>464</v>
      </c>
      <c r="L14" s="1" t="s">
        <v>26</v>
      </c>
      <c r="M14" s="10">
        <f>VLOOKUP(L14,'[2]2025 Teachers (1)'!$C$2:$D$807,2,FALSE)</f>
        <v>18941</v>
      </c>
      <c r="O14" s="1"/>
      <c r="P14" s="3">
        <v>0.69833333333333336</v>
      </c>
      <c r="Q14" s="1"/>
      <c r="S14" s="2"/>
      <c r="T14" s="1"/>
      <c r="U14" s="1"/>
      <c r="V14" s="1"/>
      <c r="Y14" s="1"/>
      <c r="AA14" s="1"/>
      <c r="AB14" s="1"/>
      <c r="AC14" s="1"/>
      <c r="AD14" s="1"/>
      <c r="AE14" s="1"/>
      <c r="AF14" s="1"/>
      <c r="AG14" s="1"/>
      <c r="AH14" s="13">
        <f>VLOOKUP(A14,'2024-25 DIBELS BOY '!A14:AP384,42,FALSE)</f>
        <v>0.72166666666666668</v>
      </c>
      <c r="AI14" s="1"/>
      <c r="AJ14" s="1"/>
      <c r="AK14" s="1"/>
      <c r="AL14" s="1"/>
      <c r="AM14" s="1"/>
    </row>
    <row r="15" spans="1:39" ht="12.3" x14ac:dyDescent="0.4">
      <c r="A15" s="1" t="s">
        <v>90</v>
      </c>
      <c r="B15" s="10">
        <f>VLOOKUP(A15,'[1]2025 KG Students'!$C$2:$D$630,2,FALSE)</f>
        <v>85420</v>
      </c>
      <c r="C15" s="1" t="s">
        <v>6</v>
      </c>
      <c r="D15" s="5" t="s">
        <v>7</v>
      </c>
      <c r="E15" s="5" t="s">
        <v>463</v>
      </c>
      <c r="F15" s="4" t="s">
        <v>465</v>
      </c>
      <c r="G15" s="4" t="s">
        <v>465</v>
      </c>
      <c r="I15" s="1" t="s">
        <v>8</v>
      </c>
      <c r="J15" s="1" t="s">
        <v>9</v>
      </c>
      <c r="K15" s="4" t="s">
        <v>464</v>
      </c>
      <c r="L15" s="1" t="s">
        <v>11</v>
      </c>
      <c r="M15" s="10">
        <f>VLOOKUP(L15,'[2]2025 Teachers (1)'!$C$2:$D$807,2,FALSE)</f>
        <v>18548</v>
      </c>
      <c r="O15" s="1"/>
      <c r="P15" s="3">
        <v>0.6</v>
      </c>
      <c r="Q15" s="1"/>
      <c r="S15" s="2"/>
      <c r="T15" s="1"/>
      <c r="U15" s="2"/>
      <c r="V15" s="1"/>
      <c r="Y15" s="1"/>
      <c r="AA15" s="1"/>
      <c r="AB15" s="1"/>
      <c r="AC15" s="1"/>
      <c r="AD15" s="1"/>
      <c r="AE15" s="1"/>
      <c r="AF15" s="1"/>
      <c r="AG15" s="1"/>
      <c r="AH15" s="13">
        <f>VLOOKUP(A15,'2024-25 DIBELS BOY '!A15:AP385,42,FALSE)</f>
        <v>0.55000000000000004</v>
      </c>
      <c r="AI15" s="1"/>
      <c r="AJ15" s="1"/>
      <c r="AK15" s="1"/>
      <c r="AL15" s="1"/>
      <c r="AM15" s="1"/>
    </row>
    <row r="16" spans="1:39" ht="12.3" x14ac:dyDescent="0.4">
      <c r="A16" s="1" t="s">
        <v>91</v>
      </c>
      <c r="B16" s="10">
        <f>VLOOKUP(A16,'[1]2025 KG Students'!$C$2:$D$630,2,FALSE)</f>
        <v>86926</v>
      </c>
      <c r="C16" s="1" t="s">
        <v>6</v>
      </c>
      <c r="D16" s="5" t="s">
        <v>7</v>
      </c>
      <c r="E16" s="5" t="s">
        <v>463</v>
      </c>
      <c r="F16" s="4" t="s">
        <v>465</v>
      </c>
      <c r="G16" s="4" t="s">
        <v>465</v>
      </c>
      <c r="I16" s="1" t="s">
        <v>27</v>
      </c>
      <c r="J16" s="1" t="s">
        <v>9</v>
      </c>
      <c r="K16" s="4" t="s">
        <v>464</v>
      </c>
      <c r="L16" s="1" t="s">
        <v>25</v>
      </c>
      <c r="M16" s="10">
        <f>VLOOKUP(L16,'[2]2025 Teachers (1)'!$C$2:$D$807,2,FALSE)</f>
        <v>17649</v>
      </c>
      <c r="O16" s="1"/>
      <c r="P16" s="3">
        <v>0.7466666666666667</v>
      </c>
      <c r="Q16" s="1"/>
      <c r="S16" s="2"/>
      <c r="T16" s="1"/>
      <c r="U16" s="2"/>
      <c r="V16" s="1"/>
      <c r="Y16" s="1"/>
      <c r="AA16" s="1"/>
      <c r="AB16" s="1"/>
      <c r="AC16" s="1"/>
      <c r="AD16" s="1"/>
      <c r="AE16" s="1"/>
      <c r="AF16" s="1"/>
      <c r="AG16" s="1"/>
      <c r="AH16" s="13">
        <f>VLOOKUP(A16,'2024-25 DIBELS BOY '!A16:AP386,42,FALSE)</f>
        <v>0.85666666666666669</v>
      </c>
      <c r="AI16" s="1"/>
      <c r="AJ16" s="1"/>
      <c r="AK16" s="1"/>
      <c r="AL16" s="1"/>
      <c r="AM16" s="1"/>
    </row>
    <row r="17" spans="1:39" ht="12.3" x14ac:dyDescent="0.4">
      <c r="A17" s="1" t="s">
        <v>92</v>
      </c>
      <c r="B17" s="10">
        <f>VLOOKUP(A17,'[1]2025 KG Students'!$C$2:$D$630,2,FALSE)</f>
        <v>85142</v>
      </c>
      <c r="C17" s="1" t="s">
        <v>6</v>
      </c>
      <c r="D17" s="5" t="s">
        <v>7</v>
      </c>
      <c r="E17" s="5" t="s">
        <v>463</v>
      </c>
      <c r="F17" s="4" t="s">
        <v>465</v>
      </c>
      <c r="G17" s="4" t="s">
        <v>465</v>
      </c>
      <c r="I17" s="1" t="s">
        <v>16</v>
      </c>
      <c r="J17" s="1" t="s">
        <v>10</v>
      </c>
      <c r="K17" s="4" t="s">
        <v>464</v>
      </c>
      <c r="L17" s="1" t="s">
        <v>23</v>
      </c>
      <c r="M17" s="10">
        <f>VLOOKUP(L17,'[2]2025 Teachers (1)'!$C$2:$D$807,2,FALSE)</f>
        <v>17879</v>
      </c>
      <c r="O17" s="1"/>
      <c r="P17" s="3">
        <v>0.6</v>
      </c>
      <c r="Q17" s="1"/>
      <c r="S17" s="2"/>
      <c r="T17" s="1"/>
      <c r="U17" s="2"/>
      <c r="V17" s="1"/>
      <c r="Y17" s="1"/>
      <c r="AA17" s="1"/>
      <c r="AB17" s="1"/>
      <c r="AC17" s="1"/>
      <c r="AD17" s="1"/>
      <c r="AE17" s="1"/>
      <c r="AF17" s="1"/>
      <c r="AG17" s="1"/>
      <c r="AH17" s="13">
        <f>VLOOKUP(A17,'2024-25 DIBELS BOY '!A17:AP387,42,FALSE)</f>
        <v>0.48833333333333334</v>
      </c>
      <c r="AI17" s="1"/>
      <c r="AJ17" s="1"/>
      <c r="AK17" s="1"/>
      <c r="AL17" s="1"/>
      <c r="AM17" s="1"/>
    </row>
    <row r="18" spans="1:39" ht="12.3" x14ac:dyDescent="0.4">
      <c r="A18" s="1" t="s">
        <v>93</v>
      </c>
      <c r="B18" s="10">
        <f>VLOOKUP(A18,'[1]2025 KG Students'!$C$2:$D$630,2,FALSE)</f>
        <v>85147</v>
      </c>
      <c r="C18" s="1" t="s">
        <v>6</v>
      </c>
      <c r="D18" s="5" t="s">
        <v>7</v>
      </c>
      <c r="E18" s="5" t="s">
        <v>463</v>
      </c>
      <c r="F18" s="4" t="s">
        <v>465</v>
      </c>
      <c r="G18" s="4" t="s">
        <v>465</v>
      </c>
      <c r="I18" s="1" t="s">
        <v>16</v>
      </c>
      <c r="J18" s="1" t="s">
        <v>10</v>
      </c>
      <c r="K18" s="4" t="s">
        <v>464</v>
      </c>
      <c r="L18" s="1" t="s">
        <v>17</v>
      </c>
      <c r="M18" s="10">
        <f>VLOOKUP(L18,'[2]2025 Teachers (1)'!$C$2:$D$807,2,FALSE)</f>
        <v>13866</v>
      </c>
      <c r="O18" s="1"/>
      <c r="P18" s="3">
        <v>0.73833333333333329</v>
      </c>
      <c r="Q18" s="1"/>
      <c r="S18" s="2"/>
      <c r="T18" s="1"/>
      <c r="U18" s="1"/>
      <c r="V18" s="1"/>
      <c r="Y18" s="1"/>
      <c r="AA18" s="1"/>
      <c r="AB18" s="1"/>
      <c r="AC18" s="1"/>
      <c r="AD18" s="1"/>
      <c r="AE18" s="1"/>
      <c r="AF18" s="1"/>
      <c r="AG18" s="1"/>
      <c r="AH18" s="13">
        <f>VLOOKUP(A18,'2024-25 DIBELS BOY '!A18:AP388,42,FALSE)</f>
        <v>0.59</v>
      </c>
      <c r="AI18" s="1"/>
      <c r="AJ18" s="1"/>
      <c r="AK18" s="1"/>
      <c r="AL18" s="1"/>
      <c r="AM18" s="1"/>
    </row>
    <row r="19" spans="1:39" ht="12.3" x14ac:dyDescent="0.4">
      <c r="A19" s="1" t="s">
        <v>94</v>
      </c>
      <c r="B19" s="10">
        <f>VLOOKUP(A19,'[1]2025 KG Students'!$C$2:$D$630,2,FALSE)</f>
        <v>85043</v>
      </c>
      <c r="C19" s="1" t="s">
        <v>6</v>
      </c>
      <c r="D19" s="5" t="s">
        <v>7</v>
      </c>
      <c r="E19" s="5" t="s">
        <v>463</v>
      </c>
      <c r="F19" s="4" t="s">
        <v>465</v>
      </c>
      <c r="G19" s="4" t="s">
        <v>465</v>
      </c>
      <c r="I19" s="1" t="s">
        <v>16</v>
      </c>
      <c r="J19" s="1" t="s">
        <v>10</v>
      </c>
      <c r="K19" s="4" t="s">
        <v>464</v>
      </c>
      <c r="L19" s="1" t="s">
        <v>24</v>
      </c>
      <c r="M19" s="10">
        <f>VLOOKUP(L19,'[2]2025 Teachers (1)'!$C$2:$D$807,2,FALSE)</f>
        <v>14530</v>
      </c>
      <c r="O19" s="1"/>
      <c r="P19" s="3">
        <v>0.67333333333333334</v>
      </c>
      <c r="Q19" s="1"/>
      <c r="S19" s="2"/>
      <c r="T19" s="1"/>
      <c r="U19" s="1"/>
      <c r="V19" s="1"/>
      <c r="Y19" s="1"/>
      <c r="AA19" s="1"/>
      <c r="AB19" s="1"/>
      <c r="AC19" s="1"/>
      <c r="AD19" s="1"/>
      <c r="AE19" s="1"/>
      <c r="AF19" s="1"/>
      <c r="AG19" s="1"/>
      <c r="AH19" s="13">
        <f>VLOOKUP(A19,'2024-25 DIBELS BOY '!A19:AP389,42,FALSE)</f>
        <v>0.58166666666666667</v>
      </c>
      <c r="AI19" s="1"/>
      <c r="AJ19" s="1"/>
      <c r="AK19" s="1"/>
      <c r="AL19" s="1"/>
      <c r="AM19" s="1"/>
    </row>
    <row r="20" spans="1:39" ht="12.3" x14ac:dyDescent="0.4">
      <c r="A20" s="1" t="s">
        <v>95</v>
      </c>
      <c r="B20" s="10">
        <f>VLOOKUP(A20,'[1]2025 KG Students'!$C$2:$D$630,2,FALSE)</f>
        <v>85397</v>
      </c>
      <c r="C20" s="1" t="s">
        <v>6</v>
      </c>
      <c r="D20" s="5" t="s">
        <v>7</v>
      </c>
      <c r="E20" s="5" t="s">
        <v>463</v>
      </c>
      <c r="F20" s="4" t="s">
        <v>465</v>
      </c>
      <c r="G20" s="4" t="s">
        <v>465</v>
      </c>
      <c r="I20" s="1" t="s">
        <v>8</v>
      </c>
      <c r="J20" s="1" t="s">
        <v>9</v>
      </c>
      <c r="K20" s="4" t="s">
        <v>464</v>
      </c>
      <c r="L20" s="1" t="s">
        <v>24</v>
      </c>
      <c r="M20" s="10">
        <f>VLOOKUP(L20,'[2]2025 Teachers (1)'!$C$2:$D$807,2,FALSE)</f>
        <v>14530</v>
      </c>
      <c r="O20" s="1"/>
      <c r="P20" s="3">
        <v>0.58333333333333337</v>
      </c>
      <c r="Q20" s="1"/>
      <c r="S20" s="2"/>
      <c r="T20" s="1"/>
      <c r="U20" s="1"/>
      <c r="V20" s="1"/>
      <c r="Y20" s="1"/>
      <c r="AA20" s="1"/>
      <c r="AB20" s="1"/>
      <c r="AC20" s="1"/>
      <c r="AD20" s="1"/>
      <c r="AE20" s="1"/>
      <c r="AF20" s="1"/>
      <c r="AG20" s="1"/>
      <c r="AH20" s="13">
        <f>VLOOKUP(A20,'2024-25 DIBELS BOY '!A20:AP390,42,FALSE)</f>
        <v>0.46500000000000002</v>
      </c>
      <c r="AI20" s="1"/>
      <c r="AJ20" s="1"/>
      <c r="AK20" s="1"/>
      <c r="AL20" s="1"/>
      <c r="AM20" s="1"/>
    </row>
    <row r="21" spans="1:39" ht="12.3" x14ac:dyDescent="0.4">
      <c r="A21" s="1" t="s">
        <v>96</v>
      </c>
      <c r="B21" s="10">
        <f>VLOOKUP(A21,'[1]2025 KG Students'!$C$2:$D$630,2,FALSE)</f>
        <v>85189</v>
      </c>
      <c r="C21" s="1" t="s">
        <v>6</v>
      </c>
      <c r="D21" s="5" t="s">
        <v>7</v>
      </c>
      <c r="E21" s="5" t="s">
        <v>463</v>
      </c>
      <c r="F21" s="4" t="s">
        <v>465</v>
      </c>
      <c r="G21" s="4" t="s">
        <v>465</v>
      </c>
      <c r="I21" s="1" t="s">
        <v>8</v>
      </c>
      <c r="J21" s="1" t="s">
        <v>9</v>
      </c>
      <c r="K21" s="4" t="s">
        <v>464</v>
      </c>
      <c r="L21" s="1" t="s">
        <v>22</v>
      </c>
      <c r="M21" s="10">
        <f>VLOOKUP(L21,'[2]2025 Teachers (1)'!$C$2:$D$807,2,FALSE)</f>
        <v>18825</v>
      </c>
      <c r="O21" s="1"/>
      <c r="P21" s="3">
        <v>0.7533333333333333</v>
      </c>
      <c r="Q21" s="1"/>
      <c r="S21" s="2"/>
      <c r="T21" s="1"/>
      <c r="U21" s="1"/>
      <c r="V21" s="1"/>
      <c r="Y21" s="1"/>
      <c r="AA21" s="1"/>
      <c r="AB21" s="1"/>
      <c r="AC21" s="1"/>
      <c r="AD21" s="1"/>
      <c r="AE21" s="1"/>
      <c r="AF21" s="1"/>
      <c r="AG21" s="1"/>
      <c r="AH21" s="13">
        <f>VLOOKUP(A21,'2024-25 DIBELS BOY '!A21:AP391,42,FALSE)</f>
        <v>0.63833333333333331</v>
      </c>
      <c r="AI21" s="1"/>
      <c r="AJ21" s="1"/>
      <c r="AK21" s="1"/>
      <c r="AL21" s="1"/>
      <c r="AM21" s="1"/>
    </row>
    <row r="22" spans="1:39" ht="12.3" x14ac:dyDescent="0.4">
      <c r="A22" s="1" t="s">
        <v>97</v>
      </c>
      <c r="B22" s="10">
        <f>VLOOKUP(A22,'[1]2025 KG Students'!$C$2:$D$630,2,FALSE)</f>
        <v>85002</v>
      </c>
      <c r="C22" s="1" t="s">
        <v>6</v>
      </c>
      <c r="D22" s="5" t="s">
        <v>7</v>
      </c>
      <c r="E22" s="5" t="s">
        <v>463</v>
      </c>
      <c r="F22" s="4" t="s">
        <v>465</v>
      </c>
      <c r="G22" s="4" t="s">
        <v>465</v>
      </c>
      <c r="I22" s="1" t="s">
        <v>8</v>
      </c>
      <c r="J22" s="1" t="s">
        <v>9</v>
      </c>
      <c r="K22" s="4" t="s">
        <v>464</v>
      </c>
      <c r="L22" s="1" t="s">
        <v>28</v>
      </c>
      <c r="M22" s="10">
        <f>VLOOKUP(L22,'[2]2025 Teachers (1)'!$C$2:$D$807,2,FALSE)</f>
        <v>15143</v>
      </c>
      <c r="O22" s="1"/>
      <c r="P22" s="3">
        <v>0.65333333333333332</v>
      </c>
      <c r="Q22" s="1"/>
      <c r="S22" s="2"/>
      <c r="T22" s="1"/>
      <c r="U22" s="1"/>
      <c r="V22" s="1"/>
      <c r="Y22" s="1"/>
      <c r="AA22" s="1"/>
      <c r="AB22" s="1"/>
      <c r="AC22" s="1"/>
      <c r="AD22" s="1"/>
      <c r="AE22" s="1"/>
      <c r="AF22" s="1"/>
      <c r="AG22" s="1"/>
      <c r="AH22" s="13">
        <f>VLOOKUP(A22,'2024-25 DIBELS BOY '!A22:AP392,42,FALSE)</f>
        <v>0.57666666666666666</v>
      </c>
      <c r="AI22" s="1"/>
      <c r="AJ22" s="1"/>
      <c r="AK22" s="1"/>
      <c r="AL22" s="1"/>
      <c r="AM22" s="1"/>
    </row>
    <row r="23" spans="1:39" ht="12.3" x14ac:dyDescent="0.4">
      <c r="A23" s="1" t="s">
        <v>98</v>
      </c>
      <c r="B23" s="10">
        <f>VLOOKUP(A23,'[1]2025 KG Students'!$C$2:$D$630,2,FALSE)</f>
        <v>86952</v>
      </c>
      <c r="C23" s="1" t="s">
        <v>6</v>
      </c>
      <c r="D23" s="5" t="s">
        <v>7</v>
      </c>
      <c r="E23" s="5" t="s">
        <v>463</v>
      </c>
      <c r="F23" s="4" t="s">
        <v>465</v>
      </c>
      <c r="G23" s="4" t="s">
        <v>465</v>
      </c>
      <c r="I23" s="1" t="s">
        <v>16</v>
      </c>
      <c r="J23" s="1" t="s">
        <v>10</v>
      </c>
      <c r="K23" s="4" t="s">
        <v>464</v>
      </c>
      <c r="L23" s="1" t="s">
        <v>28</v>
      </c>
      <c r="M23" s="10">
        <f>VLOOKUP(L23,'[2]2025 Teachers (1)'!$C$2:$D$807,2,FALSE)</f>
        <v>15143</v>
      </c>
      <c r="O23" s="1"/>
      <c r="P23" s="3">
        <v>0.56166666666666665</v>
      </c>
      <c r="Q23" s="1"/>
      <c r="S23" s="2"/>
      <c r="T23" s="1"/>
      <c r="U23" s="2"/>
      <c r="V23" s="1"/>
      <c r="Y23" s="1"/>
      <c r="AA23" s="1"/>
      <c r="AB23" s="1"/>
      <c r="AC23" s="1"/>
      <c r="AD23" s="1"/>
      <c r="AE23" s="1"/>
      <c r="AF23" s="1"/>
      <c r="AG23" s="1"/>
      <c r="AH23" s="13">
        <f>VLOOKUP(A23,'2024-25 DIBELS BOY '!A23:AP393,42,FALSE)</f>
        <v>0.435</v>
      </c>
      <c r="AI23" s="1"/>
      <c r="AJ23" s="1"/>
      <c r="AK23" s="1"/>
      <c r="AL23" s="1"/>
      <c r="AM23" s="1"/>
    </row>
    <row r="24" spans="1:39" ht="12.3" x14ac:dyDescent="0.4">
      <c r="A24" s="1" t="s">
        <v>99</v>
      </c>
      <c r="B24" s="10">
        <f>VLOOKUP(A24,'[1]2025 KG Students'!$C$2:$D$630,2,FALSE)</f>
        <v>86260</v>
      </c>
      <c r="C24" s="1" t="s">
        <v>6</v>
      </c>
      <c r="D24" s="5" t="s">
        <v>7</v>
      </c>
      <c r="E24" s="5" t="s">
        <v>463</v>
      </c>
      <c r="F24" s="4" t="s">
        <v>465</v>
      </c>
      <c r="G24" s="4" t="s">
        <v>465</v>
      </c>
      <c r="I24" s="1" t="s">
        <v>8</v>
      </c>
      <c r="J24" s="1" t="s">
        <v>9</v>
      </c>
      <c r="K24" s="4" t="s">
        <v>464</v>
      </c>
      <c r="L24" s="1" t="s">
        <v>17</v>
      </c>
      <c r="M24" s="10">
        <f>VLOOKUP(L24,'[2]2025 Teachers (1)'!$C$2:$D$807,2,FALSE)</f>
        <v>13866</v>
      </c>
      <c r="O24" s="1"/>
      <c r="P24" s="3">
        <v>0.7466666666666667</v>
      </c>
      <c r="Q24" s="1"/>
      <c r="S24" s="2"/>
      <c r="T24" s="1"/>
      <c r="U24" s="1"/>
      <c r="V24" s="1"/>
      <c r="Y24" s="1"/>
      <c r="AA24" s="1"/>
      <c r="AB24" s="1"/>
      <c r="AC24" s="1"/>
      <c r="AD24" s="1"/>
      <c r="AE24" s="1"/>
      <c r="AF24" s="1"/>
      <c r="AG24" s="1"/>
      <c r="AH24" s="13">
        <f>VLOOKUP(A24,'2024-25 DIBELS BOY '!A24:AP394,42,FALSE)</f>
        <v>0.70499999999999996</v>
      </c>
      <c r="AI24" s="1"/>
      <c r="AJ24" s="1"/>
      <c r="AK24" s="1"/>
      <c r="AL24" s="1"/>
      <c r="AM24" s="1"/>
    </row>
    <row r="25" spans="1:39" ht="12.3" x14ac:dyDescent="0.4">
      <c r="A25" s="1" t="s">
        <v>100</v>
      </c>
      <c r="B25" s="10" t="e">
        <f>VLOOKUP(A25,'[1]2025 KG Students'!$C$2:$D$630,2,FALSE)</f>
        <v>#N/A</v>
      </c>
      <c r="C25" s="1" t="s">
        <v>6</v>
      </c>
      <c r="D25" s="5" t="s">
        <v>7</v>
      </c>
      <c r="E25" s="5" t="s">
        <v>463</v>
      </c>
      <c r="F25" s="4" t="s">
        <v>465</v>
      </c>
      <c r="G25" s="4" t="s">
        <v>465</v>
      </c>
      <c r="I25" s="1" t="s">
        <v>8</v>
      </c>
      <c r="J25" s="1" t="s">
        <v>9</v>
      </c>
      <c r="K25" s="4" t="s">
        <v>464</v>
      </c>
      <c r="L25" s="1" t="s">
        <v>23</v>
      </c>
      <c r="M25" s="10">
        <f>VLOOKUP(L25,'[2]2025 Teachers (1)'!$C$2:$D$807,2,FALSE)</f>
        <v>17879</v>
      </c>
      <c r="O25" s="1"/>
      <c r="P25" s="3">
        <v>0.69666666666666666</v>
      </c>
      <c r="Q25" s="1"/>
      <c r="S25" s="1"/>
      <c r="T25" s="1"/>
      <c r="U25" s="2"/>
      <c r="V25" s="1"/>
      <c r="Y25" s="1"/>
      <c r="AA25" s="1"/>
      <c r="AB25" s="1"/>
      <c r="AC25" s="1"/>
      <c r="AD25" s="1"/>
      <c r="AE25" s="1"/>
      <c r="AF25" s="1"/>
      <c r="AG25" s="1"/>
      <c r="AH25" s="13">
        <f>VLOOKUP(A25,'2024-25 DIBELS BOY '!A25:AP395,42,FALSE)</f>
        <v>0.63833333333333331</v>
      </c>
      <c r="AI25" s="1"/>
      <c r="AJ25" s="1"/>
      <c r="AK25" s="1"/>
      <c r="AL25" s="1"/>
      <c r="AM25" s="1"/>
    </row>
    <row r="26" spans="1:39" ht="12.3" x14ac:dyDescent="0.4">
      <c r="A26" s="1" t="s">
        <v>101</v>
      </c>
      <c r="B26" s="10">
        <f>VLOOKUP(A26,'[1]2025 KG Students'!$C$2:$D$630,2,FALSE)</f>
        <v>87932</v>
      </c>
      <c r="C26" s="1" t="s">
        <v>6</v>
      </c>
      <c r="D26" s="5" t="s">
        <v>7</v>
      </c>
      <c r="E26" s="5" t="s">
        <v>463</v>
      </c>
      <c r="F26" s="4" t="s">
        <v>465</v>
      </c>
      <c r="G26" s="4" t="s">
        <v>465</v>
      </c>
      <c r="I26" s="1" t="s">
        <v>8</v>
      </c>
      <c r="J26" s="1" t="s">
        <v>9</v>
      </c>
      <c r="K26" s="4" t="s">
        <v>464</v>
      </c>
      <c r="L26" s="1" t="s">
        <v>22</v>
      </c>
      <c r="M26" s="10">
        <f>VLOOKUP(L26,'[2]2025 Teachers (1)'!$C$2:$D$807,2,FALSE)</f>
        <v>18825</v>
      </c>
      <c r="O26" s="1"/>
      <c r="P26" s="3">
        <v>0.61333333333333329</v>
      </c>
      <c r="Q26" s="1"/>
      <c r="S26" s="1"/>
      <c r="T26" s="1"/>
      <c r="U26" s="1"/>
      <c r="V26" s="1"/>
      <c r="Y26" s="1"/>
      <c r="AA26" s="1"/>
      <c r="AB26" s="1"/>
      <c r="AC26" s="1"/>
      <c r="AD26" s="1"/>
      <c r="AE26" s="1"/>
      <c r="AF26" s="1"/>
      <c r="AG26" s="1"/>
      <c r="AH26" s="13">
        <f>VLOOKUP(A26,'2024-25 DIBELS BOY '!A26:AP396,42,FALSE)</f>
        <v>0.46</v>
      </c>
      <c r="AI26" s="1"/>
      <c r="AJ26" s="1"/>
      <c r="AK26" s="1"/>
      <c r="AL26" s="1"/>
      <c r="AM26" s="1"/>
    </row>
    <row r="27" spans="1:39" ht="12.3" x14ac:dyDescent="0.4">
      <c r="A27" s="1" t="s">
        <v>102</v>
      </c>
      <c r="B27" s="10">
        <f>VLOOKUP(A27,'[1]2025 KG Students'!$C$2:$D$630,2,FALSE)</f>
        <v>87481</v>
      </c>
      <c r="C27" s="1" t="s">
        <v>6</v>
      </c>
      <c r="D27" s="5" t="s">
        <v>7</v>
      </c>
      <c r="E27" s="5" t="s">
        <v>463</v>
      </c>
      <c r="F27" s="4" t="s">
        <v>465</v>
      </c>
      <c r="G27" s="4" t="s">
        <v>465</v>
      </c>
      <c r="I27" s="1" t="s">
        <v>8</v>
      </c>
      <c r="J27" s="1" t="s">
        <v>9</v>
      </c>
      <c r="K27" s="4" t="s">
        <v>464</v>
      </c>
      <c r="L27" s="1" t="s">
        <v>11</v>
      </c>
      <c r="M27" s="10">
        <f>VLOOKUP(L27,'[2]2025 Teachers (1)'!$C$2:$D$807,2,FALSE)</f>
        <v>18548</v>
      </c>
      <c r="O27" s="1"/>
      <c r="P27" s="3">
        <v>0.65166666666666662</v>
      </c>
      <c r="Q27" s="1"/>
      <c r="S27" s="1"/>
      <c r="T27" s="1"/>
      <c r="U27" s="2"/>
      <c r="V27" s="1"/>
      <c r="Y27" s="1"/>
      <c r="AA27" s="1"/>
      <c r="AB27" s="1"/>
      <c r="AC27" s="1"/>
      <c r="AD27" s="1"/>
      <c r="AE27" s="1"/>
      <c r="AF27" s="1"/>
      <c r="AG27" s="1"/>
      <c r="AH27" s="13">
        <f>VLOOKUP(A27,'2024-25 DIBELS BOY '!A27:AP397,42,FALSE)</f>
        <v>0.59</v>
      </c>
      <c r="AI27" s="1"/>
      <c r="AJ27" s="1"/>
      <c r="AK27" s="1"/>
      <c r="AL27" s="1"/>
      <c r="AM27" s="1"/>
    </row>
    <row r="28" spans="1:39" ht="12.3" x14ac:dyDescent="0.4">
      <c r="A28" s="1" t="s">
        <v>103</v>
      </c>
      <c r="B28" s="10">
        <f>VLOOKUP(A28,'[1]2025 KG Students'!$C$2:$D$630,2,FALSE)</f>
        <v>87647</v>
      </c>
      <c r="C28" s="1" t="s">
        <v>6</v>
      </c>
      <c r="D28" s="5" t="s">
        <v>7</v>
      </c>
      <c r="E28" s="5" t="s">
        <v>463</v>
      </c>
      <c r="F28" s="4" t="s">
        <v>465</v>
      </c>
      <c r="G28" s="4" t="s">
        <v>465</v>
      </c>
      <c r="I28" s="1" t="s">
        <v>8</v>
      </c>
      <c r="J28" s="1" t="s">
        <v>9</v>
      </c>
      <c r="K28" s="4" t="s">
        <v>464</v>
      </c>
      <c r="L28" s="1" t="s">
        <v>24</v>
      </c>
      <c r="M28" s="10">
        <f>VLOOKUP(L28,'[2]2025 Teachers (1)'!$C$2:$D$807,2,FALSE)</f>
        <v>14530</v>
      </c>
      <c r="O28" s="1"/>
      <c r="P28" s="3">
        <v>0.65333333333333332</v>
      </c>
      <c r="Q28" s="1"/>
      <c r="S28" s="1"/>
      <c r="T28" s="1"/>
      <c r="U28" s="2"/>
      <c r="V28" s="1"/>
      <c r="Y28" s="1"/>
      <c r="AA28" s="1"/>
      <c r="AB28" s="1"/>
      <c r="AC28" s="1"/>
      <c r="AD28" s="1"/>
      <c r="AE28" s="1"/>
      <c r="AF28" s="1"/>
      <c r="AG28" s="1"/>
      <c r="AH28" s="13">
        <f>VLOOKUP(A28,'2024-25 DIBELS BOY '!A28:AP398,42,FALSE)</f>
        <v>0.56166666666666665</v>
      </c>
      <c r="AI28" s="1"/>
      <c r="AJ28" s="1"/>
      <c r="AK28" s="1"/>
      <c r="AL28" s="1"/>
      <c r="AM28" s="1"/>
    </row>
    <row r="29" spans="1:39" ht="12.3" x14ac:dyDescent="0.4">
      <c r="A29" s="1" t="s">
        <v>104</v>
      </c>
      <c r="B29" s="10">
        <f>VLOOKUP(A29,'[1]2025 KG Students'!$C$2:$D$630,2,FALSE)</f>
        <v>85288</v>
      </c>
      <c r="C29" s="1" t="s">
        <v>6</v>
      </c>
      <c r="D29" s="5" t="s">
        <v>7</v>
      </c>
      <c r="E29" s="5" t="s">
        <v>463</v>
      </c>
      <c r="F29" s="4" t="s">
        <v>465</v>
      </c>
      <c r="G29" s="4" t="s">
        <v>465</v>
      </c>
      <c r="I29" s="1" t="s">
        <v>16</v>
      </c>
      <c r="J29" s="1" t="s">
        <v>10</v>
      </c>
      <c r="K29" s="4" t="s">
        <v>464</v>
      </c>
      <c r="L29" s="1" t="s">
        <v>11</v>
      </c>
      <c r="M29" s="10">
        <f>VLOOKUP(L29,'[2]2025 Teachers (1)'!$C$2:$D$807,2,FALSE)</f>
        <v>18548</v>
      </c>
      <c r="O29" s="1"/>
      <c r="P29" s="3">
        <v>0.745</v>
      </c>
      <c r="Q29" s="1"/>
      <c r="S29" s="2"/>
      <c r="T29" s="1"/>
      <c r="U29" s="1"/>
      <c r="V29" s="1"/>
      <c r="Y29" s="1"/>
      <c r="AA29" s="1"/>
      <c r="AB29" s="1"/>
      <c r="AC29" s="1"/>
      <c r="AD29" s="1"/>
      <c r="AE29" s="1"/>
      <c r="AF29" s="1"/>
      <c r="AG29" s="1"/>
      <c r="AH29" s="13">
        <f>VLOOKUP(A29,'2024-25 DIBELS BOY '!A29:AP399,42,FALSE)</f>
        <v>0.59499999999999997</v>
      </c>
      <c r="AI29" s="1"/>
      <c r="AJ29" s="1"/>
      <c r="AK29" s="1"/>
      <c r="AL29" s="1"/>
      <c r="AM29" s="1"/>
    </row>
    <row r="30" spans="1:39" ht="12.3" x14ac:dyDescent="0.4">
      <c r="A30" s="1" t="s">
        <v>105</v>
      </c>
      <c r="B30" s="10">
        <f>VLOOKUP(A30,'[1]2025 KG Students'!$C$2:$D$630,2,FALSE)</f>
        <v>87892</v>
      </c>
      <c r="C30" s="1" t="s">
        <v>6</v>
      </c>
      <c r="D30" s="5" t="s">
        <v>7</v>
      </c>
      <c r="E30" s="5" t="s">
        <v>463</v>
      </c>
      <c r="F30" s="4" t="s">
        <v>465</v>
      </c>
      <c r="G30" s="4" t="s">
        <v>465</v>
      </c>
      <c r="I30" s="1" t="s">
        <v>16</v>
      </c>
      <c r="J30" s="1" t="s">
        <v>10</v>
      </c>
      <c r="K30" s="4" t="s">
        <v>464</v>
      </c>
      <c r="L30" s="1" t="s">
        <v>28</v>
      </c>
      <c r="M30" s="10">
        <f>VLOOKUP(L30,'[2]2025 Teachers (1)'!$C$2:$D$807,2,FALSE)</f>
        <v>15143</v>
      </c>
      <c r="O30" s="1"/>
      <c r="P30" s="3">
        <v>0.65333333333333332</v>
      </c>
      <c r="Q30" s="1"/>
      <c r="S30" s="1"/>
      <c r="T30" s="1"/>
      <c r="U30" s="2"/>
      <c r="V30" s="1"/>
      <c r="Y30" s="1"/>
      <c r="AA30" s="1"/>
      <c r="AB30" s="1"/>
      <c r="AC30" s="1"/>
      <c r="AD30" s="1"/>
      <c r="AE30" s="1"/>
      <c r="AF30" s="1"/>
      <c r="AG30" s="1"/>
      <c r="AH30" s="13">
        <f>VLOOKUP(A30,'2024-25 DIBELS BOY '!A30:AP400,42,FALSE)</f>
        <v>0.52833333333333332</v>
      </c>
      <c r="AI30" s="1"/>
      <c r="AJ30" s="1"/>
      <c r="AK30" s="1"/>
      <c r="AL30" s="1"/>
      <c r="AM30" s="1"/>
    </row>
    <row r="31" spans="1:39" ht="12.3" x14ac:dyDescent="0.4">
      <c r="A31" s="1" t="s">
        <v>106</v>
      </c>
      <c r="B31" s="10">
        <f>VLOOKUP(A31,'[1]2025 KG Students'!$C$2:$D$630,2,FALSE)</f>
        <v>85134</v>
      </c>
      <c r="C31" s="1" t="s">
        <v>6</v>
      </c>
      <c r="D31" s="5" t="s">
        <v>7</v>
      </c>
      <c r="E31" s="5" t="s">
        <v>463</v>
      </c>
      <c r="F31" s="4" t="s">
        <v>465</v>
      </c>
      <c r="G31" s="4" t="s">
        <v>465</v>
      </c>
      <c r="I31" s="1" t="s">
        <v>8</v>
      </c>
      <c r="J31" s="1" t="s">
        <v>9</v>
      </c>
      <c r="K31" s="4" t="s">
        <v>464</v>
      </c>
      <c r="L31" s="1" t="s">
        <v>25</v>
      </c>
      <c r="M31" s="10">
        <f>VLOOKUP(L31,'[2]2025 Teachers (1)'!$C$2:$D$807,2,FALSE)</f>
        <v>17649</v>
      </c>
      <c r="O31" s="1"/>
      <c r="P31" s="3">
        <v>0.57999999999999996</v>
      </c>
      <c r="Q31" s="1"/>
      <c r="S31" s="2"/>
      <c r="T31" s="1"/>
      <c r="U31" s="2"/>
      <c r="V31" s="1"/>
      <c r="Y31" s="1"/>
      <c r="AA31" s="1"/>
      <c r="AB31" s="1"/>
      <c r="AC31" s="1"/>
      <c r="AD31" s="1"/>
      <c r="AE31" s="1"/>
      <c r="AF31" s="1"/>
      <c r="AG31" s="1"/>
      <c r="AH31" s="13">
        <f>VLOOKUP(A31,'2024-25 DIBELS BOY '!A31:AP401,42,FALSE)</f>
        <v>0.51</v>
      </c>
      <c r="AI31" s="1"/>
      <c r="AJ31" s="1"/>
      <c r="AK31" s="1"/>
      <c r="AL31" s="1"/>
      <c r="AM31" s="1"/>
    </row>
    <row r="32" spans="1:39" ht="12.3" x14ac:dyDescent="0.4">
      <c r="A32" s="1" t="s">
        <v>107</v>
      </c>
      <c r="B32" s="10">
        <f>VLOOKUP(A32,'[1]2025 KG Students'!$C$2:$D$630,2,FALSE)</f>
        <v>85003</v>
      </c>
      <c r="C32" s="1" t="s">
        <v>6</v>
      </c>
      <c r="D32" s="5" t="s">
        <v>7</v>
      </c>
      <c r="E32" s="5" t="s">
        <v>463</v>
      </c>
      <c r="F32" s="4" t="s">
        <v>465</v>
      </c>
      <c r="G32" s="4" t="s">
        <v>465</v>
      </c>
      <c r="I32" s="1" t="s">
        <v>29</v>
      </c>
      <c r="J32" s="1" t="s">
        <v>9</v>
      </c>
      <c r="K32" s="4" t="s">
        <v>464</v>
      </c>
      <c r="L32" s="1" t="s">
        <v>23</v>
      </c>
      <c r="M32" s="10">
        <f>VLOOKUP(L32,'[2]2025 Teachers (1)'!$C$2:$D$807,2,FALSE)</f>
        <v>17879</v>
      </c>
      <c r="O32" s="1"/>
      <c r="P32" s="3">
        <v>0.53500000000000003</v>
      </c>
      <c r="Q32" s="1"/>
      <c r="S32" s="2"/>
      <c r="T32" s="1"/>
      <c r="U32" s="2"/>
      <c r="V32" s="1"/>
      <c r="Y32" s="1"/>
      <c r="AA32" s="1"/>
      <c r="AB32" s="1"/>
      <c r="AC32" s="1"/>
      <c r="AD32" s="1"/>
      <c r="AE32" s="1"/>
      <c r="AF32" s="1"/>
      <c r="AG32" s="1"/>
      <c r="AH32" s="13">
        <f>VLOOKUP(A32,'2024-25 DIBELS BOY '!A32:AP402,42,FALSE)</f>
        <v>0.46666666666666667</v>
      </c>
      <c r="AI32" s="1"/>
      <c r="AJ32" s="1"/>
      <c r="AK32" s="1"/>
      <c r="AL32" s="1"/>
      <c r="AM32" s="1"/>
    </row>
    <row r="33" spans="1:39" ht="12.3" x14ac:dyDescent="0.4">
      <c r="A33" s="1" t="s">
        <v>108</v>
      </c>
      <c r="B33" s="10">
        <f>VLOOKUP(A33,'[1]2025 KG Students'!$C$2:$D$630,2,FALSE)</f>
        <v>85461</v>
      </c>
      <c r="C33" s="1" t="s">
        <v>6</v>
      </c>
      <c r="D33" s="5" t="s">
        <v>7</v>
      </c>
      <c r="E33" s="5" t="s">
        <v>463</v>
      </c>
      <c r="F33" s="4" t="s">
        <v>465</v>
      </c>
      <c r="G33" s="4" t="s">
        <v>465</v>
      </c>
      <c r="I33" s="1" t="s">
        <v>16</v>
      </c>
      <c r="J33" s="1" t="s">
        <v>10</v>
      </c>
      <c r="K33" s="4" t="s">
        <v>464</v>
      </c>
      <c r="L33" s="1" t="s">
        <v>24</v>
      </c>
      <c r="M33" s="10">
        <f>VLOOKUP(L33,'[2]2025 Teachers (1)'!$C$2:$D$807,2,FALSE)</f>
        <v>14530</v>
      </c>
      <c r="O33" s="1"/>
      <c r="P33" s="3">
        <v>0.65</v>
      </c>
      <c r="Q33" s="1"/>
      <c r="S33" s="2"/>
      <c r="T33" s="1"/>
      <c r="U33" s="1"/>
      <c r="V33" s="1"/>
      <c r="Y33" s="1"/>
      <c r="AA33" s="1"/>
      <c r="AB33" s="1"/>
      <c r="AC33" s="1"/>
      <c r="AD33" s="1"/>
      <c r="AE33" s="1"/>
      <c r="AF33" s="1"/>
      <c r="AG33" s="1"/>
      <c r="AH33" s="13">
        <f>VLOOKUP(A33,'2024-25 DIBELS BOY '!A33:AP403,42,FALSE)</f>
        <v>0.62666666666666671</v>
      </c>
      <c r="AI33" s="1"/>
      <c r="AJ33" s="1"/>
      <c r="AK33" s="1"/>
      <c r="AL33" s="1"/>
      <c r="AM33" s="1"/>
    </row>
    <row r="34" spans="1:39" ht="12.3" x14ac:dyDescent="0.4">
      <c r="A34" s="1" t="s">
        <v>109</v>
      </c>
      <c r="B34" s="10">
        <f>VLOOKUP(A34,'[1]2025 KG Students'!$C$2:$D$630,2,FALSE)</f>
        <v>87429</v>
      </c>
      <c r="C34" s="1" t="s">
        <v>6</v>
      </c>
      <c r="D34" s="5" t="s">
        <v>7</v>
      </c>
      <c r="E34" s="5" t="s">
        <v>463</v>
      </c>
      <c r="F34" s="4" t="s">
        <v>465</v>
      </c>
      <c r="G34" s="4" t="s">
        <v>465</v>
      </c>
      <c r="I34" s="1" t="s">
        <v>16</v>
      </c>
      <c r="J34" s="1" t="s">
        <v>9</v>
      </c>
      <c r="K34" s="4" t="s">
        <v>464</v>
      </c>
      <c r="L34" s="1" t="s">
        <v>30</v>
      </c>
      <c r="M34" s="10">
        <f>VLOOKUP(L34,'[2]2025 Teachers (1)'!$C$2:$D$807,2,FALSE)</f>
        <v>17919</v>
      </c>
      <c r="O34" s="1"/>
      <c r="P34" s="3">
        <v>0.68500000000000005</v>
      </c>
      <c r="Q34" s="1"/>
      <c r="S34" s="1"/>
      <c r="T34" s="1"/>
      <c r="U34" s="2"/>
      <c r="V34" s="1"/>
      <c r="Y34" s="1"/>
      <c r="AA34" s="1"/>
      <c r="AB34" s="1"/>
      <c r="AC34" s="1"/>
      <c r="AD34" s="1"/>
      <c r="AE34" s="1"/>
      <c r="AF34" s="1"/>
      <c r="AG34" s="1"/>
      <c r="AH34" s="13">
        <f>VLOOKUP(A34,'2024-25 DIBELS BOY '!A34:AP404,42,FALSE)</f>
        <v>0.72499999999999998</v>
      </c>
      <c r="AI34" s="1"/>
      <c r="AJ34" s="1"/>
      <c r="AK34" s="1"/>
      <c r="AL34" s="1"/>
      <c r="AM34" s="1"/>
    </row>
    <row r="35" spans="1:39" ht="12.3" x14ac:dyDescent="0.4">
      <c r="A35" s="1" t="s">
        <v>110</v>
      </c>
      <c r="B35" s="10">
        <f>VLOOKUP(A35,'[1]2025 KG Students'!$C$2:$D$630,2,FALSE)</f>
        <v>85470</v>
      </c>
      <c r="C35" s="1" t="s">
        <v>6</v>
      </c>
      <c r="D35" s="5" t="s">
        <v>7</v>
      </c>
      <c r="E35" s="5" t="s">
        <v>463</v>
      </c>
      <c r="F35" s="4" t="s">
        <v>465</v>
      </c>
      <c r="G35" s="4" t="s">
        <v>465</v>
      </c>
      <c r="I35" s="1" t="s">
        <v>16</v>
      </c>
      <c r="J35" s="1" t="s">
        <v>10</v>
      </c>
      <c r="K35" s="4" t="s">
        <v>464</v>
      </c>
      <c r="L35" s="1" t="s">
        <v>24</v>
      </c>
      <c r="M35" s="10">
        <f>VLOOKUP(L35,'[2]2025 Teachers (1)'!$C$2:$D$807,2,FALSE)</f>
        <v>14530</v>
      </c>
      <c r="O35" s="1"/>
      <c r="P35" s="3">
        <v>0.58666666666666667</v>
      </c>
      <c r="Q35" s="1"/>
      <c r="S35" s="2"/>
      <c r="T35" s="1"/>
      <c r="U35" s="1"/>
      <c r="V35" s="1"/>
      <c r="Y35" s="1"/>
      <c r="AA35" s="1"/>
      <c r="AB35" s="1"/>
      <c r="AC35" s="1"/>
      <c r="AD35" s="1"/>
      <c r="AE35" s="1"/>
      <c r="AF35" s="1"/>
      <c r="AG35" s="1"/>
      <c r="AH35" s="13">
        <f>VLOOKUP(A35,'2024-25 DIBELS BOY '!A35:AP405,42,FALSE)</f>
        <v>0.47666666666666668</v>
      </c>
      <c r="AI35" s="1"/>
      <c r="AJ35" s="1"/>
      <c r="AK35" s="1"/>
      <c r="AL35" s="1"/>
      <c r="AM35" s="1"/>
    </row>
    <row r="36" spans="1:39" ht="12.3" x14ac:dyDescent="0.4">
      <c r="A36" s="1" t="s">
        <v>111</v>
      </c>
      <c r="B36" s="10">
        <f>VLOOKUP(A36,'[1]2025 KG Students'!$C$2:$D$630,2,FALSE)</f>
        <v>88041</v>
      </c>
      <c r="C36" s="1" t="s">
        <v>6</v>
      </c>
      <c r="D36" s="5" t="s">
        <v>7</v>
      </c>
      <c r="E36" s="5" t="s">
        <v>463</v>
      </c>
      <c r="F36" s="4" t="s">
        <v>465</v>
      </c>
      <c r="G36" s="4" t="s">
        <v>465</v>
      </c>
      <c r="I36" s="1" t="s">
        <v>8</v>
      </c>
      <c r="J36" s="1" t="s">
        <v>9</v>
      </c>
      <c r="K36" s="4" t="s">
        <v>464</v>
      </c>
      <c r="L36" s="1" t="s">
        <v>28</v>
      </c>
      <c r="M36" s="10">
        <f>VLOOKUP(L36,'[2]2025 Teachers (1)'!$C$2:$D$807,2,FALSE)</f>
        <v>15143</v>
      </c>
      <c r="O36" s="1"/>
      <c r="P36" s="3">
        <v>0.81</v>
      </c>
      <c r="Q36" s="1"/>
      <c r="S36" s="1"/>
      <c r="T36" s="1"/>
      <c r="U36" s="1"/>
      <c r="V36" s="1"/>
      <c r="Y36" s="1"/>
      <c r="AA36" s="1"/>
      <c r="AB36" s="1"/>
      <c r="AC36" s="1"/>
      <c r="AD36" s="1"/>
      <c r="AE36" s="1"/>
      <c r="AF36" s="1"/>
      <c r="AG36" s="1"/>
      <c r="AH36" s="13">
        <f>VLOOKUP(A36,'2024-25 DIBELS BOY '!A36:AP406,42,FALSE)</f>
        <v>0.71333333333333337</v>
      </c>
      <c r="AI36" s="1"/>
      <c r="AJ36" s="1"/>
      <c r="AK36" s="1"/>
      <c r="AL36" s="1"/>
      <c r="AM36" s="1"/>
    </row>
    <row r="37" spans="1:39" ht="12.3" x14ac:dyDescent="0.4">
      <c r="A37" s="1" t="s">
        <v>112</v>
      </c>
      <c r="B37" s="10">
        <f>VLOOKUP(A37,'[1]2025 KG Students'!$C$2:$D$630,2,FALSE)</f>
        <v>86190</v>
      </c>
      <c r="C37" s="1" t="s">
        <v>6</v>
      </c>
      <c r="D37" s="5" t="s">
        <v>7</v>
      </c>
      <c r="E37" s="5" t="s">
        <v>463</v>
      </c>
      <c r="F37" s="4" t="s">
        <v>465</v>
      </c>
      <c r="G37" s="4" t="s">
        <v>465</v>
      </c>
      <c r="I37" s="1" t="s">
        <v>8</v>
      </c>
      <c r="J37" s="1" t="s">
        <v>9</v>
      </c>
      <c r="K37" s="4" t="s">
        <v>464</v>
      </c>
      <c r="L37" s="1" t="s">
        <v>23</v>
      </c>
      <c r="M37" s="10">
        <f>VLOOKUP(L37,'[2]2025 Teachers (1)'!$C$2:$D$807,2,FALSE)</f>
        <v>17879</v>
      </c>
      <c r="O37" s="1"/>
      <c r="P37" s="3">
        <v>0.57166666666666666</v>
      </c>
      <c r="Q37" s="1"/>
      <c r="S37" s="2"/>
      <c r="T37" s="1"/>
      <c r="U37" s="1"/>
      <c r="V37" s="1"/>
      <c r="Y37" s="1"/>
      <c r="AA37" s="1"/>
      <c r="AB37" s="1"/>
      <c r="AC37" s="1"/>
      <c r="AD37" s="1"/>
      <c r="AE37" s="1"/>
      <c r="AF37" s="1"/>
      <c r="AG37" s="1"/>
      <c r="AH37" s="13">
        <f>VLOOKUP(A37,'2024-25 DIBELS BOY '!A37:AP407,42,FALSE)</f>
        <v>0.56499999999999995</v>
      </c>
      <c r="AI37" s="1"/>
      <c r="AJ37" s="1"/>
      <c r="AK37" s="1"/>
      <c r="AL37" s="1"/>
      <c r="AM37" s="1"/>
    </row>
    <row r="38" spans="1:39" ht="12.3" x14ac:dyDescent="0.4">
      <c r="A38" s="1" t="s">
        <v>113</v>
      </c>
      <c r="B38" s="10">
        <f>VLOOKUP(A38,'[1]2025 KG Students'!$C$2:$D$630,2,FALSE)</f>
        <v>86078</v>
      </c>
      <c r="C38" s="1" t="s">
        <v>6</v>
      </c>
      <c r="D38" s="5" t="s">
        <v>7</v>
      </c>
      <c r="E38" s="5" t="s">
        <v>463</v>
      </c>
      <c r="F38" s="4" t="s">
        <v>465</v>
      </c>
      <c r="G38" s="4" t="s">
        <v>465</v>
      </c>
      <c r="I38" s="1" t="s">
        <v>8</v>
      </c>
      <c r="J38" s="1" t="s">
        <v>9</v>
      </c>
      <c r="K38" s="4" t="s">
        <v>464</v>
      </c>
      <c r="L38" s="1" t="s">
        <v>24</v>
      </c>
      <c r="M38" s="10">
        <f>VLOOKUP(L38,'[2]2025 Teachers (1)'!$C$2:$D$807,2,FALSE)</f>
        <v>14530</v>
      </c>
      <c r="O38" s="1"/>
      <c r="P38" s="3">
        <v>0.6216666666666667</v>
      </c>
      <c r="Q38" s="1"/>
      <c r="S38" s="2"/>
      <c r="T38" s="1"/>
      <c r="U38" s="1"/>
      <c r="V38" s="1"/>
      <c r="Y38" s="1"/>
      <c r="AA38" s="1"/>
      <c r="AB38" s="1"/>
      <c r="AC38" s="1"/>
      <c r="AD38" s="1"/>
      <c r="AE38" s="1"/>
      <c r="AF38" s="1"/>
      <c r="AG38" s="1"/>
      <c r="AH38" s="13">
        <f>VLOOKUP(A38,'2024-25 DIBELS BOY '!A38:AP408,42,FALSE)</f>
        <v>0.56666666666666665</v>
      </c>
      <c r="AI38" s="1"/>
      <c r="AJ38" s="1"/>
      <c r="AK38" s="1"/>
      <c r="AL38" s="1"/>
      <c r="AM38" s="1"/>
    </row>
    <row r="39" spans="1:39" ht="12.3" x14ac:dyDescent="0.4">
      <c r="A39" s="1" t="s">
        <v>114</v>
      </c>
      <c r="B39" s="10">
        <f>VLOOKUP(A39,'[1]2025 KG Students'!$C$2:$D$630,2,FALSE)</f>
        <v>88119</v>
      </c>
      <c r="C39" s="1" t="s">
        <v>6</v>
      </c>
      <c r="D39" s="5" t="s">
        <v>7</v>
      </c>
      <c r="E39" s="5" t="s">
        <v>463</v>
      </c>
      <c r="F39" s="4" t="s">
        <v>465</v>
      </c>
      <c r="G39" s="4" t="s">
        <v>465</v>
      </c>
      <c r="I39" s="1" t="s">
        <v>8</v>
      </c>
      <c r="J39" s="1" t="s">
        <v>9</v>
      </c>
      <c r="K39" s="4" t="s">
        <v>464</v>
      </c>
      <c r="L39" s="1" t="s">
        <v>30</v>
      </c>
      <c r="M39" s="10">
        <f>VLOOKUP(L39,'[2]2025 Teachers (1)'!$C$2:$D$807,2,FALSE)</f>
        <v>17919</v>
      </c>
      <c r="O39" s="1"/>
      <c r="P39" s="3">
        <v>0.62</v>
      </c>
      <c r="Q39" s="1"/>
      <c r="S39" s="1"/>
      <c r="T39" s="1"/>
      <c r="U39" s="2"/>
      <c r="V39" s="1"/>
      <c r="Y39" s="1"/>
      <c r="AA39" s="1"/>
      <c r="AB39" s="1"/>
      <c r="AC39" s="1"/>
      <c r="AD39" s="1"/>
      <c r="AE39" s="1"/>
      <c r="AF39" s="1"/>
      <c r="AG39" s="1"/>
      <c r="AH39" s="13">
        <f>VLOOKUP(A39,'2024-25 DIBELS BOY '!A39:AP409,42,FALSE)</f>
        <v>0.54833333333333334</v>
      </c>
      <c r="AI39" s="1"/>
      <c r="AJ39" s="1"/>
      <c r="AK39" s="1"/>
      <c r="AL39" s="1"/>
      <c r="AM39" s="1"/>
    </row>
    <row r="40" spans="1:39" ht="12.3" x14ac:dyDescent="0.4">
      <c r="A40" s="1" t="s">
        <v>115</v>
      </c>
      <c r="B40" s="10">
        <f>VLOOKUP(A40,'[1]2025 KG Students'!$C$2:$D$630,2,FALSE)</f>
        <v>87897</v>
      </c>
      <c r="C40" s="1" t="s">
        <v>6</v>
      </c>
      <c r="D40" s="5" t="s">
        <v>7</v>
      </c>
      <c r="E40" s="5" t="s">
        <v>463</v>
      </c>
      <c r="F40" s="4" t="s">
        <v>465</v>
      </c>
      <c r="G40" s="4" t="s">
        <v>465</v>
      </c>
      <c r="I40" s="1" t="s">
        <v>16</v>
      </c>
      <c r="J40" s="1" t="s">
        <v>10</v>
      </c>
      <c r="K40" s="4" t="s">
        <v>464</v>
      </c>
      <c r="L40" s="1" t="s">
        <v>26</v>
      </c>
      <c r="M40" s="10">
        <f>VLOOKUP(L40,'[2]2025 Teachers (1)'!$C$2:$D$807,2,FALSE)</f>
        <v>18941</v>
      </c>
      <c r="O40" s="1"/>
      <c r="P40" s="3">
        <v>0.53333333333333333</v>
      </c>
      <c r="Q40" s="1"/>
      <c r="S40" s="1"/>
      <c r="T40" s="1"/>
      <c r="U40" s="1"/>
      <c r="V40" s="1"/>
      <c r="Y40" s="1"/>
      <c r="AA40" s="1"/>
      <c r="AB40" s="1"/>
      <c r="AC40" s="1"/>
      <c r="AD40" s="1"/>
      <c r="AE40" s="1"/>
      <c r="AF40" s="1"/>
      <c r="AG40" s="1"/>
      <c r="AH40" s="13">
        <f>VLOOKUP(A40,'2024-25 DIBELS BOY '!A40:AP410,42,FALSE)</f>
        <v>0.40500000000000003</v>
      </c>
      <c r="AI40" s="1"/>
      <c r="AJ40" s="1"/>
      <c r="AK40" s="1"/>
      <c r="AL40" s="1"/>
      <c r="AM40" s="1"/>
    </row>
    <row r="41" spans="1:39" ht="12.3" x14ac:dyDescent="0.4">
      <c r="A41" s="1" t="s">
        <v>116</v>
      </c>
      <c r="B41" s="10">
        <f>VLOOKUP(A41,'[1]2025 KG Students'!$C$2:$D$630,2,FALSE)</f>
        <v>85302</v>
      </c>
      <c r="C41" s="1" t="s">
        <v>6</v>
      </c>
      <c r="D41" s="5" t="s">
        <v>7</v>
      </c>
      <c r="E41" s="5" t="s">
        <v>463</v>
      </c>
      <c r="F41" s="4" t="s">
        <v>465</v>
      </c>
      <c r="G41" s="4" t="s">
        <v>465</v>
      </c>
      <c r="I41" s="1" t="s">
        <v>16</v>
      </c>
      <c r="J41" s="1" t="s">
        <v>10</v>
      </c>
      <c r="K41" s="4" t="s">
        <v>464</v>
      </c>
      <c r="L41" s="1" t="s">
        <v>23</v>
      </c>
      <c r="M41" s="10">
        <f>VLOOKUP(L41,'[2]2025 Teachers (1)'!$C$2:$D$807,2,FALSE)</f>
        <v>17879</v>
      </c>
      <c r="O41" s="1"/>
      <c r="P41" s="3">
        <v>0.54333333333333333</v>
      </c>
      <c r="Q41" s="1"/>
      <c r="S41" s="2"/>
      <c r="T41" s="1"/>
      <c r="U41" s="1"/>
      <c r="V41" s="1"/>
      <c r="Y41" s="1"/>
      <c r="AA41" s="1"/>
      <c r="AB41" s="1"/>
      <c r="AC41" s="1"/>
      <c r="AD41" s="1"/>
      <c r="AE41" s="1"/>
      <c r="AF41" s="1"/>
      <c r="AG41" s="1"/>
      <c r="AH41" s="13">
        <f>VLOOKUP(A41,'2024-25 DIBELS BOY '!A41:AP411,42,FALSE)</f>
        <v>0.45333333333333331</v>
      </c>
      <c r="AI41" s="1"/>
      <c r="AJ41" s="1"/>
      <c r="AK41" s="1"/>
      <c r="AL41" s="1"/>
      <c r="AM41" s="1"/>
    </row>
    <row r="42" spans="1:39" ht="12.3" x14ac:dyDescent="0.4">
      <c r="A42" s="1" t="s">
        <v>117</v>
      </c>
      <c r="B42" s="10">
        <f>VLOOKUP(A42,'[1]2025 KG Students'!$C$2:$D$630,2,FALSE)</f>
        <v>87236</v>
      </c>
      <c r="C42" s="1" t="s">
        <v>6</v>
      </c>
      <c r="D42" s="5" t="s">
        <v>7</v>
      </c>
      <c r="E42" s="5" t="s">
        <v>463</v>
      </c>
      <c r="F42" s="4" t="s">
        <v>465</v>
      </c>
      <c r="G42" s="4" t="s">
        <v>465</v>
      </c>
      <c r="I42" s="1" t="s">
        <v>16</v>
      </c>
      <c r="J42" s="1" t="s">
        <v>10</v>
      </c>
      <c r="K42" s="4" t="s">
        <v>464</v>
      </c>
      <c r="L42" s="1" t="s">
        <v>11</v>
      </c>
      <c r="M42" s="10">
        <f>VLOOKUP(L42,'[2]2025 Teachers (1)'!$C$2:$D$807,2,FALSE)</f>
        <v>18548</v>
      </c>
      <c r="O42" s="1"/>
      <c r="P42" s="3">
        <v>0.63500000000000001</v>
      </c>
      <c r="Q42" s="1"/>
      <c r="S42" s="2"/>
      <c r="T42" s="1"/>
      <c r="U42" s="1"/>
      <c r="V42" s="1"/>
      <c r="Y42" s="1"/>
      <c r="AA42" s="1"/>
      <c r="AB42" s="1"/>
      <c r="AC42" s="1"/>
      <c r="AD42" s="1"/>
      <c r="AE42" s="1"/>
      <c r="AF42" s="1"/>
      <c r="AG42" s="1"/>
      <c r="AH42" s="13">
        <f>VLOOKUP(A42,'2024-25 DIBELS BOY '!A42:AP412,42,FALSE)</f>
        <v>0.48333333333333334</v>
      </c>
      <c r="AI42" s="1"/>
      <c r="AJ42" s="1"/>
      <c r="AK42" s="1"/>
      <c r="AL42" s="1"/>
      <c r="AM42" s="1"/>
    </row>
    <row r="43" spans="1:39" ht="12.3" x14ac:dyDescent="0.4">
      <c r="A43" s="1" t="s">
        <v>118</v>
      </c>
      <c r="B43" s="10">
        <f>VLOOKUP(A43,'[1]2025 KG Students'!$C$2:$D$630,2,FALSE)</f>
        <v>85275</v>
      </c>
      <c r="C43" s="1" t="s">
        <v>6</v>
      </c>
      <c r="D43" s="5" t="s">
        <v>7</v>
      </c>
      <c r="E43" s="5" t="s">
        <v>463</v>
      </c>
      <c r="F43" s="4" t="s">
        <v>465</v>
      </c>
      <c r="G43" s="4" t="s">
        <v>465</v>
      </c>
      <c r="I43" s="1" t="s">
        <v>16</v>
      </c>
      <c r="J43" s="1" t="s">
        <v>10</v>
      </c>
      <c r="K43" s="4" t="s">
        <v>464</v>
      </c>
      <c r="L43" s="1" t="s">
        <v>24</v>
      </c>
      <c r="M43" s="10">
        <f>VLOOKUP(L43,'[2]2025 Teachers (1)'!$C$2:$D$807,2,FALSE)</f>
        <v>14530</v>
      </c>
      <c r="O43" s="1"/>
      <c r="P43" s="3">
        <v>0.6166666666666667</v>
      </c>
      <c r="Q43" s="1"/>
      <c r="S43" s="2"/>
      <c r="T43" s="1"/>
      <c r="U43" s="1"/>
      <c r="V43" s="1"/>
      <c r="Y43" s="1"/>
      <c r="AA43" s="1"/>
      <c r="AB43" s="1"/>
      <c r="AC43" s="1"/>
      <c r="AD43" s="1"/>
      <c r="AE43" s="1"/>
      <c r="AF43" s="1"/>
      <c r="AG43" s="1"/>
      <c r="AH43" s="13">
        <f>VLOOKUP(A43,'2024-25 DIBELS BOY '!A43:AP413,42,FALSE)</f>
        <v>0.49166666666666664</v>
      </c>
      <c r="AI43" s="1"/>
      <c r="AJ43" s="1"/>
      <c r="AK43" s="1"/>
      <c r="AL43" s="1"/>
      <c r="AM43" s="1"/>
    </row>
    <row r="44" spans="1:39" ht="12.3" x14ac:dyDescent="0.4">
      <c r="A44" s="1" t="s">
        <v>119</v>
      </c>
      <c r="B44" s="10">
        <f>VLOOKUP(A44,'[1]2025 KG Students'!$C$2:$D$630,2,FALSE)</f>
        <v>85749</v>
      </c>
      <c r="C44" s="1" t="s">
        <v>6</v>
      </c>
      <c r="D44" s="5" t="s">
        <v>7</v>
      </c>
      <c r="E44" s="5" t="s">
        <v>463</v>
      </c>
      <c r="F44" s="4" t="s">
        <v>465</v>
      </c>
      <c r="G44" s="4" t="s">
        <v>465</v>
      </c>
      <c r="I44" s="1" t="s">
        <v>16</v>
      </c>
      <c r="J44" s="1" t="s">
        <v>10</v>
      </c>
      <c r="K44" s="4" t="s">
        <v>464</v>
      </c>
      <c r="L44" s="1" t="s">
        <v>30</v>
      </c>
      <c r="M44" s="10">
        <f>VLOOKUP(L44,'[2]2025 Teachers (1)'!$C$2:$D$807,2,FALSE)</f>
        <v>17919</v>
      </c>
      <c r="O44" s="1"/>
      <c r="P44" s="3">
        <v>0.56833333333333336</v>
      </c>
      <c r="Q44" s="1"/>
      <c r="S44" s="2"/>
      <c r="T44" s="1"/>
      <c r="U44" s="1"/>
      <c r="V44" s="1"/>
      <c r="Y44" s="1"/>
      <c r="AA44" s="1"/>
      <c r="AB44" s="1"/>
      <c r="AC44" s="1"/>
      <c r="AD44" s="1"/>
      <c r="AE44" s="1"/>
      <c r="AF44" s="1"/>
      <c r="AG44" s="1"/>
      <c r="AH44" s="13">
        <f>VLOOKUP(A44,'2024-25 DIBELS BOY '!A44:AP414,42,FALSE)</f>
        <v>0.48833333333333334</v>
      </c>
      <c r="AI44" s="1"/>
      <c r="AJ44" s="1"/>
      <c r="AK44" s="1"/>
      <c r="AL44" s="1"/>
      <c r="AM44" s="1"/>
    </row>
    <row r="45" spans="1:39" ht="12.3" x14ac:dyDescent="0.4">
      <c r="A45" s="1" t="s">
        <v>120</v>
      </c>
      <c r="B45" s="10">
        <f>VLOOKUP(A45,'[1]2025 KG Students'!$C$2:$D$630,2,FALSE)</f>
        <v>88701</v>
      </c>
      <c r="C45" s="1" t="s">
        <v>6</v>
      </c>
      <c r="D45" s="5" t="s">
        <v>7</v>
      </c>
      <c r="E45" s="5" t="s">
        <v>463</v>
      </c>
      <c r="F45" s="4" t="s">
        <v>465</v>
      </c>
      <c r="G45" s="4" t="s">
        <v>465</v>
      </c>
      <c r="I45" s="1" t="s">
        <v>16</v>
      </c>
      <c r="J45" s="1" t="s">
        <v>10</v>
      </c>
      <c r="K45" s="4" t="s">
        <v>464</v>
      </c>
      <c r="L45" s="1" t="s">
        <v>23</v>
      </c>
      <c r="M45" s="10">
        <f>VLOOKUP(L45,'[2]2025 Teachers (1)'!$C$2:$D$807,2,FALSE)</f>
        <v>17879</v>
      </c>
      <c r="O45" s="1"/>
      <c r="P45" s="3">
        <v>0.53500000000000003</v>
      </c>
      <c r="Q45" s="1"/>
      <c r="S45" s="2"/>
      <c r="T45" s="1"/>
      <c r="U45" s="1"/>
      <c r="V45" s="1"/>
      <c r="Y45" s="1"/>
      <c r="AA45" s="1"/>
      <c r="AB45" s="1"/>
      <c r="AC45" s="1"/>
      <c r="AD45" s="1"/>
      <c r="AE45" s="1"/>
      <c r="AF45" s="1"/>
      <c r="AG45" s="1"/>
      <c r="AH45" s="13" t="e">
        <f>VLOOKUP(A45,'2024-25 DIBELS BOY '!A45:AP415,42,FALSE)</f>
        <v>#N/A</v>
      </c>
      <c r="AI45" s="1"/>
      <c r="AJ45" s="1"/>
      <c r="AK45" s="1"/>
      <c r="AL45" s="1"/>
      <c r="AM45" s="1"/>
    </row>
    <row r="46" spans="1:39" ht="12.3" x14ac:dyDescent="0.4">
      <c r="A46" s="1" t="s">
        <v>121</v>
      </c>
      <c r="B46" s="10">
        <f>VLOOKUP(A46,'[1]2025 KG Students'!$C$2:$D$630,2,FALSE)</f>
        <v>84871</v>
      </c>
      <c r="C46" s="1" t="s">
        <v>6</v>
      </c>
      <c r="D46" s="5" t="s">
        <v>7</v>
      </c>
      <c r="E46" s="5" t="s">
        <v>463</v>
      </c>
      <c r="F46" s="4" t="s">
        <v>465</v>
      </c>
      <c r="G46" s="4" t="s">
        <v>465</v>
      </c>
      <c r="I46" s="1" t="s">
        <v>16</v>
      </c>
      <c r="J46" s="1" t="s">
        <v>10</v>
      </c>
      <c r="K46" s="4" t="s">
        <v>464</v>
      </c>
      <c r="L46" s="1" t="s">
        <v>30</v>
      </c>
      <c r="M46" s="10">
        <f>VLOOKUP(L46,'[2]2025 Teachers (1)'!$C$2:$D$807,2,FALSE)</f>
        <v>17919</v>
      </c>
      <c r="O46" s="1"/>
      <c r="P46" s="3">
        <v>0.53</v>
      </c>
      <c r="Q46" s="1"/>
      <c r="S46" s="2"/>
      <c r="T46" s="1"/>
      <c r="U46" s="2"/>
      <c r="V46" s="1"/>
      <c r="Y46" s="1"/>
      <c r="AA46" s="1"/>
      <c r="AB46" s="1"/>
      <c r="AC46" s="1"/>
      <c r="AD46" s="1"/>
      <c r="AE46" s="1"/>
      <c r="AF46" s="1"/>
      <c r="AG46" s="1"/>
      <c r="AH46" s="13">
        <f>VLOOKUP(A46,'2024-25 DIBELS BOY '!A46:AP416,42,FALSE)</f>
        <v>0.40500000000000003</v>
      </c>
      <c r="AI46" s="1"/>
      <c r="AJ46" s="1"/>
      <c r="AK46" s="1"/>
      <c r="AL46" s="1"/>
      <c r="AM46" s="1"/>
    </row>
    <row r="47" spans="1:39" ht="12.3" x14ac:dyDescent="0.4">
      <c r="A47" s="1" t="s">
        <v>122</v>
      </c>
      <c r="B47" s="10">
        <f>VLOOKUP(A47,'[1]2025 KG Students'!$C$2:$D$630,2,FALSE)</f>
        <v>85483</v>
      </c>
      <c r="C47" s="1" t="s">
        <v>6</v>
      </c>
      <c r="D47" s="5" t="s">
        <v>7</v>
      </c>
      <c r="E47" s="5" t="s">
        <v>463</v>
      </c>
      <c r="F47" s="4" t="s">
        <v>465</v>
      </c>
      <c r="G47" s="4" t="s">
        <v>465</v>
      </c>
      <c r="I47" s="1" t="s">
        <v>27</v>
      </c>
      <c r="J47" s="1" t="s">
        <v>9</v>
      </c>
      <c r="K47" s="4" t="s">
        <v>464</v>
      </c>
      <c r="L47" s="1" t="s">
        <v>25</v>
      </c>
      <c r="M47" s="10">
        <f>VLOOKUP(L47,'[2]2025 Teachers (1)'!$C$2:$D$807,2,FALSE)</f>
        <v>17649</v>
      </c>
      <c r="O47" s="1"/>
      <c r="P47" s="3">
        <v>0.6333333333333333</v>
      </c>
      <c r="Q47" s="1"/>
      <c r="S47" s="2"/>
      <c r="T47" s="1"/>
      <c r="U47" s="1"/>
      <c r="V47" s="1"/>
      <c r="Y47" s="1"/>
      <c r="AA47" s="1"/>
      <c r="AB47" s="1"/>
      <c r="AC47" s="1"/>
      <c r="AD47" s="1"/>
      <c r="AE47" s="1"/>
      <c r="AF47" s="1"/>
      <c r="AG47" s="1"/>
      <c r="AH47" s="13">
        <f>VLOOKUP(A47,'2024-25 DIBELS BOY '!A47:AP417,42,FALSE)</f>
        <v>0.56666666666666665</v>
      </c>
      <c r="AI47" s="1"/>
      <c r="AJ47" s="1"/>
      <c r="AK47" s="1"/>
      <c r="AL47" s="1"/>
      <c r="AM47" s="1"/>
    </row>
    <row r="48" spans="1:39" ht="12.3" x14ac:dyDescent="0.4">
      <c r="A48" s="1" t="s">
        <v>123</v>
      </c>
      <c r="B48" s="10">
        <f>VLOOKUP(A48,'[1]2025 KG Students'!$C$2:$D$630,2,FALSE)</f>
        <v>85090</v>
      </c>
      <c r="C48" s="1" t="s">
        <v>6</v>
      </c>
      <c r="D48" s="5" t="s">
        <v>7</v>
      </c>
      <c r="E48" s="5" t="s">
        <v>463</v>
      </c>
      <c r="F48" s="4" t="s">
        <v>465</v>
      </c>
      <c r="G48" s="4" t="s">
        <v>465</v>
      </c>
      <c r="I48" s="1" t="s">
        <v>27</v>
      </c>
      <c r="J48" s="1" t="s">
        <v>9</v>
      </c>
      <c r="K48" s="4" t="s">
        <v>464</v>
      </c>
      <c r="L48" s="1" t="s">
        <v>25</v>
      </c>
      <c r="M48" s="10">
        <f>VLOOKUP(L48,'[2]2025 Teachers (1)'!$C$2:$D$807,2,FALSE)</f>
        <v>17649</v>
      </c>
      <c r="O48" s="1"/>
      <c r="P48" s="3">
        <v>0.65500000000000003</v>
      </c>
      <c r="Q48" s="1"/>
      <c r="S48" s="2"/>
      <c r="T48" s="1"/>
      <c r="U48" s="1"/>
      <c r="V48" s="1"/>
      <c r="Y48" s="1"/>
      <c r="AA48" s="1"/>
      <c r="AB48" s="1"/>
      <c r="AC48" s="1"/>
      <c r="AD48" s="1"/>
      <c r="AE48" s="1"/>
      <c r="AF48" s="1"/>
      <c r="AG48" s="1"/>
      <c r="AH48" s="13">
        <f>VLOOKUP(A48,'2024-25 DIBELS BOY '!A48:AP418,42,FALSE)</f>
        <v>0.625</v>
      </c>
      <c r="AI48" s="1"/>
      <c r="AJ48" s="1"/>
      <c r="AK48" s="1"/>
      <c r="AL48" s="1"/>
      <c r="AM48" s="1"/>
    </row>
    <row r="49" spans="1:39" ht="12.3" x14ac:dyDescent="0.4">
      <c r="A49" s="1" t="s">
        <v>124</v>
      </c>
      <c r="B49" s="10">
        <f>VLOOKUP(A49,'[1]2025 KG Students'!$C$2:$D$630,2,FALSE)</f>
        <v>85148</v>
      </c>
      <c r="C49" s="1" t="s">
        <v>6</v>
      </c>
      <c r="D49" s="5" t="s">
        <v>7</v>
      </c>
      <c r="E49" s="5" t="s">
        <v>463</v>
      </c>
      <c r="F49" s="4" t="s">
        <v>465</v>
      </c>
      <c r="G49" s="4" t="s">
        <v>465</v>
      </c>
      <c r="I49" s="1" t="s">
        <v>16</v>
      </c>
      <c r="J49" s="1" t="s">
        <v>10</v>
      </c>
      <c r="K49" s="4" t="s">
        <v>464</v>
      </c>
      <c r="L49" s="1" t="s">
        <v>19</v>
      </c>
      <c r="M49" s="10">
        <f>VLOOKUP(L49,'[2]2025 Teachers (1)'!$C$2:$D$807,2,FALSE)</f>
        <v>18050</v>
      </c>
      <c r="O49" s="1"/>
      <c r="P49" s="3">
        <v>0.65</v>
      </c>
      <c r="Q49" s="1"/>
      <c r="S49" s="2"/>
      <c r="T49" s="1"/>
      <c r="U49" s="2"/>
      <c r="V49" s="1"/>
      <c r="Y49" s="1"/>
      <c r="AA49" s="1"/>
      <c r="AB49" s="1"/>
      <c r="AC49" s="1"/>
      <c r="AD49" s="1"/>
      <c r="AE49" s="1"/>
      <c r="AF49" s="1"/>
      <c r="AG49" s="1"/>
      <c r="AH49" s="13">
        <f>VLOOKUP(A49,'2024-25 DIBELS BOY '!A49:AP419,42,FALSE)</f>
        <v>0.58833333333333337</v>
      </c>
      <c r="AI49" s="1"/>
      <c r="AJ49" s="1"/>
      <c r="AK49" s="1"/>
      <c r="AL49" s="1"/>
      <c r="AM49" s="1"/>
    </row>
    <row r="50" spans="1:39" ht="12.3" x14ac:dyDescent="0.4">
      <c r="A50" s="1" t="s">
        <v>125</v>
      </c>
      <c r="B50" s="10">
        <f>VLOOKUP(A50,'[1]2025 KG Students'!$C$2:$D$630,2,FALSE)</f>
        <v>88000</v>
      </c>
      <c r="C50" s="1" t="s">
        <v>6</v>
      </c>
      <c r="D50" s="5" t="s">
        <v>7</v>
      </c>
      <c r="E50" s="5" t="s">
        <v>463</v>
      </c>
      <c r="F50" s="4" t="s">
        <v>465</v>
      </c>
      <c r="G50" s="4" t="s">
        <v>465</v>
      </c>
      <c r="I50" s="1" t="s">
        <v>16</v>
      </c>
      <c r="J50" s="1" t="s">
        <v>10</v>
      </c>
      <c r="K50" s="4" t="s">
        <v>464</v>
      </c>
      <c r="L50" s="1" t="s">
        <v>25</v>
      </c>
      <c r="M50" s="10">
        <f>VLOOKUP(L50,'[2]2025 Teachers (1)'!$C$2:$D$807,2,FALSE)</f>
        <v>17649</v>
      </c>
      <c r="O50" s="1"/>
      <c r="P50" s="3">
        <v>0.55000000000000004</v>
      </c>
      <c r="Q50" s="1"/>
      <c r="S50" s="1"/>
      <c r="T50" s="1"/>
      <c r="U50" s="1"/>
      <c r="V50" s="1"/>
      <c r="Y50" s="1"/>
      <c r="AA50" s="1"/>
      <c r="AB50" s="1"/>
      <c r="AC50" s="1"/>
      <c r="AD50" s="1"/>
      <c r="AE50" s="1"/>
      <c r="AF50" s="1"/>
      <c r="AG50" s="1"/>
      <c r="AH50" s="13">
        <f>VLOOKUP(A50,'2024-25 DIBELS BOY '!A50:AP420,42,FALSE)</f>
        <v>0.42166666666666669</v>
      </c>
      <c r="AI50" s="1"/>
      <c r="AJ50" s="1"/>
      <c r="AK50" s="1"/>
      <c r="AL50" s="1"/>
      <c r="AM50" s="1"/>
    </row>
    <row r="51" spans="1:39" ht="12.3" x14ac:dyDescent="0.4">
      <c r="A51" s="1" t="s">
        <v>126</v>
      </c>
      <c r="B51" s="10">
        <f>VLOOKUP(A51,'[1]2025 KG Students'!$C$2:$D$630,2,FALSE)</f>
        <v>87998</v>
      </c>
      <c r="C51" s="1" t="s">
        <v>6</v>
      </c>
      <c r="D51" s="5" t="s">
        <v>7</v>
      </c>
      <c r="E51" s="5" t="s">
        <v>463</v>
      </c>
      <c r="F51" s="4" t="s">
        <v>465</v>
      </c>
      <c r="G51" s="4" t="s">
        <v>465</v>
      </c>
      <c r="I51" s="1" t="s">
        <v>16</v>
      </c>
      <c r="J51" s="1" t="s">
        <v>10</v>
      </c>
      <c r="K51" s="4" t="s">
        <v>464</v>
      </c>
      <c r="L51" s="1" t="s">
        <v>26</v>
      </c>
      <c r="M51" s="10">
        <f>VLOOKUP(L51,'[2]2025 Teachers (1)'!$C$2:$D$807,2,FALSE)</f>
        <v>18941</v>
      </c>
      <c r="O51" s="1"/>
      <c r="P51" s="3">
        <v>0.65500000000000003</v>
      </c>
      <c r="Q51" s="1"/>
      <c r="S51" s="1"/>
      <c r="T51" s="1"/>
      <c r="U51" s="1"/>
      <c r="V51" s="1"/>
      <c r="Y51" s="1"/>
      <c r="AA51" s="1"/>
      <c r="AB51" s="1"/>
      <c r="AC51" s="1"/>
      <c r="AD51" s="1"/>
      <c r="AE51" s="1"/>
      <c r="AF51" s="1"/>
      <c r="AG51" s="1"/>
      <c r="AH51" s="13">
        <f>VLOOKUP(A51,'2024-25 DIBELS BOY '!A51:AP421,42,FALSE)</f>
        <v>0.42166666666666669</v>
      </c>
      <c r="AI51" s="1"/>
      <c r="AJ51" s="1"/>
      <c r="AK51" s="1"/>
      <c r="AL51" s="1"/>
      <c r="AM51" s="1"/>
    </row>
    <row r="52" spans="1:39" ht="12.3" x14ac:dyDescent="0.4">
      <c r="A52" s="1" t="s">
        <v>127</v>
      </c>
      <c r="B52" s="10">
        <f>VLOOKUP(A52,'[1]2025 KG Students'!$C$2:$D$630,2,FALSE)</f>
        <v>87634</v>
      </c>
      <c r="C52" s="1" t="s">
        <v>6</v>
      </c>
      <c r="D52" s="5" t="s">
        <v>7</v>
      </c>
      <c r="E52" s="5" t="s">
        <v>463</v>
      </c>
      <c r="F52" s="4" t="s">
        <v>465</v>
      </c>
      <c r="G52" s="4" t="s">
        <v>465</v>
      </c>
      <c r="I52" s="1" t="s">
        <v>8</v>
      </c>
      <c r="J52" s="1" t="s">
        <v>9</v>
      </c>
      <c r="K52" s="4" t="s">
        <v>464</v>
      </c>
      <c r="L52" s="1" t="s">
        <v>23</v>
      </c>
      <c r="M52" s="10">
        <f>VLOOKUP(L52,'[2]2025 Teachers (1)'!$C$2:$D$807,2,FALSE)</f>
        <v>17879</v>
      </c>
      <c r="O52" s="1"/>
      <c r="P52" s="3">
        <v>0.6166666666666667</v>
      </c>
      <c r="Q52" s="1"/>
      <c r="S52" s="1"/>
      <c r="T52" s="1"/>
      <c r="U52" s="2"/>
      <c r="V52" s="1"/>
      <c r="Y52" s="1"/>
      <c r="AA52" s="1"/>
      <c r="AB52" s="1"/>
      <c r="AC52" s="1"/>
      <c r="AD52" s="1"/>
      <c r="AE52" s="1"/>
      <c r="AF52" s="1"/>
      <c r="AG52" s="1"/>
      <c r="AH52" s="13">
        <f>VLOOKUP(A52,'2024-25 DIBELS BOY '!A52:AP422,42,FALSE)</f>
        <v>0.57499999999999996</v>
      </c>
      <c r="AI52" s="1"/>
      <c r="AJ52" s="1"/>
      <c r="AK52" s="1"/>
      <c r="AL52" s="1"/>
      <c r="AM52" s="1"/>
    </row>
    <row r="53" spans="1:39" ht="12.3" x14ac:dyDescent="0.4">
      <c r="A53" s="1" t="s">
        <v>128</v>
      </c>
      <c r="B53" s="10">
        <f>VLOOKUP(A53,'[1]2025 KG Students'!$C$2:$D$630,2,FALSE)</f>
        <v>86366</v>
      </c>
      <c r="C53" s="1" t="s">
        <v>6</v>
      </c>
      <c r="D53" s="5" t="s">
        <v>7</v>
      </c>
      <c r="E53" s="5" t="s">
        <v>463</v>
      </c>
      <c r="F53" s="4" t="s">
        <v>465</v>
      </c>
      <c r="G53" s="4" t="s">
        <v>465</v>
      </c>
      <c r="I53" s="1" t="s">
        <v>8</v>
      </c>
      <c r="J53" s="1" t="s">
        <v>9</v>
      </c>
      <c r="K53" s="4" t="s">
        <v>464</v>
      </c>
      <c r="L53" s="1" t="s">
        <v>30</v>
      </c>
      <c r="M53" s="10">
        <f>VLOOKUP(L53,'[2]2025 Teachers (1)'!$C$2:$D$807,2,FALSE)</f>
        <v>17919</v>
      </c>
      <c r="O53" s="1"/>
      <c r="P53" s="3">
        <v>0.64666666666666661</v>
      </c>
      <c r="Q53" s="1"/>
      <c r="S53" s="2"/>
      <c r="T53" s="1"/>
      <c r="U53" s="2"/>
      <c r="V53" s="1"/>
      <c r="Y53" s="1"/>
      <c r="AA53" s="1"/>
      <c r="AB53" s="1"/>
      <c r="AC53" s="1"/>
      <c r="AD53" s="1"/>
      <c r="AE53" s="1"/>
      <c r="AF53" s="1"/>
      <c r="AG53" s="1"/>
      <c r="AH53" s="13">
        <f>VLOOKUP(A53,'2024-25 DIBELS BOY '!A53:AP423,42,FALSE)</f>
        <v>0.54666666666666663</v>
      </c>
      <c r="AI53" s="1"/>
      <c r="AJ53" s="1"/>
      <c r="AK53" s="1"/>
      <c r="AL53" s="1"/>
      <c r="AM53" s="1"/>
    </row>
    <row r="54" spans="1:39" ht="12.3" x14ac:dyDescent="0.4">
      <c r="A54" s="1" t="s">
        <v>129</v>
      </c>
      <c r="B54" s="10">
        <f>VLOOKUP(A54,'[1]2025 KG Students'!$C$2:$D$630,2,FALSE)</f>
        <v>85146</v>
      </c>
      <c r="C54" s="1" t="s">
        <v>6</v>
      </c>
      <c r="D54" s="5" t="s">
        <v>7</v>
      </c>
      <c r="E54" s="5" t="s">
        <v>463</v>
      </c>
      <c r="F54" s="4" t="s">
        <v>465</v>
      </c>
      <c r="G54" s="4" t="s">
        <v>465</v>
      </c>
      <c r="I54" s="1" t="s">
        <v>8</v>
      </c>
      <c r="J54" s="1" t="s">
        <v>9</v>
      </c>
      <c r="K54" s="4" t="s">
        <v>464</v>
      </c>
      <c r="L54" s="1" t="s">
        <v>19</v>
      </c>
      <c r="M54" s="10">
        <f>VLOOKUP(L54,'[2]2025 Teachers (1)'!$C$2:$D$807,2,FALSE)</f>
        <v>18050</v>
      </c>
      <c r="O54" s="1"/>
      <c r="P54" s="3">
        <v>0.69166666666666665</v>
      </c>
      <c r="Q54" s="1"/>
      <c r="S54" s="2"/>
      <c r="T54" s="1"/>
      <c r="U54" s="1"/>
      <c r="V54" s="1"/>
      <c r="Y54" s="1"/>
      <c r="AA54" s="1"/>
      <c r="AB54" s="1"/>
      <c r="AC54" s="1"/>
      <c r="AD54" s="1"/>
      <c r="AE54" s="1"/>
      <c r="AF54" s="1"/>
      <c r="AG54" s="1"/>
      <c r="AH54" s="13">
        <f>VLOOKUP(A54,'2024-25 DIBELS BOY '!A54:AP424,42,FALSE)</f>
        <v>0.625</v>
      </c>
      <c r="AI54" s="1"/>
      <c r="AJ54" s="1"/>
      <c r="AK54" s="1"/>
      <c r="AL54" s="1"/>
      <c r="AM54" s="1"/>
    </row>
    <row r="55" spans="1:39" ht="12.3" x14ac:dyDescent="0.4">
      <c r="A55" s="1" t="s">
        <v>130</v>
      </c>
      <c r="B55" s="10">
        <f>VLOOKUP(A55,'[1]2025 KG Students'!$C$2:$D$630,2,FALSE)</f>
        <v>85051</v>
      </c>
      <c r="C55" s="1" t="s">
        <v>6</v>
      </c>
      <c r="D55" s="5" t="s">
        <v>7</v>
      </c>
      <c r="E55" s="5" t="s">
        <v>463</v>
      </c>
      <c r="F55" s="4" t="s">
        <v>465</v>
      </c>
      <c r="G55" s="4" t="s">
        <v>465</v>
      </c>
      <c r="I55" s="1" t="s">
        <v>29</v>
      </c>
      <c r="J55" s="1" t="s">
        <v>9</v>
      </c>
      <c r="K55" s="4" t="s">
        <v>464</v>
      </c>
      <c r="L55" s="1" t="s">
        <v>21</v>
      </c>
      <c r="M55" s="10">
        <f>VLOOKUP(L55,'[2]2025 Teachers (1)'!$C$2:$D$807,2,FALSE)</f>
        <v>15019</v>
      </c>
      <c r="O55" s="1"/>
      <c r="P55" s="3">
        <v>0.69</v>
      </c>
      <c r="Q55" s="1"/>
      <c r="S55" s="2"/>
      <c r="T55" s="1"/>
      <c r="U55" s="1"/>
      <c r="V55" s="1"/>
      <c r="Y55" s="1"/>
      <c r="AA55" s="1"/>
      <c r="AB55" s="1"/>
      <c r="AC55" s="1"/>
      <c r="AD55" s="1"/>
      <c r="AE55" s="1"/>
      <c r="AF55" s="1"/>
      <c r="AG55" s="1"/>
      <c r="AH55" s="13">
        <f>VLOOKUP(A55,'2024-25 DIBELS BOY '!A55:AP425,42,FALSE)</f>
        <v>0.66333333333333333</v>
      </c>
      <c r="AI55" s="1"/>
      <c r="AJ55" s="1"/>
      <c r="AK55" s="1"/>
      <c r="AL55" s="1"/>
      <c r="AM55" s="1"/>
    </row>
    <row r="56" spans="1:39" ht="12.3" x14ac:dyDescent="0.4">
      <c r="A56" s="1" t="s">
        <v>131</v>
      </c>
      <c r="B56" s="10">
        <f>VLOOKUP(A56,'[1]2025 KG Students'!$C$2:$D$630,2,FALSE)</f>
        <v>86059</v>
      </c>
      <c r="C56" s="1" t="s">
        <v>6</v>
      </c>
      <c r="D56" s="5" t="s">
        <v>7</v>
      </c>
      <c r="E56" s="5" t="s">
        <v>463</v>
      </c>
      <c r="F56" s="4" t="s">
        <v>465</v>
      </c>
      <c r="G56" s="4" t="s">
        <v>465</v>
      </c>
      <c r="I56" s="1" t="s">
        <v>16</v>
      </c>
      <c r="J56" s="1" t="s">
        <v>10</v>
      </c>
      <c r="K56" s="4" t="s">
        <v>464</v>
      </c>
      <c r="L56" s="1" t="s">
        <v>28</v>
      </c>
      <c r="M56" s="10">
        <f>VLOOKUP(L56,'[2]2025 Teachers (1)'!$C$2:$D$807,2,FALSE)</f>
        <v>15143</v>
      </c>
      <c r="O56" s="1"/>
      <c r="P56" s="3">
        <v>0.56333333333333335</v>
      </c>
      <c r="Q56" s="1"/>
      <c r="S56" s="2"/>
      <c r="T56" s="1"/>
      <c r="U56" s="2"/>
      <c r="V56" s="1"/>
      <c r="Y56" s="1"/>
      <c r="AA56" s="1"/>
      <c r="AB56" s="1"/>
      <c r="AC56" s="1"/>
      <c r="AD56" s="1"/>
      <c r="AE56" s="1"/>
      <c r="AF56" s="1"/>
      <c r="AG56" s="1"/>
      <c r="AH56" s="13">
        <f>VLOOKUP(A56,'2024-25 DIBELS BOY '!A56:AP426,42,FALSE)</f>
        <v>0.5</v>
      </c>
      <c r="AI56" s="1"/>
      <c r="AJ56" s="1"/>
      <c r="AK56" s="1"/>
      <c r="AL56" s="1"/>
      <c r="AM56" s="1"/>
    </row>
    <row r="57" spans="1:39" ht="12.3" x14ac:dyDescent="0.4">
      <c r="A57" s="1" t="s">
        <v>132</v>
      </c>
      <c r="B57" s="10">
        <f>VLOOKUP(A57,'[1]2025 KG Students'!$C$2:$D$630,2,FALSE)</f>
        <v>86351</v>
      </c>
      <c r="C57" s="1" t="s">
        <v>6</v>
      </c>
      <c r="D57" s="5" t="s">
        <v>7</v>
      </c>
      <c r="E57" s="5" t="s">
        <v>463</v>
      </c>
      <c r="F57" s="4" t="s">
        <v>465</v>
      </c>
      <c r="G57" s="4" t="s">
        <v>465</v>
      </c>
      <c r="I57" s="1" t="s">
        <v>16</v>
      </c>
      <c r="J57" s="1" t="s">
        <v>10</v>
      </c>
      <c r="K57" s="4" t="s">
        <v>464</v>
      </c>
      <c r="L57" s="1" t="s">
        <v>26</v>
      </c>
      <c r="M57" s="10">
        <f>VLOOKUP(L57,'[2]2025 Teachers (1)'!$C$2:$D$807,2,FALSE)</f>
        <v>18941</v>
      </c>
      <c r="O57" s="1"/>
      <c r="P57" s="3">
        <v>0.54</v>
      </c>
      <c r="Q57" s="1"/>
      <c r="S57" s="2"/>
      <c r="T57" s="1"/>
      <c r="U57" s="1"/>
      <c r="V57" s="1"/>
      <c r="Y57" s="1"/>
      <c r="AA57" s="1"/>
      <c r="AB57" s="1"/>
      <c r="AC57" s="1"/>
      <c r="AD57" s="1"/>
      <c r="AE57" s="1"/>
      <c r="AF57" s="1"/>
      <c r="AG57" s="1"/>
      <c r="AH57" s="13">
        <f>VLOOKUP(A57,'2024-25 DIBELS BOY '!A57:AP427,42,FALSE)</f>
        <v>0.41166666666666668</v>
      </c>
      <c r="AI57" s="1"/>
      <c r="AJ57" s="1"/>
      <c r="AK57" s="1"/>
      <c r="AL57" s="1"/>
      <c r="AM57" s="1"/>
    </row>
    <row r="58" spans="1:39" ht="12.3" x14ac:dyDescent="0.4">
      <c r="A58" s="1" t="s">
        <v>133</v>
      </c>
      <c r="B58" s="10">
        <f>VLOOKUP(A58,'[1]2025 KG Students'!$C$2:$D$630,2,FALSE)</f>
        <v>87833</v>
      </c>
      <c r="C58" s="1" t="s">
        <v>6</v>
      </c>
      <c r="D58" s="5" t="s">
        <v>7</v>
      </c>
      <c r="E58" s="5" t="s">
        <v>463</v>
      </c>
      <c r="F58" s="4" t="s">
        <v>465</v>
      </c>
      <c r="G58" s="4" t="s">
        <v>465</v>
      </c>
      <c r="I58" s="1" t="s">
        <v>16</v>
      </c>
      <c r="J58" s="1" t="s">
        <v>10</v>
      </c>
      <c r="K58" s="4" t="s">
        <v>464</v>
      </c>
      <c r="L58" s="1" t="s">
        <v>24</v>
      </c>
      <c r="M58" s="10">
        <f>VLOOKUP(L58,'[2]2025 Teachers (1)'!$C$2:$D$807,2,FALSE)</f>
        <v>14530</v>
      </c>
      <c r="O58" s="1"/>
      <c r="P58" s="3">
        <v>0.60333333333333339</v>
      </c>
      <c r="Q58" s="1"/>
      <c r="S58" s="1"/>
      <c r="T58" s="1"/>
      <c r="U58" s="1"/>
      <c r="V58" s="1"/>
      <c r="Y58" s="1"/>
      <c r="AA58" s="1"/>
      <c r="AB58" s="1"/>
      <c r="AC58" s="1"/>
      <c r="AD58" s="1"/>
      <c r="AE58" s="1"/>
      <c r="AF58" s="1"/>
      <c r="AG58" s="1"/>
      <c r="AH58" s="13">
        <f>VLOOKUP(A58,'2024-25 DIBELS BOY '!A58:AP428,42,FALSE)</f>
        <v>0.43</v>
      </c>
      <c r="AI58" s="1"/>
      <c r="AJ58" s="1"/>
      <c r="AK58" s="1"/>
      <c r="AL58" s="1"/>
      <c r="AM58" s="1"/>
    </row>
    <row r="59" spans="1:39" ht="12.3" x14ac:dyDescent="0.4">
      <c r="A59" s="1" t="s">
        <v>134</v>
      </c>
      <c r="B59" s="10">
        <f>VLOOKUP(A59,'[1]2025 KG Students'!$C$2:$D$630,2,FALSE)</f>
        <v>85150</v>
      </c>
      <c r="C59" s="1" t="s">
        <v>6</v>
      </c>
      <c r="D59" s="5" t="s">
        <v>7</v>
      </c>
      <c r="E59" s="5" t="s">
        <v>463</v>
      </c>
      <c r="F59" s="4" t="s">
        <v>465</v>
      </c>
      <c r="G59" s="4" t="s">
        <v>465</v>
      </c>
      <c r="I59" s="1" t="s">
        <v>16</v>
      </c>
      <c r="J59" s="1" t="s">
        <v>10</v>
      </c>
      <c r="K59" s="4" t="s">
        <v>464</v>
      </c>
      <c r="L59" s="1" t="s">
        <v>28</v>
      </c>
      <c r="M59" s="10">
        <f>VLOOKUP(L59,'[2]2025 Teachers (1)'!$C$2:$D$807,2,FALSE)</f>
        <v>15143</v>
      </c>
      <c r="O59" s="1"/>
      <c r="P59" s="3">
        <v>0.59499999999999997</v>
      </c>
      <c r="Q59" s="1"/>
      <c r="S59" s="2"/>
      <c r="T59" s="1"/>
      <c r="U59" s="2"/>
      <c r="V59" s="1"/>
      <c r="Y59" s="1"/>
      <c r="AA59" s="1"/>
      <c r="AB59" s="1"/>
      <c r="AC59" s="1"/>
      <c r="AD59" s="1"/>
      <c r="AE59" s="1"/>
      <c r="AF59" s="1"/>
      <c r="AG59" s="1"/>
      <c r="AH59" s="13">
        <f>VLOOKUP(A59,'2024-25 DIBELS BOY '!A59:AP429,42,FALSE)</f>
        <v>0.53833333333333333</v>
      </c>
      <c r="AI59" s="1"/>
      <c r="AJ59" s="1"/>
      <c r="AK59" s="1"/>
      <c r="AL59" s="1"/>
      <c r="AM59" s="1"/>
    </row>
    <row r="60" spans="1:39" ht="12.3" x14ac:dyDescent="0.4">
      <c r="A60" s="1" t="s">
        <v>135</v>
      </c>
      <c r="B60" s="10">
        <f>VLOOKUP(A60,'[1]2025 KG Students'!$C$2:$D$630,2,FALSE)</f>
        <v>85700</v>
      </c>
      <c r="C60" s="1" t="s">
        <v>6</v>
      </c>
      <c r="D60" s="5" t="s">
        <v>7</v>
      </c>
      <c r="E60" s="5" t="s">
        <v>463</v>
      </c>
      <c r="F60" s="4" t="s">
        <v>465</v>
      </c>
      <c r="G60" s="4" t="s">
        <v>465</v>
      </c>
      <c r="I60" s="1" t="s">
        <v>16</v>
      </c>
      <c r="J60" s="1" t="s">
        <v>10</v>
      </c>
      <c r="K60" s="4" t="s">
        <v>464</v>
      </c>
      <c r="L60" s="1" t="s">
        <v>17</v>
      </c>
      <c r="M60" s="10">
        <f>VLOOKUP(L60,'[2]2025 Teachers (1)'!$C$2:$D$807,2,FALSE)</f>
        <v>13866</v>
      </c>
      <c r="O60" s="1"/>
      <c r="P60" s="3">
        <v>0.74</v>
      </c>
      <c r="Q60" s="1"/>
      <c r="S60" s="2"/>
      <c r="T60" s="1"/>
      <c r="U60" s="2"/>
      <c r="V60" s="1"/>
      <c r="Y60" s="1"/>
      <c r="AA60" s="1"/>
      <c r="AB60" s="1"/>
      <c r="AC60" s="1"/>
      <c r="AD60" s="1"/>
      <c r="AE60" s="1"/>
      <c r="AF60" s="1"/>
      <c r="AG60" s="1"/>
      <c r="AH60" s="13">
        <f>VLOOKUP(A60,'2024-25 DIBELS BOY '!A60:AP430,42,FALSE)</f>
        <v>0.55166666666666664</v>
      </c>
      <c r="AI60" s="1"/>
      <c r="AJ60" s="1"/>
      <c r="AK60" s="1"/>
      <c r="AL60" s="1"/>
      <c r="AM60" s="1"/>
    </row>
    <row r="61" spans="1:39" ht="12.3" x14ac:dyDescent="0.4">
      <c r="A61" s="1" t="s">
        <v>136</v>
      </c>
      <c r="B61" s="10">
        <f>VLOOKUP(A61,'[1]2025 KG Students'!$C$2:$D$630,2,FALSE)</f>
        <v>85774</v>
      </c>
      <c r="C61" s="1" t="s">
        <v>6</v>
      </c>
      <c r="D61" s="5" t="s">
        <v>7</v>
      </c>
      <c r="E61" s="5" t="s">
        <v>463</v>
      </c>
      <c r="F61" s="4" t="s">
        <v>465</v>
      </c>
      <c r="G61" s="4" t="s">
        <v>465</v>
      </c>
      <c r="I61" s="1" t="s">
        <v>16</v>
      </c>
      <c r="J61" s="1" t="s">
        <v>10</v>
      </c>
      <c r="K61" s="4" t="s">
        <v>464</v>
      </c>
      <c r="L61" s="1" t="s">
        <v>22</v>
      </c>
      <c r="M61" s="10">
        <f>VLOOKUP(L61,'[2]2025 Teachers (1)'!$C$2:$D$807,2,FALSE)</f>
        <v>18825</v>
      </c>
      <c r="O61" s="1"/>
      <c r="P61" s="3">
        <v>0.54666666666666663</v>
      </c>
      <c r="Q61" s="1"/>
      <c r="S61" s="2"/>
      <c r="T61" s="1"/>
      <c r="U61" s="1"/>
      <c r="V61" s="1"/>
      <c r="Y61" s="1"/>
      <c r="AA61" s="1"/>
      <c r="AB61" s="1"/>
      <c r="AC61" s="1"/>
      <c r="AD61" s="1"/>
      <c r="AE61" s="1"/>
      <c r="AF61" s="1"/>
      <c r="AG61" s="1"/>
      <c r="AH61" s="13">
        <f>VLOOKUP(A61,'2024-25 DIBELS BOY '!A61:AP431,42,FALSE)</f>
        <v>0.48499999999999999</v>
      </c>
      <c r="AI61" s="1"/>
      <c r="AJ61" s="1"/>
      <c r="AK61" s="1"/>
      <c r="AL61" s="1"/>
      <c r="AM61" s="1"/>
    </row>
    <row r="62" spans="1:39" ht="12.3" x14ac:dyDescent="0.4">
      <c r="A62" s="1" t="s">
        <v>137</v>
      </c>
      <c r="B62" s="10">
        <f>VLOOKUP(A62,'[1]2025 KG Students'!$C$2:$D$630,2,FALSE)</f>
        <v>85347</v>
      </c>
      <c r="C62" s="1" t="s">
        <v>6</v>
      </c>
      <c r="D62" s="5" t="s">
        <v>7</v>
      </c>
      <c r="E62" s="5" t="s">
        <v>463</v>
      </c>
      <c r="F62" s="4" t="s">
        <v>465</v>
      </c>
      <c r="G62" s="4" t="s">
        <v>465</v>
      </c>
      <c r="I62" s="1" t="s">
        <v>16</v>
      </c>
      <c r="J62" s="1" t="s">
        <v>10</v>
      </c>
      <c r="K62" s="4" t="s">
        <v>464</v>
      </c>
      <c r="L62" s="1" t="s">
        <v>11</v>
      </c>
      <c r="M62" s="10">
        <f>VLOOKUP(L62,'[2]2025 Teachers (1)'!$C$2:$D$807,2,FALSE)</f>
        <v>18548</v>
      </c>
      <c r="O62" s="1"/>
      <c r="P62" s="3">
        <v>0.6166666666666667</v>
      </c>
      <c r="Q62" s="1"/>
      <c r="S62" s="2"/>
      <c r="T62" s="1"/>
      <c r="U62" s="2"/>
      <c r="V62" s="1"/>
      <c r="Y62" s="1"/>
      <c r="AA62" s="1"/>
      <c r="AB62" s="1"/>
      <c r="AC62" s="1"/>
      <c r="AD62" s="1"/>
      <c r="AE62" s="1"/>
      <c r="AF62" s="1"/>
      <c r="AG62" s="1"/>
      <c r="AH62" s="13">
        <f>VLOOKUP(A62,'2024-25 DIBELS BOY '!A62:AP432,42,FALSE)</f>
        <v>0.55166666666666664</v>
      </c>
      <c r="AI62" s="1"/>
      <c r="AJ62" s="1"/>
      <c r="AK62" s="1"/>
      <c r="AL62" s="1"/>
      <c r="AM62" s="1"/>
    </row>
    <row r="63" spans="1:39" ht="12.3" x14ac:dyDescent="0.4">
      <c r="A63" s="1" t="s">
        <v>138</v>
      </c>
      <c r="B63" s="10">
        <f>VLOOKUP(A63,'[1]2025 KG Students'!$C$2:$D$630,2,FALSE)</f>
        <v>87194</v>
      </c>
      <c r="C63" s="1" t="s">
        <v>6</v>
      </c>
      <c r="D63" s="5" t="s">
        <v>7</v>
      </c>
      <c r="E63" s="5" t="s">
        <v>463</v>
      </c>
      <c r="F63" s="4" t="s">
        <v>465</v>
      </c>
      <c r="G63" s="4" t="s">
        <v>465</v>
      </c>
      <c r="I63" s="1" t="s">
        <v>8</v>
      </c>
      <c r="J63" s="1" t="s">
        <v>9</v>
      </c>
      <c r="K63" s="4" t="s">
        <v>464</v>
      </c>
      <c r="L63" s="1" t="s">
        <v>19</v>
      </c>
      <c r="M63" s="10">
        <f>VLOOKUP(L63,'[2]2025 Teachers (1)'!$C$2:$D$807,2,FALSE)</f>
        <v>18050</v>
      </c>
      <c r="O63" s="1"/>
      <c r="P63" s="3">
        <v>0.625</v>
      </c>
      <c r="Q63" s="1"/>
      <c r="S63" s="1"/>
      <c r="T63" s="1"/>
      <c r="U63" s="1"/>
      <c r="V63" s="1"/>
      <c r="Y63" s="1"/>
      <c r="AA63" s="1"/>
      <c r="AB63" s="1"/>
      <c r="AC63" s="1"/>
      <c r="AD63" s="1"/>
      <c r="AE63" s="1"/>
      <c r="AF63" s="1"/>
      <c r="AG63" s="1"/>
      <c r="AH63" s="13">
        <f>VLOOKUP(A63,'2024-25 DIBELS BOY '!A63:AP433,42,FALSE)</f>
        <v>0.47</v>
      </c>
      <c r="AI63" s="1"/>
      <c r="AJ63" s="1"/>
      <c r="AK63" s="1"/>
      <c r="AL63" s="1"/>
      <c r="AM63" s="1"/>
    </row>
    <row r="64" spans="1:39" ht="12.3" x14ac:dyDescent="0.4">
      <c r="A64" s="1" t="s">
        <v>139</v>
      </c>
      <c r="B64" s="10">
        <f>VLOOKUP(A64,'[1]2025 KG Students'!$C$2:$D$630,2,FALSE)</f>
        <v>86433</v>
      </c>
      <c r="C64" s="1" t="s">
        <v>6</v>
      </c>
      <c r="D64" s="5" t="s">
        <v>7</v>
      </c>
      <c r="E64" s="5" t="s">
        <v>463</v>
      </c>
      <c r="F64" s="4" t="s">
        <v>465</v>
      </c>
      <c r="G64" s="4" t="s">
        <v>465</v>
      </c>
      <c r="I64" s="1" t="s">
        <v>16</v>
      </c>
      <c r="J64" s="1" t="s">
        <v>10</v>
      </c>
      <c r="K64" s="4" t="s">
        <v>464</v>
      </c>
      <c r="L64" s="1" t="s">
        <v>25</v>
      </c>
      <c r="M64" s="10">
        <f>VLOOKUP(L64,'[2]2025 Teachers (1)'!$C$2:$D$807,2,FALSE)</f>
        <v>17649</v>
      </c>
      <c r="O64" s="1"/>
      <c r="P64" s="3">
        <v>0.6216666666666667</v>
      </c>
      <c r="Q64" s="1"/>
      <c r="S64" s="2"/>
      <c r="T64" s="1"/>
      <c r="U64" s="1"/>
      <c r="V64" s="1"/>
      <c r="Y64" s="1"/>
      <c r="AA64" s="1"/>
      <c r="AB64" s="1"/>
      <c r="AC64" s="1"/>
      <c r="AD64" s="1"/>
      <c r="AE64" s="1"/>
      <c r="AF64" s="1"/>
      <c r="AG64" s="1"/>
      <c r="AH64" s="13">
        <f>VLOOKUP(A64,'2024-25 DIBELS BOY '!A64:AP434,42,FALSE)</f>
        <v>0.44333333333333336</v>
      </c>
      <c r="AI64" s="1"/>
      <c r="AJ64" s="1"/>
      <c r="AK64" s="1"/>
      <c r="AL64" s="1"/>
      <c r="AM64" s="1"/>
    </row>
    <row r="65" spans="1:39" ht="12.3" x14ac:dyDescent="0.4">
      <c r="A65" s="1" t="s">
        <v>140</v>
      </c>
      <c r="B65" s="10">
        <f>VLOOKUP(A65,'[1]2025 KG Students'!$C$2:$D$630,2,FALSE)</f>
        <v>85482</v>
      </c>
      <c r="C65" s="1" t="s">
        <v>6</v>
      </c>
      <c r="D65" s="5" t="s">
        <v>7</v>
      </c>
      <c r="E65" s="5" t="s">
        <v>463</v>
      </c>
      <c r="F65" s="4" t="s">
        <v>465</v>
      </c>
      <c r="G65" s="4" t="s">
        <v>465</v>
      </c>
      <c r="I65" s="1" t="s">
        <v>16</v>
      </c>
      <c r="J65" s="1" t="s">
        <v>10</v>
      </c>
      <c r="K65" s="4" t="s">
        <v>464</v>
      </c>
      <c r="L65" s="1" t="s">
        <v>23</v>
      </c>
      <c r="M65" s="10">
        <f>VLOOKUP(L65,'[2]2025 Teachers (1)'!$C$2:$D$807,2,FALSE)</f>
        <v>17879</v>
      </c>
      <c r="O65" s="1"/>
      <c r="P65" s="3">
        <v>0.62666666666666671</v>
      </c>
      <c r="Q65" s="1"/>
      <c r="S65" s="2"/>
      <c r="T65" s="1"/>
      <c r="U65" s="2"/>
      <c r="V65" s="1"/>
      <c r="Y65" s="1"/>
      <c r="AA65" s="1"/>
      <c r="AB65" s="1"/>
      <c r="AC65" s="1"/>
      <c r="AD65" s="1"/>
      <c r="AE65" s="1"/>
      <c r="AF65" s="1"/>
      <c r="AG65" s="1"/>
      <c r="AH65" s="13">
        <f>VLOOKUP(A65,'2024-25 DIBELS BOY '!A65:AP435,42,FALSE)</f>
        <v>0.56333333333333335</v>
      </c>
      <c r="AI65" s="1"/>
      <c r="AJ65" s="1"/>
      <c r="AK65" s="1"/>
      <c r="AL65" s="1"/>
      <c r="AM65" s="1"/>
    </row>
    <row r="66" spans="1:39" ht="12.3" x14ac:dyDescent="0.4">
      <c r="A66" s="1" t="s">
        <v>141</v>
      </c>
      <c r="B66" s="10">
        <f>VLOOKUP(A66,'[1]2025 KG Students'!$C$2:$D$630,2,FALSE)</f>
        <v>86431</v>
      </c>
      <c r="C66" s="1" t="s">
        <v>6</v>
      </c>
      <c r="D66" s="5" t="s">
        <v>7</v>
      </c>
      <c r="E66" s="5" t="s">
        <v>463</v>
      </c>
      <c r="F66" s="4" t="s">
        <v>465</v>
      </c>
      <c r="G66" s="4" t="s">
        <v>465</v>
      </c>
      <c r="I66" s="1" t="s">
        <v>16</v>
      </c>
      <c r="J66" s="1" t="s">
        <v>10</v>
      </c>
      <c r="K66" s="4" t="s">
        <v>464</v>
      </c>
      <c r="L66" s="1" t="s">
        <v>11</v>
      </c>
      <c r="M66" s="10">
        <f>VLOOKUP(L66,'[2]2025 Teachers (1)'!$C$2:$D$807,2,FALSE)</f>
        <v>18548</v>
      </c>
      <c r="O66" s="1"/>
      <c r="P66" s="3">
        <v>0.54166666666666663</v>
      </c>
      <c r="Q66" s="1"/>
      <c r="S66" s="2"/>
      <c r="T66" s="1"/>
      <c r="U66" s="1"/>
      <c r="V66" s="1"/>
      <c r="Y66" s="1"/>
      <c r="AA66" s="1"/>
      <c r="AB66" s="1"/>
      <c r="AC66" s="1"/>
      <c r="AD66" s="1"/>
      <c r="AE66" s="1"/>
      <c r="AF66" s="1"/>
      <c r="AG66" s="1"/>
      <c r="AH66" s="13">
        <f>VLOOKUP(A66,'2024-25 DIBELS BOY '!A66:AP436,42,FALSE)</f>
        <v>0.42</v>
      </c>
      <c r="AI66" s="1"/>
      <c r="AJ66" s="1"/>
      <c r="AK66" s="1"/>
      <c r="AL66" s="1"/>
      <c r="AM66" s="1"/>
    </row>
    <row r="67" spans="1:39" ht="12.3" x14ac:dyDescent="0.4">
      <c r="A67" s="1" t="s">
        <v>142</v>
      </c>
      <c r="B67" s="10">
        <f>VLOOKUP(A67,'[1]2025 KG Students'!$C$2:$D$630,2,FALSE)</f>
        <v>88038</v>
      </c>
      <c r="C67" s="1" t="s">
        <v>6</v>
      </c>
      <c r="D67" s="5" t="s">
        <v>7</v>
      </c>
      <c r="E67" s="5" t="s">
        <v>463</v>
      </c>
      <c r="F67" s="4" t="s">
        <v>465</v>
      </c>
      <c r="G67" s="4" t="s">
        <v>465</v>
      </c>
      <c r="I67" s="1" t="s">
        <v>16</v>
      </c>
      <c r="J67" s="1" t="s">
        <v>10</v>
      </c>
      <c r="K67" s="4" t="s">
        <v>464</v>
      </c>
      <c r="L67" s="1" t="s">
        <v>28</v>
      </c>
      <c r="M67" s="10">
        <f>VLOOKUP(L67,'[2]2025 Teachers (1)'!$C$2:$D$807,2,FALSE)</f>
        <v>15143</v>
      </c>
      <c r="O67" s="1"/>
      <c r="P67" s="3">
        <v>0.54833333333333334</v>
      </c>
      <c r="Q67" s="1"/>
      <c r="S67" s="1"/>
      <c r="T67" s="1"/>
      <c r="U67" s="1"/>
      <c r="V67" s="1"/>
      <c r="Y67" s="1"/>
      <c r="AA67" s="1"/>
      <c r="AB67" s="1"/>
      <c r="AC67" s="1"/>
      <c r="AD67" s="1"/>
      <c r="AE67" s="1"/>
      <c r="AF67" s="1"/>
      <c r="AG67" s="1"/>
      <c r="AH67" s="13">
        <f>VLOOKUP(A67,'2024-25 DIBELS BOY '!A67:AP437,42,FALSE)</f>
        <v>0.46500000000000002</v>
      </c>
      <c r="AI67" s="1"/>
      <c r="AJ67" s="1"/>
      <c r="AK67" s="1"/>
      <c r="AL67" s="1"/>
      <c r="AM67" s="1"/>
    </row>
    <row r="68" spans="1:39" ht="12.3" x14ac:dyDescent="0.4">
      <c r="A68" s="1" t="s">
        <v>143</v>
      </c>
      <c r="B68" s="10">
        <f>VLOOKUP(A68,'[1]2025 KG Students'!$C$2:$D$630,2,FALSE)</f>
        <v>85773</v>
      </c>
      <c r="C68" s="1" t="s">
        <v>6</v>
      </c>
      <c r="D68" s="5" t="s">
        <v>7</v>
      </c>
      <c r="E68" s="5" t="s">
        <v>463</v>
      </c>
      <c r="F68" s="4" t="s">
        <v>465</v>
      </c>
      <c r="G68" s="4" t="s">
        <v>465</v>
      </c>
      <c r="I68" s="1" t="s">
        <v>16</v>
      </c>
      <c r="J68" s="1" t="s">
        <v>10</v>
      </c>
      <c r="K68" s="4" t="s">
        <v>464</v>
      </c>
      <c r="L68" s="1" t="s">
        <v>25</v>
      </c>
      <c r="M68" s="10">
        <f>VLOOKUP(L68,'[2]2025 Teachers (1)'!$C$2:$D$807,2,FALSE)</f>
        <v>17649</v>
      </c>
      <c r="O68" s="1"/>
      <c r="P68" s="3">
        <v>0.53500000000000003</v>
      </c>
      <c r="Q68" s="1"/>
      <c r="S68" s="1"/>
      <c r="T68" s="1"/>
      <c r="U68" s="1"/>
      <c r="V68" s="1"/>
      <c r="Y68" s="1"/>
      <c r="AA68" s="1"/>
      <c r="AB68" s="1"/>
      <c r="AC68" s="1"/>
      <c r="AD68" s="1"/>
      <c r="AE68" s="1"/>
      <c r="AF68" s="1"/>
      <c r="AG68" s="1"/>
      <c r="AH68" s="13" t="e">
        <f>VLOOKUP(A68,'2024-25 DIBELS BOY '!A68:AP438,42,FALSE)</f>
        <v>#N/A</v>
      </c>
      <c r="AI68" s="1"/>
      <c r="AJ68" s="1"/>
      <c r="AK68" s="1"/>
      <c r="AL68" s="1"/>
      <c r="AM68" s="1"/>
    </row>
    <row r="69" spans="1:39" ht="12.3" x14ac:dyDescent="0.4">
      <c r="A69" s="1" t="s">
        <v>144</v>
      </c>
      <c r="B69" s="10">
        <f>VLOOKUP(A69,'[1]2025 KG Students'!$C$2:$D$630,2,FALSE)</f>
        <v>82724</v>
      </c>
      <c r="C69" s="1" t="s">
        <v>6</v>
      </c>
      <c r="D69" s="5" t="s">
        <v>7</v>
      </c>
      <c r="E69" s="5" t="s">
        <v>463</v>
      </c>
      <c r="F69" s="4" t="s">
        <v>465</v>
      </c>
      <c r="G69" s="4" t="s">
        <v>465</v>
      </c>
      <c r="I69" s="1" t="s">
        <v>16</v>
      </c>
      <c r="J69" s="1" t="s">
        <v>10</v>
      </c>
      <c r="K69" s="4" t="s">
        <v>464</v>
      </c>
      <c r="L69" s="1" t="s">
        <v>25</v>
      </c>
      <c r="M69" s="10">
        <f>VLOOKUP(L69,'[2]2025 Teachers (1)'!$C$2:$D$807,2,FALSE)</f>
        <v>17649</v>
      </c>
      <c r="O69" s="1"/>
      <c r="P69" s="3">
        <v>0.68666666666666665</v>
      </c>
      <c r="Q69" s="1"/>
      <c r="S69" s="2"/>
      <c r="T69" s="1"/>
      <c r="U69" s="2"/>
      <c r="V69" s="1"/>
      <c r="Y69" s="1"/>
      <c r="AA69" s="1"/>
      <c r="AB69" s="1"/>
      <c r="AC69" s="1"/>
      <c r="AD69" s="1"/>
      <c r="AE69" s="1"/>
      <c r="AF69" s="1"/>
      <c r="AG69" s="1"/>
      <c r="AH69" s="13" t="e">
        <f>VLOOKUP(A69,'2024-25 DIBELS BOY '!A69:AP439,42,FALSE)</f>
        <v>#N/A</v>
      </c>
      <c r="AI69" s="1"/>
      <c r="AJ69" s="1"/>
      <c r="AK69" s="1"/>
      <c r="AL69" s="1"/>
      <c r="AM69" s="1"/>
    </row>
    <row r="70" spans="1:39" ht="12.3" x14ac:dyDescent="0.4">
      <c r="A70" s="1" t="s">
        <v>145</v>
      </c>
      <c r="B70" s="10">
        <f>VLOOKUP(A70,'[1]2025 KG Students'!$C$2:$D$630,2,FALSE)</f>
        <v>85650</v>
      </c>
      <c r="C70" s="1" t="s">
        <v>6</v>
      </c>
      <c r="D70" s="5" t="s">
        <v>7</v>
      </c>
      <c r="E70" s="5" t="s">
        <v>463</v>
      </c>
      <c r="F70" s="4" t="s">
        <v>465</v>
      </c>
      <c r="G70" s="4" t="s">
        <v>465</v>
      </c>
      <c r="I70" s="1" t="s">
        <v>29</v>
      </c>
      <c r="J70" s="1" t="s">
        <v>9</v>
      </c>
      <c r="K70" s="4" t="s">
        <v>464</v>
      </c>
      <c r="L70" s="1" t="s">
        <v>26</v>
      </c>
      <c r="M70" s="10">
        <f>VLOOKUP(L70,'[2]2025 Teachers (1)'!$C$2:$D$807,2,FALSE)</f>
        <v>18941</v>
      </c>
      <c r="O70" s="1"/>
      <c r="P70" s="3">
        <v>0.56000000000000005</v>
      </c>
      <c r="Q70" s="1"/>
      <c r="S70" s="2"/>
      <c r="T70" s="1"/>
      <c r="U70" s="2"/>
      <c r="V70" s="1"/>
      <c r="Y70" s="1"/>
      <c r="AA70" s="1"/>
      <c r="AB70" s="1"/>
      <c r="AC70" s="1"/>
      <c r="AD70" s="1"/>
      <c r="AE70" s="1"/>
      <c r="AF70" s="1"/>
      <c r="AG70" s="1"/>
      <c r="AH70" s="13">
        <f>VLOOKUP(A70,'2024-25 DIBELS BOY '!A70:AP440,42,FALSE)</f>
        <v>0.44833333333333331</v>
      </c>
      <c r="AI70" s="1"/>
      <c r="AJ70" s="1"/>
      <c r="AK70" s="1"/>
      <c r="AL70" s="1"/>
      <c r="AM70" s="1"/>
    </row>
    <row r="71" spans="1:39" ht="12.3" x14ac:dyDescent="0.4">
      <c r="A71" s="1" t="s">
        <v>146</v>
      </c>
      <c r="B71" s="10">
        <f>VLOOKUP(A71,'[1]2025 KG Students'!$C$2:$D$630,2,FALSE)</f>
        <v>88012</v>
      </c>
      <c r="C71" s="1" t="s">
        <v>6</v>
      </c>
      <c r="D71" s="5" t="s">
        <v>7</v>
      </c>
      <c r="E71" s="5" t="s">
        <v>463</v>
      </c>
      <c r="F71" s="4" t="s">
        <v>465</v>
      </c>
      <c r="G71" s="4" t="s">
        <v>465</v>
      </c>
      <c r="I71" s="1" t="s">
        <v>16</v>
      </c>
      <c r="J71" s="1" t="s">
        <v>10</v>
      </c>
      <c r="K71" s="4" t="s">
        <v>464</v>
      </c>
      <c r="L71" s="1" t="s">
        <v>19</v>
      </c>
      <c r="M71" s="10">
        <f>VLOOKUP(L71,'[2]2025 Teachers (1)'!$C$2:$D$807,2,FALSE)</f>
        <v>18050</v>
      </c>
      <c r="O71" s="1"/>
      <c r="P71" s="3">
        <v>0.53666666666666663</v>
      </c>
      <c r="Q71" s="1"/>
      <c r="S71" s="1"/>
      <c r="T71" s="1"/>
      <c r="U71" s="1"/>
      <c r="V71" s="1"/>
      <c r="Y71" s="1"/>
      <c r="AA71" s="1"/>
      <c r="AB71" s="1"/>
      <c r="AC71" s="1"/>
      <c r="AD71" s="1"/>
      <c r="AE71" s="1"/>
      <c r="AF71" s="1"/>
      <c r="AG71" s="1"/>
      <c r="AH71" s="13">
        <f>VLOOKUP(A71,'2024-25 DIBELS BOY '!A71:AP441,42,FALSE)</f>
        <v>0.40833333333333333</v>
      </c>
      <c r="AI71" s="1"/>
      <c r="AJ71" s="1"/>
      <c r="AK71" s="1"/>
      <c r="AL71" s="1"/>
      <c r="AM71" s="1"/>
    </row>
    <row r="72" spans="1:39" ht="12.3" x14ac:dyDescent="0.4">
      <c r="A72" s="1" t="s">
        <v>147</v>
      </c>
      <c r="B72" s="10">
        <f>VLOOKUP(A72,'[1]2025 KG Students'!$C$2:$D$630,2,FALSE)</f>
        <v>85179</v>
      </c>
      <c r="C72" s="1" t="s">
        <v>6</v>
      </c>
      <c r="D72" s="5" t="s">
        <v>7</v>
      </c>
      <c r="E72" s="5" t="s">
        <v>463</v>
      </c>
      <c r="F72" s="4" t="s">
        <v>465</v>
      </c>
      <c r="G72" s="4" t="s">
        <v>465</v>
      </c>
      <c r="I72" s="1" t="s">
        <v>16</v>
      </c>
      <c r="J72" s="1" t="s">
        <v>10</v>
      </c>
      <c r="K72" s="4" t="s">
        <v>464</v>
      </c>
      <c r="L72" s="1" t="s">
        <v>26</v>
      </c>
      <c r="M72" s="10">
        <f>VLOOKUP(L72,'[2]2025 Teachers (1)'!$C$2:$D$807,2,FALSE)</f>
        <v>18941</v>
      </c>
      <c r="O72" s="1"/>
      <c r="P72" s="3">
        <v>0.59333333333333338</v>
      </c>
      <c r="Q72" s="1"/>
      <c r="S72" s="2"/>
      <c r="T72" s="1"/>
      <c r="U72" s="1"/>
      <c r="V72" s="1"/>
      <c r="Y72" s="1"/>
      <c r="AA72" s="1"/>
      <c r="AB72" s="1"/>
      <c r="AC72" s="1"/>
      <c r="AD72" s="1"/>
      <c r="AE72" s="1"/>
      <c r="AF72" s="1"/>
      <c r="AG72" s="1"/>
      <c r="AH72" s="13">
        <f>VLOOKUP(A72,'2024-25 DIBELS BOY '!A72:AP442,42,FALSE)</f>
        <v>0.51</v>
      </c>
      <c r="AI72" s="1"/>
      <c r="AJ72" s="1"/>
      <c r="AK72" s="1"/>
      <c r="AL72" s="1"/>
      <c r="AM72" s="1"/>
    </row>
    <row r="73" spans="1:39" ht="12.3" x14ac:dyDescent="0.4">
      <c r="A73" s="1" t="s">
        <v>148</v>
      </c>
      <c r="B73" s="10">
        <f>VLOOKUP(A73,'[1]2025 KG Students'!$C$2:$D$630,2,FALSE)</f>
        <v>88297</v>
      </c>
      <c r="C73" s="1" t="s">
        <v>6</v>
      </c>
      <c r="D73" s="5" t="s">
        <v>7</v>
      </c>
      <c r="E73" s="5" t="s">
        <v>463</v>
      </c>
      <c r="F73" s="4" t="s">
        <v>465</v>
      </c>
      <c r="G73" s="4" t="s">
        <v>465</v>
      </c>
      <c r="I73" s="1" t="s">
        <v>16</v>
      </c>
      <c r="J73" s="1" t="s">
        <v>10</v>
      </c>
      <c r="K73" s="4" t="s">
        <v>464</v>
      </c>
      <c r="L73" s="1" t="s">
        <v>11</v>
      </c>
      <c r="M73" s="10">
        <f>VLOOKUP(L73,'[2]2025 Teachers (1)'!$C$2:$D$807,2,FALSE)</f>
        <v>18548</v>
      </c>
      <c r="O73" s="1"/>
      <c r="P73" s="3">
        <v>0.58666666666666667</v>
      </c>
      <c r="Q73" s="1"/>
      <c r="S73" s="1"/>
      <c r="T73" s="1"/>
      <c r="U73" s="1"/>
      <c r="V73" s="1"/>
      <c r="Y73" s="1"/>
      <c r="AA73" s="1"/>
      <c r="AB73" s="1"/>
      <c r="AC73" s="1"/>
      <c r="AD73" s="1"/>
      <c r="AE73" s="1"/>
      <c r="AF73" s="1"/>
      <c r="AG73" s="1"/>
      <c r="AH73" s="13">
        <f>VLOOKUP(A73,'2024-25 DIBELS BOY '!A73:AP443,42,FALSE)</f>
        <v>0.43333333333333335</v>
      </c>
      <c r="AI73" s="1"/>
      <c r="AJ73" s="1"/>
      <c r="AK73" s="1"/>
      <c r="AL73" s="1"/>
      <c r="AM73" s="1"/>
    </row>
    <row r="74" spans="1:39" ht="12.3" x14ac:dyDescent="0.4">
      <c r="A74" s="1" t="s">
        <v>149</v>
      </c>
      <c r="B74" s="10" t="e">
        <f>VLOOKUP(A74,'[1]2025 KG Students'!$C$2:$D$630,2,FALSE)</f>
        <v>#N/A</v>
      </c>
      <c r="C74" s="1" t="s">
        <v>6</v>
      </c>
      <c r="D74" s="5" t="s">
        <v>7</v>
      </c>
      <c r="E74" s="5" t="s">
        <v>463</v>
      </c>
      <c r="F74" s="4" t="s">
        <v>465</v>
      </c>
      <c r="G74" s="4" t="s">
        <v>465</v>
      </c>
      <c r="I74" s="1" t="s">
        <v>16</v>
      </c>
      <c r="J74" s="1" t="s">
        <v>10</v>
      </c>
      <c r="K74" s="4" t="s">
        <v>464</v>
      </c>
      <c r="L74" s="1" t="s">
        <v>19</v>
      </c>
      <c r="M74" s="10">
        <f>VLOOKUP(L74,'[2]2025 Teachers (1)'!$C$2:$D$807,2,FALSE)</f>
        <v>18050</v>
      </c>
      <c r="O74" s="1"/>
      <c r="P74" s="3">
        <v>0.53500000000000003</v>
      </c>
      <c r="Q74" s="1"/>
      <c r="S74" s="1"/>
      <c r="T74" s="1"/>
      <c r="U74" s="1"/>
      <c r="V74" s="1"/>
      <c r="Y74" s="1"/>
      <c r="AA74" s="1"/>
      <c r="AB74" s="1"/>
      <c r="AC74" s="1"/>
      <c r="AD74" s="1"/>
      <c r="AE74" s="1"/>
      <c r="AF74" s="1"/>
      <c r="AG74" s="1"/>
      <c r="AH74" s="13" t="e">
        <f>VLOOKUP(A74,'2024-25 DIBELS BOY '!A74:AP444,42,FALSE)</f>
        <v>#N/A</v>
      </c>
      <c r="AI74" s="1"/>
      <c r="AJ74" s="1"/>
      <c r="AK74" s="1"/>
      <c r="AL74" s="1"/>
      <c r="AM74" s="1"/>
    </row>
    <row r="75" spans="1:39" ht="12.3" x14ac:dyDescent="0.4">
      <c r="A75" s="1" t="s">
        <v>150</v>
      </c>
      <c r="B75" s="10">
        <f>VLOOKUP(A75,'[1]2025 KG Students'!$C$2:$D$630,2,FALSE)</f>
        <v>85316</v>
      </c>
      <c r="C75" s="1" t="s">
        <v>6</v>
      </c>
      <c r="D75" s="5" t="s">
        <v>7</v>
      </c>
      <c r="E75" s="5" t="s">
        <v>463</v>
      </c>
      <c r="F75" s="4" t="s">
        <v>465</v>
      </c>
      <c r="G75" s="4" t="s">
        <v>465</v>
      </c>
      <c r="I75" s="1" t="s">
        <v>8</v>
      </c>
      <c r="J75" s="1" t="s">
        <v>9</v>
      </c>
      <c r="K75" s="4" t="s">
        <v>464</v>
      </c>
      <c r="L75" s="1" t="s">
        <v>11</v>
      </c>
      <c r="M75" s="10">
        <f>VLOOKUP(L75,'[2]2025 Teachers (1)'!$C$2:$D$807,2,FALSE)</f>
        <v>18548</v>
      </c>
      <c r="O75" s="1"/>
      <c r="P75" s="3">
        <v>0.68</v>
      </c>
      <c r="Q75" s="1"/>
      <c r="S75" s="2"/>
      <c r="T75" s="1"/>
      <c r="U75" s="1"/>
      <c r="V75" s="1"/>
      <c r="Y75" s="1"/>
      <c r="AA75" s="1"/>
      <c r="AB75" s="1"/>
      <c r="AC75" s="1"/>
      <c r="AD75" s="1"/>
      <c r="AE75" s="1"/>
      <c r="AF75" s="1"/>
      <c r="AG75" s="1"/>
      <c r="AH75" s="13" t="e">
        <f>VLOOKUP(A75,'2024-25 DIBELS BOY '!A75:AP445,42,FALSE)</f>
        <v>#N/A</v>
      </c>
      <c r="AI75" s="1"/>
      <c r="AJ75" s="1"/>
      <c r="AK75" s="1"/>
      <c r="AL75" s="1"/>
      <c r="AM75" s="1"/>
    </row>
    <row r="76" spans="1:39" ht="12.3" x14ac:dyDescent="0.4">
      <c r="A76" s="1" t="s">
        <v>151</v>
      </c>
      <c r="B76" s="10">
        <f>VLOOKUP(A76,'[1]2025 KG Students'!$C$2:$D$630,2,FALSE)</f>
        <v>85469</v>
      </c>
      <c r="C76" s="1" t="s">
        <v>6</v>
      </c>
      <c r="D76" s="5" t="s">
        <v>7</v>
      </c>
      <c r="E76" s="5" t="s">
        <v>463</v>
      </c>
      <c r="F76" s="4" t="s">
        <v>465</v>
      </c>
      <c r="G76" s="4" t="s">
        <v>465</v>
      </c>
      <c r="I76" s="1" t="s">
        <v>8</v>
      </c>
      <c r="J76" s="1" t="s">
        <v>9</v>
      </c>
      <c r="K76" s="4" t="s">
        <v>464</v>
      </c>
      <c r="L76" s="1" t="s">
        <v>22</v>
      </c>
      <c r="M76" s="10">
        <f>VLOOKUP(L76,'[2]2025 Teachers (1)'!$C$2:$D$807,2,FALSE)</f>
        <v>18825</v>
      </c>
      <c r="O76" s="1"/>
      <c r="P76" s="3">
        <v>0.58333333333333337</v>
      </c>
      <c r="Q76" s="1"/>
      <c r="S76" s="2"/>
      <c r="T76" s="1"/>
      <c r="U76" s="1"/>
      <c r="V76" s="1"/>
      <c r="Y76" s="1"/>
      <c r="AA76" s="1"/>
      <c r="AB76" s="1"/>
      <c r="AC76" s="1"/>
      <c r="AD76" s="1"/>
      <c r="AE76" s="1"/>
      <c r="AF76" s="1"/>
      <c r="AG76" s="1"/>
      <c r="AH76" s="13">
        <f>VLOOKUP(A76,'2024-25 DIBELS BOY '!A76:AP446,42,FALSE)</f>
        <v>0.49833333333333335</v>
      </c>
      <c r="AI76" s="1"/>
      <c r="AJ76" s="1"/>
      <c r="AK76" s="1"/>
      <c r="AL76" s="1"/>
      <c r="AM76" s="1"/>
    </row>
    <row r="77" spans="1:39" ht="12.3" x14ac:dyDescent="0.4">
      <c r="A77" s="1" t="s">
        <v>152</v>
      </c>
      <c r="B77" s="10">
        <f>VLOOKUP(A77,'[1]2025 KG Students'!$C$2:$D$630,2,FALSE)</f>
        <v>86355</v>
      </c>
      <c r="C77" s="1" t="s">
        <v>6</v>
      </c>
      <c r="D77" s="5" t="s">
        <v>7</v>
      </c>
      <c r="E77" s="5" t="s">
        <v>463</v>
      </c>
      <c r="F77" s="4" t="s">
        <v>465</v>
      </c>
      <c r="G77" s="4" t="s">
        <v>465</v>
      </c>
      <c r="I77" s="1" t="s">
        <v>16</v>
      </c>
      <c r="J77" s="1" t="s">
        <v>9</v>
      </c>
      <c r="K77" s="4" t="s">
        <v>464</v>
      </c>
      <c r="L77" s="1" t="s">
        <v>24</v>
      </c>
      <c r="M77" s="10">
        <f>VLOOKUP(L77,'[2]2025 Teachers (1)'!$C$2:$D$807,2,FALSE)</f>
        <v>14530</v>
      </c>
      <c r="O77" s="1"/>
      <c r="P77" s="3">
        <v>0.60499999999999998</v>
      </c>
      <c r="Q77" s="1"/>
      <c r="S77" s="2"/>
      <c r="T77" s="1"/>
      <c r="U77" s="1"/>
      <c r="V77" s="1"/>
      <c r="Y77" s="1"/>
      <c r="AA77" s="1"/>
      <c r="AB77" s="1"/>
      <c r="AC77" s="1"/>
      <c r="AD77" s="1"/>
      <c r="AE77" s="1"/>
      <c r="AF77" s="1"/>
      <c r="AG77" s="1"/>
      <c r="AH77" s="13" t="e">
        <f>VLOOKUP(A77,'2024-25 DIBELS BOY '!A77:AP447,42,FALSE)</f>
        <v>#N/A</v>
      </c>
      <c r="AI77" s="1"/>
      <c r="AJ77" s="1"/>
      <c r="AK77" s="1"/>
      <c r="AL77" s="1"/>
      <c r="AM77" s="1"/>
    </row>
    <row r="78" spans="1:39" ht="12.3" x14ac:dyDescent="0.4">
      <c r="A78" s="1" t="s">
        <v>153</v>
      </c>
      <c r="B78" s="10">
        <f>VLOOKUP(A78,'[1]2025 KG Students'!$C$2:$D$630,2,FALSE)</f>
        <v>85497</v>
      </c>
      <c r="C78" s="1" t="s">
        <v>6</v>
      </c>
      <c r="D78" s="5" t="s">
        <v>7</v>
      </c>
      <c r="E78" s="5" t="s">
        <v>463</v>
      </c>
      <c r="F78" s="4" t="s">
        <v>465</v>
      </c>
      <c r="G78" s="4" t="s">
        <v>465</v>
      </c>
      <c r="I78" s="1" t="s">
        <v>8</v>
      </c>
      <c r="J78" s="1" t="s">
        <v>9</v>
      </c>
      <c r="K78" s="4" t="s">
        <v>464</v>
      </c>
      <c r="L78" s="1" t="s">
        <v>21</v>
      </c>
      <c r="M78" s="10">
        <f>VLOOKUP(L78,'[2]2025 Teachers (1)'!$C$2:$D$807,2,FALSE)</f>
        <v>15019</v>
      </c>
      <c r="O78" s="1"/>
      <c r="P78" s="3">
        <v>0.77500000000000002</v>
      </c>
      <c r="Q78" s="1"/>
      <c r="S78" s="2"/>
      <c r="T78" s="1"/>
      <c r="U78" s="1"/>
      <c r="V78" s="1"/>
      <c r="Y78" s="1"/>
      <c r="AA78" s="1"/>
      <c r="AB78" s="1"/>
      <c r="AC78" s="1"/>
      <c r="AD78" s="1"/>
      <c r="AE78" s="1"/>
      <c r="AF78" s="1"/>
      <c r="AG78" s="1"/>
      <c r="AH78" s="13" t="e">
        <f>VLOOKUP(A78,'2024-25 DIBELS BOY '!A78:AP448,42,FALSE)</f>
        <v>#N/A</v>
      </c>
      <c r="AI78" s="1"/>
      <c r="AJ78" s="1"/>
      <c r="AK78" s="1"/>
      <c r="AL78" s="1"/>
      <c r="AM78" s="1"/>
    </row>
    <row r="79" spans="1:39" ht="12.3" x14ac:dyDescent="0.4">
      <c r="A79" s="1" t="s">
        <v>154</v>
      </c>
      <c r="B79" s="10">
        <f>VLOOKUP(A79,'[1]2025 KG Students'!$C$2:$D$630,2,FALSE)</f>
        <v>85652</v>
      </c>
      <c r="C79" s="1" t="s">
        <v>6</v>
      </c>
      <c r="D79" s="5" t="s">
        <v>7</v>
      </c>
      <c r="E79" s="5" t="s">
        <v>463</v>
      </c>
      <c r="F79" s="4" t="s">
        <v>465</v>
      </c>
      <c r="G79" s="4" t="s">
        <v>465</v>
      </c>
      <c r="I79" s="1" t="s">
        <v>16</v>
      </c>
      <c r="J79" s="1" t="s">
        <v>10</v>
      </c>
      <c r="K79" s="4" t="s">
        <v>464</v>
      </c>
      <c r="L79" s="1" t="s">
        <v>17</v>
      </c>
      <c r="M79" s="10">
        <f>VLOOKUP(L79,'[2]2025 Teachers (1)'!$C$2:$D$807,2,FALSE)</f>
        <v>13866</v>
      </c>
      <c r="O79" s="1"/>
      <c r="P79" s="3">
        <v>0.68333333333333335</v>
      </c>
      <c r="Q79" s="1"/>
      <c r="S79" s="2"/>
      <c r="T79" s="1"/>
      <c r="U79" s="2"/>
      <c r="V79" s="1"/>
      <c r="Y79" s="1"/>
      <c r="AA79" s="1"/>
      <c r="AB79" s="1"/>
      <c r="AC79" s="1"/>
      <c r="AD79" s="1"/>
      <c r="AE79" s="1"/>
      <c r="AF79" s="1"/>
      <c r="AG79" s="1"/>
      <c r="AH79" s="13" t="e">
        <f>VLOOKUP(A79,'2024-25 DIBELS BOY '!A79:AP449,42,FALSE)</f>
        <v>#N/A</v>
      </c>
      <c r="AI79" s="1"/>
      <c r="AJ79" s="1"/>
      <c r="AK79" s="1"/>
      <c r="AL79" s="1"/>
      <c r="AM79" s="1"/>
    </row>
    <row r="80" spans="1:39" ht="12.3" x14ac:dyDescent="0.4">
      <c r="A80" s="1" t="s">
        <v>155</v>
      </c>
      <c r="B80" s="10">
        <f>VLOOKUP(A80,'[1]2025 KG Students'!$C$2:$D$630,2,FALSE)</f>
        <v>88486</v>
      </c>
      <c r="C80" s="1" t="s">
        <v>6</v>
      </c>
      <c r="D80" s="5" t="s">
        <v>7</v>
      </c>
      <c r="E80" s="5" t="s">
        <v>463</v>
      </c>
      <c r="F80" s="4" t="s">
        <v>465</v>
      </c>
      <c r="G80" s="4" t="s">
        <v>465</v>
      </c>
      <c r="I80" s="1" t="s">
        <v>16</v>
      </c>
      <c r="J80" s="1" t="s">
        <v>10</v>
      </c>
      <c r="K80" s="4" t="s">
        <v>464</v>
      </c>
      <c r="L80" s="1" t="s">
        <v>28</v>
      </c>
      <c r="M80" s="10">
        <f>VLOOKUP(L80,'[2]2025 Teachers (1)'!$C$2:$D$807,2,FALSE)</f>
        <v>15143</v>
      </c>
      <c r="O80" s="1"/>
      <c r="P80" s="3">
        <v>0.61499999999999999</v>
      </c>
      <c r="Q80" s="1"/>
      <c r="S80" s="1"/>
      <c r="T80" s="1"/>
      <c r="U80" s="2"/>
      <c r="V80" s="1"/>
      <c r="Y80" s="1"/>
      <c r="AA80" s="1"/>
      <c r="AB80" s="1"/>
      <c r="AC80" s="1"/>
      <c r="AD80" s="1"/>
      <c r="AE80" s="1"/>
      <c r="AF80" s="1"/>
      <c r="AG80" s="1"/>
      <c r="AH80" s="13" t="e">
        <f>VLOOKUP(A80,'2024-25 DIBELS BOY '!A80:AP450,42,FALSE)</f>
        <v>#N/A</v>
      </c>
      <c r="AI80" s="1"/>
      <c r="AJ80" s="1"/>
      <c r="AK80" s="1"/>
      <c r="AL80" s="1"/>
      <c r="AM80" s="1"/>
    </row>
    <row r="81" spans="1:39" ht="12.3" x14ac:dyDescent="0.4">
      <c r="A81" s="1" t="s">
        <v>156</v>
      </c>
      <c r="B81" s="10">
        <f>VLOOKUP(A81,'[1]2025 KG Students'!$C$2:$D$630,2,FALSE)</f>
        <v>85533</v>
      </c>
      <c r="C81" s="1" t="s">
        <v>6</v>
      </c>
      <c r="D81" s="5" t="s">
        <v>7</v>
      </c>
      <c r="E81" s="5" t="s">
        <v>463</v>
      </c>
      <c r="F81" s="4" t="s">
        <v>465</v>
      </c>
      <c r="G81" s="4" t="s">
        <v>465</v>
      </c>
      <c r="I81" s="1" t="s">
        <v>16</v>
      </c>
      <c r="J81" s="1" t="s">
        <v>10</v>
      </c>
      <c r="K81" s="4" t="s">
        <v>464</v>
      </c>
      <c r="L81" s="1" t="s">
        <v>23</v>
      </c>
      <c r="M81" s="10">
        <f>VLOOKUP(L81,'[2]2025 Teachers (1)'!$C$2:$D$807,2,FALSE)</f>
        <v>17879</v>
      </c>
      <c r="O81" s="1"/>
      <c r="P81" s="3">
        <v>0.58499999999999996</v>
      </c>
      <c r="Q81" s="1"/>
      <c r="S81" s="2"/>
      <c r="T81" s="1"/>
      <c r="U81" s="1"/>
      <c r="V81" s="1"/>
      <c r="Y81" s="1"/>
      <c r="AA81" s="1"/>
      <c r="AB81" s="1"/>
      <c r="AC81" s="1"/>
      <c r="AD81" s="1"/>
      <c r="AE81" s="1"/>
      <c r="AF81" s="1"/>
      <c r="AG81" s="1"/>
      <c r="AH81" s="13" t="e">
        <f>VLOOKUP(A81,'2024-25 DIBELS BOY '!A81:AP451,42,FALSE)</f>
        <v>#N/A</v>
      </c>
      <c r="AI81" s="1"/>
      <c r="AJ81" s="1"/>
      <c r="AK81" s="1"/>
      <c r="AL81" s="1"/>
      <c r="AM81" s="1"/>
    </row>
    <row r="82" spans="1:39" ht="12.3" x14ac:dyDescent="0.4">
      <c r="A82" s="1" t="s">
        <v>157</v>
      </c>
      <c r="B82" s="10">
        <f>VLOOKUP(A82,'[1]2025 KG Students'!$C$2:$D$630,2,FALSE)</f>
        <v>87296</v>
      </c>
      <c r="C82" s="1" t="s">
        <v>6</v>
      </c>
      <c r="D82" s="5" t="s">
        <v>7</v>
      </c>
      <c r="E82" s="5" t="s">
        <v>463</v>
      </c>
      <c r="F82" s="4" t="s">
        <v>465</v>
      </c>
      <c r="G82" s="4" t="s">
        <v>465</v>
      </c>
      <c r="I82" s="1" t="s">
        <v>8</v>
      </c>
      <c r="J82" s="1" t="s">
        <v>9</v>
      </c>
      <c r="K82" s="4" t="s">
        <v>464</v>
      </c>
      <c r="L82" s="1" t="s">
        <v>23</v>
      </c>
      <c r="M82" s="10">
        <f>VLOOKUP(L82,'[2]2025 Teachers (1)'!$C$2:$D$807,2,FALSE)</f>
        <v>17879</v>
      </c>
      <c r="O82" s="1"/>
      <c r="P82" s="3">
        <v>0.59666666666666668</v>
      </c>
      <c r="Q82" s="1"/>
      <c r="S82" s="2"/>
      <c r="T82" s="1"/>
      <c r="U82" s="1"/>
      <c r="V82" s="1"/>
      <c r="Y82" s="1"/>
      <c r="AA82" s="1"/>
      <c r="AB82" s="1"/>
      <c r="AC82" s="1"/>
      <c r="AD82" s="1"/>
      <c r="AE82" s="1"/>
      <c r="AF82" s="1"/>
      <c r="AG82" s="1"/>
      <c r="AH82" s="13" t="e">
        <f>VLOOKUP(A82,'2024-25 DIBELS BOY '!A82:AP452,42,FALSE)</f>
        <v>#N/A</v>
      </c>
      <c r="AI82" s="1"/>
      <c r="AJ82" s="1"/>
      <c r="AK82" s="1"/>
      <c r="AL82" s="1"/>
      <c r="AM82" s="1"/>
    </row>
    <row r="83" spans="1:39" ht="12.3" x14ac:dyDescent="0.4">
      <c r="A83" s="1" t="s">
        <v>160</v>
      </c>
      <c r="B83" s="10">
        <f>VLOOKUP(A83,'[1]2025 KG Students'!$C$2:$D$630,2,FALSE)</f>
        <v>86316</v>
      </c>
      <c r="C83" s="1" t="s">
        <v>6</v>
      </c>
      <c r="D83" s="5" t="s">
        <v>7</v>
      </c>
      <c r="E83" s="5" t="s">
        <v>463</v>
      </c>
      <c r="F83" s="4" t="s">
        <v>465</v>
      </c>
      <c r="G83" s="4" t="s">
        <v>465</v>
      </c>
      <c r="I83" s="1" t="s">
        <v>8</v>
      </c>
      <c r="J83" s="1" t="s">
        <v>9</v>
      </c>
      <c r="K83" s="4" t="s">
        <v>464</v>
      </c>
      <c r="L83" s="1" t="s">
        <v>23</v>
      </c>
      <c r="M83" s="10">
        <f>VLOOKUP(L83,'[2]2025 Teachers (1)'!$C$2:$D$807,2,FALSE)</f>
        <v>17879</v>
      </c>
      <c r="O83" s="1"/>
      <c r="P83" s="3">
        <v>0.69666666666666666</v>
      </c>
      <c r="Q83" s="1"/>
      <c r="S83" s="2"/>
      <c r="T83" s="1"/>
      <c r="U83" s="1"/>
      <c r="V83" s="1"/>
      <c r="Y83" s="1"/>
      <c r="AA83" s="1"/>
      <c r="AB83" s="1"/>
      <c r="AC83" s="1"/>
      <c r="AD83" s="1"/>
      <c r="AE83" s="1"/>
      <c r="AF83" s="1"/>
      <c r="AG83" s="1"/>
      <c r="AH83" s="13">
        <f>VLOOKUP(A83,'2024-25 DIBELS BOY '!A83:AP453,42,FALSE)</f>
        <v>0.64500000000000002</v>
      </c>
      <c r="AI83" s="1"/>
      <c r="AJ83" s="1"/>
      <c r="AK83" s="1"/>
      <c r="AL83" s="1"/>
      <c r="AM83" s="1"/>
    </row>
    <row r="84" spans="1:39" ht="12.3" x14ac:dyDescent="0.4">
      <c r="A84" s="1" t="s">
        <v>161</v>
      </c>
      <c r="B84" s="10">
        <f>VLOOKUP(A84,'[1]2025 KG Students'!$C$2:$D$630,2,FALSE)</f>
        <v>86434</v>
      </c>
      <c r="C84" s="1" t="s">
        <v>6</v>
      </c>
      <c r="D84" s="5" t="s">
        <v>7</v>
      </c>
      <c r="E84" s="5" t="s">
        <v>463</v>
      </c>
      <c r="F84" s="4" t="s">
        <v>465</v>
      </c>
      <c r="G84" s="4" t="s">
        <v>465</v>
      </c>
      <c r="I84" s="1" t="s">
        <v>8</v>
      </c>
      <c r="J84" s="1" t="s">
        <v>9</v>
      </c>
      <c r="K84" s="4" t="s">
        <v>464</v>
      </c>
      <c r="L84" s="1" t="s">
        <v>22</v>
      </c>
      <c r="M84" s="10">
        <f>VLOOKUP(L84,'[2]2025 Teachers (1)'!$C$2:$D$807,2,FALSE)</f>
        <v>18825</v>
      </c>
      <c r="O84" s="1"/>
      <c r="P84" s="3">
        <v>0.65500000000000003</v>
      </c>
      <c r="Q84" s="1"/>
      <c r="S84" s="2"/>
      <c r="T84" s="1"/>
      <c r="U84" s="1"/>
      <c r="V84" s="1"/>
      <c r="Y84" s="1"/>
      <c r="AA84" s="1"/>
      <c r="AB84" s="1"/>
      <c r="AC84" s="1"/>
      <c r="AD84" s="1"/>
      <c r="AE84" s="1"/>
      <c r="AF84" s="1"/>
      <c r="AG84" s="1"/>
      <c r="AH84" s="13">
        <f>VLOOKUP(A84,'2024-25 DIBELS BOY '!A84:AP454,42,FALSE)</f>
        <v>0.56499999999999995</v>
      </c>
      <c r="AI84" s="1"/>
      <c r="AJ84" s="1"/>
      <c r="AK84" s="1"/>
      <c r="AL84" s="1"/>
      <c r="AM84" s="1"/>
    </row>
    <row r="85" spans="1:39" ht="12.3" x14ac:dyDescent="0.4">
      <c r="A85" s="1" t="s">
        <v>162</v>
      </c>
      <c r="B85" s="10">
        <f>VLOOKUP(A85,'[1]2025 KG Students'!$C$2:$D$630,2,FALSE)</f>
        <v>85414</v>
      </c>
      <c r="C85" s="1" t="s">
        <v>6</v>
      </c>
      <c r="D85" s="5" t="s">
        <v>7</v>
      </c>
      <c r="E85" s="5" t="s">
        <v>463</v>
      </c>
      <c r="F85" s="4" t="s">
        <v>465</v>
      </c>
      <c r="G85" s="4" t="s">
        <v>465</v>
      </c>
      <c r="I85" s="1" t="s">
        <v>8</v>
      </c>
      <c r="J85" s="1" t="s">
        <v>9</v>
      </c>
      <c r="K85" s="4" t="s">
        <v>464</v>
      </c>
      <c r="L85" s="1" t="s">
        <v>21</v>
      </c>
      <c r="M85" s="10">
        <f>VLOOKUP(L85,'[2]2025 Teachers (1)'!$C$2:$D$807,2,FALSE)</f>
        <v>15019</v>
      </c>
      <c r="O85" s="1"/>
      <c r="P85" s="3">
        <v>0.64666666666666661</v>
      </c>
      <c r="Q85" s="1"/>
      <c r="S85" s="2"/>
      <c r="T85" s="1"/>
      <c r="U85" s="1"/>
      <c r="V85" s="1"/>
      <c r="Y85" s="1"/>
      <c r="AA85" s="1"/>
      <c r="AB85" s="1"/>
      <c r="AC85" s="1"/>
      <c r="AD85" s="1"/>
      <c r="AE85" s="1"/>
      <c r="AF85" s="1"/>
      <c r="AG85" s="1"/>
      <c r="AH85" s="13">
        <f>VLOOKUP(A85,'2024-25 DIBELS BOY '!A85:AP455,42,FALSE)</f>
        <v>0.52166666666666661</v>
      </c>
      <c r="AI85" s="1"/>
      <c r="AJ85" s="1"/>
      <c r="AK85" s="1"/>
      <c r="AL85" s="1"/>
      <c r="AM85" s="1"/>
    </row>
    <row r="86" spans="1:39" ht="12.3" x14ac:dyDescent="0.4">
      <c r="A86" s="1" t="s">
        <v>163</v>
      </c>
      <c r="B86" s="10">
        <f>VLOOKUP(A86,'[1]2025 KG Students'!$C$2:$D$630,2,FALSE)</f>
        <v>85412</v>
      </c>
      <c r="C86" s="1" t="s">
        <v>6</v>
      </c>
      <c r="D86" s="5" t="s">
        <v>7</v>
      </c>
      <c r="E86" s="5" t="s">
        <v>463</v>
      </c>
      <c r="F86" s="4" t="s">
        <v>465</v>
      </c>
      <c r="G86" s="4" t="s">
        <v>465</v>
      </c>
      <c r="I86" s="1" t="s">
        <v>8</v>
      </c>
      <c r="J86" s="1" t="s">
        <v>9</v>
      </c>
      <c r="K86" s="4" t="s">
        <v>464</v>
      </c>
      <c r="L86" s="1" t="s">
        <v>17</v>
      </c>
      <c r="M86" s="10">
        <f>VLOOKUP(L86,'[2]2025 Teachers (1)'!$C$2:$D$807,2,FALSE)</f>
        <v>13866</v>
      </c>
      <c r="O86" s="1"/>
      <c r="P86" s="3">
        <v>0.58833333333333337</v>
      </c>
      <c r="Q86" s="1"/>
      <c r="S86" s="2"/>
      <c r="T86" s="1"/>
      <c r="U86" s="1"/>
      <c r="V86" s="1"/>
      <c r="Y86" s="1"/>
      <c r="AA86" s="1"/>
      <c r="AB86" s="1"/>
      <c r="AC86" s="1"/>
      <c r="AD86" s="1"/>
      <c r="AE86" s="1"/>
      <c r="AF86" s="1"/>
      <c r="AG86" s="1"/>
      <c r="AH86" s="13">
        <f>VLOOKUP(A86,'2024-25 DIBELS BOY '!A86:AP456,42,FALSE)</f>
        <v>0.43666666666666665</v>
      </c>
      <c r="AI86" s="1"/>
      <c r="AJ86" s="1"/>
      <c r="AK86" s="1"/>
      <c r="AL86" s="1"/>
      <c r="AM86" s="1"/>
    </row>
    <row r="87" spans="1:39" ht="12.3" x14ac:dyDescent="0.4">
      <c r="A87" s="1" t="s">
        <v>164</v>
      </c>
      <c r="B87" s="10">
        <f>VLOOKUP(A87,'[1]2025 KG Students'!$C$2:$D$630,2,FALSE)</f>
        <v>85083</v>
      </c>
      <c r="C87" s="1" t="s">
        <v>6</v>
      </c>
      <c r="D87" s="5" t="s">
        <v>7</v>
      </c>
      <c r="E87" s="5" t="s">
        <v>463</v>
      </c>
      <c r="F87" s="4" t="s">
        <v>465</v>
      </c>
      <c r="G87" s="4" t="s">
        <v>465</v>
      </c>
      <c r="I87" s="1" t="s">
        <v>16</v>
      </c>
      <c r="J87" s="1" t="s">
        <v>10</v>
      </c>
      <c r="K87" s="4" t="s">
        <v>464</v>
      </c>
      <c r="L87" s="1" t="s">
        <v>21</v>
      </c>
      <c r="M87" s="10">
        <f>VLOOKUP(L87,'[2]2025 Teachers (1)'!$C$2:$D$807,2,FALSE)</f>
        <v>15019</v>
      </c>
      <c r="O87" s="1"/>
      <c r="P87" s="3">
        <v>0.77666666666666662</v>
      </c>
      <c r="Q87" s="1"/>
      <c r="S87" s="2"/>
      <c r="T87" s="1"/>
      <c r="U87" s="1"/>
      <c r="V87" s="1"/>
      <c r="Y87" s="1"/>
      <c r="AA87" s="1"/>
      <c r="AB87" s="1"/>
      <c r="AC87" s="1"/>
      <c r="AD87" s="1"/>
      <c r="AE87" s="1"/>
      <c r="AF87" s="1"/>
      <c r="AG87" s="1"/>
      <c r="AH87" s="13">
        <f>VLOOKUP(A87,'2024-25 DIBELS BOY '!A87:AP457,42,FALSE)</f>
        <v>0.69666666666666666</v>
      </c>
      <c r="AI87" s="1"/>
      <c r="AJ87" s="1"/>
      <c r="AK87" s="1"/>
      <c r="AL87" s="1"/>
      <c r="AM87" s="1"/>
    </row>
    <row r="88" spans="1:39" ht="12.3" x14ac:dyDescent="0.4">
      <c r="A88" s="1" t="s">
        <v>165</v>
      </c>
      <c r="B88" s="10">
        <f>VLOOKUP(A88,'[1]2025 KG Students'!$C$2:$D$630,2,FALSE)</f>
        <v>88605</v>
      </c>
      <c r="C88" s="1" t="s">
        <v>6</v>
      </c>
      <c r="D88" s="5" t="s">
        <v>7</v>
      </c>
      <c r="E88" s="5" t="s">
        <v>463</v>
      </c>
      <c r="F88" s="4" t="s">
        <v>465</v>
      </c>
      <c r="G88" s="4" t="s">
        <v>465</v>
      </c>
      <c r="I88" s="1" t="s">
        <v>29</v>
      </c>
      <c r="J88" s="1" t="s">
        <v>9</v>
      </c>
      <c r="K88" s="4" t="s">
        <v>464</v>
      </c>
      <c r="L88" s="1" t="s">
        <v>25</v>
      </c>
      <c r="M88" s="10">
        <f>VLOOKUP(L88,'[2]2025 Teachers (1)'!$C$2:$D$807,2,FALSE)</f>
        <v>17649</v>
      </c>
      <c r="O88" s="1"/>
      <c r="P88" s="3">
        <v>0.56666666666666665</v>
      </c>
      <c r="Q88" s="1"/>
      <c r="S88" s="1"/>
      <c r="T88" s="1"/>
      <c r="U88" s="2"/>
      <c r="V88" s="1"/>
      <c r="Y88" s="1"/>
      <c r="AA88" s="1"/>
      <c r="AB88" s="1"/>
      <c r="AC88" s="1"/>
      <c r="AD88" s="1"/>
      <c r="AE88" s="1"/>
      <c r="AF88" s="1"/>
      <c r="AG88" s="1"/>
      <c r="AH88" s="13">
        <f>VLOOKUP(A88,'2024-25 DIBELS BOY '!A88:AP458,42,FALSE)</f>
        <v>0.45</v>
      </c>
      <c r="AI88" s="1"/>
      <c r="AJ88" s="1"/>
      <c r="AK88" s="1"/>
      <c r="AL88" s="1"/>
      <c r="AM88" s="1"/>
    </row>
    <row r="89" spans="1:39" ht="12.3" x14ac:dyDescent="0.4">
      <c r="A89" s="1" t="s">
        <v>166</v>
      </c>
      <c r="B89" s="10">
        <f>VLOOKUP(A89,'[1]2025 KG Students'!$C$2:$D$630,2,FALSE)</f>
        <v>85366</v>
      </c>
      <c r="C89" s="1" t="s">
        <v>6</v>
      </c>
      <c r="D89" s="5" t="s">
        <v>7</v>
      </c>
      <c r="E89" s="5" t="s">
        <v>463</v>
      </c>
      <c r="F89" s="4" t="s">
        <v>465</v>
      </c>
      <c r="G89" s="4" t="s">
        <v>465</v>
      </c>
      <c r="I89" s="1" t="s">
        <v>29</v>
      </c>
      <c r="J89" s="1" t="s">
        <v>9</v>
      </c>
      <c r="K89" s="4" t="s">
        <v>464</v>
      </c>
      <c r="L89" s="1" t="s">
        <v>30</v>
      </c>
      <c r="M89" s="10">
        <f>VLOOKUP(L89,'[2]2025 Teachers (1)'!$C$2:$D$807,2,FALSE)</f>
        <v>17919</v>
      </c>
      <c r="O89" s="1"/>
      <c r="P89" s="3">
        <v>0.64333333333333331</v>
      </c>
      <c r="Q89" s="1"/>
      <c r="S89" s="2"/>
      <c r="T89" s="1"/>
      <c r="U89" s="1"/>
      <c r="V89" s="1"/>
      <c r="Y89" s="1"/>
      <c r="AA89" s="1"/>
      <c r="AB89" s="1"/>
      <c r="AC89" s="1"/>
      <c r="AD89" s="1"/>
      <c r="AE89" s="1"/>
      <c r="AF89" s="1"/>
      <c r="AG89" s="1"/>
      <c r="AH89" s="13">
        <f>VLOOKUP(A89,'2024-25 DIBELS BOY '!A89:AP459,42,FALSE)</f>
        <v>0.54500000000000004</v>
      </c>
      <c r="AI89" s="1"/>
      <c r="AJ89" s="1"/>
      <c r="AK89" s="1"/>
      <c r="AL89" s="1"/>
      <c r="AM89" s="1"/>
    </row>
    <row r="90" spans="1:39" ht="12.3" x14ac:dyDescent="0.4">
      <c r="A90" s="1" t="s">
        <v>167</v>
      </c>
      <c r="B90" s="10">
        <f>VLOOKUP(A90,'[1]2025 KG Students'!$C$2:$D$630,2,FALSE)</f>
        <v>85646</v>
      </c>
      <c r="C90" s="1" t="s">
        <v>6</v>
      </c>
      <c r="D90" s="5" t="s">
        <v>7</v>
      </c>
      <c r="E90" s="5" t="s">
        <v>463</v>
      </c>
      <c r="F90" s="4" t="s">
        <v>465</v>
      </c>
      <c r="G90" s="4" t="s">
        <v>465</v>
      </c>
      <c r="I90" s="1" t="s">
        <v>8</v>
      </c>
      <c r="J90" s="1" t="s">
        <v>9</v>
      </c>
      <c r="K90" s="4" t="s">
        <v>464</v>
      </c>
      <c r="L90" s="1" t="s">
        <v>24</v>
      </c>
      <c r="M90" s="10">
        <f>VLOOKUP(L90,'[2]2025 Teachers (1)'!$C$2:$D$807,2,FALSE)</f>
        <v>14530</v>
      </c>
      <c r="O90" s="1"/>
      <c r="P90" s="3">
        <v>0.64833333333333332</v>
      </c>
      <c r="Q90" s="1"/>
      <c r="S90" s="2"/>
      <c r="T90" s="1"/>
      <c r="U90" s="1"/>
      <c r="V90" s="1"/>
      <c r="Y90" s="1"/>
      <c r="AA90" s="1"/>
      <c r="AB90" s="1"/>
      <c r="AC90" s="1"/>
      <c r="AD90" s="1"/>
      <c r="AE90" s="1"/>
      <c r="AF90" s="1"/>
      <c r="AG90" s="1"/>
      <c r="AH90" s="13">
        <f>VLOOKUP(A90,'2024-25 DIBELS BOY '!A90:AP460,42,FALSE)</f>
        <v>0.57666666666666666</v>
      </c>
      <c r="AI90" s="1"/>
      <c r="AJ90" s="1"/>
      <c r="AK90" s="1"/>
      <c r="AL90" s="1"/>
      <c r="AM90" s="1"/>
    </row>
    <row r="91" spans="1:39" ht="12.3" x14ac:dyDescent="0.4">
      <c r="A91" s="1" t="s">
        <v>168</v>
      </c>
      <c r="B91" s="10">
        <f>VLOOKUP(A91,'[1]2025 KG Students'!$C$2:$D$630,2,FALSE)</f>
        <v>85707</v>
      </c>
      <c r="C91" s="1" t="s">
        <v>6</v>
      </c>
      <c r="D91" s="5" t="s">
        <v>7</v>
      </c>
      <c r="E91" s="5" t="s">
        <v>463</v>
      </c>
      <c r="F91" s="4" t="s">
        <v>465</v>
      </c>
      <c r="G91" s="4" t="s">
        <v>465</v>
      </c>
      <c r="I91" s="1" t="s">
        <v>16</v>
      </c>
      <c r="J91" s="1" t="s">
        <v>10</v>
      </c>
      <c r="K91" s="4" t="s">
        <v>464</v>
      </c>
      <c r="L91" s="1" t="s">
        <v>28</v>
      </c>
      <c r="M91" s="10">
        <f>VLOOKUP(L91,'[2]2025 Teachers (1)'!$C$2:$D$807,2,FALSE)</f>
        <v>15143</v>
      </c>
      <c r="O91" s="1"/>
      <c r="P91" s="3">
        <v>0.61166666666666669</v>
      </c>
      <c r="Q91" s="1"/>
      <c r="S91" s="2"/>
      <c r="T91" s="1"/>
      <c r="U91" s="1"/>
      <c r="V91" s="1"/>
      <c r="Y91" s="1"/>
      <c r="AA91" s="1"/>
      <c r="AB91" s="1"/>
      <c r="AC91" s="1"/>
      <c r="AD91" s="1"/>
      <c r="AE91" s="1"/>
      <c r="AF91" s="1"/>
      <c r="AG91" s="1"/>
      <c r="AH91" s="13">
        <f>VLOOKUP(A91,'2024-25 DIBELS BOY '!A91:AP461,42,FALSE)</f>
        <v>0.5033333333333333</v>
      </c>
      <c r="AI91" s="1"/>
      <c r="AJ91" s="1"/>
      <c r="AK91" s="1"/>
      <c r="AL91" s="1"/>
      <c r="AM91" s="1"/>
    </row>
    <row r="92" spans="1:39" ht="12.3" x14ac:dyDescent="0.4">
      <c r="A92" s="1" t="s">
        <v>169</v>
      </c>
      <c r="B92" s="10" t="e">
        <f>VLOOKUP(A92,'[1]2025 KG Students'!$C$2:$D$630,2,FALSE)</f>
        <v>#N/A</v>
      </c>
      <c r="C92" s="1" t="s">
        <v>6</v>
      </c>
      <c r="D92" s="5" t="s">
        <v>7</v>
      </c>
      <c r="E92" s="5" t="s">
        <v>463</v>
      </c>
      <c r="F92" s="4" t="s">
        <v>465</v>
      </c>
      <c r="G92" s="4" t="s">
        <v>465</v>
      </c>
      <c r="I92" s="1" t="s">
        <v>8</v>
      </c>
      <c r="J92" s="1" t="s">
        <v>9</v>
      </c>
      <c r="K92" s="4" t="s">
        <v>464</v>
      </c>
      <c r="L92" s="1" t="s">
        <v>26</v>
      </c>
      <c r="M92" s="10">
        <f>VLOOKUP(L92,'[2]2025 Teachers (1)'!$C$2:$D$807,2,FALSE)</f>
        <v>18941</v>
      </c>
      <c r="O92" s="1"/>
      <c r="P92" s="3">
        <v>0.56833333333333336</v>
      </c>
      <c r="Q92" s="1"/>
      <c r="S92" s="1"/>
      <c r="T92" s="1"/>
      <c r="U92" s="2"/>
      <c r="V92" s="1"/>
      <c r="Y92" s="1"/>
      <c r="AA92" s="1"/>
      <c r="AB92" s="1"/>
      <c r="AC92" s="1"/>
      <c r="AD92" s="1"/>
      <c r="AE92" s="1"/>
      <c r="AF92" s="1"/>
      <c r="AG92" s="1"/>
      <c r="AH92" s="13">
        <f>VLOOKUP(A92,'2024-25 DIBELS BOY '!A92:AP462,42,FALSE)</f>
        <v>0.51333333333333331</v>
      </c>
      <c r="AI92" s="1"/>
      <c r="AJ92" s="1"/>
      <c r="AK92" s="1"/>
      <c r="AL92" s="1"/>
      <c r="AM92" s="1"/>
    </row>
    <row r="93" spans="1:39" ht="12.3" x14ac:dyDescent="0.4">
      <c r="A93" s="1" t="s">
        <v>170</v>
      </c>
      <c r="B93" s="10">
        <f>VLOOKUP(A93,'[1]2025 KG Students'!$C$2:$D$630,2,FALSE)</f>
        <v>85044</v>
      </c>
      <c r="C93" s="1" t="s">
        <v>6</v>
      </c>
      <c r="D93" s="5" t="s">
        <v>7</v>
      </c>
      <c r="E93" s="5" t="s">
        <v>463</v>
      </c>
      <c r="F93" s="4" t="s">
        <v>465</v>
      </c>
      <c r="G93" s="4" t="s">
        <v>465</v>
      </c>
      <c r="I93" s="1" t="s">
        <v>16</v>
      </c>
      <c r="J93" s="1" t="s">
        <v>10</v>
      </c>
      <c r="K93" s="4" t="s">
        <v>464</v>
      </c>
      <c r="L93" s="1" t="s">
        <v>23</v>
      </c>
      <c r="M93" s="10">
        <f>VLOOKUP(L93,'[2]2025 Teachers (1)'!$C$2:$D$807,2,FALSE)</f>
        <v>17879</v>
      </c>
      <c r="O93" s="1"/>
      <c r="P93" s="3">
        <v>0.63666666666666671</v>
      </c>
      <c r="Q93" s="1"/>
      <c r="S93" s="2"/>
      <c r="T93" s="1"/>
      <c r="U93" s="2"/>
      <c r="V93" s="1"/>
      <c r="Y93" s="1"/>
      <c r="AA93" s="1"/>
      <c r="AB93" s="1"/>
      <c r="AC93" s="1"/>
      <c r="AD93" s="1"/>
      <c r="AE93" s="1"/>
      <c r="AF93" s="1"/>
      <c r="AG93" s="1"/>
      <c r="AH93" s="13">
        <f>VLOOKUP(A93,'2024-25 DIBELS BOY '!A93:AP463,42,FALSE)</f>
        <v>0.54500000000000004</v>
      </c>
      <c r="AI93" s="1"/>
      <c r="AJ93" s="1"/>
      <c r="AK93" s="1"/>
      <c r="AL93" s="1"/>
      <c r="AM93" s="1"/>
    </row>
    <row r="94" spans="1:39" ht="12.3" x14ac:dyDescent="0.4">
      <c r="A94" s="1" t="s">
        <v>171</v>
      </c>
      <c r="B94" s="10">
        <f>VLOOKUP(A94,'[1]2025 KG Students'!$C$2:$D$630,2,FALSE)</f>
        <v>86058</v>
      </c>
      <c r="C94" s="1" t="s">
        <v>6</v>
      </c>
      <c r="D94" s="5" t="s">
        <v>7</v>
      </c>
      <c r="E94" s="5" t="s">
        <v>463</v>
      </c>
      <c r="F94" s="4" t="s">
        <v>465</v>
      </c>
      <c r="G94" s="4" t="s">
        <v>465</v>
      </c>
      <c r="I94" s="1" t="s">
        <v>29</v>
      </c>
      <c r="J94" s="1" t="s">
        <v>9</v>
      </c>
      <c r="K94" s="4" t="s">
        <v>464</v>
      </c>
      <c r="L94" s="1" t="s">
        <v>17</v>
      </c>
      <c r="M94" s="10">
        <f>VLOOKUP(L94,'[2]2025 Teachers (1)'!$C$2:$D$807,2,FALSE)</f>
        <v>13866</v>
      </c>
      <c r="O94" s="1"/>
      <c r="P94" s="3">
        <v>0.71499999999999997</v>
      </c>
      <c r="Q94" s="1"/>
      <c r="S94" s="2"/>
      <c r="T94" s="1"/>
      <c r="U94" s="1"/>
      <c r="V94" s="1"/>
      <c r="Y94" s="1"/>
      <c r="AA94" s="1"/>
      <c r="AB94" s="1"/>
      <c r="AC94" s="1"/>
      <c r="AD94" s="1"/>
      <c r="AE94" s="1"/>
      <c r="AF94" s="1"/>
      <c r="AG94" s="1"/>
      <c r="AH94" s="13">
        <f>VLOOKUP(A94,'2024-25 DIBELS BOY '!A94:AP464,42,FALSE)</f>
        <v>0.67</v>
      </c>
      <c r="AI94" s="1"/>
      <c r="AJ94" s="1"/>
      <c r="AK94" s="1"/>
      <c r="AL94" s="1"/>
      <c r="AM94" s="1"/>
    </row>
    <row r="95" spans="1:39" ht="12.3" x14ac:dyDescent="0.4">
      <c r="A95" s="1" t="s">
        <v>172</v>
      </c>
      <c r="B95" s="10">
        <f>VLOOKUP(A95,'[1]2025 KG Students'!$C$2:$D$630,2,FALSE)</f>
        <v>88328</v>
      </c>
      <c r="C95" s="1" t="s">
        <v>6</v>
      </c>
      <c r="D95" s="5" t="s">
        <v>7</v>
      </c>
      <c r="E95" s="5" t="s">
        <v>463</v>
      </c>
      <c r="F95" s="4" t="s">
        <v>465</v>
      </c>
      <c r="G95" s="4" t="s">
        <v>465</v>
      </c>
      <c r="I95" s="1" t="s">
        <v>8</v>
      </c>
      <c r="J95" s="1" t="s">
        <v>9</v>
      </c>
      <c r="K95" s="4" t="s">
        <v>464</v>
      </c>
      <c r="L95" s="1" t="s">
        <v>11</v>
      </c>
      <c r="M95" s="10">
        <f>VLOOKUP(L95,'[2]2025 Teachers (1)'!$C$2:$D$807,2,FALSE)</f>
        <v>18548</v>
      </c>
      <c r="O95" s="1"/>
      <c r="P95" s="3">
        <v>0.60666666666666669</v>
      </c>
      <c r="Q95" s="1"/>
      <c r="S95" s="1"/>
      <c r="T95" s="1"/>
      <c r="U95" s="2"/>
      <c r="V95" s="1"/>
      <c r="Y95" s="1"/>
      <c r="AA95" s="1"/>
      <c r="AB95" s="1"/>
      <c r="AC95" s="1"/>
      <c r="AD95" s="1"/>
      <c r="AE95" s="1"/>
      <c r="AF95" s="1"/>
      <c r="AG95" s="1"/>
      <c r="AH95" s="13">
        <f>VLOOKUP(A95,'2024-25 DIBELS BOY '!A95:AP465,42,FALSE)</f>
        <v>0.52833333333333332</v>
      </c>
      <c r="AI95" s="1"/>
      <c r="AJ95" s="1"/>
      <c r="AK95" s="1"/>
      <c r="AL95" s="1"/>
      <c r="AM95" s="1"/>
    </row>
    <row r="96" spans="1:39" ht="12.3" x14ac:dyDescent="0.4">
      <c r="A96" s="1" t="s">
        <v>173</v>
      </c>
      <c r="B96" s="10">
        <f>VLOOKUP(A96,'[1]2025 KG Students'!$C$2:$D$630,2,FALSE)</f>
        <v>87563</v>
      </c>
      <c r="C96" s="1" t="s">
        <v>6</v>
      </c>
      <c r="D96" s="5" t="s">
        <v>7</v>
      </c>
      <c r="E96" s="5" t="s">
        <v>463</v>
      </c>
      <c r="F96" s="4" t="s">
        <v>465</v>
      </c>
      <c r="G96" s="4" t="s">
        <v>465</v>
      </c>
      <c r="I96" s="1" t="s">
        <v>8</v>
      </c>
      <c r="J96" s="1" t="s">
        <v>9</v>
      </c>
      <c r="K96" s="4" t="s">
        <v>464</v>
      </c>
      <c r="L96" s="1" t="s">
        <v>30</v>
      </c>
      <c r="M96" s="10">
        <f>VLOOKUP(L96,'[2]2025 Teachers (1)'!$C$2:$D$807,2,FALSE)</f>
        <v>17919</v>
      </c>
      <c r="O96" s="1"/>
      <c r="P96" s="3">
        <v>0.54</v>
      </c>
      <c r="Q96" s="1"/>
      <c r="S96" s="1"/>
      <c r="T96" s="1"/>
      <c r="U96" s="2"/>
      <c r="V96" s="1"/>
      <c r="Y96" s="1"/>
      <c r="AA96" s="1"/>
      <c r="AB96" s="1"/>
      <c r="AC96" s="1"/>
      <c r="AD96" s="1"/>
      <c r="AE96" s="1"/>
      <c r="AF96" s="1"/>
      <c r="AG96" s="1"/>
      <c r="AH96" s="13" t="e">
        <f>VLOOKUP(A96,'2024-25 DIBELS BOY '!A96:AP466,42,FALSE)</f>
        <v>#N/A</v>
      </c>
      <c r="AI96" s="1"/>
      <c r="AJ96" s="1"/>
      <c r="AK96" s="1"/>
      <c r="AL96" s="1"/>
      <c r="AM96" s="1"/>
    </row>
    <row r="97" spans="1:39" ht="12.3" x14ac:dyDescent="0.4">
      <c r="A97" s="1" t="s">
        <v>174</v>
      </c>
      <c r="B97" s="10">
        <f>VLOOKUP(A97,'[1]2025 KG Students'!$C$2:$D$630,2,FALSE)</f>
        <v>85182</v>
      </c>
      <c r="C97" s="1" t="s">
        <v>6</v>
      </c>
      <c r="D97" s="5" t="s">
        <v>7</v>
      </c>
      <c r="E97" s="5" t="s">
        <v>463</v>
      </c>
      <c r="F97" s="4" t="s">
        <v>465</v>
      </c>
      <c r="G97" s="4" t="s">
        <v>465</v>
      </c>
      <c r="I97" s="1" t="s">
        <v>16</v>
      </c>
      <c r="J97" s="1" t="s">
        <v>10</v>
      </c>
      <c r="K97" s="4" t="s">
        <v>464</v>
      </c>
      <c r="L97" s="1" t="s">
        <v>21</v>
      </c>
      <c r="M97" s="10">
        <f>VLOOKUP(L97,'[2]2025 Teachers (1)'!$C$2:$D$807,2,FALSE)</f>
        <v>15019</v>
      </c>
      <c r="O97" s="1"/>
      <c r="P97" s="3">
        <v>0.71499999999999997</v>
      </c>
      <c r="Q97" s="1"/>
      <c r="S97" s="2"/>
      <c r="T97" s="1"/>
      <c r="U97" s="1"/>
      <c r="V97" s="1"/>
      <c r="Y97" s="1"/>
      <c r="AA97" s="1"/>
      <c r="AB97" s="1"/>
      <c r="AC97" s="1"/>
      <c r="AD97" s="1"/>
      <c r="AE97" s="1"/>
      <c r="AF97" s="1"/>
      <c r="AG97" s="1"/>
      <c r="AH97" s="13" t="e">
        <f>VLOOKUP(A97,'2024-25 DIBELS BOY '!A97:AP467,42,FALSE)</f>
        <v>#N/A</v>
      </c>
      <c r="AI97" s="1"/>
      <c r="AJ97" s="1"/>
      <c r="AK97" s="1"/>
      <c r="AL97" s="1"/>
      <c r="AM97" s="1"/>
    </row>
    <row r="98" spans="1:39" ht="12.3" x14ac:dyDescent="0.4">
      <c r="A98" s="1" t="s">
        <v>175</v>
      </c>
      <c r="B98" s="10">
        <f>VLOOKUP(A98,'[1]2025 KG Students'!$C$2:$D$630,2,FALSE)</f>
        <v>88433</v>
      </c>
      <c r="C98" s="1" t="s">
        <v>6</v>
      </c>
      <c r="D98" s="5" t="s">
        <v>7</v>
      </c>
      <c r="E98" s="5" t="s">
        <v>463</v>
      </c>
      <c r="F98" s="4" t="s">
        <v>465</v>
      </c>
      <c r="G98" s="4" t="s">
        <v>465</v>
      </c>
      <c r="I98" s="1" t="s">
        <v>16</v>
      </c>
      <c r="J98" s="1" t="s">
        <v>9</v>
      </c>
      <c r="K98" s="4" t="s">
        <v>464</v>
      </c>
      <c r="L98" s="1" t="s">
        <v>19</v>
      </c>
      <c r="M98" s="10">
        <f>VLOOKUP(L98,'[2]2025 Teachers (1)'!$C$2:$D$807,2,FALSE)</f>
        <v>18050</v>
      </c>
      <c r="O98" s="1"/>
      <c r="P98" s="3">
        <v>0.53833333333333333</v>
      </c>
      <c r="Q98" s="1"/>
      <c r="S98" s="1"/>
      <c r="T98" s="1"/>
      <c r="U98" s="2"/>
      <c r="V98" s="1"/>
      <c r="Y98" s="1"/>
      <c r="AA98" s="1"/>
      <c r="AB98" s="1"/>
      <c r="AC98" s="1"/>
      <c r="AD98" s="1"/>
      <c r="AE98" s="1"/>
      <c r="AF98" s="1"/>
      <c r="AG98" s="1"/>
      <c r="AH98" s="13" t="e">
        <f>VLOOKUP(A98,'2024-25 DIBELS BOY '!A98:AP468,42,FALSE)</f>
        <v>#N/A</v>
      </c>
      <c r="AI98" s="1"/>
      <c r="AJ98" s="1"/>
      <c r="AK98" s="1"/>
      <c r="AL98" s="1"/>
      <c r="AM98" s="1"/>
    </row>
    <row r="99" spans="1:39" ht="12.3" x14ac:dyDescent="0.4">
      <c r="A99" s="1" t="s">
        <v>176</v>
      </c>
      <c r="B99" s="10">
        <f>VLOOKUP(A99,'[1]2025 KG Students'!$C$2:$D$630,2,FALSE)</f>
        <v>85831</v>
      </c>
      <c r="C99" s="1" t="s">
        <v>6</v>
      </c>
      <c r="D99" s="5" t="s">
        <v>7</v>
      </c>
      <c r="E99" s="5" t="s">
        <v>463</v>
      </c>
      <c r="F99" s="4" t="s">
        <v>465</v>
      </c>
      <c r="G99" s="4" t="s">
        <v>465</v>
      </c>
      <c r="I99" s="1" t="s">
        <v>16</v>
      </c>
      <c r="J99" s="1" t="s">
        <v>10</v>
      </c>
      <c r="K99" s="4" t="s">
        <v>464</v>
      </c>
      <c r="L99" s="1" t="s">
        <v>26</v>
      </c>
      <c r="M99" s="10">
        <f>VLOOKUP(L99,'[2]2025 Teachers (1)'!$C$2:$D$807,2,FALSE)</f>
        <v>18941</v>
      </c>
      <c r="O99" s="1"/>
      <c r="P99" s="3">
        <v>0.61499999999999999</v>
      </c>
      <c r="Q99" s="1"/>
      <c r="S99" s="2"/>
      <c r="T99" s="1"/>
      <c r="U99" s="1"/>
      <c r="V99" s="1"/>
      <c r="Y99" s="1"/>
      <c r="AA99" s="1"/>
      <c r="AB99" s="1"/>
      <c r="AC99" s="1"/>
      <c r="AD99" s="1"/>
      <c r="AE99" s="1"/>
      <c r="AF99" s="1"/>
      <c r="AG99" s="1"/>
      <c r="AH99" s="13" t="e">
        <f>VLOOKUP(A99,'2024-25 DIBELS BOY '!A99:AP469,42,FALSE)</f>
        <v>#N/A</v>
      </c>
      <c r="AI99" s="1"/>
      <c r="AJ99" s="1"/>
      <c r="AK99" s="1"/>
      <c r="AL99" s="1"/>
      <c r="AM99" s="1"/>
    </row>
    <row r="100" spans="1:39" ht="12.3" x14ac:dyDescent="0.4">
      <c r="A100" s="1" t="s">
        <v>177</v>
      </c>
      <c r="B100" s="10">
        <f>VLOOKUP(A100,'[1]2025 KG Students'!$C$2:$D$630,2,FALSE)</f>
        <v>87981</v>
      </c>
      <c r="C100" s="1" t="s">
        <v>6</v>
      </c>
      <c r="D100" s="5" t="s">
        <v>7</v>
      </c>
      <c r="E100" s="5" t="s">
        <v>463</v>
      </c>
      <c r="F100" s="4" t="s">
        <v>465</v>
      </c>
      <c r="G100" s="4" t="s">
        <v>465</v>
      </c>
      <c r="I100" s="1" t="s">
        <v>8</v>
      </c>
      <c r="J100" s="1" t="s">
        <v>9</v>
      </c>
      <c r="K100" s="4" t="s">
        <v>464</v>
      </c>
      <c r="L100" s="1" t="s">
        <v>26</v>
      </c>
      <c r="M100" s="10">
        <f>VLOOKUP(L100,'[2]2025 Teachers (1)'!$C$2:$D$807,2,FALSE)</f>
        <v>18941</v>
      </c>
      <c r="O100" s="1"/>
      <c r="P100" s="3">
        <v>0.56000000000000005</v>
      </c>
      <c r="Q100" s="1"/>
      <c r="S100" s="1"/>
      <c r="T100" s="1"/>
      <c r="U100" s="2"/>
      <c r="V100" s="1"/>
      <c r="Y100" s="1"/>
      <c r="AA100" s="1"/>
      <c r="AB100" s="1"/>
      <c r="AC100" s="1"/>
      <c r="AD100" s="1"/>
      <c r="AE100" s="1"/>
      <c r="AF100" s="1"/>
      <c r="AG100" s="1"/>
      <c r="AH100" s="13" t="e">
        <f>VLOOKUP(A100,'2024-25 DIBELS BOY '!A100:AP470,42,FALSE)</f>
        <v>#N/A</v>
      </c>
      <c r="AI100" s="1"/>
      <c r="AJ100" s="1"/>
      <c r="AK100" s="1"/>
      <c r="AL100" s="1"/>
      <c r="AM100" s="1"/>
    </row>
    <row r="101" spans="1:39" ht="12.3" x14ac:dyDescent="0.4">
      <c r="A101" s="1" t="s">
        <v>178</v>
      </c>
      <c r="B101" s="10">
        <f>VLOOKUP(A101,'[1]2025 KG Students'!$C$2:$D$630,2,FALSE)</f>
        <v>86407</v>
      </c>
      <c r="C101" s="1" t="s">
        <v>6</v>
      </c>
      <c r="D101" s="5" t="s">
        <v>7</v>
      </c>
      <c r="E101" s="5" t="s">
        <v>463</v>
      </c>
      <c r="F101" s="4" t="s">
        <v>465</v>
      </c>
      <c r="G101" s="4" t="s">
        <v>465</v>
      </c>
      <c r="I101" s="1" t="s">
        <v>8</v>
      </c>
      <c r="J101" s="1" t="s">
        <v>9</v>
      </c>
      <c r="K101" s="4" t="s">
        <v>464</v>
      </c>
      <c r="L101" s="1" t="s">
        <v>11</v>
      </c>
      <c r="M101" s="10">
        <f>VLOOKUP(L101,'[2]2025 Teachers (1)'!$C$2:$D$807,2,FALSE)</f>
        <v>18548</v>
      </c>
      <c r="O101" s="1"/>
      <c r="P101" s="3">
        <v>0.65</v>
      </c>
      <c r="Q101" s="1"/>
      <c r="S101" s="2"/>
      <c r="T101" s="1"/>
      <c r="U101" s="1"/>
      <c r="V101" s="1"/>
      <c r="Y101" s="1"/>
      <c r="AA101" s="1"/>
      <c r="AB101" s="1"/>
      <c r="AC101" s="1"/>
      <c r="AD101" s="1"/>
      <c r="AE101" s="1"/>
      <c r="AF101" s="1"/>
      <c r="AG101" s="1"/>
      <c r="AH101" s="13" t="e">
        <f>VLOOKUP(A101,'2024-25 DIBELS BOY '!A101:AP471,42,FALSE)</f>
        <v>#N/A</v>
      </c>
      <c r="AI101" s="1"/>
      <c r="AJ101" s="1"/>
      <c r="AK101" s="1"/>
      <c r="AL101" s="1"/>
      <c r="AM101" s="1"/>
    </row>
    <row r="102" spans="1:39" ht="12.3" x14ac:dyDescent="0.4">
      <c r="A102" s="1" t="s">
        <v>179</v>
      </c>
      <c r="B102" s="10">
        <f>VLOOKUP(A102,'[1]2025 KG Students'!$C$2:$D$630,2,FALSE)</f>
        <v>85462</v>
      </c>
      <c r="C102" s="1" t="s">
        <v>6</v>
      </c>
      <c r="D102" s="5" t="s">
        <v>7</v>
      </c>
      <c r="E102" s="5" t="s">
        <v>463</v>
      </c>
      <c r="F102" s="4" t="s">
        <v>465</v>
      </c>
      <c r="G102" s="4" t="s">
        <v>465</v>
      </c>
      <c r="I102" s="1" t="s">
        <v>16</v>
      </c>
      <c r="J102" s="1" t="s">
        <v>10</v>
      </c>
      <c r="K102" s="4" t="s">
        <v>464</v>
      </c>
      <c r="L102" s="1" t="s">
        <v>21</v>
      </c>
      <c r="M102" s="10">
        <f>VLOOKUP(L102,'[2]2025 Teachers (1)'!$C$2:$D$807,2,FALSE)</f>
        <v>15019</v>
      </c>
      <c r="O102" s="1"/>
      <c r="P102" s="3">
        <v>0.70499999999999996</v>
      </c>
      <c r="Q102" s="1"/>
      <c r="S102" s="2"/>
      <c r="T102" s="1"/>
      <c r="U102" s="1"/>
      <c r="V102" s="1"/>
      <c r="Y102" s="1"/>
      <c r="AA102" s="1"/>
      <c r="AB102" s="1"/>
      <c r="AC102" s="1"/>
      <c r="AD102" s="1"/>
      <c r="AE102" s="1"/>
      <c r="AF102" s="1"/>
      <c r="AG102" s="1"/>
      <c r="AH102" s="13" t="e">
        <f>VLOOKUP(A102,'2024-25 DIBELS BOY '!A102:AP472,42,FALSE)</f>
        <v>#N/A</v>
      </c>
      <c r="AI102" s="1"/>
      <c r="AJ102" s="1"/>
      <c r="AK102" s="1"/>
      <c r="AL102" s="1"/>
      <c r="AM102" s="1"/>
    </row>
    <row r="103" spans="1:39" ht="12.3" x14ac:dyDescent="0.4">
      <c r="A103" s="1" t="s">
        <v>181</v>
      </c>
      <c r="B103" s="10">
        <f>VLOOKUP(A103,'[1]2025 KG Students'!$C$2:$D$630,2,FALSE)</f>
        <v>86103</v>
      </c>
      <c r="C103" s="1" t="s">
        <v>6</v>
      </c>
      <c r="D103" s="5" t="s">
        <v>7</v>
      </c>
      <c r="E103" s="5" t="s">
        <v>463</v>
      </c>
      <c r="F103" s="4" t="s">
        <v>465</v>
      </c>
      <c r="G103" s="4" t="s">
        <v>465</v>
      </c>
      <c r="I103" s="1" t="s">
        <v>16</v>
      </c>
      <c r="J103" s="1" t="s">
        <v>10</v>
      </c>
      <c r="K103" s="4" t="s">
        <v>464</v>
      </c>
      <c r="L103" s="1" t="s">
        <v>23</v>
      </c>
      <c r="M103" s="10">
        <f>VLOOKUP(L103,'[2]2025 Teachers (1)'!$C$2:$D$807,2,FALSE)</f>
        <v>17879</v>
      </c>
      <c r="O103" s="1"/>
      <c r="P103" s="3">
        <v>0.69333333333333336</v>
      </c>
      <c r="Q103" s="1"/>
      <c r="S103" s="2"/>
      <c r="T103" s="1"/>
      <c r="U103" s="2"/>
      <c r="V103" s="1"/>
      <c r="Y103" s="1"/>
      <c r="AA103" s="1"/>
      <c r="AB103" s="1"/>
      <c r="AC103" s="1"/>
      <c r="AD103" s="1"/>
      <c r="AE103" s="1"/>
      <c r="AF103" s="1"/>
      <c r="AG103" s="1"/>
      <c r="AH103" s="13">
        <f>VLOOKUP(A103,'2024-25 DIBELS BOY '!A103:AP473,42,FALSE)</f>
        <v>0.65</v>
      </c>
      <c r="AI103" s="1"/>
      <c r="AJ103" s="1"/>
      <c r="AK103" s="1"/>
      <c r="AL103" s="1"/>
      <c r="AM103" s="1"/>
    </row>
    <row r="104" spans="1:39" ht="12.3" x14ac:dyDescent="0.4">
      <c r="A104" s="1" t="s">
        <v>182</v>
      </c>
      <c r="B104" s="10">
        <f>VLOOKUP(A104,'[1]2025 KG Students'!$C$2:$D$630,2,FALSE)</f>
        <v>85486</v>
      </c>
      <c r="C104" s="1" t="s">
        <v>6</v>
      </c>
      <c r="D104" s="5" t="s">
        <v>7</v>
      </c>
      <c r="E104" s="5" t="s">
        <v>463</v>
      </c>
      <c r="F104" s="4" t="s">
        <v>465</v>
      </c>
      <c r="G104" s="4" t="s">
        <v>465</v>
      </c>
      <c r="I104" s="1" t="s">
        <v>16</v>
      </c>
      <c r="J104" s="1" t="s">
        <v>10</v>
      </c>
      <c r="K104" s="4" t="s">
        <v>464</v>
      </c>
      <c r="L104" s="1" t="s">
        <v>25</v>
      </c>
      <c r="M104" s="10">
        <f>VLOOKUP(L104,'[2]2025 Teachers (1)'!$C$2:$D$807,2,FALSE)</f>
        <v>17649</v>
      </c>
      <c r="O104" s="1"/>
      <c r="P104" s="3">
        <v>0.6216666666666667</v>
      </c>
      <c r="Q104" s="1"/>
      <c r="S104" s="2"/>
      <c r="T104" s="1"/>
      <c r="U104" s="1"/>
      <c r="V104" s="1"/>
      <c r="Y104" s="1"/>
      <c r="AA104" s="1"/>
      <c r="AB104" s="1"/>
      <c r="AC104" s="1"/>
      <c r="AD104" s="1"/>
      <c r="AE104" s="1"/>
      <c r="AF104" s="1"/>
      <c r="AG104" s="1"/>
      <c r="AH104" s="13">
        <f>VLOOKUP(A104,'2024-25 DIBELS BOY '!A104:AP474,42,FALSE)</f>
        <v>0.56166666666666665</v>
      </c>
      <c r="AI104" s="1"/>
      <c r="AJ104" s="1"/>
      <c r="AK104" s="1"/>
      <c r="AL104" s="1"/>
      <c r="AM104" s="1"/>
    </row>
    <row r="105" spans="1:39" ht="12.3" x14ac:dyDescent="0.4">
      <c r="A105" s="1" t="s">
        <v>183</v>
      </c>
      <c r="B105" s="10">
        <f>VLOOKUP(A105,'[1]2025 KG Students'!$C$2:$D$630,2,FALSE)</f>
        <v>85121</v>
      </c>
      <c r="C105" s="1" t="s">
        <v>6</v>
      </c>
      <c r="D105" s="5" t="s">
        <v>7</v>
      </c>
      <c r="E105" s="5" t="s">
        <v>463</v>
      </c>
      <c r="F105" s="4" t="s">
        <v>465</v>
      </c>
      <c r="G105" s="4" t="s">
        <v>465</v>
      </c>
      <c r="I105" s="1" t="s">
        <v>16</v>
      </c>
      <c r="J105" s="1" t="s">
        <v>10</v>
      </c>
      <c r="K105" s="4" t="s">
        <v>464</v>
      </c>
      <c r="L105" s="1" t="s">
        <v>24</v>
      </c>
      <c r="M105" s="10">
        <f>VLOOKUP(L105,'[2]2025 Teachers (1)'!$C$2:$D$807,2,FALSE)</f>
        <v>14530</v>
      </c>
      <c r="O105" s="1"/>
      <c r="P105" s="3">
        <v>0.66833333333333333</v>
      </c>
      <c r="Q105" s="1"/>
      <c r="S105" s="2"/>
      <c r="T105" s="1"/>
      <c r="U105" s="1"/>
      <c r="V105" s="1"/>
      <c r="Y105" s="1"/>
      <c r="AA105" s="1"/>
      <c r="AB105" s="1"/>
      <c r="AC105" s="1"/>
      <c r="AD105" s="1"/>
      <c r="AE105" s="1"/>
      <c r="AF105" s="1"/>
      <c r="AG105" s="1"/>
      <c r="AH105" s="13">
        <f>VLOOKUP(A105,'2024-25 DIBELS BOY '!A105:AP475,42,FALSE)</f>
        <v>0.62333333333333329</v>
      </c>
      <c r="AI105" s="1"/>
      <c r="AJ105" s="1"/>
      <c r="AK105" s="1"/>
      <c r="AL105" s="1"/>
      <c r="AM105" s="1"/>
    </row>
    <row r="106" spans="1:39" ht="12.3" x14ac:dyDescent="0.4">
      <c r="A106" s="1" t="s">
        <v>184</v>
      </c>
      <c r="B106" s="10">
        <f>VLOOKUP(A106,'[1]2025 KG Students'!$C$2:$D$630,2,FALSE)</f>
        <v>85658</v>
      </c>
      <c r="C106" s="1" t="s">
        <v>6</v>
      </c>
      <c r="D106" s="5" t="s">
        <v>7</v>
      </c>
      <c r="E106" s="5" t="s">
        <v>463</v>
      </c>
      <c r="F106" s="4" t="s">
        <v>465</v>
      </c>
      <c r="G106" s="4" t="s">
        <v>465</v>
      </c>
      <c r="I106" s="1" t="s">
        <v>16</v>
      </c>
      <c r="J106" s="1" t="s">
        <v>10</v>
      </c>
      <c r="K106" s="4" t="s">
        <v>464</v>
      </c>
      <c r="L106" s="1" t="s">
        <v>17</v>
      </c>
      <c r="M106" s="10">
        <f>VLOOKUP(L106,'[2]2025 Teachers (1)'!$C$2:$D$807,2,FALSE)</f>
        <v>13866</v>
      </c>
      <c r="O106" s="1"/>
      <c r="P106" s="3">
        <v>0.60499999999999998</v>
      </c>
      <c r="Q106" s="1"/>
      <c r="S106" s="2"/>
      <c r="T106" s="1"/>
      <c r="U106" s="2"/>
      <c r="V106" s="1"/>
      <c r="Y106" s="1"/>
      <c r="AA106" s="1"/>
      <c r="AB106" s="1"/>
      <c r="AC106" s="1"/>
      <c r="AD106" s="1"/>
      <c r="AE106" s="1"/>
      <c r="AF106" s="1"/>
      <c r="AG106" s="1"/>
      <c r="AH106" s="13">
        <f>VLOOKUP(A106,'2024-25 DIBELS BOY '!A106:AP476,42,FALSE)</f>
        <v>0.53500000000000003</v>
      </c>
      <c r="AI106" s="1"/>
      <c r="AJ106" s="1"/>
      <c r="AK106" s="1"/>
      <c r="AL106" s="1"/>
      <c r="AM106" s="1"/>
    </row>
    <row r="107" spans="1:39" ht="12.3" x14ac:dyDescent="0.4">
      <c r="A107" s="1" t="s">
        <v>186</v>
      </c>
      <c r="B107" s="10">
        <f>VLOOKUP(A107,'[1]2025 KG Students'!$C$2:$D$630,2,FALSE)</f>
        <v>87688</v>
      </c>
      <c r="C107" s="1" t="s">
        <v>6</v>
      </c>
      <c r="D107" s="5" t="s">
        <v>7</v>
      </c>
      <c r="E107" s="5" t="s">
        <v>463</v>
      </c>
      <c r="F107" s="4" t="s">
        <v>465</v>
      </c>
      <c r="G107" s="4" t="s">
        <v>465</v>
      </c>
      <c r="I107" s="1" t="s">
        <v>8</v>
      </c>
      <c r="J107" s="1" t="s">
        <v>9</v>
      </c>
      <c r="K107" s="4" t="s">
        <v>464</v>
      </c>
      <c r="L107" s="1" t="s">
        <v>26</v>
      </c>
      <c r="M107" s="10">
        <f>VLOOKUP(L107,'[2]2025 Teachers (1)'!$C$2:$D$807,2,FALSE)</f>
        <v>18941</v>
      </c>
      <c r="O107" s="1"/>
      <c r="P107" s="3">
        <v>0.55833333333333335</v>
      </c>
      <c r="Q107" s="1"/>
      <c r="S107" s="1"/>
      <c r="T107" s="1"/>
      <c r="U107" s="1"/>
      <c r="V107" s="1"/>
      <c r="Y107" s="1"/>
      <c r="AA107" s="1"/>
      <c r="AB107" s="1"/>
      <c r="AC107" s="1"/>
      <c r="AD107" s="1"/>
      <c r="AE107" s="1"/>
      <c r="AF107" s="1"/>
      <c r="AG107" s="1"/>
      <c r="AH107" s="13">
        <f>VLOOKUP(A107,'2024-25 DIBELS BOY '!A107:AP477,42,FALSE)</f>
        <v>0.43</v>
      </c>
      <c r="AI107" s="1"/>
      <c r="AJ107" s="1"/>
      <c r="AK107" s="1"/>
      <c r="AL107" s="1"/>
      <c r="AM107" s="1"/>
    </row>
    <row r="108" spans="1:39" ht="12.3" x14ac:dyDescent="0.4">
      <c r="A108" s="1" t="s">
        <v>187</v>
      </c>
      <c r="B108" s="10">
        <f>VLOOKUP(A108,'[1]2025 KG Students'!$C$2:$D$630,2,FALSE)</f>
        <v>87819</v>
      </c>
      <c r="C108" s="1" t="s">
        <v>6</v>
      </c>
      <c r="D108" s="5" t="s">
        <v>7</v>
      </c>
      <c r="E108" s="5" t="s">
        <v>463</v>
      </c>
      <c r="F108" s="4" t="s">
        <v>465</v>
      </c>
      <c r="G108" s="4" t="s">
        <v>465</v>
      </c>
      <c r="I108" s="1" t="s">
        <v>8</v>
      </c>
      <c r="J108" s="1" t="s">
        <v>9</v>
      </c>
      <c r="K108" s="4" t="s">
        <v>464</v>
      </c>
      <c r="L108" s="1" t="s">
        <v>19</v>
      </c>
      <c r="M108" s="10">
        <f>VLOOKUP(L108,'[2]2025 Teachers (1)'!$C$2:$D$807,2,FALSE)</f>
        <v>18050</v>
      </c>
      <c r="O108" s="1"/>
      <c r="P108" s="3">
        <v>0.55500000000000005</v>
      </c>
      <c r="Q108" s="1"/>
      <c r="S108" s="1"/>
      <c r="T108" s="1"/>
      <c r="U108" s="1"/>
      <c r="V108" s="1"/>
      <c r="Y108" s="1"/>
      <c r="AA108" s="1"/>
      <c r="AB108" s="1"/>
      <c r="AC108" s="1"/>
      <c r="AD108" s="1"/>
      <c r="AE108" s="1"/>
      <c r="AF108" s="1"/>
      <c r="AG108" s="1"/>
      <c r="AH108" s="13">
        <f>VLOOKUP(A108,'2024-25 DIBELS BOY '!A108:AP478,42,FALSE)</f>
        <v>0.46666666666666667</v>
      </c>
      <c r="AI108" s="1"/>
      <c r="AJ108" s="1"/>
      <c r="AK108" s="1"/>
      <c r="AL108" s="1"/>
      <c r="AM108" s="1"/>
    </row>
    <row r="109" spans="1:39" ht="12.3" x14ac:dyDescent="0.4">
      <c r="A109" s="1" t="s">
        <v>188</v>
      </c>
      <c r="B109" s="10">
        <f>VLOOKUP(A109,'[1]2025 KG Students'!$C$2:$D$630,2,FALSE)</f>
        <v>85923</v>
      </c>
      <c r="C109" s="1" t="s">
        <v>6</v>
      </c>
      <c r="D109" s="5" t="s">
        <v>7</v>
      </c>
      <c r="E109" s="5" t="s">
        <v>463</v>
      </c>
      <c r="F109" s="4" t="s">
        <v>465</v>
      </c>
      <c r="G109" s="4" t="s">
        <v>465</v>
      </c>
      <c r="I109" s="1" t="s">
        <v>16</v>
      </c>
      <c r="J109" s="1" t="s">
        <v>10</v>
      </c>
      <c r="K109" s="4" t="s">
        <v>464</v>
      </c>
      <c r="L109" s="1" t="s">
        <v>24</v>
      </c>
      <c r="M109" s="10">
        <f>VLOOKUP(L109,'[2]2025 Teachers (1)'!$C$2:$D$807,2,FALSE)</f>
        <v>14530</v>
      </c>
      <c r="O109" s="1"/>
      <c r="P109" s="3">
        <v>0.59499999999999997</v>
      </c>
      <c r="Q109" s="1"/>
      <c r="S109" s="2"/>
      <c r="T109" s="1"/>
      <c r="U109" s="1"/>
      <c r="V109" s="1"/>
      <c r="Y109" s="1"/>
      <c r="AA109" s="1"/>
      <c r="AB109" s="1"/>
      <c r="AC109" s="1"/>
      <c r="AD109" s="1"/>
      <c r="AE109" s="1"/>
      <c r="AF109" s="1"/>
      <c r="AG109" s="1"/>
      <c r="AH109" s="13">
        <f>VLOOKUP(A109,'2024-25 DIBELS BOY '!A109:AP479,42,FALSE)</f>
        <v>0.48</v>
      </c>
      <c r="AI109" s="1"/>
      <c r="AJ109" s="1"/>
      <c r="AK109" s="1"/>
      <c r="AL109" s="1"/>
      <c r="AM109" s="1"/>
    </row>
    <row r="110" spans="1:39" ht="12.3" x14ac:dyDescent="0.4">
      <c r="A110" s="1" t="s">
        <v>189</v>
      </c>
      <c r="B110" s="10">
        <f>VLOOKUP(A110,'[1]2025 KG Students'!$C$2:$D$630,2,FALSE)</f>
        <v>88317</v>
      </c>
      <c r="C110" s="1" t="s">
        <v>6</v>
      </c>
      <c r="D110" s="5" t="s">
        <v>7</v>
      </c>
      <c r="E110" s="5" t="s">
        <v>463</v>
      </c>
      <c r="F110" s="4" t="s">
        <v>465</v>
      </c>
      <c r="G110" s="4" t="s">
        <v>465</v>
      </c>
      <c r="I110" s="1" t="s">
        <v>16</v>
      </c>
      <c r="J110" s="1" t="s">
        <v>10</v>
      </c>
      <c r="K110" s="4" t="s">
        <v>464</v>
      </c>
      <c r="L110" s="1" t="s">
        <v>26</v>
      </c>
      <c r="M110" s="10">
        <f>VLOOKUP(L110,'[2]2025 Teachers (1)'!$C$2:$D$807,2,FALSE)</f>
        <v>18941</v>
      </c>
      <c r="O110" s="1"/>
      <c r="P110" s="3">
        <v>0.56499999999999995</v>
      </c>
      <c r="Q110" s="1"/>
      <c r="S110" s="1"/>
      <c r="T110" s="1"/>
      <c r="U110" s="2"/>
      <c r="V110" s="1"/>
      <c r="Y110" s="1"/>
      <c r="AA110" s="1"/>
      <c r="AB110" s="1"/>
      <c r="AC110" s="1"/>
      <c r="AD110" s="1"/>
      <c r="AE110" s="1"/>
      <c r="AF110" s="1"/>
      <c r="AG110" s="1"/>
      <c r="AH110" s="13">
        <f>VLOOKUP(A110,'2024-25 DIBELS BOY '!A110:AP480,42,FALSE)</f>
        <v>0.48666666666666669</v>
      </c>
      <c r="AI110" s="1"/>
      <c r="AJ110" s="1"/>
      <c r="AK110" s="1"/>
      <c r="AL110" s="1"/>
      <c r="AM110" s="1"/>
    </row>
    <row r="111" spans="1:39" ht="12.3" x14ac:dyDescent="0.4">
      <c r="A111" s="1" t="s">
        <v>190</v>
      </c>
      <c r="B111" s="10">
        <f>VLOOKUP(A111,'[1]2025 KG Students'!$C$2:$D$630,2,FALSE)</f>
        <v>85588</v>
      </c>
      <c r="C111" s="1" t="s">
        <v>6</v>
      </c>
      <c r="D111" s="5" t="s">
        <v>7</v>
      </c>
      <c r="E111" s="5" t="s">
        <v>463</v>
      </c>
      <c r="F111" s="4" t="s">
        <v>465</v>
      </c>
      <c r="G111" s="4" t="s">
        <v>465</v>
      </c>
      <c r="I111" s="1" t="s">
        <v>16</v>
      </c>
      <c r="J111" s="1" t="s">
        <v>10</v>
      </c>
      <c r="K111" s="4" t="s">
        <v>464</v>
      </c>
      <c r="L111" s="1" t="s">
        <v>28</v>
      </c>
      <c r="M111" s="10">
        <f>VLOOKUP(L111,'[2]2025 Teachers (1)'!$C$2:$D$807,2,FALSE)</f>
        <v>15143</v>
      </c>
      <c r="O111" s="1"/>
      <c r="P111" s="3">
        <v>0.58333333333333337</v>
      </c>
      <c r="Q111" s="1"/>
      <c r="S111" s="2"/>
      <c r="T111" s="1"/>
      <c r="U111" s="1"/>
      <c r="V111" s="1"/>
      <c r="Y111" s="1"/>
      <c r="AA111" s="1"/>
      <c r="AB111" s="1"/>
      <c r="AC111" s="1"/>
      <c r="AD111" s="1"/>
      <c r="AE111" s="1"/>
      <c r="AF111" s="1"/>
      <c r="AG111" s="1"/>
      <c r="AH111" s="13">
        <f>VLOOKUP(A111,'2024-25 DIBELS BOY '!A111:AP481,42,FALSE)</f>
        <v>0.49833333333333335</v>
      </c>
      <c r="AI111" s="1"/>
      <c r="AJ111" s="1"/>
      <c r="AK111" s="1"/>
      <c r="AL111" s="1"/>
      <c r="AM111" s="1"/>
    </row>
    <row r="112" spans="1:39" ht="12.3" x14ac:dyDescent="0.4">
      <c r="A112" s="1" t="s">
        <v>191</v>
      </c>
      <c r="B112" s="10">
        <f>VLOOKUP(A112,'[1]2025 KG Students'!$C$2:$D$630,2,FALSE)</f>
        <v>86075</v>
      </c>
      <c r="C112" s="1" t="s">
        <v>6</v>
      </c>
      <c r="D112" s="5" t="s">
        <v>7</v>
      </c>
      <c r="E112" s="5" t="s">
        <v>463</v>
      </c>
      <c r="F112" s="4" t="s">
        <v>465</v>
      </c>
      <c r="G112" s="4" t="s">
        <v>465</v>
      </c>
      <c r="I112" s="1" t="s">
        <v>16</v>
      </c>
      <c r="J112" s="1" t="s">
        <v>10</v>
      </c>
      <c r="K112" s="4" t="s">
        <v>464</v>
      </c>
      <c r="L112" s="1" t="s">
        <v>26</v>
      </c>
      <c r="M112" s="10">
        <f>VLOOKUP(L112,'[2]2025 Teachers (1)'!$C$2:$D$807,2,FALSE)</f>
        <v>18941</v>
      </c>
      <c r="O112" s="1"/>
      <c r="P112" s="3">
        <v>0.67</v>
      </c>
      <c r="Q112" s="1"/>
      <c r="S112" s="2"/>
      <c r="T112" s="1"/>
      <c r="U112" s="1"/>
      <c r="V112" s="1"/>
      <c r="Y112" s="1"/>
      <c r="AA112" s="1"/>
      <c r="AB112" s="1"/>
      <c r="AC112" s="1"/>
      <c r="AD112" s="1"/>
      <c r="AE112" s="1"/>
      <c r="AF112" s="1"/>
      <c r="AG112" s="1"/>
      <c r="AH112" s="13">
        <f>VLOOKUP(A112,'2024-25 DIBELS BOY '!A112:AP482,42,FALSE)</f>
        <v>0.59333333333333338</v>
      </c>
      <c r="AI112" s="1"/>
      <c r="AJ112" s="1"/>
      <c r="AK112" s="1"/>
      <c r="AL112" s="1"/>
      <c r="AM112" s="1"/>
    </row>
    <row r="113" spans="1:39" ht="12.3" x14ac:dyDescent="0.4">
      <c r="A113" s="1" t="s">
        <v>192</v>
      </c>
      <c r="B113" s="10">
        <f>VLOOKUP(A113,'[1]2025 KG Students'!$C$2:$D$630,2,FALSE)</f>
        <v>88912</v>
      </c>
      <c r="C113" s="1" t="s">
        <v>6</v>
      </c>
      <c r="D113" s="5" t="s">
        <v>7</v>
      </c>
      <c r="E113" s="5" t="s">
        <v>463</v>
      </c>
      <c r="F113" s="4" t="s">
        <v>465</v>
      </c>
      <c r="G113" s="4" t="s">
        <v>465</v>
      </c>
      <c r="I113" s="1" t="s">
        <v>16</v>
      </c>
      <c r="J113" s="1" t="s">
        <v>10</v>
      </c>
      <c r="K113" s="4" t="s">
        <v>464</v>
      </c>
      <c r="L113" s="1" t="s">
        <v>22</v>
      </c>
      <c r="M113" s="10">
        <f>VLOOKUP(L113,'[2]2025 Teachers (1)'!$C$2:$D$807,2,FALSE)</f>
        <v>18825</v>
      </c>
      <c r="O113" s="1"/>
      <c r="P113" s="3">
        <v>0.61166666666666669</v>
      </c>
      <c r="Q113" s="1"/>
      <c r="S113" s="2"/>
      <c r="T113" s="1"/>
      <c r="U113" s="1"/>
      <c r="V113" s="1"/>
      <c r="Y113" s="1"/>
      <c r="AA113" s="1"/>
      <c r="AB113" s="1"/>
      <c r="AC113" s="1"/>
      <c r="AD113" s="1"/>
      <c r="AE113" s="1"/>
      <c r="AF113" s="1"/>
      <c r="AG113" s="1"/>
      <c r="AH113" s="13" t="e">
        <f>VLOOKUP(A113,'2024-25 DIBELS BOY '!A113:AP483,42,FALSE)</f>
        <v>#N/A</v>
      </c>
      <c r="AI113" s="1"/>
      <c r="AJ113" s="1"/>
      <c r="AK113" s="1"/>
      <c r="AL113" s="1"/>
      <c r="AM113" s="1"/>
    </row>
    <row r="114" spans="1:39" ht="12.3" x14ac:dyDescent="0.4">
      <c r="A114" s="1" t="s">
        <v>193</v>
      </c>
      <c r="B114" s="10">
        <f>VLOOKUP(A114,'[1]2025 KG Students'!$C$2:$D$630,2,FALSE)</f>
        <v>85138</v>
      </c>
      <c r="C114" s="1" t="s">
        <v>6</v>
      </c>
      <c r="D114" s="5" t="s">
        <v>7</v>
      </c>
      <c r="E114" s="5" t="s">
        <v>463</v>
      </c>
      <c r="F114" s="4" t="s">
        <v>465</v>
      </c>
      <c r="G114" s="4" t="s">
        <v>465</v>
      </c>
      <c r="I114" s="1" t="s">
        <v>16</v>
      </c>
      <c r="J114" s="1" t="s">
        <v>10</v>
      </c>
      <c r="K114" s="4" t="s">
        <v>464</v>
      </c>
      <c r="L114" s="1" t="s">
        <v>24</v>
      </c>
      <c r="M114" s="10">
        <f>VLOOKUP(L114,'[2]2025 Teachers (1)'!$C$2:$D$807,2,FALSE)</f>
        <v>14530</v>
      </c>
      <c r="O114" s="1"/>
      <c r="P114" s="3">
        <v>0.6</v>
      </c>
      <c r="Q114" s="1"/>
      <c r="S114" s="2"/>
      <c r="T114" s="1"/>
      <c r="U114" s="2"/>
      <c r="V114" s="1"/>
      <c r="Y114" s="1"/>
      <c r="AA114" s="1"/>
      <c r="AB114" s="1"/>
      <c r="AC114" s="1"/>
      <c r="AD114" s="1"/>
      <c r="AE114" s="1"/>
      <c r="AF114" s="1"/>
      <c r="AG114" s="1"/>
      <c r="AH114" s="13">
        <f>VLOOKUP(A114,'2024-25 DIBELS BOY '!A114:AP484,42,FALSE)</f>
        <v>0.49</v>
      </c>
      <c r="AI114" s="1"/>
      <c r="AJ114" s="1"/>
      <c r="AK114" s="1"/>
      <c r="AL114" s="1"/>
      <c r="AM114" s="1"/>
    </row>
    <row r="115" spans="1:39" ht="12.3" x14ac:dyDescent="0.4">
      <c r="A115" s="1" t="s">
        <v>194</v>
      </c>
      <c r="B115" s="10">
        <f>VLOOKUP(A115,'[1]2025 KG Students'!$C$2:$D$630,2,FALSE)</f>
        <v>85683</v>
      </c>
      <c r="C115" s="1" t="s">
        <v>6</v>
      </c>
      <c r="D115" s="5" t="s">
        <v>7</v>
      </c>
      <c r="E115" s="5" t="s">
        <v>463</v>
      </c>
      <c r="F115" s="4" t="s">
        <v>465</v>
      </c>
      <c r="G115" s="4" t="s">
        <v>465</v>
      </c>
      <c r="I115" s="1" t="s">
        <v>16</v>
      </c>
      <c r="J115" s="1" t="s">
        <v>10</v>
      </c>
      <c r="K115" s="4" t="s">
        <v>464</v>
      </c>
      <c r="L115" s="1" t="s">
        <v>11</v>
      </c>
      <c r="M115" s="10">
        <f>VLOOKUP(L115,'[2]2025 Teachers (1)'!$C$2:$D$807,2,FALSE)</f>
        <v>18548</v>
      </c>
      <c r="O115" s="1"/>
      <c r="P115" s="3">
        <v>0.6333333333333333</v>
      </c>
      <c r="Q115" s="1"/>
      <c r="S115" s="2"/>
      <c r="T115" s="1"/>
      <c r="U115" s="1"/>
      <c r="V115" s="1"/>
      <c r="Y115" s="1"/>
      <c r="AA115" s="1"/>
      <c r="AB115" s="1"/>
      <c r="AC115" s="1"/>
      <c r="AD115" s="1"/>
      <c r="AE115" s="1"/>
      <c r="AF115" s="1"/>
      <c r="AG115" s="1"/>
      <c r="AH115" s="13">
        <f>VLOOKUP(A115,'2024-25 DIBELS BOY '!A115:AP485,42,FALSE)</f>
        <v>0.55666666666666664</v>
      </c>
      <c r="AI115" s="1"/>
      <c r="AJ115" s="1"/>
      <c r="AK115" s="1"/>
      <c r="AL115" s="1"/>
      <c r="AM115" s="1"/>
    </row>
    <row r="116" spans="1:39" ht="12.3" x14ac:dyDescent="0.4">
      <c r="A116" s="1" t="s">
        <v>195</v>
      </c>
      <c r="B116" s="10">
        <f>VLOOKUP(A116,'[1]2025 KG Students'!$C$2:$D$630,2,FALSE)</f>
        <v>87441</v>
      </c>
      <c r="C116" s="1" t="s">
        <v>6</v>
      </c>
      <c r="D116" s="5" t="s">
        <v>7</v>
      </c>
      <c r="E116" s="5" t="s">
        <v>463</v>
      </c>
      <c r="F116" s="4" t="s">
        <v>465</v>
      </c>
      <c r="G116" s="4" t="s">
        <v>465</v>
      </c>
      <c r="I116" s="1" t="s">
        <v>16</v>
      </c>
      <c r="J116" s="1" t="s">
        <v>10</v>
      </c>
      <c r="K116" s="4" t="s">
        <v>464</v>
      </c>
      <c r="L116" s="1" t="s">
        <v>28</v>
      </c>
      <c r="M116" s="10">
        <f>VLOOKUP(L116,'[2]2025 Teachers (1)'!$C$2:$D$807,2,FALSE)</f>
        <v>15143</v>
      </c>
      <c r="O116" s="1"/>
      <c r="P116" s="3">
        <v>0.60333333333333339</v>
      </c>
      <c r="Q116" s="1"/>
      <c r="S116" s="1"/>
      <c r="T116" s="1"/>
      <c r="U116" s="1"/>
      <c r="V116" s="1"/>
      <c r="Y116" s="1"/>
      <c r="AA116" s="1"/>
      <c r="AB116" s="1"/>
      <c r="AC116" s="1"/>
      <c r="AD116" s="1"/>
      <c r="AE116" s="1"/>
      <c r="AF116" s="1"/>
      <c r="AG116" s="1"/>
      <c r="AH116" s="13">
        <f>VLOOKUP(A116,'2024-25 DIBELS BOY '!A116:AP486,42,FALSE)</f>
        <v>0.50166666666666671</v>
      </c>
      <c r="AI116" s="1"/>
      <c r="AJ116" s="1"/>
      <c r="AK116" s="1"/>
      <c r="AL116" s="1"/>
      <c r="AM116" s="1"/>
    </row>
    <row r="117" spans="1:39" ht="12.3" x14ac:dyDescent="0.4">
      <c r="A117" s="1" t="s">
        <v>196</v>
      </c>
      <c r="B117" s="10">
        <f>VLOOKUP(A117,'[1]2025 KG Students'!$C$2:$D$630,2,FALSE)</f>
        <v>85534</v>
      </c>
      <c r="C117" s="1" t="s">
        <v>6</v>
      </c>
      <c r="D117" s="5" t="s">
        <v>7</v>
      </c>
      <c r="E117" s="5" t="s">
        <v>463</v>
      </c>
      <c r="F117" s="4" t="s">
        <v>465</v>
      </c>
      <c r="G117" s="4" t="s">
        <v>465</v>
      </c>
      <c r="I117" s="1" t="s">
        <v>16</v>
      </c>
      <c r="J117" s="1" t="s">
        <v>10</v>
      </c>
      <c r="K117" s="4" t="s">
        <v>464</v>
      </c>
      <c r="L117" s="1" t="s">
        <v>11</v>
      </c>
      <c r="M117" s="10">
        <f>VLOOKUP(L117,'[2]2025 Teachers (1)'!$C$2:$D$807,2,FALSE)</f>
        <v>18548</v>
      </c>
      <c r="O117" s="1"/>
      <c r="P117" s="3">
        <v>0.57333333333333336</v>
      </c>
      <c r="Q117" s="1"/>
      <c r="S117" s="2"/>
      <c r="T117" s="1"/>
      <c r="U117" s="2"/>
      <c r="V117" s="1"/>
      <c r="Y117" s="1"/>
      <c r="AA117" s="1"/>
      <c r="AB117" s="1"/>
      <c r="AC117" s="1"/>
      <c r="AD117" s="1"/>
      <c r="AE117" s="1"/>
      <c r="AF117" s="1"/>
      <c r="AG117" s="1"/>
      <c r="AH117" s="13">
        <f>VLOOKUP(A117,'2024-25 DIBELS BOY '!A117:AP487,42,FALSE)</f>
        <v>0.49833333333333335</v>
      </c>
      <c r="AI117" s="1"/>
      <c r="AJ117" s="1"/>
      <c r="AK117" s="1"/>
      <c r="AL117" s="1"/>
      <c r="AM117" s="1"/>
    </row>
    <row r="118" spans="1:39" ht="12.3" x14ac:dyDescent="0.4">
      <c r="A118" s="1" t="s">
        <v>197</v>
      </c>
      <c r="B118" s="10">
        <f>VLOOKUP(A118,'[1]2025 KG Students'!$C$2:$D$630,2,FALSE)</f>
        <v>85548</v>
      </c>
      <c r="C118" s="1" t="s">
        <v>6</v>
      </c>
      <c r="D118" s="5" t="s">
        <v>7</v>
      </c>
      <c r="E118" s="5" t="s">
        <v>463</v>
      </c>
      <c r="F118" s="4" t="s">
        <v>465</v>
      </c>
      <c r="G118" s="4" t="s">
        <v>465</v>
      </c>
      <c r="I118" s="1" t="s">
        <v>8</v>
      </c>
      <c r="J118" s="1" t="s">
        <v>9</v>
      </c>
      <c r="K118" s="4" t="s">
        <v>464</v>
      </c>
      <c r="L118" s="1" t="s">
        <v>11</v>
      </c>
      <c r="M118" s="10">
        <f>VLOOKUP(L118,'[2]2025 Teachers (1)'!$C$2:$D$807,2,FALSE)</f>
        <v>18548</v>
      </c>
      <c r="O118" s="1"/>
      <c r="P118" s="3">
        <v>0.66833333333333333</v>
      </c>
      <c r="Q118" s="1"/>
      <c r="S118" s="2"/>
      <c r="T118" s="1"/>
      <c r="U118" s="2"/>
      <c r="V118" s="1"/>
      <c r="Y118" s="1"/>
      <c r="AA118" s="1"/>
      <c r="AB118" s="1"/>
      <c r="AC118" s="1"/>
      <c r="AD118" s="1"/>
      <c r="AE118" s="1"/>
      <c r="AF118" s="1"/>
      <c r="AG118" s="1"/>
      <c r="AH118" s="13">
        <f>VLOOKUP(A118,'2024-25 DIBELS BOY '!A118:AP488,42,FALSE)</f>
        <v>0.65833333333333333</v>
      </c>
      <c r="AI118" s="1"/>
      <c r="AJ118" s="1"/>
      <c r="AK118" s="1"/>
      <c r="AL118" s="1"/>
      <c r="AM118" s="1"/>
    </row>
    <row r="119" spans="1:39" ht="12.3" x14ac:dyDescent="0.4">
      <c r="A119" s="1" t="s">
        <v>198</v>
      </c>
      <c r="B119" s="10">
        <f>VLOOKUP(A119,'[1]2025 KG Students'!$C$2:$D$630,2,FALSE)</f>
        <v>85293</v>
      </c>
      <c r="C119" s="1" t="s">
        <v>6</v>
      </c>
      <c r="D119" s="5" t="s">
        <v>7</v>
      </c>
      <c r="E119" s="5" t="s">
        <v>463</v>
      </c>
      <c r="F119" s="4" t="s">
        <v>465</v>
      </c>
      <c r="G119" s="4" t="s">
        <v>465</v>
      </c>
      <c r="I119" s="1" t="s">
        <v>8</v>
      </c>
      <c r="J119" s="1" t="s">
        <v>9</v>
      </c>
      <c r="K119" s="4" t="s">
        <v>464</v>
      </c>
      <c r="L119" s="1" t="s">
        <v>25</v>
      </c>
      <c r="M119" s="10">
        <f>VLOOKUP(L119,'[2]2025 Teachers (1)'!$C$2:$D$807,2,FALSE)</f>
        <v>17649</v>
      </c>
      <c r="O119" s="1"/>
      <c r="P119" s="3">
        <v>0.56166666666666665</v>
      </c>
      <c r="Q119" s="1"/>
      <c r="S119" s="2"/>
      <c r="T119" s="1"/>
      <c r="U119" s="1"/>
      <c r="V119" s="1"/>
      <c r="Y119" s="1"/>
      <c r="AA119" s="1"/>
      <c r="AB119" s="1"/>
      <c r="AC119" s="1"/>
      <c r="AD119" s="1"/>
      <c r="AE119" s="1"/>
      <c r="AF119" s="1"/>
      <c r="AG119" s="1"/>
      <c r="AH119" s="13">
        <f>VLOOKUP(A119,'2024-25 DIBELS BOY '!A119:AP489,42,FALSE)</f>
        <v>0.45333333333333331</v>
      </c>
      <c r="AI119" s="1"/>
      <c r="AJ119" s="1"/>
      <c r="AK119" s="1"/>
      <c r="AL119" s="1"/>
      <c r="AM119" s="1"/>
    </row>
    <row r="120" spans="1:39" ht="12.3" x14ac:dyDescent="0.4">
      <c r="A120" s="1" t="s">
        <v>199</v>
      </c>
      <c r="B120" s="10">
        <f>VLOOKUP(A120,'[1]2025 KG Students'!$C$2:$D$630,2,FALSE)</f>
        <v>85065</v>
      </c>
      <c r="C120" s="1" t="s">
        <v>6</v>
      </c>
      <c r="D120" s="5" t="s">
        <v>7</v>
      </c>
      <c r="E120" s="5" t="s">
        <v>463</v>
      </c>
      <c r="F120" s="4" t="s">
        <v>465</v>
      </c>
      <c r="G120" s="4" t="s">
        <v>465</v>
      </c>
      <c r="I120" s="1" t="s">
        <v>8</v>
      </c>
      <c r="J120" s="1" t="s">
        <v>9</v>
      </c>
      <c r="K120" s="4" t="s">
        <v>464</v>
      </c>
      <c r="L120" s="1" t="s">
        <v>23</v>
      </c>
      <c r="M120" s="10">
        <f>VLOOKUP(L120,'[2]2025 Teachers (1)'!$C$2:$D$807,2,FALSE)</f>
        <v>17879</v>
      </c>
      <c r="O120" s="1"/>
      <c r="P120" s="3">
        <v>0.67666666666666664</v>
      </c>
      <c r="Q120" s="1"/>
      <c r="S120" s="2"/>
      <c r="T120" s="1"/>
      <c r="U120" s="1"/>
      <c r="V120" s="1"/>
      <c r="Y120" s="1"/>
      <c r="AA120" s="1"/>
      <c r="AB120" s="1"/>
      <c r="AC120" s="1"/>
      <c r="AD120" s="1"/>
      <c r="AE120" s="1"/>
      <c r="AF120" s="1"/>
      <c r="AG120" s="1"/>
      <c r="AH120" s="13">
        <f>VLOOKUP(A120,'2024-25 DIBELS BOY '!A120:AP490,42,FALSE)</f>
        <v>0.65</v>
      </c>
      <c r="AI120" s="1"/>
      <c r="AJ120" s="1"/>
      <c r="AK120" s="1"/>
      <c r="AL120" s="1"/>
      <c r="AM120" s="1"/>
    </row>
    <row r="121" spans="1:39" ht="12.3" x14ac:dyDescent="0.4">
      <c r="A121" s="1" t="s">
        <v>200</v>
      </c>
      <c r="B121" s="10">
        <f>VLOOKUP(A121,'[1]2025 KG Students'!$C$2:$D$630,2,FALSE)</f>
        <v>88434</v>
      </c>
      <c r="C121" s="1" t="s">
        <v>6</v>
      </c>
      <c r="D121" s="5" t="s">
        <v>7</v>
      </c>
      <c r="E121" s="5" t="s">
        <v>463</v>
      </c>
      <c r="F121" s="4" t="s">
        <v>465</v>
      </c>
      <c r="G121" s="4" t="s">
        <v>465</v>
      </c>
      <c r="I121" s="1" t="s">
        <v>8</v>
      </c>
      <c r="J121" s="1" t="s">
        <v>9</v>
      </c>
      <c r="K121" s="4" t="s">
        <v>464</v>
      </c>
      <c r="L121" s="1" t="s">
        <v>25</v>
      </c>
      <c r="M121" s="10">
        <f>VLOOKUP(L121,'[2]2025 Teachers (1)'!$C$2:$D$807,2,FALSE)</f>
        <v>17649</v>
      </c>
      <c r="O121" s="1"/>
      <c r="P121" s="3">
        <v>0.57833333333333337</v>
      </c>
      <c r="Q121" s="1"/>
      <c r="S121" s="1"/>
      <c r="T121" s="1"/>
      <c r="U121" s="1"/>
      <c r="V121" s="1"/>
      <c r="Y121" s="1"/>
      <c r="AA121" s="1"/>
      <c r="AB121" s="1"/>
      <c r="AC121" s="1"/>
      <c r="AD121" s="1"/>
      <c r="AE121" s="1"/>
      <c r="AF121" s="1"/>
      <c r="AG121" s="1"/>
      <c r="AH121" s="13">
        <f>VLOOKUP(A121,'2024-25 DIBELS BOY '!A121:AP491,42,FALSE)</f>
        <v>0.55000000000000004</v>
      </c>
      <c r="AI121" s="1"/>
      <c r="AJ121" s="1"/>
      <c r="AK121" s="1"/>
      <c r="AL121" s="1"/>
      <c r="AM121" s="1"/>
    </row>
    <row r="122" spans="1:39" ht="12.3" x14ac:dyDescent="0.4">
      <c r="A122" s="1" t="s">
        <v>201</v>
      </c>
      <c r="B122" s="10">
        <f>VLOOKUP(A122,'[1]2025 KG Students'!$C$2:$D$630,2,FALSE)</f>
        <v>86077</v>
      </c>
      <c r="C122" s="1" t="s">
        <v>6</v>
      </c>
      <c r="D122" s="5" t="s">
        <v>7</v>
      </c>
      <c r="E122" s="5" t="s">
        <v>463</v>
      </c>
      <c r="F122" s="4" t="s">
        <v>465</v>
      </c>
      <c r="G122" s="4" t="s">
        <v>465</v>
      </c>
      <c r="I122" s="1" t="s">
        <v>16</v>
      </c>
      <c r="J122" s="1" t="s">
        <v>10</v>
      </c>
      <c r="K122" s="4" t="s">
        <v>464</v>
      </c>
      <c r="L122" s="1" t="s">
        <v>30</v>
      </c>
      <c r="M122" s="10">
        <f>VLOOKUP(L122,'[2]2025 Teachers (1)'!$C$2:$D$807,2,FALSE)</f>
        <v>17919</v>
      </c>
      <c r="O122" s="1"/>
      <c r="P122" s="3">
        <v>0.67</v>
      </c>
      <c r="Q122" s="1"/>
      <c r="S122" s="2"/>
      <c r="T122" s="1"/>
      <c r="U122" s="2"/>
      <c r="V122" s="1"/>
      <c r="Y122" s="1"/>
      <c r="AA122" s="1"/>
      <c r="AB122" s="1"/>
      <c r="AC122" s="1"/>
      <c r="AD122" s="1"/>
      <c r="AE122" s="1"/>
      <c r="AF122" s="1"/>
      <c r="AG122" s="1"/>
      <c r="AH122" s="13">
        <f>VLOOKUP(A122,'2024-25 DIBELS BOY '!A122:AP492,42,FALSE)</f>
        <v>0.6</v>
      </c>
      <c r="AI122" s="1"/>
      <c r="AJ122" s="1"/>
      <c r="AK122" s="1"/>
      <c r="AL122" s="1"/>
      <c r="AM122" s="1"/>
    </row>
    <row r="123" spans="1:39" ht="12.3" x14ac:dyDescent="0.4">
      <c r="A123" s="1" t="s">
        <v>202</v>
      </c>
      <c r="B123" s="10">
        <f>VLOOKUP(A123,'[1]2025 KG Students'!$C$2:$D$630,2,FALSE)</f>
        <v>88356</v>
      </c>
      <c r="C123" s="1" t="s">
        <v>6</v>
      </c>
      <c r="D123" s="5" t="s">
        <v>7</v>
      </c>
      <c r="E123" s="5" t="s">
        <v>463</v>
      </c>
      <c r="F123" s="4" t="s">
        <v>465</v>
      </c>
      <c r="G123" s="4" t="s">
        <v>465</v>
      </c>
      <c r="I123" s="1" t="s">
        <v>16</v>
      </c>
      <c r="J123" s="1" t="s">
        <v>10</v>
      </c>
      <c r="K123" s="4" t="s">
        <v>464</v>
      </c>
      <c r="L123" s="1" t="s">
        <v>22</v>
      </c>
      <c r="M123" s="10">
        <f>VLOOKUP(L123,'[2]2025 Teachers (1)'!$C$2:$D$807,2,FALSE)</f>
        <v>18825</v>
      </c>
      <c r="O123" s="1"/>
      <c r="P123" s="3">
        <v>0.53</v>
      </c>
      <c r="Q123" s="1"/>
      <c r="S123" s="1"/>
      <c r="T123" s="1"/>
      <c r="U123" s="1"/>
      <c r="V123" s="1"/>
      <c r="Y123" s="1"/>
      <c r="AA123" s="1"/>
      <c r="AB123" s="1"/>
      <c r="AC123" s="1"/>
      <c r="AD123" s="1"/>
      <c r="AE123" s="1"/>
      <c r="AF123" s="1"/>
      <c r="AG123" s="1"/>
      <c r="AH123" s="13">
        <f>VLOOKUP(A123,'2024-25 DIBELS BOY '!A123:AP493,42,FALSE)</f>
        <v>0.54666666666666663</v>
      </c>
      <c r="AI123" s="1"/>
      <c r="AJ123" s="1"/>
      <c r="AK123" s="1"/>
      <c r="AL123" s="1"/>
      <c r="AM123" s="1"/>
    </row>
    <row r="124" spans="1:39" ht="12.3" x14ac:dyDescent="0.4">
      <c r="A124" s="1" t="s">
        <v>203</v>
      </c>
      <c r="B124" s="10">
        <f>VLOOKUP(A124,'[1]2025 KG Students'!$C$2:$D$630,2,FALSE)</f>
        <v>84999</v>
      </c>
      <c r="C124" s="1" t="s">
        <v>6</v>
      </c>
      <c r="D124" s="5" t="s">
        <v>7</v>
      </c>
      <c r="E124" s="5" t="s">
        <v>463</v>
      </c>
      <c r="F124" s="4" t="s">
        <v>465</v>
      </c>
      <c r="G124" s="4" t="s">
        <v>465</v>
      </c>
      <c r="I124" s="1" t="s">
        <v>8</v>
      </c>
      <c r="J124" s="1" t="s">
        <v>9</v>
      </c>
      <c r="K124" s="4" t="s">
        <v>464</v>
      </c>
      <c r="L124" s="1" t="s">
        <v>19</v>
      </c>
      <c r="M124" s="10">
        <f>VLOOKUP(L124,'[2]2025 Teachers (1)'!$C$2:$D$807,2,FALSE)</f>
        <v>18050</v>
      </c>
      <c r="O124" s="1"/>
      <c r="P124" s="3">
        <v>0.67</v>
      </c>
      <c r="Q124" s="1"/>
      <c r="S124" s="2"/>
      <c r="T124" s="1"/>
      <c r="U124" s="1"/>
      <c r="V124" s="1"/>
      <c r="Y124" s="1"/>
      <c r="AA124" s="1"/>
      <c r="AB124" s="1"/>
      <c r="AC124" s="1"/>
      <c r="AD124" s="1"/>
      <c r="AE124" s="1"/>
      <c r="AF124" s="1"/>
      <c r="AG124" s="1"/>
      <c r="AH124" s="13">
        <f>VLOOKUP(A124,'2024-25 DIBELS BOY '!A124:AP494,42,FALSE)</f>
        <v>0.63</v>
      </c>
      <c r="AI124" s="1"/>
      <c r="AJ124" s="1"/>
      <c r="AK124" s="1"/>
      <c r="AL124" s="1"/>
      <c r="AM124" s="1"/>
    </row>
    <row r="125" spans="1:39" ht="12.3" x14ac:dyDescent="0.4">
      <c r="A125" s="1" t="s">
        <v>204</v>
      </c>
      <c r="B125" s="10">
        <f>VLOOKUP(A125,'[1]2025 KG Students'!$C$2:$D$630,2,FALSE)</f>
        <v>88310</v>
      </c>
      <c r="C125" s="1" t="s">
        <v>6</v>
      </c>
      <c r="D125" s="5" t="s">
        <v>7</v>
      </c>
      <c r="E125" s="5" t="s">
        <v>463</v>
      </c>
      <c r="F125" s="4" t="s">
        <v>465</v>
      </c>
      <c r="G125" s="4" t="s">
        <v>465</v>
      </c>
      <c r="I125" s="1" t="s">
        <v>16</v>
      </c>
      <c r="J125" s="1" t="s">
        <v>9</v>
      </c>
      <c r="K125" s="4" t="s">
        <v>464</v>
      </c>
      <c r="L125" s="1" t="s">
        <v>28</v>
      </c>
      <c r="M125" s="10">
        <f>VLOOKUP(L125,'[2]2025 Teachers (1)'!$C$2:$D$807,2,FALSE)</f>
        <v>15143</v>
      </c>
      <c r="O125" s="1"/>
      <c r="P125" s="3">
        <v>0.63833333333333331</v>
      </c>
      <c r="Q125" s="1"/>
      <c r="S125" s="1"/>
      <c r="T125" s="1"/>
      <c r="U125" s="2"/>
      <c r="V125" s="1"/>
      <c r="Y125" s="1"/>
      <c r="AA125" s="1"/>
      <c r="AB125" s="1"/>
      <c r="AC125" s="1"/>
      <c r="AD125" s="1"/>
      <c r="AE125" s="1"/>
      <c r="AF125" s="1"/>
      <c r="AG125" s="1"/>
      <c r="AH125" s="13">
        <f>VLOOKUP(A125,'2024-25 DIBELS BOY '!A125:AP495,42,FALSE)</f>
        <v>0.56499999999999995</v>
      </c>
      <c r="AI125" s="1"/>
      <c r="AJ125" s="1"/>
      <c r="AK125" s="1"/>
      <c r="AL125" s="1"/>
      <c r="AM125" s="1"/>
    </row>
    <row r="126" spans="1:39" ht="12.3" x14ac:dyDescent="0.4">
      <c r="A126" s="1" t="s">
        <v>205</v>
      </c>
      <c r="B126" s="10">
        <f>VLOOKUP(A126,'[1]2025 KG Students'!$C$2:$D$630,2,FALSE)</f>
        <v>84587</v>
      </c>
      <c r="C126" s="1" t="s">
        <v>6</v>
      </c>
      <c r="D126" s="5" t="s">
        <v>7</v>
      </c>
      <c r="E126" s="5" t="s">
        <v>463</v>
      </c>
      <c r="F126" s="4" t="s">
        <v>465</v>
      </c>
      <c r="G126" s="4" t="s">
        <v>465</v>
      </c>
      <c r="I126" s="1" t="s">
        <v>16</v>
      </c>
      <c r="J126" s="1" t="s">
        <v>10</v>
      </c>
      <c r="K126" s="4" t="s">
        <v>464</v>
      </c>
      <c r="L126" s="1" t="s">
        <v>30</v>
      </c>
      <c r="M126" s="10">
        <f>VLOOKUP(L126,'[2]2025 Teachers (1)'!$C$2:$D$807,2,FALSE)</f>
        <v>17919</v>
      </c>
      <c r="O126" s="1"/>
      <c r="P126" s="3">
        <v>0.60333333333333339</v>
      </c>
      <c r="Q126" s="1"/>
      <c r="S126" s="2"/>
      <c r="T126" s="1"/>
      <c r="U126" s="1"/>
      <c r="V126" s="1"/>
      <c r="Y126" s="1"/>
      <c r="AA126" s="1"/>
      <c r="AB126" s="1"/>
      <c r="AC126" s="1"/>
      <c r="AD126" s="1"/>
      <c r="AE126" s="1"/>
      <c r="AF126" s="1"/>
      <c r="AG126" s="1"/>
      <c r="AH126" s="13">
        <f>VLOOKUP(A126,'2024-25 DIBELS BOY '!A126:AP496,42,FALSE)</f>
        <v>0.53500000000000003</v>
      </c>
      <c r="AI126" s="1"/>
      <c r="AJ126" s="1"/>
      <c r="AK126" s="1"/>
      <c r="AL126" s="1"/>
      <c r="AM126" s="1"/>
    </row>
    <row r="127" spans="1:39" ht="12.3" x14ac:dyDescent="0.4">
      <c r="A127" s="1" t="s">
        <v>206</v>
      </c>
      <c r="B127" s="10">
        <f>VLOOKUP(A127,'[1]2025 KG Students'!$C$2:$D$630,2,FALSE)</f>
        <v>88190</v>
      </c>
      <c r="C127" s="1" t="s">
        <v>6</v>
      </c>
      <c r="D127" s="5" t="s">
        <v>7</v>
      </c>
      <c r="E127" s="5" t="s">
        <v>463</v>
      </c>
      <c r="F127" s="4" t="s">
        <v>465</v>
      </c>
      <c r="G127" s="4" t="s">
        <v>465</v>
      </c>
      <c r="I127" s="1" t="s">
        <v>8</v>
      </c>
      <c r="J127" s="1" t="s">
        <v>9</v>
      </c>
      <c r="K127" s="4" t="s">
        <v>464</v>
      </c>
      <c r="L127" s="1" t="s">
        <v>22</v>
      </c>
      <c r="M127" s="10">
        <f>VLOOKUP(L127,'[2]2025 Teachers (1)'!$C$2:$D$807,2,FALSE)</f>
        <v>18825</v>
      </c>
      <c r="O127" s="1"/>
      <c r="P127" s="3">
        <v>0.65166666666666662</v>
      </c>
      <c r="Q127" s="1"/>
      <c r="S127" s="1"/>
      <c r="T127" s="1"/>
      <c r="U127" s="2"/>
      <c r="V127" s="1"/>
      <c r="Y127" s="1"/>
      <c r="AA127" s="1"/>
      <c r="AB127" s="1"/>
      <c r="AC127" s="1"/>
      <c r="AD127" s="1"/>
      <c r="AE127" s="1"/>
      <c r="AF127" s="1"/>
      <c r="AG127" s="1"/>
      <c r="AH127" s="13">
        <f>VLOOKUP(A127,'2024-25 DIBELS BOY '!A127:AP497,42,FALSE)</f>
        <v>0.57999999999999996</v>
      </c>
      <c r="AI127" s="1"/>
      <c r="AJ127" s="1"/>
      <c r="AK127" s="1"/>
      <c r="AL127" s="1"/>
      <c r="AM127" s="1"/>
    </row>
    <row r="128" spans="1:39" ht="12.3" x14ac:dyDescent="0.4">
      <c r="A128" s="1" t="s">
        <v>207</v>
      </c>
      <c r="B128" s="10">
        <f>VLOOKUP(A128,'[1]2025 KG Students'!$C$2:$D$630,2,FALSE)</f>
        <v>85433</v>
      </c>
      <c r="C128" s="1" t="s">
        <v>6</v>
      </c>
      <c r="D128" s="5" t="s">
        <v>7</v>
      </c>
      <c r="E128" s="5" t="s">
        <v>463</v>
      </c>
      <c r="F128" s="4" t="s">
        <v>465</v>
      </c>
      <c r="G128" s="4" t="s">
        <v>465</v>
      </c>
      <c r="I128" s="1" t="s">
        <v>16</v>
      </c>
      <c r="J128" s="1" t="s">
        <v>10</v>
      </c>
      <c r="K128" s="4" t="s">
        <v>464</v>
      </c>
      <c r="L128" s="1" t="s">
        <v>17</v>
      </c>
      <c r="M128" s="10">
        <f>VLOOKUP(L128,'[2]2025 Teachers (1)'!$C$2:$D$807,2,FALSE)</f>
        <v>13866</v>
      </c>
      <c r="O128" s="1"/>
      <c r="P128" s="3">
        <v>0.67</v>
      </c>
      <c r="Q128" s="1"/>
      <c r="S128" s="2"/>
      <c r="T128" s="1"/>
      <c r="U128" s="1"/>
      <c r="V128" s="1"/>
      <c r="Y128" s="1"/>
      <c r="AA128" s="1"/>
      <c r="AB128" s="1"/>
      <c r="AC128" s="1"/>
      <c r="AD128" s="1"/>
      <c r="AE128" s="1"/>
      <c r="AF128" s="1"/>
      <c r="AG128" s="1"/>
      <c r="AH128" s="13">
        <f>VLOOKUP(A128,'2024-25 DIBELS BOY '!A128:AP498,42,FALSE)</f>
        <v>0.55833333333333335</v>
      </c>
      <c r="AI128" s="1"/>
      <c r="AJ128" s="1"/>
      <c r="AK128" s="1"/>
      <c r="AL128" s="1"/>
      <c r="AM128" s="1"/>
    </row>
    <row r="129" spans="1:39" ht="12.3" x14ac:dyDescent="0.4">
      <c r="A129" s="1" t="s">
        <v>208</v>
      </c>
      <c r="B129" s="10">
        <f>VLOOKUP(A129,'[1]2025 KG Students'!$C$2:$D$630,2,FALSE)</f>
        <v>85718</v>
      </c>
      <c r="C129" s="1" t="s">
        <v>6</v>
      </c>
      <c r="D129" s="5" t="s">
        <v>7</v>
      </c>
      <c r="E129" s="5" t="s">
        <v>463</v>
      </c>
      <c r="F129" s="4" t="s">
        <v>465</v>
      </c>
      <c r="G129" s="4" t="s">
        <v>465</v>
      </c>
      <c r="I129" s="1" t="s">
        <v>16</v>
      </c>
      <c r="J129" s="1" t="s">
        <v>10</v>
      </c>
      <c r="K129" s="4" t="s">
        <v>464</v>
      </c>
      <c r="L129" s="1" t="s">
        <v>24</v>
      </c>
      <c r="M129" s="10">
        <f>VLOOKUP(L129,'[2]2025 Teachers (1)'!$C$2:$D$807,2,FALSE)</f>
        <v>14530</v>
      </c>
      <c r="O129" s="1"/>
      <c r="P129" s="3">
        <v>0.91333333333333333</v>
      </c>
      <c r="Q129" s="1"/>
      <c r="S129" s="2"/>
      <c r="T129" s="1"/>
      <c r="U129" s="2"/>
      <c r="V129" s="1"/>
      <c r="Y129" s="1"/>
      <c r="AA129" s="1"/>
      <c r="AB129" s="1"/>
      <c r="AC129" s="1"/>
      <c r="AD129" s="1"/>
      <c r="AE129" s="1"/>
      <c r="AF129" s="1"/>
      <c r="AG129" s="1"/>
      <c r="AH129" s="13">
        <f>VLOOKUP(A129,'2024-25 DIBELS BOY '!A129:AP499,42,FALSE)</f>
        <v>0.83166666666666667</v>
      </c>
      <c r="AI129" s="1"/>
      <c r="AJ129" s="1"/>
      <c r="AK129" s="1"/>
      <c r="AL129" s="1"/>
      <c r="AM129" s="1"/>
    </row>
    <row r="130" spans="1:39" ht="12.3" x14ac:dyDescent="0.4">
      <c r="A130" s="1" t="s">
        <v>209</v>
      </c>
      <c r="B130" s="10">
        <f>VLOOKUP(A130,'[1]2025 KG Students'!$C$2:$D$630,2,FALSE)</f>
        <v>86164</v>
      </c>
      <c r="C130" s="1" t="s">
        <v>6</v>
      </c>
      <c r="D130" s="5" t="s">
        <v>7</v>
      </c>
      <c r="E130" s="5" t="s">
        <v>463</v>
      </c>
      <c r="F130" s="4" t="s">
        <v>465</v>
      </c>
      <c r="G130" s="4" t="s">
        <v>465</v>
      </c>
      <c r="I130" s="1" t="s">
        <v>16</v>
      </c>
      <c r="J130" s="1" t="s">
        <v>9</v>
      </c>
      <c r="K130" s="4" t="s">
        <v>464</v>
      </c>
      <c r="L130" s="1" t="s">
        <v>26</v>
      </c>
      <c r="M130" s="10">
        <f>VLOOKUP(L130,'[2]2025 Teachers (1)'!$C$2:$D$807,2,FALSE)</f>
        <v>18941</v>
      </c>
      <c r="O130" s="1"/>
      <c r="P130" s="3">
        <v>0.65333333333333332</v>
      </c>
      <c r="Q130" s="1"/>
      <c r="S130" s="2"/>
      <c r="T130" s="1"/>
      <c r="U130" s="1"/>
      <c r="V130" s="1"/>
      <c r="Y130" s="1"/>
      <c r="AA130" s="1"/>
      <c r="AB130" s="1"/>
      <c r="AC130" s="1"/>
      <c r="AD130" s="1"/>
      <c r="AE130" s="1"/>
      <c r="AF130" s="1"/>
      <c r="AG130" s="1"/>
      <c r="AH130" s="13">
        <f>VLOOKUP(A130,'2024-25 DIBELS BOY '!A130:AP500,42,FALSE)</f>
        <v>0.53333333333333333</v>
      </c>
      <c r="AI130" s="1"/>
      <c r="AJ130" s="1"/>
      <c r="AK130" s="1"/>
      <c r="AL130" s="1"/>
      <c r="AM130" s="1"/>
    </row>
    <row r="131" spans="1:39" ht="12.3" x14ac:dyDescent="0.4">
      <c r="A131" s="1" t="s">
        <v>210</v>
      </c>
      <c r="B131" s="10">
        <f>VLOOKUP(A131,'[1]2025 KG Students'!$C$2:$D$630,2,FALSE)</f>
        <v>86736</v>
      </c>
      <c r="C131" s="1" t="s">
        <v>6</v>
      </c>
      <c r="D131" s="5" t="s">
        <v>7</v>
      </c>
      <c r="E131" s="5" t="s">
        <v>463</v>
      </c>
      <c r="F131" s="4" t="s">
        <v>465</v>
      </c>
      <c r="G131" s="4" t="s">
        <v>465</v>
      </c>
      <c r="I131" s="1" t="s">
        <v>16</v>
      </c>
      <c r="J131" s="1" t="s">
        <v>10</v>
      </c>
      <c r="K131" s="4" t="s">
        <v>464</v>
      </c>
      <c r="L131" s="1" t="s">
        <v>11</v>
      </c>
      <c r="M131" s="10">
        <f>VLOOKUP(L131,'[2]2025 Teachers (1)'!$C$2:$D$807,2,FALSE)</f>
        <v>18548</v>
      </c>
      <c r="O131" s="1"/>
      <c r="P131" s="3">
        <v>0.71666666666666667</v>
      </c>
      <c r="Q131" s="1"/>
      <c r="S131" s="2"/>
      <c r="T131" s="1"/>
      <c r="U131" s="1"/>
      <c r="V131" s="1"/>
      <c r="Y131" s="1"/>
      <c r="AA131" s="1"/>
      <c r="AB131" s="1"/>
      <c r="AC131" s="1"/>
      <c r="AD131" s="1"/>
      <c r="AE131" s="1"/>
      <c r="AF131" s="1"/>
      <c r="AG131" s="1"/>
      <c r="AH131" s="13">
        <f>VLOOKUP(A131,'2024-25 DIBELS BOY '!A131:AP501,42,FALSE)</f>
        <v>0.74833333333333329</v>
      </c>
      <c r="AI131" s="1"/>
      <c r="AJ131" s="1"/>
      <c r="AK131" s="1"/>
      <c r="AL131" s="1"/>
      <c r="AM131" s="1"/>
    </row>
    <row r="132" spans="1:39" ht="12.3" x14ac:dyDescent="0.4">
      <c r="A132" s="1" t="s">
        <v>211</v>
      </c>
      <c r="B132" s="10">
        <f>VLOOKUP(A132,'[1]2025 KG Students'!$C$2:$D$630,2,FALSE)</f>
        <v>87393</v>
      </c>
      <c r="C132" s="1" t="s">
        <v>6</v>
      </c>
      <c r="D132" s="5" t="s">
        <v>7</v>
      </c>
      <c r="E132" s="5" t="s">
        <v>463</v>
      </c>
      <c r="F132" s="4" t="s">
        <v>465</v>
      </c>
      <c r="G132" s="4" t="s">
        <v>465</v>
      </c>
      <c r="I132" s="1" t="s">
        <v>29</v>
      </c>
      <c r="J132" s="1" t="s">
        <v>9</v>
      </c>
      <c r="K132" s="4" t="s">
        <v>464</v>
      </c>
      <c r="L132" s="1" t="s">
        <v>11</v>
      </c>
      <c r="M132" s="10">
        <f>VLOOKUP(L132,'[2]2025 Teachers (1)'!$C$2:$D$807,2,FALSE)</f>
        <v>18548</v>
      </c>
      <c r="O132" s="1"/>
      <c r="P132" s="3">
        <v>0.60166666666666668</v>
      </c>
      <c r="Q132" s="1"/>
      <c r="S132" s="1"/>
      <c r="T132" s="1"/>
      <c r="U132" s="1"/>
      <c r="V132" s="1"/>
      <c r="Y132" s="1"/>
      <c r="AA132" s="1"/>
      <c r="AB132" s="1"/>
      <c r="AC132" s="1"/>
      <c r="AD132" s="1"/>
      <c r="AE132" s="1"/>
      <c r="AF132" s="1"/>
      <c r="AG132" s="1"/>
      <c r="AH132" s="13">
        <f>VLOOKUP(A132,'2024-25 DIBELS BOY '!A132:AP502,42,FALSE)</f>
        <v>0.45833333333333331</v>
      </c>
      <c r="AI132" s="1"/>
      <c r="AJ132" s="1"/>
      <c r="AK132" s="1"/>
      <c r="AL132" s="1"/>
      <c r="AM132" s="1"/>
    </row>
    <row r="133" spans="1:39" ht="12.3" x14ac:dyDescent="0.4">
      <c r="A133" s="1" t="s">
        <v>213</v>
      </c>
      <c r="B133" s="10">
        <f>VLOOKUP(A133,'[1]2025 KG Students'!$C$2:$D$630,2,FALSE)</f>
        <v>87604</v>
      </c>
      <c r="C133" s="1" t="s">
        <v>6</v>
      </c>
      <c r="D133" s="5" t="s">
        <v>7</v>
      </c>
      <c r="E133" s="5" t="s">
        <v>463</v>
      </c>
      <c r="F133" s="4" t="s">
        <v>465</v>
      </c>
      <c r="G133" s="4" t="s">
        <v>465</v>
      </c>
      <c r="I133" s="1" t="s">
        <v>16</v>
      </c>
      <c r="J133" s="1" t="s">
        <v>10</v>
      </c>
      <c r="K133" s="4" t="s">
        <v>464</v>
      </c>
      <c r="L133" s="1" t="s">
        <v>26</v>
      </c>
      <c r="M133" s="10">
        <f>VLOOKUP(L133,'[2]2025 Teachers (1)'!$C$2:$D$807,2,FALSE)</f>
        <v>18941</v>
      </c>
      <c r="O133" s="1"/>
      <c r="P133" s="3">
        <v>0.59666666666666668</v>
      </c>
      <c r="Q133" s="1"/>
      <c r="S133" s="1"/>
      <c r="T133" s="1"/>
      <c r="U133" s="1"/>
      <c r="V133" s="1"/>
      <c r="Y133" s="1"/>
      <c r="AA133" s="1"/>
      <c r="AB133" s="1"/>
      <c r="AC133" s="1"/>
      <c r="AD133" s="1"/>
      <c r="AE133" s="1"/>
      <c r="AF133" s="1"/>
      <c r="AG133" s="1"/>
      <c r="AH133" s="13">
        <f>VLOOKUP(A133,'2024-25 DIBELS BOY '!A133:AP503,42,FALSE)</f>
        <v>0.45333333333333331</v>
      </c>
      <c r="AI133" s="1"/>
      <c r="AJ133" s="1"/>
      <c r="AK133" s="1"/>
      <c r="AL133" s="1"/>
      <c r="AM133" s="1"/>
    </row>
    <row r="134" spans="1:39" ht="12.3" x14ac:dyDescent="0.4">
      <c r="A134" s="1" t="s">
        <v>214</v>
      </c>
      <c r="B134" s="10">
        <f>VLOOKUP(A134,'[1]2025 KG Students'!$C$2:$D$630,2,FALSE)</f>
        <v>85055</v>
      </c>
      <c r="C134" s="1" t="s">
        <v>6</v>
      </c>
      <c r="D134" s="5" t="s">
        <v>7</v>
      </c>
      <c r="E134" s="5" t="s">
        <v>463</v>
      </c>
      <c r="F134" s="4" t="s">
        <v>465</v>
      </c>
      <c r="G134" s="4" t="s">
        <v>465</v>
      </c>
      <c r="I134" s="1" t="s">
        <v>16</v>
      </c>
      <c r="J134" s="1" t="s">
        <v>10</v>
      </c>
      <c r="K134" s="4" t="s">
        <v>464</v>
      </c>
      <c r="L134" s="1" t="s">
        <v>19</v>
      </c>
      <c r="M134" s="10">
        <f>VLOOKUP(L134,'[2]2025 Teachers (1)'!$C$2:$D$807,2,FALSE)</f>
        <v>18050</v>
      </c>
      <c r="O134" s="1"/>
      <c r="P134" s="3">
        <v>0.59166666666666667</v>
      </c>
      <c r="Q134" s="1"/>
      <c r="S134" s="2"/>
      <c r="T134" s="1"/>
      <c r="U134" s="2"/>
      <c r="V134" s="1"/>
      <c r="Y134" s="1"/>
      <c r="AA134" s="1"/>
      <c r="AB134" s="1"/>
      <c r="AC134" s="1"/>
      <c r="AD134" s="1"/>
      <c r="AE134" s="1"/>
      <c r="AF134" s="1"/>
      <c r="AG134" s="1"/>
      <c r="AH134" s="13">
        <f>VLOOKUP(A134,'2024-25 DIBELS BOY '!A134:AP504,42,FALSE)</f>
        <v>0.505</v>
      </c>
      <c r="AI134" s="1"/>
      <c r="AJ134" s="1"/>
      <c r="AK134" s="1"/>
      <c r="AL134" s="1"/>
      <c r="AM134" s="1"/>
    </row>
    <row r="135" spans="1:39" ht="12.3" x14ac:dyDescent="0.4">
      <c r="A135" s="1" t="s">
        <v>215</v>
      </c>
      <c r="B135" s="10">
        <f>VLOOKUP(A135,'[1]2025 KG Students'!$C$2:$D$630,2,FALSE)</f>
        <v>82307</v>
      </c>
      <c r="C135" s="1" t="s">
        <v>6</v>
      </c>
      <c r="D135" s="5" t="s">
        <v>7</v>
      </c>
      <c r="E135" s="5" t="s">
        <v>463</v>
      </c>
      <c r="F135" s="4" t="s">
        <v>465</v>
      </c>
      <c r="G135" s="4" t="s">
        <v>465</v>
      </c>
      <c r="I135" s="1" t="s">
        <v>16</v>
      </c>
      <c r="J135" s="1" t="s">
        <v>10</v>
      </c>
      <c r="K135" s="4" t="s">
        <v>464</v>
      </c>
      <c r="L135" s="1" t="s">
        <v>23</v>
      </c>
      <c r="M135" s="10">
        <f>VLOOKUP(L135,'[2]2025 Teachers (1)'!$C$2:$D$807,2,FALSE)</f>
        <v>17879</v>
      </c>
      <c r="O135" s="1"/>
      <c r="P135" s="3">
        <v>0.54833333333333334</v>
      </c>
      <c r="Q135" s="1"/>
      <c r="S135" s="2"/>
      <c r="T135" s="1"/>
      <c r="U135" s="2"/>
      <c r="V135" s="1"/>
      <c r="Y135" s="1"/>
      <c r="AA135" s="1"/>
      <c r="AB135" s="1"/>
      <c r="AC135" s="1"/>
      <c r="AD135" s="1"/>
      <c r="AE135" s="1"/>
      <c r="AF135" s="1"/>
      <c r="AG135" s="1"/>
      <c r="AH135" s="13">
        <f>VLOOKUP(A135,'2024-25 DIBELS BOY '!A135:AP505,42,FALSE)</f>
        <v>0.42666666666666669</v>
      </c>
      <c r="AI135" s="1"/>
      <c r="AJ135" s="1"/>
      <c r="AK135" s="1"/>
      <c r="AL135" s="1"/>
      <c r="AM135" s="1"/>
    </row>
    <row r="136" spans="1:39" ht="12.3" x14ac:dyDescent="0.4">
      <c r="A136" s="1" t="s">
        <v>216</v>
      </c>
      <c r="B136" s="10">
        <f>VLOOKUP(A136,'[1]2025 KG Students'!$C$2:$D$630,2,FALSE)</f>
        <v>85398</v>
      </c>
      <c r="C136" s="1" t="s">
        <v>6</v>
      </c>
      <c r="D136" s="5" t="s">
        <v>7</v>
      </c>
      <c r="E136" s="5" t="s">
        <v>463</v>
      </c>
      <c r="F136" s="4" t="s">
        <v>465</v>
      </c>
      <c r="G136" s="4" t="s">
        <v>465</v>
      </c>
      <c r="I136" s="1" t="s">
        <v>8</v>
      </c>
      <c r="J136" s="1" t="s">
        <v>9</v>
      </c>
      <c r="K136" s="4" t="s">
        <v>464</v>
      </c>
      <c r="L136" s="1" t="s">
        <v>28</v>
      </c>
      <c r="M136" s="10">
        <f>VLOOKUP(L136,'[2]2025 Teachers (1)'!$C$2:$D$807,2,FALSE)</f>
        <v>15143</v>
      </c>
      <c r="O136" s="1"/>
      <c r="P136" s="3">
        <v>0.6333333333333333</v>
      </c>
      <c r="Q136" s="1"/>
      <c r="S136" s="2"/>
      <c r="T136" s="1"/>
      <c r="U136" s="2"/>
      <c r="V136" s="1"/>
      <c r="Y136" s="1"/>
      <c r="AA136" s="1"/>
      <c r="AB136" s="1"/>
      <c r="AC136" s="1"/>
      <c r="AD136" s="1"/>
      <c r="AE136" s="1"/>
      <c r="AF136" s="1"/>
      <c r="AG136" s="1"/>
      <c r="AH136" s="13">
        <f>VLOOKUP(A136,'2024-25 DIBELS BOY '!A136:AP506,42,FALSE)</f>
        <v>0.54333333333333333</v>
      </c>
      <c r="AI136" s="1"/>
      <c r="AJ136" s="1"/>
      <c r="AK136" s="1"/>
      <c r="AL136" s="1"/>
      <c r="AM136" s="1"/>
    </row>
    <row r="137" spans="1:39" ht="12.3" x14ac:dyDescent="0.4">
      <c r="A137" s="1" t="s">
        <v>217</v>
      </c>
      <c r="B137" s="10">
        <f>VLOOKUP(A137,'[1]2025 KG Students'!$C$2:$D$630,2,FALSE)</f>
        <v>87686</v>
      </c>
      <c r="C137" s="1" t="s">
        <v>6</v>
      </c>
      <c r="D137" s="5" t="s">
        <v>7</v>
      </c>
      <c r="E137" s="5" t="s">
        <v>463</v>
      </c>
      <c r="F137" s="4" t="s">
        <v>465</v>
      </c>
      <c r="G137" s="4" t="s">
        <v>465</v>
      </c>
      <c r="I137" s="1" t="s">
        <v>8</v>
      </c>
      <c r="J137" s="1" t="s">
        <v>9</v>
      </c>
      <c r="K137" s="4" t="s">
        <v>464</v>
      </c>
      <c r="L137" s="1" t="s">
        <v>22</v>
      </c>
      <c r="M137" s="10">
        <f>VLOOKUP(L137,'[2]2025 Teachers (1)'!$C$2:$D$807,2,FALSE)</f>
        <v>18825</v>
      </c>
      <c r="O137" s="1"/>
      <c r="P137" s="3">
        <v>0.56499999999999995</v>
      </c>
      <c r="Q137" s="1"/>
      <c r="S137" s="1"/>
      <c r="T137" s="1"/>
      <c r="U137" s="2"/>
      <c r="V137" s="1"/>
      <c r="Y137" s="1"/>
      <c r="AA137" s="1"/>
      <c r="AB137" s="1"/>
      <c r="AC137" s="1"/>
      <c r="AD137" s="1"/>
      <c r="AE137" s="1"/>
      <c r="AF137" s="1"/>
      <c r="AG137" s="1"/>
      <c r="AH137" s="13">
        <f>VLOOKUP(A137,'2024-25 DIBELS BOY '!A137:AP507,42,FALSE)</f>
        <v>0.49833333333333335</v>
      </c>
      <c r="AI137" s="1"/>
      <c r="AJ137" s="1"/>
      <c r="AK137" s="1"/>
      <c r="AL137" s="1"/>
      <c r="AM137" s="1"/>
    </row>
    <row r="138" spans="1:39" ht="12.3" x14ac:dyDescent="0.4">
      <c r="A138" s="1" t="s">
        <v>218</v>
      </c>
      <c r="B138" s="10">
        <f>VLOOKUP(A138,'[1]2025 KG Students'!$C$2:$D$630,2,FALSE)</f>
        <v>85435</v>
      </c>
      <c r="C138" s="1" t="s">
        <v>6</v>
      </c>
      <c r="D138" s="5" t="s">
        <v>7</v>
      </c>
      <c r="E138" s="5" t="s">
        <v>463</v>
      </c>
      <c r="F138" s="4" t="s">
        <v>465</v>
      </c>
      <c r="G138" s="4" t="s">
        <v>465</v>
      </c>
      <c r="I138" s="1" t="s">
        <v>29</v>
      </c>
      <c r="J138" s="1" t="s">
        <v>9</v>
      </c>
      <c r="K138" s="4" t="s">
        <v>464</v>
      </c>
      <c r="L138" s="1" t="s">
        <v>21</v>
      </c>
      <c r="M138" s="10">
        <f>VLOOKUP(L138,'[2]2025 Teachers (1)'!$C$2:$D$807,2,FALSE)</f>
        <v>15019</v>
      </c>
      <c r="O138" s="1"/>
      <c r="P138" s="3">
        <v>0.69166666666666665</v>
      </c>
      <c r="Q138" s="1"/>
      <c r="S138" s="2"/>
      <c r="T138" s="1"/>
      <c r="U138" s="1"/>
      <c r="V138" s="1"/>
      <c r="Y138" s="1"/>
      <c r="AA138" s="1"/>
      <c r="AB138" s="1"/>
      <c r="AC138" s="1"/>
      <c r="AD138" s="1"/>
      <c r="AE138" s="1"/>
      <c r="AF138" s="1"/>
      <c r="AG138" s="1"/>
      <c r="AH138" s="13">
        <f>VLOOKUP(A138,'2024-25 DIBELS BOY '!A138:AP508,42,FALSE)</f>
        <v>0.59333333333333338</v>
      </c>
      <c r="AI138" s="1"/>
      <c r="AJ138" s="1"/>
      <c r="AK138" s="1"/>
      <c r="AL138" s="1"/>
      <c r="AM138" s="1"/>
    </row>
    <row r="139" spans="1:39" ht="12.3" x14ac:dyDescent="0.4">
      <c r="A139" s="1" t="s">
        <v>220</v>
      </c>
      <c r="B139" s="10">
        <f>VLOOKUP(A139,'[1]2025 KG Students'!$C$2:$D$630,2,FALSE)</f>
        <v>85764</v>
      </c>
      <c r="C139" s="1" t="s">
        <v>6</v>
      </c>
      <c r="D139" s="5" t="s">
        <v>7</v>
      </c>
      <c r="E139" s="5" t="s">
        <v>463</v>
      </c>
      <c r="F139" s="4" t="s">
        <v>465</v>
      </c>
      <c r="G139" s="4" t="s">
        <v>465</v>
      </c>
      <c r="I139" s="1" t="s">
        <v>16</v>
      </c>
      <c r="J139" s="1" t="s">
        <v>10</v>
      </c>
      <c r="K139" s="4" t="s">
        <v>464</v>
      </c>
      <c r="L139" s="1" t="s">
        <v>26</v>
      </c>
      <c r="M139" s="10">
        <f>VLOOKUP(L139,'[2]2025 Teachers (1)'!$C$2:$D$807,2,FALSE)</f>
        <v>18941</v>
      </c>
      <c r="O139" s="1"/>
      <c r="P139" s="3">
        <v>0.6</v>
      </c>
      <c r="Q139" s="1"/>
      <c r="S139" s="2"/>
      <c r="T139" s="1"/>
      <c r="U139" s="1"/>
      <c r="V139" s="1"/>
      <c r="Y139" s="1"/>
      <c r="AA139" s="1"/>
      <c r="AB139" s="1"/>
      <c r="AC139" s="1"/>
      <c r="AD139" s="1"/>
      <c r="AE139" s="1"/>
      <c r="AF139" s="1"/>
      <c r="AG139" s="1"/>
      <c r="AH139" s="13">
        <f>VLOOKUP(A139,'2024-25 DIBELS BOY '!A139:AP509,42,FALSE)</f>
        <v>0.49666666666666665</v>
      </c>
      <c r="AI139" s="1"/>
      <c r="AJ139" s="1"/>
      <c r="AK139" s="1"/>
      <c r="AL139" s="1"/>
      <c r="AM139" s="1"/>
    </row>
    <row r="140" spans="1:39" ht="12.3" x14ac:dyDescent="0.4">
      <c r="A140" s="1" t="s">
        <v>221</v>
      </c>
      <c r="B140" s="10">
        <f>VLOOKUP(A140,'[1]2025 KG Students'!$C$2:$D$630,2,FALSE)</f>
        <v>86472</v>
      </c>
      <c r="C140" s="1" t="s">
        <v>6</v>
      </c>
      <c r="D140" s="5" t="s">
        <v>7</v>
      </c>
      <c r="E140" s="5" t="s">
        <v>463</v>
      </c>
      <c r="F140" s="4" t="s">
        <v>465</v>
      </c>
      <c r="G140" s="4" t="s">
        <v>465</v>
      </c>
      <c r="I140" s="1" t="s">
        <v>16</v>
      </c>
      <c r="J140" s="1" t="s">
        <v>10</v>
      </c>
      <c r="K140" s="4" t="s">
        <v>464</v>
      </c>
      <c r="L140" s="1" t="s">
        <v>22</v>
      </c>
      <c r="M140" s="10">
        <f>VLOOKUP(L140,'[2]2025 Teachers (1)'!$C$2:$D$807,2,FALSE)</f>
        <v>18825</v>
      </c>
      <c r="O140" s="1"/>
      <c r="P140" s="3">
        <v>0.56999999999999995</v>
      </c>
      <c r="Q140" s="1"/>
      <c r="S140" s="2"/>
      <c r="T140" s="1"/>
      <c r="U140" s="1"/>
      <c r="V140" s="1"/>
      <c r="Y140" s="1"/>
      <c r="AA140" s="1"/>
      <c r="AB140" s="1"/>
      <c r="AC140" s="1"/>
      <c r="AD140" s="1"/>
      <c r="AE140" s="1"/>
      <c r="AF140" s="1"/>
      <c r="AG140" s="1"/>
      <c r="AH140" s="13">
        <f>VLOOKUP(A140,'2024-25 DIBELS BOY '!A140:AP510,42,FALSE)</f>
        <v>0.43</v>
      </c>
      <c r="AI140" s="1"/>
      <c r="AJ140" s="1"/>
      <c r="AK140" s="1"/>
      <c r="AL140" s="1"/>
      <c r="AM140" s="1"/>
    </row>
    <row r="141" spans="1:39" ht="12.3" x14ac:dyDescent="0.4">
      <c r="A141" s="1" t="s">
        <v>222</v>
      </c>
      <c r="B141" s="10" t="e">
        <f>VLOOKUP(A141,'[1]2025 KG Students'!$C$2:$D$630,2,FALSE)</f>
        <v>#N/A</v>
      </c>
      <c r="C141" s="1" t="s">
        <v>6</v>
      </c>
      <c r="D141" s="5" t="s">
        <v>7</v>
      </c>
      <c r="E141" s="5" t="s">
        <v>463</v>
      </c>
      <c r="F141" s="4" t="s">
        <v>465</v>
      </c>
      <c r="G141" s="4" t="s">
        <v>465</v>
      </c>
      <c r="I141" s="1" t="s">
        <v>16</v>
      </c>
      <c r="J141" s="1" t="s">
        <v>10</v>
      </c>
      <c r="K141" s="4" t="s">
        <v>464</v>
      </c>
      <c r="L141" s="1" t="s">
        <v>22</v>
      </c>
      <c r="M141" s="10">
        <f>VLOOKUP(L141,'[2]2025 Teachers (1)'!$C$2:$D$807,2,FALSE)</f>
        <v>18825</v>
      </c>
      <c r="O141" s="1"/>
      <c r="P141" s="3">
        <v>0.57833333333333337</v>
      </c>
      <c r="Q141" s="1"/>
      <c r="S141" s="2"/>
      <c r="T141" s="1"/>
      <c r="U141" s="1"/>
      <c r="V141" s="1"/>
      <c r="Y141" s="1"/>
      <c r="AA141" s="1"/>
      <c r="AB141" s="1"/>
      <c r="AC141" s="1"/>
      <c r="AD141" s="1"/>
      <c r="AE141" s="1"/>
      <c r="AF141" s="1"/>
      <c r="AG141" s="1"/>
      <c r="AH141" s="13">
        <f>VLOOKUP(A141,'2024-25 DIBELS BOY '!A141:AP511,42,FALSE)</f>
        <v>0.41833333333333333</v>
      </c>
      <c r="AI141" s="1"/>
      <c r="AJ141" s="1"/>
      <c r="AK141" s="1"/>
      <c r="AL141" s="1"/>
      <c r="AM141" s="1"/>
    </row>
    <row r="142" spans="1:39" ht="12.3" x14ac:dyDescent="0.4">
      <c r="A142" s="1" t="s">
        <v>223</v>
      </c>
      <c r="B142" s="10">
        <f>VLOOKUP(A142,'[1]2025 KG Students'!$C$2:$D$630,2,FALSE)</f>
        <v>85272</v>
      </c>
      <c r="C142" s="1" t="s">
        <v>6</v>
      </c>
      <c r="D142" s="5" t="s">
        <v>7</v>
      </c>
      <c r="E142" s="5" t="s">
        <v>463</v>
      </c>
      <c r="F142" s="4" t="s">
        <v>465</v>
      </c>
      <c r="G142" s="4" t="s">
        <v>465</v>
      </c>
      <c r="I142" s="1" t="s">
        <v>16</v>
      </c>
      <c r="J142" s="1" t="s">
        <v>10</v>
      </c>
      <c r="K142" s="4" t="s">
        <v>464</v>
      </c>
      <c r="L142" s="1" t="s">
        <v>17</v>
      </c>
      <c r="M142" s="10">
        <f>VLOOKUP(L142,'[2]2025 Teachers (1)'!$C$2:$D$807,2,FALSE)</f>
        <v>13866</v>
      </c>
      <c r="O142" s="1"/>
      <c r="P142" s="3">
        <v>0.67</v>
      </c>
      <c r="Q142" s="1"/>
      <c r="S142" s="2"/>
      <c r="T142" s="1"/>
      <c r="U142" s="1"/>
      <c r="V142" s="1"/>
      <c r="Y142" s="1"/>
      <c r="AA142" s="1"/>
      <c r="AB142" s="1"/>
      <c r="AC142" s="1"/>
      <c r="AD142" s="1"/>
      <c r="AE142" s="1"/>
      <c r="AF142" s="1"/>
      <c r="AG142" s="1"/>
      <c r="AH142" s="13">
        <f>VLOOKUP(A142,'2024-25 DIBELS BOY '!A142:AP512,42,FALSE)</f>
        <v>0.64</v>
      </c>
      <c r="AI142" s="1"/>
      <c r="AJ142" s="1"/>
      <c r="AK142" s="1"/>
      <c r="AL142" s="1"/>
      <c r="AM142" s="1"/>
    </row>
    <row r="143" spans="1:39" ht="12.3" x14ac:dyDescent="0.4">
      <c r="A143" s="1" t="s">
        <v>224</v>
      </c>
      <c r="B143" s="10">
        <f>VLOOKUP(A143,'[1]2025 KG Students'!$C$2:$D$630,2,FALSE)</f>
        <v>85564</v>
      </c>
      <c r="C143" s="1" t="s">
        <v>6</v>
      </c>
      <c r="D143" s="5" t="s">
        <v>7</v>
      </c>
      <c r="E143" s="5" t="s">
        <v>463</v>
      </c>
      <c r="F143" s="4" t="s">
        <v>465</v>
      </c>
      <c r="G143" s="4" t="s">
        <v>465</v>
      </c>
      <c r="I143" s="1" t="s">
        <v>16</v>
      </c>
      <c r="J143" s="1" t="s">
        <v>10</v>
      </c>
      <c r="K143" s="4" t="s">
        <v>464</v>
      </c>
      <c r="L143" s="1" t="s">
        <v>24</v>
      </c>
      <c r="M143" s="10">
        <f>VLOOKUP(L143,'[2]2025 Teachers (1)'!$C$2:$D$807,2,FALSE)</f>
        <v>14530</v>
      </c>
      <c r="O143" s="1"/>
      <c r="P143" s="3">
        <v>0.56499999999999995</v>
      </c>
      <c r="Q143" s="1"/>
      <c r="S143" s="2"/>
      <c r="T143" s="1"/>
      <c r="U143" s="2"/>
      <c r="V143" s="1"/>
      <c r="Y143" s="1"/>
      <c r="AA143" s="1"/>
      <c r="AB143" s="1"/>
      <c r="AC143" s="1"/>
      <c r="AD143" s="1"/>
      <c r="AE143" s="1"/>
      <c r="AF143" s="1"/>
      <c r="AG143" s="1"/>
      <c r="AH143" s="13">
        <f>VLOOKUP(A143,'2024-25 DIBELS BOY '!A143:AP513,42,FALSE)</f>
        <v>0.43333333333333335</v>
      </c>
      <c r="AI143" s="1"/>
      <c r="AJ143" s="1"/>
      <c r="AK143" s="1"/>
      <c r="AL143" s="1"/>
      <c r="AM143" s="1"/>
    </row>
    <row r="144" spans="1:39" ht="12.3" x14ac:dyDescent="0.4">
      <c r="A144" s="1" t="s">
        <v>225</v>
      </c>
      <c r="B144" s="10">
        <f>VLOOKUP(A144,'[1]2025 KG Students'!$C$2:$D$630,2,FALSE)</f>
        <v>85131</v>
      </c>
      <c r="C144" s="1" t="s">
        <v>6</v>
      </c>
      <c r="D144" s="5" t="s">
        <v>7</v>
      </c>
      <c r="E144" s="5" t="s">
        <v>463</v>
      </c>
      <c r="F144" s="4" t="s">
        <v>465</v>
      </c>
      <c r="G144" s="4" t="s">
        <v>465</v>
      </c>
      <c r="I144" s="1" t="s">
        <v>8</v>
      </c>
      <c r="J144" s="1" t="s">
        <v>9</v>
      </c>
      <c r="K144" s="4" t="s">
        <v>464</v>
      </c>
      <c r="L144" s="1" t="s">
        <v>24</v>
      </c>
      <c r="M144" s="10">
        <f>VLOOKUP(L144,'[2]2025 Teachers (1)'!$C$2:$D$807,2,FALSE)</f>
        <v>14530</v>
      </c>
      <c r="O144" s="1"/>
      <c r="P144" s="3">
        <v>0.62</v>
      </c>
      <c r="Q144" s="1"/>
      <c r="S144" s="2"/>
      <c r="T144" s="1"/>
      <c r="U144" s="2"/>
      <c r="V144" s="1"/>
      <c r="Y144" s="1"/>
      <c r="AA144" s="1"/>
      <c r="AB144" s="1"/>
      <c r="AC144" s="1"/>
      <c r="AD144" s="1"/>
      <c r="AE144" s="1"/>
      <c r="AF144" s="1"/>
      <c r="AG144" s="1"/>
      <c r="AH144" s="13">
        <f>VLOOKUP(A144,'2024-25 DIBELS BOY '!A144:AP514,42,FALSE)</f>
        <v>0.55500000000000005</v>
      </c>
      <c r="AI144" s="1"/>
      <c r="AJ144" s="1"/>
      <c r="AK144" s="1"/>
      <c r="AL144" s="1"/>
      <c r="AM144" s="1"/>
    </row>
    <row r="145" spans="1:39" ht="12.3" x14ac:dyDescent="0.4">
      <c r="A145" s="1" t="s">
        <v>226</v>
      </c>
      <c r="B145" s="10">
        <f>VLOOKUP(A145,'[1]2025 KG Students'!$C$2:$D$630,2,FALSE)</f>
        <v>87989</v>
      </c>
      <c r="C145" s="1" t="s">
        <v>6</v>
      </c>
      <c r="D145" s="5" t="s">
        <v>7</v>
      </c>
      <c r="E145" s="5" t="s">
        <v>463</v>
      </c>
      <c r="F145" s="4" t="s">
        <v>465</v>
      </c>
      <c r="G145" s="4" t="s">
        <v>465</v>
      </c>
      <c r="I145" s="1" t="s">
        <v>16</v>
      </c>
      <c r="J145" s="1" t="s">
        <v>10</v>
      </c>
      <c r="K145" s="4" t="s">
        <v>464</v>
      </c>
      <c r="L145" s="1" t="s">
        <v>24</v>
      </c>
      <c r="M145" s="10">
        <f>VLOOKUP(L145,'[2]2025 Teachers (1)'!$C$2:$D$807,2,FALSE)</f>
        <v>14530</v>
      </c>
      <c r="O145" s="1"/>
      <c r="P145" s="3">
        <v>0.53</v>
      </c>
      <c r="Q145" s="1"/>
      <c r="S145" s="1"/>
      <c r="T145" s="1"/>
      <c r="U145" s="1"/>
      <c r="V145" s="1"/>
      <c r="Y145" s="1"/>
      <c r="AA145" s="1"/>
      <c r="AB145" s="1"/>
      <c r="AC145" s="1"/>
      <c r="AD145" s="1"/>
      <c r="AE145" s="1"/>
      <c r="AF145" s="1"/>
      <c r="AG145" s="1"/>
      <c r="AH145" s="13">
        <f>VLOOKUP(A145,'2024-25 DIBELS BOY '!A145:AP515,42,FALSE)</f>
        <v>0.40500000000000003</v>
      </c>
      <c r="AI145" s="1"/>
      <c r="AJ145" s="1"/>
      <c r="AK145" s="1"/>
      <c r="AL145" s="1"/>
      <c r="AM145" s="1"/>
    </row>
    <row r="146" spans="1:39" ht="12.3" x14ac:dyDescent="0.4">
      <c r="A146" s="1" t="s">
        <v>227</v>
      </c>
      <c r="B146" s="10">
        <f>VLOOKUP(A146,'[1]2025 KG Students'!$C$2:$D$630,2,FALSE)</f>
        <v>87141</v>
      </c>
      <c r="C146" s="1" t="s">
        <v>6</v>
      </c>
      <c r="D146" s="5" t="s">
        <v>7</v>
      </c>
      <c r="E146" s="5" t="s">
        <v>463</v>
      </c>
      <c r="F146" s="4" t="s">
        <v>465</v>
      </c>
      <c r="G146" s="4" t="s">
        <v>465</v>
      </c>
      <c r="I146" s="1" t="s">
        <v>8</v>
      </c>
      <c r="J146" s="1" t="s">
        <v>9</v>
      </c>
      <c r="K146" s="4" t="s">
        <v>464</v>
      </c>
      <c r="L146" s="1" t="s">
        <v>22</v>
      </c>
      <c r="M146" s="10">
        <f>VLOOKUP(L146,'[2]2025 Teachers (1)'!$C$2:$D$807,2,FALSE)</f>
        <v>18825</v>
      </c>
      <c r="O146" s="1"/>
      <c r="P146" s="3">
        <v>0.58166666666666667</v>
      </c>
      <c r="Q146" s="1"/>
      <c r="S146" s="1"/>
      <c r="T146" s="1"/>
      <c r="U146" s="1"/>
      <c r="V146" s="1"/>
      <c r="Y146" s="1"/>
      <c r="AA146" s="1"/>
      <c r="AB146" s="1"/>
      <c r="AC146" s="1"/>
      <c r="AD146" s="1"/>
      <c r="AE146" s="1"/>
      <c r="AF146" s="1"/>
      <c r="AG146" s="1"/>
      <c r="AH146" s="13">
        <f>VLOOKUP(A146,'2024-25 DIBELS BOY '!A146:AP516,42,FALSE)</f>
        <v>0.51</v>
      </c>
      <c r="AI146" s="1"/>
      <c r="AJ146" s="1"/>
      <c r="AK146" s="1"/>
      <c r="AL146" s="1"/>
      <c r="AM146" s="1"/>
    </row>
    <row r="147" spans="1:39" ht="12.3" x14ac:dyDescent="0.4">
      <c r="A147" s="1" t="s">
        <v>229</v>
      </c>
      <c r="B147" s="10">
        <f>VLOOKUP(A147,'[1]2025 KG Students'!$C$2:$D$630,2,FALSE)</f>
        <v>85145</v>
      </c>
      <c r="C147" s="1" t="s">
        <v>6</v>
      </c>
      <c r="D147" s="5" t="s">
        <v>7</v>
      </c>
      <c r="E147" s="5" t="s">
        <v>463</v>
      </c>
      <c r="F147" s="4" t="s">
        <v>465</v>
      </c>
      <c r="G147" s="4" t="s">
        <v>465</v>
      </c>
      <c r="I147" s="1" t="s">
        <v>16</v>
      </c>
      <c r="J147" s="1" t="s">
        <v>10</v>
      </c>
      <c r="K147" s="4" t="s">
        <v>464</v>
      </c>
      <c r="L147" s="1" t="s">
        <v>21</v>
      </c>
      <c r="M147" s="10">
        <f>VLOOKUP(L147,'[2]2025 Teachers (1)'!$C$2:$D$807,2,FALSE)</f>
        <v>15019</v>
      </c>
      <c r="O147" s="1"/>
      <c r="P147" s="3">
        <v>0.63833333333333331</v>
      </c>
      <c r="Q147" s="1"/>
      <c r="S147" s="2"/>
      <c r="T147" s="1"/>
      <c r="U147" s="1"/>
      <c r="V147" s="1"/>
      <c r="Y147" s="1"/>
      <c r="AA147" s="1"/>
      <c r="AB147" s="1"/>
      <c r="AC147" s="1"/>
      <c r="AD147" s="1"/>
      <c r="AE147" s="1"/>
      <c r="AF147" s="1"/>
      <c r="AG147" s="1"/>
      <c r="AH147" s="13">
        <f>VLOOKUP(A147,'2024-25 DIBELS BOY '!A147:AP517,42,FALSE)</f>
        <v>0.48666666666666669</v>
      </c>
      <c r="AI147" s="1"/>
      <c r="AJ147" s="1"/>
      <c r="AK147" s="1"/>
      <c r="AL147" s="1"/>
      <c r="AM147" s="1"/>
    </row>
    <row r="148" spans="1:39" ht="12.3" x14ac:dyDescent="0.4">
      <c r="A148" s="1" t="s">
        <v>230</v>
      </c>
      <c r="B148" s="10">
        <f>VLOOKUP(A148,'[1]2025 KG Students'!$C$2:$D$630,2,FALSE)</f>
        <v>87487</v>
      </c>
      <c r="C148" s="1" t="s">
        <v>6</v>
      </c>
      <c r="D148" s="5" t="s">
        <v>7</v>
      </c>
      <c r="E148" s="5" t="s">
        <v>463</v>
      </c>
      <c r="F148" s="4" t="s">
        <v>465</v>
      </c>
      <c r="G148" s="4" t="s">
        <v>465</v>
      </c>
      <c r="I148" s="1" t="s">
        <v>16</v>
      </c>
      <c r="J148" s="1" t="s">
        <v>10</v>
      </c>
      <c r="K148" s="4" t="s">
        <v>464</v>
      </c>
      <c r="L148" s="1" t="s">
        <v>23</v>
      </c>
      <c r="M148" s="10">
        <f>VLOOKUP(L148,'[2]2025 Teachers (1)'!$C$2:$D$807,2,FALSE)</f>
        <v>17879</v>
      </c>
      <c r="O148" s="1"/>
      <c r="P148" s="3">
        <v>0.63666666666666671</v>
      </c>
      <c r="Q148" s="1"/>
      <c r="S148" s="1"/>
      <c r="T148" s="1"/>
      <c r="U148" s="2"/>
      <c r="V148" s="1"/>
      <c r="Y148" s="1"/>
      <c r="AA148" s="1"/>
      <c r="AB148" s="1"/>
      <c r="AC148" s="1"/>
      <c r="AD148" s="1"/>
      <c r="AE148" s="1"/>
      <c r="AF148" s="1"/>
      <c r="AG148" s="1"/>
      <c r="AH148" s="13">
        <f>VLOOKUP(A148,'2024-25 DIBELS BOY '!A148:AP518,42,FALSE)</f>
        <v>0.43166666666666664</v>
      </c>
      <c r="AI148" s="1"/>
      <c r="AJ148" s="1"/>
      <c r="AK148" s="1"/>
      <c r="AL148" s="1"/>
      <c r="AM148" s="1"/>
    </row>
    <row r="149" spans="1:39" ht="12.3" x14ac:dyDescent="0.4">
      <c r="A149" s="1" t="s">
        <v>231</v>
      </c>
      <c r="B149" s="10">
        <f>VLOOKUP(A149,'[1]2025 KG Students'!$C$2:$D$630,2,FALSE)</f>
        <v>85479</v>
      </c>
      <c r="C149" s="1" t="s">
        <v>6</v>
      </c>
      <c r="D149" s="5" t="s">
        <v>7</v>
      </c>
      <c r="E149" s="5" t="s">
        <v>463</v>
      </c>
      <c r="F149" s="4" t="s">
        <v>465</v>
      </c>
      <c r="G149" s="4" t="s">
        <v>465</v>
      </c>
      <c r="I149" s="1" t="s">
        <v>16</v>
      </c>
      <c r="J149" s="1" t="s">
        <v>10</v>
      </c>
      <c r="K149" s="4" t="s">
        <v>464</v>
      </c>
      <c r="L149" s="1" t="s">
        <v>17</v>
      </c>
      <c r="M149" s="10">
        <f>VLOOKUP(L149,'[2]2025 Teachers (1)'!$C$2:$D$807,2,FALSE)</f>
        <v>13866</v>
      </c>
      <c r="O149" s="1"/>
      <c r="P149" s="3">
        <v>0.68166666666666664</v>
      </c>
      <c r="Q149" s="1"/>
      <c r="S149" s="2"/>
      <c r="T149" s="1"/>
      <c r="U149" s="2"/>
      <c r="V149" s="1"/>
      <c r="Y149" s="1"/>
      <c r="AA149" s="1"/>
      <c r="AB149" s="1"/>
      <c r="AC149" s="1"/>
      <c r="AD149" s="1"/>
      <c r="AE149" s="1"/>
      <c r="AF149" s="1"/>
      <c r="AG149" s="1"/>
      <c r="AH149" s="13">
        <f>VLOOKUP(A149,'2024-25 DIBELS BOY '!A149:AP519,42,FALSE)</f>
        <v>0.57999999999999996</v>
      </c>
      <c r="AI149" s="1"/>
      <c r="AJ149" s="1"/>
      <c r="AK149" s="1"/>
      <c r="AL149" s="1"/>
      <c r="AM149" s="1"/>
    </row>
    <row r="150" spans="1:39" ht="12.3" x14ac:dyDescent="0.4">
      <c r="A150" s="1" t="s">
        <v>234</v>
      </c>
      <c r="B150" s="10">
        <f>VLOOKUP(A150,'[1]2025 KG Students'!$C$2:$D$630,2,FALSE)</f>
        <v>86321</v>
      </c>
      <c r="C150" s="1" t="s">
        <v>6</v>
      </c>
      <c r="D150" s="5" t="s">
        <v>7</v>
      </c>
      <c r="E150" s="5" t="s">
        <v>463</v>
      </c>
      <c r="F150" s="4" t="s">
        <v>465</v>
      </c>
      <c r="G150" s="4" t="s">
        <v>465</v>
      </c>
      <c r="I150" s="1" t="s">
        <v>16</v>
      </c>
      <c r="J150" s="1" t="s">
        <v>10</v>
      </c>
      <c r="K150" s="4" t="s">
        <v>464</v>
      </c>
      <c r="L150" s="1" t="s">
        <v>25</v>
      </c>
      <c r="M150" s="10">
        <f>VLOOKUP(L150,'[2]2025 Teachers (1)'!$C$2:$D$807,2,FALSE)</f>
        <v>17649</v>
      </c>
      <c r="O150" s="1"/>
      <c r="P150" s="3">
        <v>0.59333333333333338</v>
      </c>
      <c r="Q150" s="1"/>
      <c r="S150" s="2"/>
      <c r="T150" s="1"/>
      <c r="U150" s="1"/>
      <c r="V150" s="1"/>
      <c r="Y150" s="1"/>
      <c r="AA150" s="1"/>
      <c r="AB150" s="1"/>
      <c r="AC150" s="1"/>
      <c r="AD150" s="1"/>
      <c r="AE150" s="1"/>
      <c r="AF150" s="1"/>
      <c r="AG150" s="1"/>
      <c r="AH150" s="13">
        <f>VLOOKUP(A150,'2024-25 DIBELS BOY '!A150:AP520,42,FALSE)</f>
        <v>0.49666666666666665</v>
      </c>
      <c r="AI150" s="1"/>
      <c r="AJ150" s="1"/>
      <c r="AK150" s="1"/>
      <c r="AL150" s="1"/>
      <c r="AM150" s="1"/>
    </row>
    <row r="151" spans="1:39" ht="12.3" x14ac:dyDescent="0.4">
      <c r="A151" s="1" t="s">
        <v>235</v>
      </c>
      <c r="B151" s="10">
        <f>VLOOKUP(A151,'[1]2025 KG Students'!$C$2:$D$630,2,FALSE)</f>
        <v>85645</v>
      </c>
      <c r="C151" s="1" t="s">
        <v>6</v>
      </c>
      <c r="D151" s="5" t="s">
        <v>7</v>
      </c>
      <c r="E151" s="5" t="s">
        <v>463</v>
      </c>
      <c r="F151" s="4" t="s">
        <v>465</v>
      </c>
      <c r="G151" s="4" t="s">
        <v>465</v>
      </c>
      <c r="I151" s="1" t="s">
        <v>16</v>
      </c>
      <c r="J151" s="1" t="s">
        <v>10</v>
      </c>
      <c r="K151" s="4" t="s">
        <v>464</v>
      </c>
      <c r="L151" s="1" t="s">
        <v>25</v>
      </c>
      <c r="M151" s="10">
        <f>VLOOKUP(L151,'[2]2025 Teachers (1)'!$C$2:$D$807,2,FALSE)</f>
        <v>17649</v>
      </c>
      <c r="O151" s="1"/>
      <c r="P151" s="3">
        <v>0.62333333333333329</v>
      </c>
      <c r="Q151" s="1"/>
      <c r="S151" s="2"/>
      <c r="T151" s="1"/>
      <c r="U151" s="2"/>
      <c r="V151" s="1"/>
      <c r="Y151" s="1"/>
      <c r="AA151" s="1"/>
      <c r="AB151" s="1"/>
      <c r="AC151" s="1"/>
      <c r="AD151" s="1"/>
      <c r="AE151" s="1"/>
      <c r="AF151" s="1"/>
      <c r="AG151" s="1"/>
      <c r="AH151" s="13">
        <f>VLOOKUP(A151,'2024-25 DIBELS BOY '!A151:AP521,42,FALSE)</f>
        <v>0.53333333333333333</v>
      </c>
      <c r="AI151" s="1"/>
      <c r="AJ151" s="1"/>
      <c r="AK151" s="1"/>
      <c r="AL151" s="1"/>
      <c r="AM151" s="1"/>
    </row>
    <row r="152" spans="1:39" ht="12.3" x14ac:dyDescent="0.4">
      <c r="A152" s="1" t="s">
        <v>236</v>
      </c>
      <c r="B152" s="10">
        <f>VLOOKUP(A152,'[1]2025 KG Students'!$C$2:$D$630,2,FALSE)</f>
        <v>88407</v>
      </c>
      <c r="C152" s="1" t="s">
        <v>6</v>
      </c>
      <c r="D152" s="5" t="s">
        <v>7</v>
      </c>
      <c r="E152" s="5" t="s">
        <v>463</v>
      </c>
      <c r="F152" s="4" t="s">
        <v>465</v>
      </c>
      <c r="G152" s="4" t="s">
        <v>465</v>
      </c>
      <c r="I152" s="1" t="s">
        <v>16</v>
      </c>
      <c r="J152" s="1" t="s">
        <v>10</v>
      </c>
      <c r="K152" s="4" t="s">
        <v>464</v>
      </c>
      <c r="L152" s="1" t="s">
        <v>24</v>
      </c>
      <c r="M152" s="10">
        <f>VLOOKUP(L152,'[2]2025 Teachers (1)'!$C$2:$D$807,2,FALSE)</f>
        <v>14530</v>
      </c>
      <c r="O152" s="1"/>
      <c r="P152" s="3">
        <v>0.60666666666666669</v>
      </c>
      <c r="Q152" s="1"/>
      <c r="S152" s="1"/>
      <c r="T152" s="1"/>
      <c r="U152" s="1"/>
      <c r="V152" s="1"/>
      <c r="Y152" s="1"/>
      <c r="AA152" s="1"/>
      <c r="AB152" s="1"/>
      <c r="AC152" s="1"/>
      <c r="AD152" s="1"/>
      <c r="AE152" s="1"/>
      <c r="AF152" s="1"/>
      <c r="AG152" s="1"/>
      <c r="AH152" s="13">
        <f>VLOOKUP(A152,'2024-25 DIBELS BOY '!A152:AP522,42,FALSE)</f>
        <v>0.49666666666666665</v>
      </c>
      <c r="AI152" s="1"/>
      <c r="AJ152" s="1"/>
      <c r="AK152" s="1"/>
      <c r="AL152" s="1"/>
      <c r="AM152" s="1"/>
    </row>
    <row r="153" spans="1:39" ht="12.3" x14ac:dyDescent="0.4">
      <c r="A153" s="1" t="s">
        <v>237</v>
      </c>
      <c r="B153" s="10">
        <f>VLOOKUP(A153,'[1]2025 KG Students'!$C$2:$D$630,2,FALSE)</f>
        <v>85334</v>
      </c>
      <c r="C153" s="1" t="s">
        <v>6</v>
      </c>
      <c r="D153" s="5" t="s">
        <v>7</v>
      </c>
      <c r="E153" s="5" t="s">
        <v>463</v>
      </c>
      <c r="F153" s="4" t="s">
        <v>465</v>
      </c>
      <c r="G153" s="4" t="s">
        <v>465</v>
      </c>
      <c r="I153" s="1" t="s">
        <v>16</v>
      </c>
      <c r="J153" s="1" t="s">
        <v>10</v>
      </c>
      <c r="K153" s="4" t="s">
        <v>464</v>
      </c>
      <c r="L153" s="1" t="s">
        <v>28</v>
      </c>
      <c r="M153" s="10">
        <f>VLOOKUP(L153,'[2]2025 Teachers (1)'!$C$2:$D$807,2,FALSE)</f>
        <v>15143</v>
      </c>
      <c r="O153" s="1"/>
      <c r="P153" s="3">
        <v>0.61166666666666669</v>
      </c>
      <c r="Q153" s="1"/>
      <c r="S153" s="2"/>
      <c r="T153" s="1"/>
      <c r="U153" s="2"/>
      <c r="V153" s="1"/>
      <c r="Y153" s="1"/>
      <c r="AA153" s="1"/>
      <c r="AB153" s="1"/>
      <c r="AC153" s="1"/>
      <c r="AD153" s="1"/>
      <c r="AE153" s="1"/>
      <c r="AF153" s="1"/>
      <c r="AG153" s="1"/>
      <c r="AH153" s="13">
        <f>VLOOKUP(A153,'2024-25 DIBELS BOY '!A153:AP523,42,FALSE)</f>
        <v>0.54333333333333333</v>
      </c>
      <c r="AI153" s="1"/>
      <c r="AJ153" s="1"/>
      <c r="AK153" s="1"/>
      <c r="AL153" s="1"/>
      <c r="AM153" s="1"/>
    </row>
    <row r="154" spans="1:39" ht="12.3" x14ac:dyDescent="0.4">
      <c r="A154" s="1" t="s">
        <v>238</v>
      </c>
      <c r="B154" s="10">
        <f>VLOOKUP(A154,'[1]2025 KG Students'!$C$2:$D$630,2,FALSE)</f>
        <v>84615</v>
      </c>
      <c r="C154" s="1" t="s">
        <v>6</v>
      </c>
      <c r="D154" s="5" t="s">
        <v>7</v>
      </c>
      <c r="E154" s="5" t="s">
        <v>463</v>
      </c>
      <c r="F154" s="4" t="s">
        <v>465</v>
      </c>
      <c r="G154" s="4" t="s">
        <v>465</v>
      </c>
      <c r="I154" s="1" t="s">
        <v>16</v>
      </c>
      <c r="J154" s="1" t="s">
        <v>9</v>
      </c>
      <c r="K154" s="4" t="s">
        <v>464</v>
      </c>
      <c r="L154" s="1" t="s">
        <v>26</v>
      </c>
      <c r="M154" s="10">
        <f>VLOOKUP(L154,'[2]2025 Teachers (1)'!$C$2:$D$807,2,FALSE)</f>
        <v>18941</v>
      </c>
      <c r="O154" s="1"/>
      <c r="P154" s="3">
        <v>0.59499999999999997</v>
      </c>
      <c r="Q154" s="1"/>
      <c r="S154" s="2"/>
      <c r="T154" s="1"/>
      <c r="U154" s="1"/>
      <c r="V154" s="1"/>
      <c r="Y154" s="1"/>
      <c r="AA154" s="1"/>
      <c r="AB154" s="1"/>
      <c r="AC154" s="1"/>
      <c r="AD154" s="1"/>
      <c r="AE154" s="1"/>
      <c r="AF154" s="1"/>
      <c r="AG154" s="1"/>
      <c r="AH154" s="13">
        <f>VLOOKUP(A154,'2024-25 DIBELS BOY '!A154:AP524,42,FALSE)</f>
        <v>0.48666666666666669</v>
      </c>
      <c r="AI154" s="1"/>
      <c r="AJ154" s="1"/>
      <c r="AK154" s="1"/>
      <c r="AL154" s="1"/>
      <c r="AM154" s="1"/>
    </row>
    <row r="155" spans="1:39" ht="12.3" x14ac:dyDescent="0.4">
      <c r="A155" s="1" t="s">
        <v>239</v>
      </c>
      <c r="B155" s="10">
        <f>VLOOKUP(A155,'[1]2025 KG Students'!$C$2:$D$630,2,FALSE)</f>
        <v>86062</v>
      </c>
      <c r="C155" s="1" t="s">
        <v>6</v>
      </c>
      <c r="D155" s="5" t="s">
        <v>7</v>
      </c>
      <c r="E155" s="5" t="s">
        <v>463</v>
      </c>
      <c r="F155" s="4" t="s">
        <v>465</v>
      </c>
      <c r="G155" s="4" t="s">
        <v>465</v>
      </c>
      <c r="I155" s="1" t="s">
        <v>16</v>
      </c>
      <c r="J155" s="1" t="s">
        <v>10</v>
      </c>
      <c r="K155" s="4" t="s">
        <v>464</v>
      </c>
      <c r="L155" s="1" t="s">
        <v>26</v>
      </c>
      <c r="M155" s="10">
        <f>VLOOKUP(L155,'[2]2025 Teachers (1)'!$C$2:$D$807,2,FALSE)</f>
        <v>18941</v>
      </c>
      <c r="O155" s="1"/>
      <c r="P155" s="3">
        <v>0.60499999999999998</v>
      </c>
      <c r="Q155" s="1"/>
      <c r="S155" s="2"/>
      <c r="T155" s="1"/>
      <c r="U155" s="1"/>
      <c r="V155" s="1"/>
      <c r="Y155" s="1"/>
      <c r="AA155" s="1"/>
      <c r="AB155" s="1"/>
      <c r="AC155" s="1"/>
      <c r="AD155" s="1"/>
      <c r="AE155" s="1"/>
      <c r="AF155" s="1"/>
      <c r="AG155" s="1"/>
      <c r="AH155" s="13">
        <f>VLOOKUP(A155,'2024-25 DIBELS BOY '!A155:AP525,42,FALSE)</f>
        <v>0.50166666666666671</v>
      </c>
      <c r="AI155" s="1"/>
      <c r="AJ155" s="1"/>
      <c r="AK155" s="1"/>
      <c r="AL155" s="1"/>
      <c r="AM155" s="1"/>
    </row>
    <row r="156" spans="1:39" ht="12.3" x14ac:dyDescent="0.4">
      <c r="A156" s="1" t="s">
        <v>240</v>
      </c>
      <c r="B156" s="10">
        <f>VLOOKUP(A156,'[1]2025 KG Students'!$C$2:$D$630,2,FALSE)</f>
        <v>82914</v>
      </c>
      <c r="C156" s="1" t="s">
        <v>6</v>
      </c>
      <c r="D156" s="5" t="s">
        <v>7</v>
      </c>
      <c r="E156" s="5" t="s">
        <v>463</v>
      </c>
      <c r="F156" s="4" t="s">
        <v>465</v>
      </c>
      <c r="G156" s="4" t="s">
        <v>465</v>
      </c>
      <c r="I156" s="1" t="s">
        <v>16</v>
      </c>
      <c r="J156" s="1" t="s">
        <v>10</v>
      </c>
      <c r="K156" s="4" t="s">
        <v>464</v>
      </c>
      <c r="L156" s="1" t="s">
        <v>30</v>
      </c>
      <c r="M156" s="10">
        <f>VLOOKUP(L156,'[2]2025 Teachers (1)'!$C$2:$D$807,2,FALSE)</f>
        <v>17919</v>
      </c>
      <c r="O156" s="1"/>
      <c r="P156" s="3">
        <v>0.68500000000000005</v>
      </c>
      <c r="Q156" s="1"/>
      <c r="S156" s="2"/>
      <c r="T156" s="1"/>
      <c r="U156" s="1"/>
      <c r="V156" s="1"/>
      <c r="Y156" s="1"/>
      <c r="AA156" s="1"/>
      <c r="AB156" s="1"/>
      <c r="AC156" s="1"/>
      <c r="AD156" s="1"/>
      <c r="AE156" s="1"/>
      <c r="AF156" s="1"/>
      <c r="AG156" s="1"/>
      <c r="AH156" s="13">
        <f>VLOOKUP(A156,'2024-25 DIBELS BOY '!A156:AP526,42,FALSE)</f>
        <v>0.62</v>
      </c>
      <c r="AI156" s="1"/>
      <c r="AJ156" s="1"/>
      <c r="AK156" s="1"/>
      <c r="AL156" s="1"/>
      <c r="AM156" s="1"/>
    </row>
    <row r="157" spans="1:39" ht="12.3" x14ac:dyDescent="0.4">
      <c r="A157" s="1" t="s">
        <v>241</v>
      </c>
      <c r="B157" s="10">
        <f>VLOOKUP(A157,'[1]2025 KG Students'!$C$2:$D$630,2,FALSE)</f>
        <v>87786</v>
      </c>
      <c r="C157" s="1" t="s">
        <v>6</v>
      </c>
      <c r="D157" s="5" t="s">
        <v>7</v>
      </c>
      <c r="E157" s="5" t="s">
        <v>463</v>
      </c>
      <c r="F157" s="4" t="s">
        <v>465</v>
      </c>
      <c r="G157" s="4" t="s">
        <v>465</v>
      </c>
      <c r="I157" s="1" t="s">
        <v>16</v>
      </c>
      <c r="J157" s="1" t="s">
        <v>10</v>
      </c>
      <c r="K157" s="4" t="s">
        <v>464</v>
      </c>
      <c r="L157" s="1" t="s">
        <v>21</v>
      </c>
      <c r="M157" s="10">
        <f>VLOOKUP(L157,'[2]2025 Teachers (1)'!$C$2:$D$807,2,FALSE)</f>
        <v>15019</v>
      </c>
      <c r="O157" s="1"/>
      <c r="P157" s="3">
        <v>0.55333333333333334</v>
      </c>
      <c r="Q157" s="1"/>
      <c r="S157" s="1"/>
      <c r="T157" s="1"/>
      <c r="U157" s="2"/>
      <c r="V157" s="1"/>
      <c r="Y157" s="1"/>
      <c r="AA157" s="1"/>
      <c r="AB157" s="1"/>
      <c r="AC157" s="1"/>
      <c r="AD157" s="1"/>
      <c r="AE157" s="1"/>
      <c r="AF157" s="1"/>
      <c r="AG157" s="1"/>
      <c r="AH157" s="13">
        <f>VLOOKUP(A157,'2024-25 DIBELS BOY '!A157:AP527,42,FALSE)</f>
        <v>0.40500000000000003</v>
      </c>
      <c r="AI157" s="1"/>
      <c r="AJ157" s="1"/>
      <c r="AK157" s="1"/>
      <c r="AL157" s="1"/>
      <c r="AM157" s="1"/>
    </row>
    <row r="158" spans="1:39" ht="12.3" x14ac:dyDescent="0.4">
      <c r="A158" s="1" t="s">
        <v>242</v>
      </c>
      <c r="B158" s="10">
        <f>VLOOKUP(A158,'[1]2025 KG Students'!$C$2:$D$630,2,FALSE)</f>
        <v>87284</v>
      </c>
      <c r="C158" s="1" t="s">
        <v>6</v>
      </c>
      <c r="D158" s="5" t="s">
        <v>7</v>
      </c>
      <c r="E158" s="5" t="s">
        <v>463</v>
      </c>
      <c r="F158" s="4" t="s">
        <v>465</v>
      </c>
      <c r="G158" s="4" t="s">
        <v>465</v>
      </c>
      <c r="I158" s="1" t="s">
        <v>16</v>
      </c>
      <c r="J158" s="1" t="s">
        <v>10</v>
      </c>
      <c r="K158" s="4" t="s">
        <v>464</v>
      </c>
      <c r="L158" s="1" t="s">
        <v>25</v>
      </c>
      <c r="M158" s="10">
        <f>VLOOKUP(L158,'[2]2025 Teachers (1)'!$C$2:$D$807,2,FALSE)</f>
        <v>17649</v>
      </c>
      <c r="O158" s="1"/>
      <c r="P158" s="3">
        <v>0.56499999999999995</v>
      </c>
      <c r="Q158" s="1"/>
      <c r="S158" s="2"/>
      <c r="T158" s="1"/>
      <c r="U158" s="1"/>
      <c r="V158" s="1"/>
      <c r="Y158" s="1"/>
      <c r="AA158" s="1"/>
      <c r="AB158" s="1"/>
      <c r="AC158" s="1"/>
      <c r="AD158" s="1"/>
      <c r="AE158" s="1"/>
      <c r="AF158" s="1"/>
      <c r="AG158" s="1"/>
      <c r="AH158" s="13">
        <f>VLOOKUP(A158,'2024-25 DIBELS BOY '!A158:AP528,42,FALSE)</f>
        <v>0.43</v>
      </c>
      <c r="AI158" s="1"/>
      <c r="AJ158" s="1"/>
      <c r="AK158" s="1"/>
      <c r="AL158" s="1"/>
      <c r="AM158" s="1"/>
    </row>
    <row r="159" spans="1:39" ht="12.3" x14ac:dyDescent="0.4">
      <c r="A159" s="1" t="s">
        <v>244</v>
      </c>
      <c r="B159" s="10">
        <f>VLOOKUP(A159,'[1]2025 KG Students'!$C$2:$D$630,2,FALSE)</f>
        <v>87835</v>
      </c>
      <c r="C159" s="1" t="s">
        <v>6</v>
      </c>
      <c r="D159" s="5" t="s">
        <v>7</v>
      </c>
      <c r="E159" s="5" t="s">
        <v>463</v>
      </c>
      <c r="F159" s="4" t="s">
        <v>465</v>
      </c>
      <c r="G159" s="4" t="s">
        <v>465</v>
      </c>
      <c r="I159" s="1" t="s">
        <v>16</v>
      </c>
      <c r="J159" s="1" t="s">
        <v>10</v>
      </c>
      <c r="K159" s="4" t="s">
        <v>464</v>
      </c>
      <c r="L159" s="1" t="s">
        <v>25</v>
      </c>
      <c r="M159" s="10">
        <f>VLOOKUP(L159,'[2]2025 Teachers (1)'!$C$2:$D$807,2,FALSE)</f>
        <v>17649</v>
      </c>
      <c r="O159" s="1"/>
      <c r="P159" s="3">
        <v>0.69</v>
      </c>
      <c r="Q159" s="1"/>
      <c r="S159" s="1"/>
      <c r="T159" s="1"/>
      <c r="U159" s="1"/>
      <c r="V159" s="1"/>
      <c r="Y159" s="1"/>
      <c r="AA159" s="1"/>
      <c r="AB159" s="1"/>
      <c r="AC159" s="1"/>
      <c r="AD159" s="1"/>
      <c r="AE159" s="1"/>
      <c r="AF159" s="1"/>
      <c r="AG159" s="1"/>
      <c r="AH159" s="13">
        <f>VLOOKUP(A159,'2024-25 DIBELS BOY '!A159:AP529,42,FALSE)</f>
        <v>0.57999999999999996</v>
      </c>
      <c r="AI159" s="1"/>
      <c r="AJ159" s="1"/>
      <c r="AK159" s="1"/>
      <c r="AL159" s="1"/>
      <c r="AM159" s="1"/>
    </row>
    <row r="160" spans="1:39" ht="12.3" x14ac:dyDescent="0.4">
      <c r="A160" s="1" t="s">
        <v>245</v>
      </c>
      <c r="B160" s="10">
        <f>VLOOKUP(A160,'[1]2025 KG Students'!$C$2:$D$630,2,FALSE)</f>
        <v>88775</v>
      </c>
      <c r="C160" s="1" t="s">
        <v>6</v>
      </c>
      <c r="D160" s="5" t="s">
        <v>7</v>
      </c>
      <c r="E160" s="5" t="s">
        <v>463</v>
      </c>
      <c r="F160" s="4" t="s">
        <v>465</v>
      </c>
      <c r="G160" s="4" t="s">
        <v>465</v>
      </c>
      <c r="I160" s="1" t="s">
        <v>16</v>
      </c>
      <c r="J160" s="1" t="s">
        <v>10</v>
      </c>
      <c r="K160" s="4" t="s">
        <v>464</v>
      </c>
      <c r="L160" s="1" t="s">
        <v>11</v>
      </c>
      <c r="M160" s="10">
        <f>VLOOKUP(L160,'[2]2025 Teachers (1)'!$C$2:$D$807,2,FALSE)</f>
        <v>18548</v>
      </c>
      <c r="O160" s="1"/>
      <c r="P160" s="3">
        <v>0.54666666666666663</v>
      </c>
      <c r="Q160" s="1"/>
      <c r="S160" s="1"/>
      <c r="T160" s="1"/>
      <c r="U160" s="1"/>
      <c r="V160" s="1"/>
      <c r="Y160" s="1"/>
      <c r="AA160" s="1"/>
      <c r="AB160" s="1"/>
      <c r="AC160" s="1"/>
      <c r="AD160" s="1"/>
      <c r="AE160" s="1"/>
      <c r="AF160" s="1"/>
      <c r="AG160" s="1"/>
      <c r="AH160" s="13" t="e">
        <f>VLOOKUP(A160,'2024-25 DIBELS BOY '!A160:AP530,42,FALSE)</f>
        <v>#N/A</v>
      </c>
      <c r="AI160" s="1"/>
      <c r="AJ160" s="1"/>
      <c r="AK160" s="1"/>
      <c r="AL160" s="1"/>
      <c r="AM160" s="1"/>
    </row>
    <row r="161" spans="1:39" ht="12.3" x14ac:dyDescent="0.4">
      <c r="A161" s="1" t="s">
        <v>246</v>
      </c>
      <c r="B161" s="10">
        <f>VLOOKUP(A161,'[1]2025 KG Students'!$C$2:$D$630,2,FALSE)</f>
        <v>86574</v>
      </c>
      <c r="C161" s="1" t="s">
        <v>6</v>
      </c>
      <c r="D161" s="5" t="s">
        <v>7</v>
      </c>
      <c r="E161" s="5" t="s">
        <v>463</v>
      </c>
      <c r="F161" s="4" t="s">
        <v>465</v>
      </c>
      <c r="G161" s="4" t="s">
        <v>465</v>
      </c>
      <c r="I161" s="1" t="s">
        <v>16</v>
      </c>
      <c r="J161" s="1" t="s">
        <v>10</v>
      </c>
      <c r="K161" s="4" t="s">
        <v>464</v>
      </c>
      <c r="L161" s="1" t="s">
        <v>22</v>
      </c>
      <c r="M161" s="10">
        <f>VLOOKUP(L161,'[2]2025 Teachers (1)'!$C$2:$D$807,2,FALSE)</f>
        <v>18825</v>
      </c>
      <c r="O161" s="1"/>
      <c r="P161" s="3">
        <v>0.62</v>
      </c>
      <c r="Q161" s="1"/>
      <c r="S161" s="2"/>
      <c r="T161" s="1"/>
      <c r="U161" s="2"/>
      <c r="V161" s="1"/>
      <c r="Y161" s="1"/>
      <c r="AA161" s="1"/>
      <c r="AB161" s="1"/>
      <c r="AC161" s="1"/>
      <c r="AD161" s="1"/>
      <c r="AE161" s="1"/>
      <c r="AF161" s="1"/>
      <c r="AG161" s="1"/>
      <c r="AH161" s="13">
        <f>VLOOKUP(A161,'2024-25 DIBELS BOY '!A161:AP531,42,FALSE)</f>
        <v>0.52</v>
      </c>
      <c r="AI161" s="1"/>
      <c r="AJ161" s="1"/>
      <c r="AK161" s="1"/>
      <c r="AL161" s="1"/>
      <c r="AM161" s="1"/>
    </row>
    <row r="162" spans="1:39" ht="12.3" x14ac:dyDescent="0.4">
      <c r="A162" s="1" t="s">
        <v>248</v>
      </c>
      <c r="B162" s="10">
        <f>VLOOKUP(A162,'[1]2025 KG Students'!$C$2:$D$630,2,FALSE)</f>
        <v>87359</v>
      </c>
      <c r="C162" s="1" t="s">
        <v>6</v>
      </c>
      <c r="D162" s="5" t="s">
        <v>7</v>
      </c>
      <c r="E162" s="5" t="s">
        <v>463</v>
      </c>
      <c r="F162" s="4" t="s">
        <v>465</v>
      </c>
      <c r="G162" s="4" t="s">
        <v>465</v>
      </c>
      <c r="I162" s="1" t="s">
        <v>16</v>
      </c>
      <c r="J162" s="1" t="s">
        <v>10</v>
      </c>
      <c r="K162" s="4" t="s">
        <v>464</v>
      </c>
      <c r="L162" s="1" t="s">
        <v>28</v>
      </c>
      <c r="M162" s="10">
        <f>VLOOKUP(L162,'[2]2025 Teachers (1)'!$C$2:$D$807,2,FALSE)</f>
        <v>15143</v>
      </c>
      <c r="O162" s="1"/>
      <c r="P162" s="3">
        <v>0.64</v>
      </c>
      <c r="Q162" s="1"/>
      <c r="S162" s="1"/>
      <c r="T162" s="1"/>
      <c r="U162" s="1"/>
      <c r="V162" s="1"/>
      <c r="Y162" s="1"/>
      <c r="AA162" s="1"/>
      <c r="AB162" s="1"/>
      <c r="AC162" s="1"/>
      <c r="AD162" s="1"/>
      <c r="AE162" s="1"/>
      <c r="AF162" s="1"/>
      <c r="AG162" s="1"/>
      <c r="AH162" s="13">
        <f>VLOOKUP(A162,'2024-25 DIBELS BOY '!A162:AP532,42,FALSE)</f>
        <v>0.62666666666666671</v>
      </c>
      <c r="AI162" s="1"/>
      <c r="AJ162" s="1"/>
      <c r="AK162" s="1"/>
      <c r="AL162" s="1"/>
      <c r="AM162" s="1"/>
    </row>
    <row r="163" spans="1:39" ht="12.3" x14ac:dyDescent="0.4">
      <c r="A163" s="1" t="s">
        <v>249</v>
      </c>
      <c r="B163" s="10">
        <f>VLOOKUP(A163,'[1]2025 KG Students'!$C$2:$D$630,2,FALSE)</f>
        <v>88147</v>
      </c>
      <c r="C163" s="1" t="s">
        <v>6</v>
      </c>
      <c r="D163" s="5" t="s">
        <v>7</v>
      </c>
      <c r="E163" s="5" t="s">
        <v>463</v>
      </c>
      <c r="F163" s="4" t="s">
        <v>465</v>
      </c>
      <c r="G163" s="4" t="s">
        <v>465</v>
      </c>
      <c r="I163" s="1" t="s">
        <v>8</v>
      </c>
      <c r="J163" s="1" t="s">
        <v>9</v>
      </c>
      <c r="K163" s="4" t="s">
        <v>464</v>
      </c>
      <c r="L163" s="1" t="s">
        <v>25</v>
      </c>
      <c r="M163" s="10">
        <f>VLOOKUP(L163,'[2]2025 Teachers (1)'!$C$2:$D$807,2,FALSE)</f>
        <v>17649</v>
      </c>
      <c r="O163" s="1"/>
      <c r="P163" s="3">
        <v>0.60666666666666669</v>
      </c>
      <c r="Q163" s="1"/>
      <c r="S163" s="1"/>
      <c r="T163" s="1"/>
      <c r="U163" s="2"/>
      <c r="V163" s="1"/>
      <c r="Y163" s="1"/>
      <c r="AA163" s="1"/>
      <c r="AB163" s="1"/>
      <c r="AC163" s="1"/>
      <c r="AD163" s="1"/>
      <c r="AE163" s="1"/>
      <c r="AF163" s="1"/>
      <c r="AG163" s="1"/>
      <c r="AH163" s="13">
        <f>VLOOKUP(A163,'2024-25 DIBELS BOY '!A163:AP533,42,FALSE)</f>
        <v>0.44166666666666665</v>
      </c>
      <c r="AI163" s="1"/>
      <c r="AJ163" s="1"/>
      <c r="AK163" s="1"/>
      <c r="AL163" s="1"/>
      <c r="AM163" s="1"/>
    </row>
    <row r="164" spans="1:39" ht="12.3" x14ac:dyDescent="0.4">
      <c r="A164" s="1" t="s">
        <v>250</v>
      </c>
      <c r="B164" s="10">
        <f>VLOOKUP(A164,'[1]2025 KG Students'!$C$2:$D$630,2,FALSE)</f>
        <v>85273</v>
      </c>
      <c r="C164" s="1" t="s">
        <v>6</v>
      </c>
      <c r="D164" s="5" t="s">
        <v>7</v>
      </c>
      <c r="E164" s="5" t="s">
        <v>463</v>
      </c>
      <c r="F164" s="4" t="s">
        <v>465</v>
      </c>
      <c r="G164" s="4" t="s">
        <v>465</v>
      </c>
      <c r="I164" s="1" t="s">
        <v>8</v>
      </c>
      <c r="J164" s="1" t="s">
        <v>9</v>
      </c>
      <c r="K164" s="4" t="s">
        <v>464</v>
      </c>
      <c r="L164" s="1" t="s">
        <v>11</v>
      </c>
      <c r="M164" s="10">
        <f>VLOOKUP(L164,'[2]2025 Teachers (1)'!$C$2:$D$807,2,FALSE)</f>
        <v>18548</v>
      </c>
      <c r="O164" s="1"/>
      <c r="P164" s="3">
        <v>0.66500000000000004</v>
      </c>
      <c r="Q164" s="1"/>
      <c r="S164" s="2"/>
      <c r="T164" s="1"/>
      <c r="U164" s="1"/>
      <c r="V164" s="1"/>
      <c r="Y164" s="1"/>
      <c r="AA164" s="1"/>
      <c r="AB164" s="1"/>
      <c r="AC164" s="1"/>
      <c r="AD164" s="1"/>
      <c r="AE164" s="1"/>
      <c r="AF164" s="1"/>
      <c r="AG164" s="1"/>
      <c r="AH164" s="13">
        <f>VLOOKUP(A164,'2024-25 DIBELS BOY '!A164:AP534,42,FALSE)</f>
        <v>0.58499999999999996</v>
      </c>
      <c r="AI164" s="1"/>
      <c r="AJ164" s="1"/>
      <c r="AK164" s="1"/>
      <c r="AL164" s="1"/>
      <c r="AM164" s="1"/>
    </row>
    <row r="165" spans="1:39" ht="12.3" x14ac:dyDescent="0.4">
      <c r="A165" s="1" t="s">
        <v>251</v>
      </c>
      <c r="B165" s="10">
        <f>VLOOKUP(A165,'[1]2025 KG Students'!$C$2:$D$630,2,FALSE)</f>
        <v>88519</v>
      </c>
      <c r="C165" s="1" t="s">
        <v>6</v>
      </c>
      <c r="D165" s="5" t="s">
        <v>7</v>
      </c>
      <c r="E165" s="5" t="s">
        <v>463</v>
      </c>
      <c r="F165" s="4" t="s">
        <v>465</v>
      </c>
      <c r="G165" s="4" t="s">
        <v>465</v>
      </c>
      <c r="I165" s="1" t="s">
        <v>16</v>
      </c>
      <c r="J165" s="1" t="s">
        <v>10</v>
      </c>
      <c r="K165" s="4" t="s">
        <v>464</v>
      </c>
      <c r="L165" s="1" t="s">
        <v>19</v>
      </c>
      <c r="M165" s="10">
        <f>VLOOKUP(L165,'[2]2025 Teachers (1)'!$C$2:$D$807,2,FALSE)</f>
        <v>18050</v>
      </c>
      <c r="O165" s="1"/>
      <c r="P165" s="3">
        <v>0.57166666666666666</v>
      </c>
      <c r="Q165" s="1"/>
      <c r="S165" s="1"/>
      <c r="T165" s="1"/>
      <c r="U165" s="1"/>
      <c r="V165" s="1"/>
      <c r="Y165" s="1"/>
      <c r="AA165" s="1"/>
      <c r="AB165" s="1"/>
      <c r="AC165" s="1"/>
      <c r="AD165" s="1"/>
      <c r="AE165" s="1"/>
      <c r="AF165" s="1"/>
      <c r="AG165" s="1"/>
      <c r="AH165" s="13">
        <f>VLOOKUP(A165,'2024-25 DIBELS BOY '!A165:AP535,42,FALSE)</f>
        <v>0.40500000000000003</v>
      </c>
      <c r="AI165" s="1"/>
      <c r="AJ165" s="1"/>
      <c r="AK165" s="1"/>
      <c r="AL165" s="1"/>
      <c r="AM165" s="1"/>
    </row>
    <row r="166" spans="1:39" ht="12.3" x14ac:dyDescent="0.4">
      <c r="A166" s="1" t="s">
        <v>252</v>
      </c>
      <c r="B166" s="10">
        <f>VLOOKUP(A166,'[1]2025 KG Students'!$C$2:$D$630,2,FALSE)</f>
        <v>87154</v>
      </c>
      <c r="C166" s="1" t="s">
        <v>6</v>
      </c>
      <c r="D166" s="5" t="s">
        <v>7</v>
      </c>
      <c r="E166" s="5" t="s">
        <v>463</v>
      </c>
      <c r="F166" s="4" t="s">
        <v>465</v>
      </c>
      <c r="G166" s="4" t="s">
        <v>465</v>
      </c>
      <c r="I166" s="1" t="s">
        <v>16</v>
      </c>
      <c r="J166" s="1" t="s">
        <v>10</v>
      </c>
      <c r="K166" s="4" t="s">
        <v>464</v>
      </c>
      <c r="L166" s="1" t="s">
        <v>19</v>
      </c>
      <c r="M166" s="10">
        <f>VLOOKUP(L166,'[2]2025 Teachers (1)'!$C$2:$D$807,2,FALSE)</f>
        <v>18050</v>
      </c>
      <c r="O166" s="1"/>
      <c r="P166" s="3">
        <v>0.54</v>
      </c>
      <c r="Q166" s="1"/>
      <c r="S166" s="2"/>
      <c r="T166" s="1"/>
      <c r="U166" s="2"/>
      <c r="V166" s="1"/>
      <c r="Y166" s="1"/>
      <c r="AA166" s="1"/>
      <c r="AB166" s="1"/>
      <c r="AC166" s="1"/>
      <c r="AD166" s="1"/>
      <c r="AE166" s="1"/>
      <c r="AF166" s="1"/>
      <c r="AG166" s="1"/>
      <c r="AH166" s="13">
        <f>VLOOKUP(A166,'2024-25 DIBELS BOY '!A166:AP536,42,FALSE)</f>
        <v>0.43666666666666665</v>
      </c>
      <c r="AI166" s="1"/>
      <c r="AJ166" s="1"/>
      <c r="AK166" s="1"/>
      <c r="AL166" s="1"/>
      <c r="AM166" s="1"/>
    </row>
    <row r="167" spans="1:39" ht="12.3" x14ac:dyDescent="0.4">
      <c r="A167" s="1" t="s">
        <v>253</v>
      </c>
      <c r="B167" s="10">
        <f>VLOOKUP(A167,'[1]2025 KG Students'!$C$2:$D$630,2,FALSE)</f>
        <v>85601</v>
      </c>
      <c r="C167" s="1" t="s">
        <v>6</v>
      </c>
      <c r="D167" s="5" t="s">
        <v>7</v>
      </c>
      <c r="E167" s="5" t="s">
        <v>463</v>
      </c>
      <c r="F167" s="4" t="s">
        <v>465</v>
      </c>
      <c r="G167" s="4" t="s">
        <v>465</v>
      </c>
      <c r="I167" s="1" t="s">
        <v>16</v>
      </c>
      <c r="J167" s="1" t="s">
        <v>10</v>
      </c>
      <c r="K167" s="4" t="s">
        <v>464</v>
      </c>
      <c r="L167" s="1" t="s">
        <v>22</v>
      </c>
      <c r="M167" s="10">
        <f>VLOOKUP(L167,'[2]2025 Teachers (1)'!$C$2:$D$807,2,FALSE)</f>
        <v>18825</v>
      </c>
      <c r="O167" s="1"/>
      <c r="P167" s="3">
        <v>0.67333333333333334</v>
      </c>
      <c r="Q167" s="1"/>
      <c r="S167" s="2"/>
      <c r="T167" s="1"/>
      <c r="U167" s="1"/>
      <c r="V167" s="1"/>
      <c r="Y167" s="1"/>
      <c r="AA167" s="1"/>
      <c r="AB167" s="1"/>
      <c r="AC167" s="1"/>
      <c r="AD167" s="1"/>
      <c r="AE167" s="1"/>
      <c r="AF167" s="1"/>
      <c r="AG167" s="1"/>
      <c r="AH167" s="13">
        <f>VLOOKUP(A167,'2024-25 DIBELS BOY '!A167:AP537,42,FALSE)</f>
        <v>0.55500000000000005</v>
      </c>
      <c r="AI167" s="1"/>
      <c r="AJ167" s="1"/>
      <c r="AK167" s="1"/>
      <c r="AL167" s="1"/>
      <c r="AM167" s="1"/>
    </row>
    <row r="168" spans="1:39" ht="12.3" x14ac:dyDescent="0.4">
      <c r="A168" s="1" t="s">
        <v>254</v>
      </c>
      <c r="B168" s="10">
        <f>VLOOKUP(A168,'[1]2025 KG Students'!$C$2:$D$630,2,FALSE)</f>
        <v>85212</v>
      </c>
      <c r="C168" s="1" t="s">
        <v>6</v>
      </c>
      <c r="D168" s="5" t="s">
        <v>7</v>
      </c>
      <c r="E168" s="5" t="s">
        <v>463</v>
      </c>
      <c r="F168" s="4" t="s">
        <v>465</v>
      </c>
      <c r="G168" s="4" t="s">
        <v>465</v>
      </c>
      <c r="I168" s="1" t="s">
        <v>8</v>
      </c>
      <c r="J168" s="1" t="s">
        <v>9</v>
      </c>
      <c r="K168" s="4" t="s">
        <v>464</v>
      </c>
      <c r="L168" s="1" t="s">
        <v>17</v>
      </c>
      <c r="M168" s="10">
        <f>VLOOKUP(L168,'[2]2025 Teachers (1)'!$C$2:$D$807,2,FALSE)</f>
        <v>13866</v>
      </c>
      <c r="O168" s="1"/>
      <c r="P168" s="3">
        <v>0.66500000000000004</v>
      </c>
      <c r="Q168" s="1"/>
      <c r="S168" s="2"/>
      <c r="T168" s="1"/>
      <c r="U168" s="1"/>
      <c r="V168" s="1"/>
      <c r="Y168" s="1"/>
      <c r="AA168" s="1"/>
      <c r="AB168" s="1"/>
      <c r="AC168" s="1"/>
      <c r="AD168" s="1"/>
      <c r="AE168" s="1"/>
      <c r="AF168" s="1"/>
      <c r="AG168" s="1"/>
      <c r="AH168" s="13">
        <f>VLOOKUP(A168,'2024-25 DIBELS BOY '!A168:AP538,42,FALSE)</f>
        <v>0.56833333333333336</v>
      </c>
      <c r="AI168" s="1"/>
      <c r="AJ168" s="1"/>
      <c r="AK168" s="1"/>
      <c r="AL168" s="1"/>
      <c r="AM168" s="1"/>
    </row>
    <row r="169" spans="1:39" ht="12.3" x14ac:dyDescent="0.4">
      <c r="A169" s="1" t="s">
        <v>255</v>
      </c>
      <c r="B169" s="10">
        <f>VLOOKUP(A169,'[1]2025 KG Students'!$C$2:$D$630,2,FALSE)</f>
        <v>86130</v>
      </c>
      <c r="C169" s="1" t="s">
        <v>6</v>
      </c>
      <c r="D169" s="5" t="s">
        <v>7</v>
      </c>
      <c r="E169" s="5" t="s">
        <v>463</v>
      </c>
      <c r="F169" s="4" t="s">
        <v>465</v>
      </c>
      <c r="G169" s="4" t="s">
        <v>465</v>
      </c>
      <c r="I169" s="1" t="s">
        <v>8</v>
      </c>
      <c r="J169" s="1" t="s">
        <v>9</v>
      </c>
      <c r="K169" s="4" t="s">
        <v>464</v>
      </c>
      <c r="L169" s="1" t="s">
        <v>25</v>
      </c>
      <c r="M169" s="10">
        <f>VLOOKUP(L169,'[2]2025 Teachers (1)'!$C$2:$D$807,2,FALSE)</f>
        <v>17649</v>
      </c>
      <c r="O169" s="1"/>
      <c r="P169" s="3">
        <v>0.57999999999999996</v>
      </c>
      <c r="Q169" s="1"/>
      <c r="S169" s="2"/>
      <c r="T169" s="1"/>
      <c r="U169" s="1"/>
      <c r="V169" s="1"/>
      <c r="Y169" s="1"/>
      <c r="AA169" s="1"/>
      <c r="AB169" s="1"/>
      <c r="AC169" s="1"/>
      <c r="AD169" s="1"/>
      <c r="AE169" s="1"/>
      <c r="AF169" s="1"/>
      <c r="AG169" s="1"/>
      <c r="AH169" s="13">
        <f>VLOOKUP(A169,'2024-25 DIBELS BOY '!A169:AP539,42,FALSE)</f>
        <v>0.48333333333333334</v>
      </c>
      <c r="AI169" s="1"/>
      <c r="AJ169" s="1"/>
      <c r="AK169" s="1"/>
      <c r="AL169" s="1"/>
      <c r="AM169" s="1"/>
    </row>
    <row r="170" spans="1:39" ht="12.3" x14ac:dyDescent="0.4">
      <c r="A170" s="1" t="s">
        <v>256</v>
      </c>
      <c r="B170" s="10">
        <f>VLOOKUP(A170,'[1]2025 KG Students'!$C$2:$D$630,2,FALSE)</f>
        <v>86053</v>
      </c>
      <c r="C170" s="1" t="s">
        <v>6</v>
      </c>
      <c r="D170" s="5" t="s">
        <v>7</v>
      </c>
      <c r="E170" s="5" t="s">
        <v>463</v>
      </c>
      <c r="F170" s="4" t="s">
        <v>465</v>
      </c>
      <c r="G170" s="4" t="s">
        <v>465</v>
      </c>
      <c r="I170" s="1" t="s">
        <v>16</v>
      </c>
      <c r="J170" s="1" t="s">
        <v>10</v>
      </c>
      <c r="K170" s="4" t="s">
        <v>464</v>
      </c>
      <c r="L170" s="1" t="s">
        <v>26</v>
      </c>
      <c r="M170" s="10">
        <f>VLOOKUP(L170,'[2]2025 Teachers (1)'!$C$2:$D$807,2,FALSE)</f>
        <v>18941</v>
      </c>
      <c r="O170" s="1"/>
      <c r="P170" s="3">
        <v>0.63833333333333331</v>
      </c>
      <c r="Q170" s="1"/>
      <c r="S170" s="2"/>
      <c r="T170" s="1"/>
      <c r="U170" s="1"/>
      <c r="V170" s="1"/>
      <c r="Y170" s="1"/>
      <c r="AA170" s="1"/>
      <c r="AB170" s="1"/>
      <c r="AC170" s="1"/>
      <c r="AD170" s="1"/>
      <c r="AE170" s="1"/>
      <c r="AF170" s="1"/>
      <c r="AG170" s="1"/>
      <c r="AH170" s="13">
        <f>VLOOKUP(A170,'2024-25 DIBELS BOY '!A170:AP540,42,FALSE)</f>
        <v>0.58833333333333337</v>
      </c>
      <c r="AI170" s="1"/>
      <c r="AJ170" s="1"/>
      <c r="AK170" s="1"/>
      <c r="AL170" s="1"/>
      <c r="AM170" s="1"/>
    </row>
    <row r="171" spans="1:39" ht="12.3" x14ac:dyDescent="0.4">
      <c r="A171" s="1" t="s">
        <v>257</v>
      </c>
      <c r="B171" s="10">
        <f>VLOOKUP(A171,'[1]2025 KG Students'!$C$2:$D$630,2,FALSE)</f>
        <v>85762</v>
      </c>
      <c r="C171" s="1" t="s">
        <v>6</v>
      </c>
      <c r="D171" s="5" t="s">
        <v>7</v>
      </c>
      <c r="E171" s="5" t="s">
        <v>463</v>
      </c>
      <c r="F171" s="4" t="s">
        <v>465</v>
      </c>
      <c r="G171" s="4" t="s">
        <v>465</v>
      </c>
      <c r="I171" s="1" t="s">
        <v>8</v>
      </c>
      <c r="J171" s="1" t="s">
        <v>9</v>
      </c>
      <c r="K171" s="4" t="s">
        <v>464</v>
      </c>
      <c r="L171" s="1" t="s">
        <v>19</v>
      </c>
      <c r="M171" s="10">
        <f>VLOOKUP(L171,'[2]2025 Teachers (1)'!$C$2:$D$807,2,FALSE)</f>
        <v>18050</v>
      </c>
      <c r="O171" s="1"/>
      <c r="P171" s="3">
        <v>0.54166666666666663</v>
      </c>
      <c r="Q171" s="1"/>
      <c r="S171" s="2"/>
      <c r="T171" s="1"/>
      <c r="U171" s="1"/>
      <c r="V171" s="1"/>
      <c r="Y171" s="1"/>
      <c r="AA171" s="1"/>
      <c r="AB171" s="1"/>
      <c r="AC171" s="1"/>
      <c r="AD171" s="1"/>
      <c r="AE171" s="1"/>
      <c r="AF171" s="1"/>
      <c r="AG171" s="1"/>
      <c r="AH171" s="13">
        <f>VLOOKUP(A171,'2024-25 DIBELS BOY '!A171:AP541,42,FALSE)</f>
        <v>0.5</v>
      </c>
      <c r="AI171" s="1"/>
      <c r="AJ171" s="1"/>
      <c r="AK171" s="1"/>
      <c r="AL171" s="1"/>
      <c r="AM171" s="1"/>
    </row>
    <row r="172" spans="1:39" ht="12.3" x14ac:dyDescent="0.4">
      <c r="A172" s="1" t="s">
        <v>258</v>
      </c>
      <c r="B172" s="10">
        <f>VLOOKUP(A172,'[1]2025 KG Students'!$C$2:$D$630,2,FALSE)</f>
        <v>85211</v>
      </c>
      <c r="C172" s="1" t="s">
        <v>6</v>
      </c>
      <c r="D172" s="5" t="s">
        <v>7</v>
      </c>
      <c r="E172" s="5" t="s">
        <v>463</v>
      </c>
      <c r="F172" s="4" t="s">
        <v>465</v>
      </c>
      <c r="G172" s="4" t="s">
        <v>465</v>
      </c>
      <c r="I172" s="1" t="s">
        <v>27</v>
      </c>
      <c r="J172" s="1" t="s">
        <v>9</v>
      </c>
      <c r="K172" s="4" t="s">
        <v>464</v>
      </c>
      <c r="L172" s="1" t="s">
        <v>22</v>
      </c>
      <c r="M172" s="10">
        <f>VLOOKUP(L172,'[2]2025 Teachers (1)'!$C$2:$D$807,2,FALSE)</f>
        <v>18825</v>
      </c>
      <c r="O172" s="1"/>
      <c r="P172" s="3">
        <v>0.70333333333333337</v>
      </c>
      <c r="Q172" s="1"/>
      <c r="S172" s="2"/>
      <c r="T172" s="1"/>
      <c r="U172" s="2"/>
      <c r="V172" s="1"/>
      <c r="Y172" s="1"/>
      <c r="AA172" s="1"/>
      <c r="AB172" s="1"/>
      <c r="AC172" s="1"/>
      <c r="AD172" s="1"/>
      <c r="AE172" s="1"/>
      <c r="AF172" s="1"/>
      <c r="AG172" s="1"/>
      <c r="AH172" s="13">
        <f>VLOOKUP(A172,'2024-25 DIBELS BOY '!A172:AP542,42,FALSE)</f>
        <v>0.63</v>
      </c>
      <c r="AI172" s="1"/>
      <c r="AJ172" s="1"/>
      <c r="AK172" s="1"/>
      <c r="AL172" s="1"/>
      <c r="AM172" s="1"/>
    </row>
    <row r="173" spans="1:39" ht="12.3" x14ac:dyDescent="0.4">
      <c r="A173" s="1" t="s">
        <v>259</v>
      </c>
      <c r="B173" s="10">
        <f>VLOOKUP(A173,'[1]2025 KG Students'!$C$2:$D$630,2,FALSE)</f>
        <v>88493</v>
      </c>
      <c r="C173" s="1" t="s">
        <v>6</v>
      </c>
      <c r="D173" s="5" t="s">
        <v>7</v>
      </c>
      <c r="E173" s="5" t="s">
        <v>463</v>
      </c>
      <c r="F173" s="4" t="s">
        <v>465</v>
      </c>
      <c r="G173" s="4" t="s">
        <v>465</v>
      </c>
      <c r="I173" s="1" t="s">
        <v>16</v>
      </c>
      <c r="J173" s="1" t="s">
        <v>10</v>
      </c>
      <c r="K173" s="4" t="s">
        <v>464</v>
      </c>
      <c r="L173" s="1" t="s">
        <v>11</v>
      </c>
      <c r="M173" s="10">
        <f>VLOOKUP(L173,'[2]2025 Teachers (1)'!$C$2:$D$807,2,FALSE)</f>
        <v>18548</v>
      </c>
      <c r="O173" s="1"/>
      <c r="P173" s="3">
        <v>0.53666666666666663</v>
      </c>
      <c r="Q173" s="1"/>
      <c r="S173" s="1"/>
      <c r="T173" s="1"/>
      <c r="U173" s="1"/>
      <c r="V173" s="1"/>
      <c r="Y173" s="1"/>
      <c r="AA173" s="1"/>
      <c r="AB173" s="1"/>
      <c r="AC173" s="1"/>
      <c r="AD173" s="1"/>
      <c r="AE173" s="1"/>
      <c r="AF173" s="1"/>
      <c r="AG173" s="1"/>
      <c r="AH173" s="13">
        <f>VLOOKUP(A173,'2024-25 DIBELS BOY '!A173:AP543,42,FALSE)</f>
        <v>0.40500000000000003</v>
      </c>
      <c r="AI173" s="1"/>
      <c r="AJ173" s="1"/>
      <c r="AK173" s="1"/>
      <c r="AL173" s="1"/>
      <c r="AM173" s="1"/>
    </row>
    <row r="174" spans="1:39" ht="12.3" x14ac:dyDescent="0.4">
      <c r="A174" s="1" t="s">
        <v>260</v>
      </c>
      <c r="B174" s="10">
        <f>VLOOKUP(A174,'[1]2025 KG Students'!$C$2:$D$630,2,FALSE)</f>
        <v>86221</v>
      </c>
      <c r="C174" s="1" t="s">
        <v>6</v>
      </c>
      <c r="D174" s="5" t="s">
        <v>7</v>
      </c>
      <c r="E174" s="5" t="s">
        <v>463</v>
      </c>
      <c r="F174" s="4" t="s">
        <v>465</v>
      </c>
      <c r="G174" s="4" t="s">
        <v>465</v>
      </c>
      <c r="I174" s="1" t="s">
        <v>16</v>
      </c>
      <c r="J174" s="1" t="s">
        <v>10</v>
      </c>
      <c r="K174" s="4" t="s">
        <v>464</v>
      </c>
      <c r="L174" s="1" t="s">
        <v>23</v>
      </c>
      <c r="M174" s="10">
        <f>VLOOKUP(L174,'[2]2025 Teachers (1)'!$C$2:$D$807,2,FALSE)</f>
        <v>17879</v>
      </c>
      <c r="O174" s="1"/>
      <c r="P174" s="3">
        <v>0.56666666666666665</v>
      </c>
      <c r="Q174" s="1"/>
      <c r="S174" s="2"/>
      <c r="T174" s="1"/>
      <c r="U174" s="2"/>
      <c r="V174" s="1"/>
      <c r="Y174" s="1"/>
      <c r="AA174" s="1"/>
      <c r="AB174" s="1"/>
      <c r="AC174" s="1"/>
      <c r="AD174" s="1"/>
      <c r="AE174" s="1"/>
      <c r="AF174" s="1"/>
      <c r="AG174" s="1"/>
      <c r="AH174" s="13">
        <f>VLOOKUP(A174,'2024-25 DIBELS BOY '!A174:AP544,42,FALSE)</f>
        <v>0.48</v>
      </c>
      <c r="AI174" s="1"/>
      <c r="AJ174" s="1"/>
      <c r="AK174" s="1"/>
      <c r="AL174" s="1"/>
      <c r="AM174" s="1"/>
    </row>
    <row r="175" spans="1:39" ht="12.3" x14ac:dyDescent="0.4">
      <c r="A175" s="1" t="s">
        <v>261</v>
      </c>
      <c r="B175" s="10">
        <f>VLOOKUP(A175,'[1]2025 KG Students'!$C$2:$D$630,2,FALSE)</f>
        <v>85511</v>
      </c>
      <c r="C175" s="1" t="s">
        <v>6</v>
      </c>
      <c r="D175" s="5" t="s">
        <v>7</v>
      </c>
      <c r="E175" s="5" t="s">
        <v>463</v>
      </c>
      <c r="F175" s="4" t="s">
        <v>465</v>
      </c>
      <c r="G175" s="4" t="s">
        <v>465</v>
      </c>
      <c r="I175" s="1" t="s">
        <v>16</v>
      </c>
      <c r="J175" s="1" t="s">
        <v>10</v>
      </c>
      <c r="K175" s="4" t="s">
        <v>464</v>
      </c>
      <c r="L175" s="1" t="s">
        <v>19</v>
      </c>
      <c r="M175" s="10">
        <f>VLOOKUP(L175,'[2]2025 Teachers (1)'!$C$2:$D$807,2,FALSE)</f>
        <v>18050</v>
      </c>
      <c r="O175" s="1"/>
      <c r="P175" s="3">
        <v>0.56000000000000005</v>
      </c>
      <c r="Q175" s="1"/>
      <c r="S175" s="2"/>
      <c r="T175" s="1"/>
      <c r="U175" s="2"/>
      <c r="V175" s="1"/>
      <c r="Y175" s="1"/>
      <c r="AA175" s="1"/>
      <c r="AB175" s="1"/>
      <c r="AC175" s="1"/>
      <c r="AD175" s="1"/>
      <c r="AE175" s="1"/>
      <c r="AF175" s="1"/>
      <c r="AG175" s="1"/>
      <c r="AH175" s="13">
        <f>VLOOKUP(A175,'2024-25 DIBELS BOY '!A175:AP545,42,FALSE)</f>
        <v>0.43166666666666664</v>
      </c>
      <c r="AI175" s="1"/>
      <c r="AJ175" s="1"/>
      <c r="AK175" s="1"/>
      <c r="AL175" s="1"/>
      <c r="AM175" s="1"/>
    </row>
    <row r="176" spans="1:39" ht="12.3" x14ac:dyDescent="0.4">
      <c r="A176" s="1" t="s">
        <v>262</v>
      </c>
      <c r="B176" s="10">
        <f>VLOOKUP(A176,'[1]2025 KG Students'!$C$2:$D$630,2,FALSE)</f>
        <v>88505</v>
      </c>
      <c r="C176" s="1" t="s">
        <v>6</v>
      </c>
      <c r="D176" s="5" t="s">
        <v>7</v>
      </c>
      <c r="E176" s="5" t="s">
        <v>463</v>
      </c>
      <c r="F176" s="4" t="s">
        <v>465</v>
      </c>
      <c r="G176" s="4" t="s">
        <v>465</v>
      </c>
      <c r="I176" s="1" t="s">
        <v>16</v>
      </c>
      <c r="J176" s="1" t="s">
        <v>10</v>
      </c>
      <c r="K176" s="4" t="s">
        <v>464</v>
      </c>
      <c r="L176" s="1" t="s">
        <v>22</v>
      </c>
      <c r="M176" s="10">
        <f>VLOOKUP(L176,'[2]2025 Teachers (1)'!$C$2:$D$807,2,FALSE)</f>
        <v>18825</v>
      </c>
      <c r="O176" s="1"/>
      <c r="P176" s="3">
        <v>0.57499999999999996</v>
      </c>
      <c r="Q176" s="1"/>
      <c r="S176" s="1"/>
      <c r="T176" s="1"/>
      <c r="U176" s="2"/>
      <c r="V176" s="1"/>
      <c r="Y176" s="1"/>
      <c r="AA176" s="1"/>
      <c r="AB176" s="1"/>
      <c r="AC176" s="1"/>
      <c r="AD176" s="1"/>
      <c r="AE176" s="1"/>
      <c r="AF176" s="1"/>
      <c r="AG176" s="1"/>
      <c r="AH176" s="13">
        <f>VLOOKUP(A176,'2024-25 DIBELS BOY '!A176:AP546,42,FALSE)</f>
        <v>0.41166666666666668</v>
      </c>
      <c r="AI176" s="1"/>
      <c r="AJ176" s="1"/>
      <c r="AK176" s="1"/>
      <c r="AL176" s="1"/>
      <c r="AM176" s="1"/>
    </row>
    <row r="177" spans="1:39" ht="12.3" x14ac:dyDescent="0.4">
      <c r="A177" s="1" t="s">
        <v>263</v>
      </c>
      <c r="B177" s="10">
        <f>VLOOKUP(A177,'[1]2025 KG Students'!$C$2:$D$630,2,FALSE)</f>
        <v>87636</v>
      </c>
      <c r="C177" s="1" t="s">
        <v>6</v>
      </c>
      <c r="D177" s="5" t="s">
        <v>7</v>
      </c>
      <c r="E177" s="5" t="s">
        <v>463</v>
      </c>
      <c r="F177" s="4" t="s">
        <v>465</v>
      </c>
      <c r="G177" s="4" t="s">
        <v>465</v>
      </c>
      <c r="I177" s="1" t="s">
        <v>29</v>
      </c>
      <c r="J177" s="1" t="s">
        <v>9</v>
      </c>
      <c r="K177" s="4" t="s">
        <v>464</v>
      </c>
      <c r="L177" s="1" t="s">
        <v>28</v>
      </c>
      <c r="M177" s="10">
        <f>VLOOKUP(L177,'[2]2025 Teachers (1)'!$C$2:$D$807,2,FALSE)</f>
        <v>15143</v>
      </c>
      <c r="O177" s="1"/>
      <c r="P177" s="3">
        <v>0.56499999999999995</v>
      </c>
      <c r="Q177" s="1"/>
      <c r="S177" s="1"/>
      <c r="T177" s="1"/>
      <c r="U177" s="1"/>
      <c r="V177" s="1"/>
      <c r="Y177" s="1"/>
      <c r="AA177" s="1"/>
      <c r="AB177" s="1"/>
      <c r="AC177" s="1"/>
      <c r="AD177" s="1"/>
      <c r="AE177" s="1"/>
      <c r="AF177" s="1"/>
      <c r="AG177" s="1"/>
      <c r="AH177" s="13">
        <f>VLOOKUP(A177,'2024-25 DIBELS BOY '!A177:AP547,42,FALSE)</f>
        <v>0.48333333333333334</v>
      </c>
      <c r="AI177" s="1"/>
      <c r="AJ177" s="1"/>
      <c r="AK177" s="1"/>
      <c r="AL177" s="1"/>
      <c r="AM177" s="1"/>
    </row>
    <row r="178" spans="1:39" ht="12.3" x14ac:dyDescent="0.4">
      <c r="A178" s="1" t="s">
        <v>264</v>
      </c>
      <c r="B178" s="10">
        <f>VLOOKUP(A178,'[1]2025 KG Students'!$C$2:$D$630,2,FALSE)</f>
        <v>85313</v>
      </c>
      <c r="C178" s="1" t="s">
        <v>6</v>
      </c>
      <c r="D178" s="5" t="s">
        <v>7</v>
      </c>
      <c r="E178" s="5" t="s">
        <v>463</v>
      </c>
      <c r="F178" s="4" t="s">
        <v>465</v>
      </c>
      <c r="G178" s="4" t="s">
        <v>465</v>
      </c>
      <c r="I178" s="1" t="s">
        <v>8</v>
      </c>
      <c r="J178" s="1" t="s">
        <v>9</v>
      </c>
      <c r="K178" s="4" t="s">
        <v>464</v>
      </c>
      <c r="L178" s="1" t="s">
        <v>22</v>
      </c>
      <c r="M178" s="10">
        <f>VLOOKUP(L178,'[2]2025 Teachers (1)'!$C$2:$D$807,2,FALSE)</f>
        <v>18825</v>
      </c>
      <c r="O178" s="1"/>
      <c r="P178" s="3">
        <v>0.55166666666666664</v>
      </c>
      <c r="Q178" s="1"/>
      <c r="S178" s="2"/>
      <c r="T178" s="1"/>
      <c r="U178" s="2"/>
      <c r="V178" s="1"/>
      <c r="Y178" s="1"/>
      <c r="AA178" s="1"/>
      <c r="AB178" s="1"/>
      <c r="AC178" s="1"/>
      <c r="AD178" s="1"/>
      <c r="AE178" s="1"/>
      <c r="AF178" s="1"/>
      <c r="AG178" s="1"/>
      <c r="AH178" s="13">
        <f>VLOOKUP(A178,'2024-25 DIBELS BOY '!A178:AP548,42,FALSE)</f>
        <v>0.43833333333333335</v>
      </c>
      <c r="AI178" s="1"/>
      <c r="AJ178" s="1"/>
      <c r="AK178" s="1"/>
      <c r="AL178" s="1"/>
      <c r="AM178" s="1"/>
    </row>
    <row r="179" spans="1:39" ht="12.3" x14ac:dyDescent="0.4">
      <c r="A179" s="1" t="s">
        <v>265</v>
      </c>
      <c r="B179" s="10">
        <f>VLOOKUP(A179,'[1]2025 KG Students'!$C$2:$D$630,2,FALSE)</f>
        <v>87133</v>
      </c>
      <c r="C179" s="1" t="s">
        <v>6</v>
      </c>
      <c r="D179" s="5" t="s">
        <v>7</v>
      </c>
      <c r="E179" s="5" t="s">
        <v>463</v>
      </c>
      <c r="F179" s="4" t="s">
        <v>465</v>
      </c>
      <c r="G179" s="4" t="s">
        <v>465</v>
      </c>
      <c r="I179" s="1" t="s">
        <v>8</v>
      </c>
      <c r="J179" s="1" t="s">
        <v>9</v>
      </c>
      <c r="K179" s="4" t="s">
        <v>464</v>
      </c>
      <c r="L179" s="1" t="s">
        <v>22</v>
      </c>
      <c r="M179" s="10">
        <f>VLOOKUP(L179,'[2]2025 Teachers (1)'!$C$2:$D$807,2,FALSE)</f>
        <v>18825</v>
      </c>
      <c r="O179" s="1"/>
      <c r="P179" s="3">
        <v>0.56000000000000005</v>
      </c>
      <c r="Q179" s="1"/>
      <c r="S179" s="2"/>
      <c r="T179" s="1"/>
      <c r="U179" s="2"/>
      <c r="V179" s="1"/>
      <c r="Y179" s="1"/>
      <c r="AA179" s="1"/>
      <c r="AB179" s="1"/>
      <c r="AC179" s="1"/>
      <c r="AD179" s="1"/>
      <c r="AE179" s="1"/>
      <c r="AF179" s="1"/>
      <c r="AG179" s="1"/>
      <c r="AH179" s="13">
        <f>VLOOKUP(A179,'2024-25 DIBELS BOY '!A179:AP549,42,FALSE)</f>
        <v>0.46833333333333332</v>
      </c>
      <c r="AI179" s="1"/>
      <c r="AJ179" s="1"/>
      <c r="AK179" s="1"/>
      <c r="AL179" s="1"/>
      <c r="AM179" s="1"/>
    </row>
    <row r="180" spans="1:39" ht="12.3" x14ac:dyDescent="0.4">
      <c r="A180" s="1" t="s">
        <v>266</v>
      </c>
      <c r="B180" s="10">
        <f>VLOOKUP(A180,'[1]2025 KG Students'!$C$2:$D$630,2,FALSE)</f>
        <v>87041</v>
      </c>
      <c r="C180" s="1" t="s">
        <v>6</v>
      </c>
      <c r="D180" s="5" t="s">
        <v>7</v>
      </c>
      <c r="E180" s="5" t="s">
        <v>463</v>
      </c>
      <c r="F180" s="4" t="s">
        <v>465</v>
      </c>
      <c r="G180" s="4" t="s">
        <v>465</v>
      </c>
      <c r="I180" s="1" t="s">
        <v>16</v>
      </c>
      <c r="J180" s="1" t="s">
        <v>9</v>
      </c>
      <c r="K180" s="4" t="s">
        <v>464</v>
      </c>
      <c r="L180" s="1" t="s">
        <v>28</v>
      </c>
      <c r="M180" s="10">
        <f>VLOOKUP(L180,'[2]2025 Teachers (1)'!$C$2:$D$807,2,FALSE)</f>
        <v>15143</v>
      </c>
      <c r="O180" s="1"/>
      <c r="P180" s="3">
        <v>0.6333333333333333</v>
      </c>
      <c r="Q180" s="1"/>
      <c r="S180" s="2"/>
      <c r="T180" s="1"/>
      <c r="U180" s="1"/>
      <c r="V180" s="1"/>
      <c r="Y180" s="1"/>
      <c r="AA180" s="1"/>
      <c r="AB180" s="1"/>
      <c r="AC180" s="1"/>
      <c r="AD180" s="1"/>
      <c r="AE180" s="1"/>
      <c r="AF180" s="1"/>
      <c r="AG180" s="1"/>
      <c r="AH180" s="13">
        <f>VLOOKUP(A180,'2024-25 DIBELS BOY '!A180:AP550,42,FALSE)</f>
        <v>0.58666666666666667</v>
      </c>
      <c r="AI180" s="1"/>
      <c r="AJ180" s="1"/>
      <c r="AK180" s="1"/>
      <c r="AL180" s="1"/>
      <c r="AM180" s="1"/>
    </row>
    <row r="181" spans="1:39" ht="12.3" x14ac:dyDescent="0.4">
      <c r="A181" s="1" t="s">
        <v>267</v>
      </c>
      <c r="B181" s="10" t="e">
        <f>VLOOKUP(A181,'[1]2025 KG Students'!$C$2:$D$630,2,FALSE)</f>
        <v>#N/A</v>
      </c>
      <c r="C181" s="1" t="s">
        <v>6</v>
      </c>
      <c r="D181" s="5" t="s">
        <v>7</v>
      </c>
      <c r="E181" s="5" t="s">
        <v>463</v>
      </c>
      <c r="F181" s="4" t="s">
        <v>465</v>
      </c>
      <c r="G181" s="4" t="s">
        <v>465</v>
      </c>
      <c r="I181" s="1" t="s">
        <v>16</v>
      </c>
      <c r="J181" s="1" t="s">
        <v>9</v>
      </c>
      <c r="K181" s="4" t="s">
        <v>464</v>
      </c>
      <c r="L181" s="1" t="s">
        <v>28</v>
      </c>
      <c r="M181" s="10">
        <f>VLOOKUP(L181,'[2]2025 Teachers (1)'!$C$2:$D$807,2,FALSE)</f>
        <v>15143</v>
      </c>
      <c r="O181" s="1"/>
      <c r="P181" s="3">
        <v>0.55666666666666664</v>
      </c>
      <c r="Q181" s="1"/>
      <c r="S181" s="2"/>
      <c r="T181" s="1"/>
      <c r="U181" s="1"/>
      <c r="V181" s="1"/>
      <c r="Y181" s="1"/>
      <c r="AA181" s="1"/>
      <c r="AB181" s="1"/>
      <c r="AC181" s="1"/>
      <c r="AD181" s="1"/>
      <c r="AE181" s="1"/>
      <c r="AF181" s="1"/>
      <c r="AG181" s="1"/>
      <c r="AH181" s="13" t="e">
        <f>VLOOKUP(A181,'2024-25 DIBELS BOY '!A181:AP551,42,FALSE)</f>
        <v>#N/A</v>
      </c>
      <c r="AI181" s="1"/>
      <c r="AJ181" s="1"/>
      <c r="AK181" s="1"/>
      <c r="AL181" s="1"/>
      <c r="AM181" s="1"/>
    </row>
    <row r="182" spans="1:39" ht="12.3" x14ac:dyDescent="0.4">
      <c r="A182" s="1" t="s">
        <v>268</v>
      </c>
      <c r="B182" s="10">
        <f>VLOOKUP(A182,'[1]2025 KG Students'!$C$2:$D$630,2,FALSE)</f>
        <v>85832</v>
      </c>
      <c r="C182" s="1" t="s">
        <v>6</v>
      </c>
      <c r="D182" s="5" t="s">
        <v>7</v>
      </c>
      <c r="E182" s="5" t="s">
        <v>463</v>
      </c>
      <c r="F182" s="4" t="s">
        <v>465</v>
      </c>
      <c r="G182" s="4" t="s">
        <v>465</v>
      </c>
      <c r="I182" s="1" t="s">
        <v>8</v>
      </c>
      <c r="J182" s="1" t="s">
        <v>9</v>
      </c>
      <c r="K182" s="4" t="s">
        <v>464</v>
      </c>
      <c r="L182" s="1" t="s">
        <v>26</v>
      </c>
      <c r="M182" s="10">
        <f>VLOOKUP(L182,'[2]2025 Teachers (1)'!$C$2:$D$807,2,FALSE)</f>
        <v>18941</v>
      </c>
      <c r="O182" s="1"/>
      <c r="P182" s="3">
        <v>0.61833333333333329</v>
      </c>
      <c r="Q182" s="1"/>
      <c r="S182" s="2"/>
      <c r="T182" s="1"/>
      <c r="U182" s="1"/>
      <c r="V182" s="1"/>
      <c r="Y182" s="1"/>
      <c r="AA182" s="1"/>
      <c r="AB182" s="1"/>
      <c r="AC182" s="1"/>
      <c r="AD182" s="1"/>
      <c r="AE182" s="1"/>
      <c r="AF182" s="1"/>
      <c r="AG182" s="1"/>
      <c r="AH182" s="13">
        <f>VLOOKUP(A182,'2024-25 DIBELS BOY '!A182:AP552,42,FALSE)</f>
        <v>0.57166666666666666</v>
      </c>
      <c r="AI182" s="1"/>
      <c r="AJ182" s="1"/>
      <c r="AK182" s="1"/>
      <c r="AL182" s="1"/>
      <c r="AM182" s="1"/>
    </row>
    <row r="183" spans="1:39" ht="12.3" x14ac:dyDescent="0.4">
      <c r="A183" s="1" t="s">
        <v>269</v>
      </c>
      <c r="B183" s="10">
        <f>VLOOKUP(A183,'[1]2025 KG Students'!$C$2:$D$630,2,FALSE)</f>
        <v>85478</v>
      </c>
      <c r="C183" s="1" t="s">
        <v>6</v>
      </c>
      <c r="D183" s="5" t="s">
        <v>7</v>
      </c>
      <c r="E183" s="5" t="s">
        <v>463</v>
      </c>
      <c r="F183" s="4" t="s">
        <v>465</v>
      </c>
      <c r="G183" s="4" t="s">
        <v>465</v>
      </c>
      <c r="I183" s="1" t="s">
        <v>16</v>
      </c>
      <c r="J183" s="1" t="s">
        <v>10</v>
      </c>
      <c r="K183" s="4" t="s">
        <v>464</v>
      </c>
      <c r="L183" s="1" t="s">
        <v>21</v>
      </c>
      <c r="M183" s="10">
        <f>VLOOKUP(L183,'[2]2025 Teachers (1)'!$C$2:$D$807,2,FALSE)</f>
        <v>15019</v>
      </c>
      <c r="O183" s="1"/>
      <c r="P183" s="3">
        <v>0.73333333333333328</v>
      </c>
      <c r="Q183" s="1"/>
      <c r="S183" s="2"/>
      <c r="T183" s="1"/>
      <c r="U183" s="2"/>
      <c r="V183" s="1"/>
      <c r="Y183" s="1"/>
      <c r="AA183" s="1"/>
      <c r="AB183" s="1"/>
      <c r="AC183" s="1"/>
      <c r="AD183" s="1"/>
      <c r="AE183" s="1"/>
      <c r="AF183" s="1"/>
      <c r="AG183" s="1"/>
      <c r="AH183" s="13">
        <f>VLOOKUP(A183,'2024-25 DIBELS BOY '!A183:AP553,42,FALSE)</f>
        <v>0.60666666666666669</v>
      </c>
      <c r="AI183" s="1"/>
      <c r="AJ183" s="1"/>
      <c r="AK183" s="1"/>
      <c r="AL183" s="1"/>
      <c r="AM183" s="1"/>
    </row>
    <row r="184" spans="1:39" ht="12.3" x14ac:dyDescent="0.4">
      <c r="A184" s="1" t="s">
        <v>270</v>
      </c>
      <c r="B184" s="10">
        <f>VLOOKUP(A184,'[1]2025 KG Students'!$C$2:$D$630,2,FALSE)</f>
        <v>87000</v>
      </c>
      <c r="C184" s="1" t="s">
        <v>6</v>
      </c>
      <c r="D184" s="5" t="s">
        <v>7</v>
      </c>
      <c r="E184" s="5" t="s">
        <v>463</v>
      </c>
      <c r="F184" s="4" t="s">
        <v>465</v>
      </c>
      <c r="G184" s="4" t="s">
        <v>465</v>
      </c>
      <c r="I184" s="1" t="s">
        <v>8</v>
      </c>
      <c r="J184" s="1" t="s">
        <v>9</v>
      </c>
      <c r="K184" s="4" t="s">
        <v>464</v>
      </c>
      <c r="L184" s="1" t="s">
        <v>26</v>
      </c>
      <c r="M184" s="10">
        <f>VLOOKUP(L184,'[2]2025 Teachers (1)'!$C$2:$D$807,2,FALSE)</f>
        <v>18941</v>
      </c>
      <c r="O184" s="1"/>
      <c r="P184" s="3">
        <v>0.63666666666666671</v>
      </c>
      <c r="Q184" s="1"/>
      <c r="S184" s="2"/>
      <c r="T184" s="1"/>
      <c r="U184" s="1"/>
      <c r="V184" s="1"/>
      <c r="Y184" s="1"/>
      <c r="AA184" s="1"/>
      <c r="AB184" s="1"/>
      <c r="AC184" s="1"/>
      <c r="AD184" s="1"/>
      <c r="AE184" s="1"/>
      <c r="AF184" s="1"/>
      <c r="AG184" s="1"/>
      <c r="AH184" s="13">
        <f>VLOOKUP(A184,'2024-25 DIBELS BOY '!A184:AP554,42,FALSE)</f>
        <v>0.51666666666666672</v>
      </c>
      <c r="AI184" s="1"/>
      <c r="AJ184" s="1"/>
      <c r="AK184" s="1"/>
      <c r="AL184" s="1"/>
      <c r="AM184" s="1"/>
    </row>
    <row r="185" spans="1:39" ht="12.3" x14ac:dyDescent="0.4">
      <c r="A185" s="1" t="s">
        <v>271</v>
      </c>
      <c r="B185" s="10">
        <f>VLOOKUP(A185,'[1]2025 KG Students'!$C$2:$D$630,2,FALSE)</f>
        <v>87845</v>
      </c>
      <c r="C185" s="1" t="s">
        <v>6</v>
      </c>
      <c r="D185" s="5" t="s">
        <v>7</v>
      </c>
      <c r="E185" s="5" t="s">
        <v>463</v>
      </c>
      <c r="F185" s="4" t="s">
        <v>465</v>
      </c>
      <c r="G185" s="4" t="s">
        <v>465</v>
      </c>
      <c r="I185" s="1" t="s">
        <v>8</v>
      </c>
      <c r="J185" s="1" t="s">
        <v>9</v>
      </c>
      <c r="K185" s="4" t="s">
        <v>464</v>
      </c>
      <c r="L185" s="1" t="s">
        <v>11</v>
      </c>
      <c r="M185" s="10">
        <f>VLOOKUP(L185,'[2]2025 Teachers (1)'!$C$2:$D$807,2,FALSE)</f>
        <v>18548</v>
      </c>
      <c r="O185" s="1"/>
      <c r="P185" s="3">
        <v>0.79833333333333334</v>
      </c>
      <c r="Q185" s="1"/>
      <c r="S185" s="1"/>
      <c r="T185" s="1"/>
      <c r="U185" s="1"/>
      <c r="V185" s="1"/>
      <c r="Y185" s="1"/>
      <c r="AA185" s="1"/>
      <c r="AB185" s="1"/>
      <c r="AC185" s="1"/>
      <c r="AD185" s="1"/>
      <c r="AE185" s="1"/>
      <c r="AF185" s="1"/>
      <c r="AG185" s="1"/>
      <c r="AH185" s="13">
        <f>VLOOKUP(A185,'2024-25 DIBELS BOY '!A185:AP555,42,FALSE)</f>
        <v>0.78833333333333333</v>
      </c>
      <c r="AI185" s="1"/>
      <c r="AJ185" s="1"/>
      <c r="AK185" s="1"/>
      <c r="AL185" s="1"/>
      <c r="AM185" s="1"/>
    </row>
    <row r="186" spans="1:39" ht="12.3" x14ac:dyDescent="0.4">
      <c r="A186" s="1" t="s">
        <v>272</v>
      </c>
      <c r="B186" s="10">
        <f>VLOOKUP(A186,'[1]2025 KG Students'!$C$2:$D$630,2,FALSE)</f>
        <v>86697</v>
      </c>
      <c r="C186" s="1" t="s">
        <v>6</v>
      </c>
      <c r="D186" s="5" t="s">
        <v>7</v>
      </c>
      <c r="E186" s="5" t="s">
        <v>463</v>
      </c>
      <c r="F186" s="4" t="s">
        <v>465</v>
      </c>
      <c r="G186" s="4" t="s">
        <v>465</v>
      </c>
      <c r="I186" s="1" t="s">
        <v>16</v>
      </c>
      <c r="J186" s="1" t="s">
        <v>9</v>
      </c>
      <c r="K186" s="4" t="s">
        <v>464</v>
      </c>
      <c r="L186" s="1" t="s">
        <v>19</v>
      </c>
      <c r="M186" s="10">
        <f>VLOOKUP(L186,'[2]2025 Teachers (1)'!$C$2:$D$807,2,FALSE)</f>
        <v>18050</v>
      </c>
      <c r="O186" s="1"/>
      <c r="P186" s="3">
        <v>0.59333333333333338</v>
      </c>
      <c r="Q186" s="1"/>
      <c r="S186" s="2"/>
      <c r="T186" s="1"/>
      <c r="U186" s="1"/>
      <c r="V186" s="1"/>
      <c r="Y186" s="1"/>
      <c r="AA186" s="1"/>
      <c r="AB186" s="1"/>
      <c r="AC186" s="1"/>
      <c r="AD186" s="1"/>
      <c r="AE186" s="1"/>
      <c r="AF186" s="1"/>
      <c r="AG186" s="1"/>
      <c r="AH186" s="13">
        <f>VLOOKUP(A186,'2024-25 DIBELS BOY '!A186:AP556,42,FALSE)</f>
        <v>0.5033333333333333</v>
      </c>
      <c r="AI186" s="1"/>
      <c r="AJ186" s="1"/>
      <c r="AK186" s="1"/>
      <c r="AL186" s="1"/>
      <c r="AM186" s="1"/>
    </row>
    <row r="187" spans="1:39" ht="12.3" x14ac:dyDescent="0.4">
      <c r="A187" s="1" t="s">
        <v>273</v>
      </c>
      <c r="B187" s="10">
        <f>VLOOKUP(A187,'[1]2025 KG Students'!$C$2:$D$630,2,FALSE)</f>
        <v>88129</v>
      </c>
      <c r="C187" s="1" t="s">
        <v>6</v>
      </c>
      <c r="D187" s="5" t="s">
        <v>7</v>
      </c>
      <c r="E187" s="5" t="s">
        <v>463</v>
      </c>
      <c r="F187" s="4" t="s">
        <v>465</v>
      </c>
      <c r="G187" s="4" t="s">
        <v>465</v>
      </c>
      <c r="I187" s="1" t="s">
        <v>8</v>
      </c>
      <c r="J187" s="1" t="s">
        <v>9</v>
      </c>
      <c r="K187" s="4" t="s">
        <v>464</v>
      </c>
      <c r="L187" s="1" t="s">
        <v>23</v>
      </c>
      <c r="M187" s="10">
        <f>VLOOKUP(L187,'[2]2025 Teachers (1)'!$C$2:$D$807,2,FALSE)</f>
        <v>17879</v>
      </c>
      <c r="O187" s="1"/>
      <c r="P187" s="3">
        <v>0.65166666666666662</v>
      </c>
      <c r="Q187" s="1"/>
      <c r="S187" s="1"/>
      <c r="T187" s="1"/>
      <c r="U187" s="2"/>
      <c r="V187" s="1"/>
      <c r="Y187" s="1"/>
      <c r="AA187" s="1"/>
      <c r="AB187" s="1"/>
      <c r="AC187" s="1"/>
      <c r="AD187" s="1"/>
      <c r="AE187" s="1"/>
      <c r="AF187" s="1"/>
      <c r="AG187" s="1"/>
      <c r="AH187" s="13">
        <f>VLOOKUP(A187,'2024-25 DIBELS BOY '!A187:AP557,42,FALSE)</f>
        <v>0.56000000000000005</v>
      </c>
      <c r="AI187" s="1"/>
      <c r="AJ187" s="1"/>
      <c r="AK187" s="1"/>
      <c r="AL187" s="1"/>
      <c r="AM187" s="1"/>
    </row>
    <row r="188" spans="1:39" ht="12.3" x14ac:dyDescent="0.4">
      <c r="A188" s="1" t="s">
        <v>274</v>
      </c>
      <c r="B188" s="10">
        <f>VLOOKUP(A188,'[1]2025 KG Students'!$C$2:$D$630,2,FALSE)</f>
        <v>85078</v>
      </c>
      <c r="C188" s="1" t="s">
        <v>6</v>
      </c>
      <c r="D188" s="5" t="s">
        <v>7</v>
      </c>
      <c r="E188" s="5" t="s">
        <v>463</v>
      </c>
      <c r="F188" s="4" t="s">
        <v>465</v>
      </c>
      <c r="G188" s="4" t="s">
        <v>465</v>
      </c>
      <c r="I188" s="1" t="s">
        <v>16</v>
      </c>
      <c r="J188" s="1" t="s">
        <v>10</v>
      </c>
      <c r="K188" s="4" t="s">
        <v>464</v>
      </c>
      <c r="L188" s="1" t="s">
        <v>28</v>
      </c>
      <c r="M188" s="10">
        <f>VLOOKUP(L188,'[2]2025 Teachers (1)'!$C$2:$D$807,2,FALSE)</f>
        <v>15143</v>
      </c>
      <c r="O188" s="1"/>
      <c r="P188" s="3">
        <v>0.68833333333333335</v>
      </c>
      <c r="Q188" s="1"/>
      <c r="S188" s="2"/>
      <c r="T188" s="1"/>
      <c r="U188" s="1"/>
      <c r="V188" s="1"/>
      <c r="Y188" s="1"/>
      <c r="AA188" s="1"/>
      <c r="AB188" s="1"/>
      <c r="AC188" s="1"/>
      <c r="AD188" s="1"/>
      <c r="AE188" s="1"/>
      <c r="AF188" s="1"/>
      <c r="AG188" s="1"/>
      <c r="AH188" s="13">
        <f>VLOOKUP(A188,'2024-25 DIBELS BOY '!A188:AP558,42,FALSE)</f>
        <v>0.6216666666666667</v>
      </c>
      <c r="AI188" s="1"/>
      <c r="AJ188" s="1"/>
      <c r="AK188" s="1"/>
      <c r="AL188" s="1"/>
      <c r="AM188" s="1"/>
    </row>
    <row r="189" spans="1:39" ht="12.3" x14ac:dyDescent="0.4">
      <c r="A189" s="1" t="s">
        <v>275</v>
      </c>
      <c r="B189" s="10" t="e">
        <f>VLOOKUP(A189,'[1]2025 KG Students'!$C$2:$D$630,2,FALSE)</f>
        <v>#N/A</v>
      </c>
      <c r="C189" s="1" t="s">
        <v>6</v>
      </c>
      <c r="D189" s="5" t="s">
        <v>7</v>
      </c>
      <c r="E189" s="5" t="s">
        <v>463</v>
      </c>
      <c r="F189" s="4" t="s">
        <v>465</v>
      </c>
      <c r="G189" s="4" t="s">
        <v>465</v>
      </c>
      <c r="I189" s="1" t="s">
        <v>16</v>
      </c>
      <c r="J189" s="1" t="s">
        <v>10</v>
      </c>
      <c r="K189" s="4" t="s">
        <v>464</v>
      </c>
      <c r="L189" s="1" t="s">
        <v>25</v>
      </c>
      <c r="M189" s="10">
        <f>VLOOKUP(L189,'[2]2025 Teachers (1)'!$C$2:$D$807,2,FALSE)</f>
        <v>17649</v>
      </c>
      <c r="O189" s="1"/>
      <c r="P189" s="3">
        <v>0.58166666666666667</v>
      </c>
      <c r="Q189" s="1"/>
      <c r="S189" s="1"/>
      <c r="T189" s="1"/>
      <c r="U189" s="1"/>
      <c r="V189" s="1"/>
      <c r="Y189" s="1"/>
      <c r="AA189" s="1"/>
      <c r="AB189" s="1"/>
      <c r="AC189" s="1"/>
      <c r="AD189" s="1"/>
      <c r="AE189" s="1"/>
      <c r="AF189" s="1"/>
      <c r="AG189" s="1"/>
      <c r="AH189" s="13">
        <f>VLOOKUP(A189,'2024-25 DIBELS BOY '!A189:AP559,42,FALSE)</f>
        <v>0.55500000000000005</v>
      </c>
      <c r="AI189" s="1"/>
      <c r="AJ189" s="1"/>
      <c r="AK189" s="1"/>
      <c r="AL189" s="1"/>
      <c r="AM189" s="1"/>
    </row>
    <row r="190" spans="1:39" ht="12.3" x14ac:dyDescent="0.4">
      <c r="A190" s="1" t="s">
        <v>276</v>
      </c>
      <c r="B190" s="10">
        <f>VLOOKUP(A190,'[1]2025 KG Students'!$C$2:$D$630,2,FALSE)</f>
        <v>85518</v>
      </c>
      <c r="C190" s="1" t="s">
        <v>6</v>
      </c>
      <c r="D190" s="5" t="s">
        <v>7</v>
      </c>
      <c r="E190" s="5" t="s">
        <v>463</v>
      </c>
      <c r="F190" s="4" t="s">
        <v>465</v>
      </c>
      <c r="G190" s="4" t="s">
        <v>465</v>
      </c>
      <c r="I190" s="1" t="s">
        <v>16</v>
      </c>
      <c r="J190" s="1" t="s">
        <v>10</v>
      </c>
      <c r="K190" s="4" t="s">
        <v>464</v>
      </c>
      <c r="L190" s="1" t="s">
        <v>24</v>
      </c>
      <c r="M190" s="10">
        <f>VLOOKUP(L190,'[2]2025 Teachers (1)'!$C$2:$D$807,2,FALSE)</f>
        <v>14530</v>
      </c>
      <c r="O190" s="1"/>
      <c r="P190" s="3">
        <v>0.66166666666666663</v>
      </c>
      <c r="Q190" s="1"/>
      <c r="S190" s="2"/>
      <c r="T190" s="1"/>
      <c r="U190" s="1"/>
      <c r="V190" s="1"/>
      <c r="Y190" s="1"/>
      <c r="AA190" s="1"/>
      <c r="AB190" s="1"/>
      <c r="AC190" s="1"/>
      <c r="AD190" s="1"/>
      <c r="AE190" s="1"/>
      <c r="AF190" s="1"/>
      <c r="AG190" s="1"/>
      <c r="AH190" s="13">
        <f>VLOOKUP(A190,'2024-25 DIBELS BOY '!A190:AP560,42,FALSE)</f>
        <v>0.55666666666666664</v>
      </c>
      <c r="AI190" s="1"/>
      <c r="AJ190" s="1"/>
      <c r="AK190" s="1"/>
      <c r="AL190" s="1"/>
      <c r="AM190" s="1"/>
    </row>
    <row r="191" spans="1:39" ht="12.3" x14ac:dyDescent="0.4">
      <c r="A191" s="1" t="s">
        <v>277</v>
      </c>
      <c r="B191" s="10">
        <f>VLOOKUP(A191,'[1]2025 KG Students'!$C$2:$D$630,2,FALSE)</f>
        <v>86571</v>
      </c>
      <c r="C191" s="1" t="s">
        <v>33</v>
      </c>
      <c r="D191" s="5" t="s">
        <v>7</v>
      </c>
      <c r="E191" s="5" t="s">
        <v>463</v>
      </c>
      <c r="F191" s="4" t="s">
        <v>465</v>
      </c>
      <c r="G191" s="4" t="s">
        <v>465</v>
      </c>
      <c r="I191" s="1" t="s">
        <v>16</v>
      </c>
      <c r="J191" s="1" t="s">
        <v>10</v>
      </c>
      <c r="K191" s="4" t="s">
        <v>464</v>
      </c>
      <c r="L191" s="1" t="s">
        <v>34</v>
      </c>
      <c r="M191" s="10">
        <f>VLOOKUP(L191,'[2]2025 Teachers (1)'!$C$2:$D$807,2,FALSE)</f>
        <v>18232</v>
      </c>
      <c r="O191" s="1"/>
      <c r="P191" s="3">
        <v>0.75</v>
      </c>
      <c r="Q191" s="1"/>
      <c r="S191" s="2"/>
      <c r="T191" s="1"/>
      <c r="U191" s="2"/>
      <c r="V191" s="1"/>
      <c r="Y191" s="1"/>
      <c r="AA191" s="1"/>
      <c r="AB191" s="1"/>
      <c r="AC191" s="1"/>
      <c r="AD191" s="1"/>
      <c r="AE191" s="1"/>
      <c r="AF191" s="1"/>
      <c r="AG191" s="1"/>
      <c r="AH191" s="13">
        <f>VLOOKUP(A191,'2024-25 DIBELS BOY '!A191:AP561,42,FALSE)</f>
        <v>0.71499999999999997</v>
      </c>
      <c r="AI191" s="1"/>
      <c r="AJ191" s="1"/>
      <c r="AK191" s="1"/>
      <c r="AL191" s="1"/>
      <c r="AM191" s="1"/>
    </row>
    <row r="192" spans="1:39" ht="12.3" x14ac:dyDescent="0.4">
      <c r="A192" s="1" t="s">
        <v>278</v>
      </c>
      <c r="B192" s="10">
        <f>VLOOKUP(A192,'[1]2025 KG Students'!$C$2:$D$630,2,FALSE)</f>
        <v>85449</v>
      </c>
      <c r="C192" s="1" t="s">
        <v>33</v>
      </c>
      <c r="D192" s="5" t="s">
        <v>7</v>
      </c>
      <c r="E192" s="5" t="s">
        <v>463</v>
      </c>
      <c r="F192" s="4" t="s">
        <v>465</v>
      </c>
      <c r="G192" s="4" t="s">
        <v>465</v>
      </c>
      <c r="I192" s="1" t="s">
        <v>16</v>
      </c>
      <c r="J192" s="1" t="s">
        <v>10</v>
      </c>
      <c r="K192" s="4" t="s">
        <v>464</v>
      </c>
      <c r="L192" s="1" t="s">
        <v>35</v>
      </c>
      <c r="M192" s="10">
        <f>VLOOKUP(L192,'[2]2025 Teachers (1)'!$C$2:$D$807,2,FALSE)</f>
        <v>14129</v>
      </c>
      <c r="O192" s="1"/>
      <c r="P192" s="3">
        <v>0.67666666666666664</v>
      </c>
      <c r="Q192" s="1"/>
      <c r="S192" s="2"/>
      <c r="T192" s="1"/>
      <c r="U192" s="1"/>
      <c r="V192" s="1"/>
      <c r="Y192" s="1"/>
      <c r="AA192" s="1"/>
      <c r="AB192" s="1"/>
      <c r="AC192" s="1"/>
      <c r="AD192" s="1"/>
      <c r="AE192" s="1"/>
      <c r="AF192" s="1"/>
      <c r="AG192" s="1"/>
      <c r="AH192" s="13">
        <f>VLOOKUP(A192,'2024-25 DIBELS BOY '!A192:AP562,42,FALSE)</f>
        <v>0.61333333333333329</v>
      </c>
      <c r="AI192" s="1"/>
      <c r="AJ192" s="1"/>
      <c r="AK192" s="1"/>
      <c r="AL192" s="1"/>
      <c r="AM192" s="1"/>
    </row>
    <row r="193" spans="1:39" ht="12.3" x14ac:dyDescent="0.4">
      <c r="A193" s="1" t="s">
        <v>279</v>
      </c>
      <c r="B193" s="10">
        <f>VLOOKUP(A193,'[1]2025 KG Students'!$C$2:$D$630,2,FALSE)</f>
        <v>88420</v>
      </c>
      <c r="C193" s="1" t="s">
        <v>33</v>
      </c>
      <c r="D193" s="5" t="s">
        <v>7</v>
      </c>
      <c r="E193" s="5" t="s">
        <v>463</v>
      </c>
      <c r="F193" s="4" t="s">
        <v>465</v>
      </c>
      <c r="G193" s="4" t="s">
        <v>465</v>
      </c>
      <c r="I193" s="1" t="s">
        <v>16</v>
      </c>
      <c r="J193" s="1" t="s">
        <v>10</v>
      </c>
      <c r="K193" s="4" t="s">
        <v>464</v>
      </c>
      <c r="L193" s="1" t="s">
        <v>36</v>
      </c>
      <c r="M193" s="10">
        <f>VLOOKUP(L193,'[2]2025 Teachers (1)'!$C$2:$D$807,2,FALSE)</f>
        <v>10374</v>
      </c>
      <c r="O193" s="1"/>
      <c r="P193" s="3">
        <v>0.64500000000000002</v>
      </c>
      <c r="Q193" s="1"/>
      <c r="S193" s="2"/>
      <c r="T193" s="1"/>
      <c r="U193" s="2"/>
      <c r="V193" s="1"/>
      <c r="Y193" s="1"/>
      <c r="AA193" s="1"/>
      <c r="AB193" s="1"/>
      <c r="AC193" s="1"/>
      <c r="AD193" s="1"/>
      <c r="AE193" s="1"/>
      <c r="AF193" s="1"/>
      <c r="AG193" s="1"/>
      <c r="AH193" s="13">
        <f>VLOOKUP(A193,'2024-25 DIBELS BOY '!A193:AP563,42,FALSE)</f>
        <v>0.58666666666666667</v>
      </c>
      <c r="AI193" s="1"/>
      <c r="AJ193" s="1"/>
      <c r="AK193" s="1"/>
      <c r="AL193" s="1"/>
      <c r="AM193" s="1"/>
    </row>
    <row r="194" spans="1:39" ht="12.3" x14ac:dyDescent="0.4">
      <c r="A194" s="1" t="s">
        <v>280</v>
      </c>
      <c r="B194" s="10">
        <f>VLOOKUP(A194,'[1]2025 KG Students'!$C$2:$D$630,2,FALSE)</f>
        <v>85109</v>
      </c>
      <c r="C194" s="1" t="s">
        <v>33</v>
      </c>
      <c r="D194" s="5" t="s">
        <v>7</v>
      </c>
      <c r="E194" s="5" t="s">
        <v>463</v>
      </c>
      <c r="F194" s="4" t="s">
        <v>465</v>
      </c>
      <c r="G194" s="4" t="s">
        <v>465</v>
      </c>
      <c r="I194" s="1" t="s">
        <v>16</v>
      </c>
      <c r="J194" s="1" t="s">
        <v>10</v>
      </c>
      <c r="K194" s="4" t="s">
        <v>464</v>
      </c>
      <c r="L194" s="1" t="s">
        <v>37</v>
      </c>
      <c r="M194" s="10">
        <f>VLOOKUP(L194,'[2]2025 Teachers (1)'!$C$2:$D$807,2,FALSE)</f>
        <v>11301</v>
      </c>
      <c r="O194" s="1"/>
      <c r="P194" s="3">
        <v>0.64500000000000002</v>
      </c>
      <c r="Q194" s="1"/>
      <c r="S194" s="2"/>
      <c r="T194" s="1"/>
      <c r="U194" s="2"/>
      <c r="V194" s="1"/>
      <c r="Y194" s="1"/>
      <c r="AA194" s="1"/>
      <c r="AB194" s="1"/>
      <c r="AC194" s="1"/>
      <c r="AD194" s="1"/>
      <c r="AE194" s="1"/>
      <c r="AF194" s="1"/>
      <c r="AG194" s="1"/>
      <c r="AH194" s="13" t="e">
        <f>VLOOKUP(A194,'2024-25 DIBELS BOY '!A194:AP564,42,FALSE)</f>
        <v>#N/A</v>
      </c>
      <c r="AI194" s="1"/>
      <c r="AJ194" s="1"/>
      <c r="AK194" s="1"/>
      <c r="AL194" s="1"/>
      <c r="AM194" s="1"/>
    </row>
    <row r="195" spans="1:39" ht="12.3" x14ac:dyDescent="0.4">
      <c r="A195" s="1" t="s">
        <v>281</v>
      </c>
      <c r="B195" s="10">
        <f>VLOOKUP(A195,'[1]2025 KG Students'!$C$2:$D$630,2,FALSE)</f>
        <v>87965</v>
      </c>
      <c r="C195" s="1" t="s">
        <v>33</v>
      </c>
      <c r="D195" s="5" t="s">
        <v>7</v>
      </c>
      <c r="E195" s="5" t="s">
        <v>463</v>
      </c>
      <c r="F195" s="4" t="s">
        <v>465</v>
      </c>
      <c r="G195" s="4" t="s">
        <v>465</v>
      </c>
      <c r="I195" s="1" t="s">
        <v>16</v>
      </c>
      <c r="J195" s="1" t="s">
        <v>10</v>
      </c>
      <c r="K195" s="4" t="s">
        <v>464</v>
      </c>
      <c r="L195" s="1" t="s">
        <v>38</v>
      </c>
      <c r="M195" s="10">
        <f>VLOOKUP(L195,'[2]2025 Teachers (1)'!$C$2:$D$807,2,FALSE)</f>
        <v>12216</v>
      </c>
      <c r="O195" s="1"/>
      <c r="P195" s="3">
        <v>0.64833333333333332</v>
      </c>
      <c r="Q195" s="1"/>
      <c r="S195" s="2"/>
      <c r="T195" s="1"/>
      <c r="U195" s="2"/>
      <c r="V195" s="1"/>
      <c r="Y195" s="1"/>
      <c r="AA195" s="1"/>
      <c r="AB195" s="1"/>
      <c r="AC195" s="1"/>
      <c r="AD195" s="1"/>
      <c r="AE195" s="1"/>
      <c r="AF195" s="1"/>
      <c r="AG195" s="1"/>
      <c r="AH195" s="13">
        <f>VLOOKUP(A195,'2024-25 DIBELS BOY '!A195:AP565,42,FALSE)</f>
        <v>0.51</v>
      </c>
      <c r="AI195" s="1"/>
      <c r="AJ195" s="1"/>
      <c r="AK195" s="1"/>
      <c r="AL195" s="1"/>
      <c r="AM195" s="1"/>
    </row>
    <row r="196" spans="1:39" ht="12.3" x14ac:dyDescent="0.4">
      <c r="A196" s="1" t="s">
        <v>282</v>
      </c>
      <c r="B196" s="10">
        <f>VLOOKUP(A196,'[1]2025 KG Students'!$C$2:$D$630,2,FALSE)</f>
        <v>88035</v>
      </c>
      <c r="C196" s="1" t="s">
        <v>33</v>
      </c>
      <c r="D196" s="5" t="s">
        <v>7</v>
      </c>
      <c r="E196" s="5" t="s">
        <v>463</v>
      </c>
      <c r="F196" s="4" t="s">
        <v>465</v>
      </c>
      <c r="G196" s="4" t="s">
        <v>465</v>
      </c>
      <c r="I196" s="1" t="s">
        <v>29</v>
      </c>
      <c r="J196" s="1" t="s">
        <v>9</v>
      </c>
      <c r="K196" s="4" t="s">
        <v>464</v>
      </c>
      <c r="L196" s="1" t="s">
        <v>39</v>
      </c>
      <c r="M196" s="10">
        <f>VLOOKUP(L196,'[2]2025 Teachers (1)'!$C$2:$D$807,2,FALSE)</f>
        <v>18695</v>
      </c>
      <c r="O196" s="1"/>
      <c r="P196" s="3">
        <v>0.60166666666666668</v>
      </c>
      <c r="Q196" s="1"/>
      <c r="S196" s="2"/>
      <c r="T196" s="1"/>
      <c r="U196" s="1"/>
      <c r="V196" s="1"/>
      <c r="Y196" s="1"/>
      <c r="AA196" s="1"/>
      <c r="AB196" s="1"/>
      <c r="AC196" s="1"/>
      <c r="AD196" s="1"/>
      <c r="AE196" s="1"/>
      <c r="AF196" s="1"/>
      <c r="AG196" s="1"/>
      <c r="AH196" s="13">
        <f>VLOOKUP(A196,'2024-25 DIBELS BOY '!A196:AP566,42,FALSE)</f>
        <v>0.46</v>
      </c>
      <c r="AI196" s="1"/>
      <c r="AJ196" s="1"/>
      <c r="AK196" s="1"/>
      <c r="AL196" s="1"/>
      <c r="AM196" s="1"/>
    </row>
    <row r="197" spans="1:39" ht="12.3" x14ac:dyDescent="0.4">
      <c r="A197" s="1" t="s">
        <v>283</v>
      </c>
      <c r="B197" s="10">
        <f>VLOOKUP(A197,'[1]2025 KG Students'!$C$2:$D$630,2,FALSE)</f>
        <v>85253</v>
      </c>
      <c r="C197" s="1" t="s">
        <v>33</v>
      </c>
      <c r="D197" s="5" t="s">
        <v>7</v>
      </c>
      <c r="E197" s="5" t="s">
        <v>463</v>
      </c>
      <c r="F197" s="4" t="s">
        <v>465</v>
      </c>
      <c r="G197" s="4" t="s">
        <v>465</v>
      </c>
      <c r="I197" s="1" t="s">
        <v>16</v>
      </c>
      <c r="J197" s="1" t="s">
        <v>10</v>
      </c>
      <c r="K197" s="4" t="s">
        <v>464</v>
      </c>
      <c r="L197" s="1" t="s">
        <v>40</v>
      </c>
      <c r="M197" s="10">
        <f>VLOOKUP(L197,'[2]2025 Teachers (1)'!$C$2:$D$807,2,FALSE)</f>
        <v>18030</v>
      </c>
      <c r="O197" s="1"/>
      <c r="P197" s="3">
        <v>0.65500000000000003</v>
      </c>
      <c r="Q197" s="1"/>
      <c r="S197" s="2"/>
      <c r="T197" s="1"/>
      <c r="U197" s="1"/>
      <c r="V197" s="1"/>
      <c r="Y197" s="1"/>
      <c r="AA197" s="1"/>
      <c r="AB197" s="1"/>
      <c r="AC197" s="1"/>
      <c r="AD197" s="1"/>
      <c r="AE197" s="1"/>
      <c r="AF197" s="1"/>
      <c r="AG197" s="1"/>
      <c r="AH197" s="13">
        <f>VLOOKUP(A197,'2024-25 DIBELS BOY '!A197:AP567,42,FALSE)</f>
        <v>0.49333333333333335</v>
      </c>
      <c r="AI197" s="1"/>
      <c r="AJ197" s="1"/>
      <c r="AK197" s="1"/>
      <c r="AL197" s="1"/>
      <c r="AM197" s="1"/>
    </row>
    <row r="198" spans="1:39" ht="12.3" x14ac:dyDescent="0.4">
      <c r="A198" s="1" t="s">
        <v>284</v>
      </c>
      <c r="B198" s="10" t="e">
        <f>VLOOKUP(A198,'[1]2025 KG Students'!$C$2:$D$630,2,FALSE)</f>
        <v>#N/A</v>
      </c>
      <c r="C198" s="1" t="s">
        <v>33</v>
      </c>
      <c r="D198" s="5" t="s">
        <v>7</v>
      </c>
      <c r="E198" s="5" t="s">
        <v>463</v>
      </c>
      <c r="F198" s="4" t="s">
        <v>465</v>
      </c>
      <c r="G198" s="4" t="s">
        <v>465</v>
      </c>
      <c r="I198" s="1" t="s">
        <v>16</v>
      </c>
      <c r="J198" s="1" t="s">
        <v>9</v>
      </c>
      <c r="K198" s="4" t="s">
        <v>464</v>
      </c>
      <c r="L198" s="1" t="s">
        <v>40</v>
      </c>
      <c r="M198" s="10">
        <f>VLOOKUP(L198,'[2]2025 Teachers (1)'!$C$2:$D$807,2,FALSE)</f>
        <v>18030</v>
      </c>
      <c r="O198" s="1"/>
      <c r="P198" s="3">
        <v>0.53666666666666663</v>
      </c>
      <c r="Q198" s="1"/>
      <c r="S198" s="2"/>
      <c r="T198" s="1"/>
      <c r="U198" s="2"/>
      <c r="V198" s="1"/>
      <c r="Y198" s="1"/>
      <c r="AA198" s="1"/>
      <c r="AB198" s="1"/>
      <c r="AC198" s="1"/>
      <c r="AD198" s="1"/>
      <c r="AE198" s="1"/>
      <c r="AF198" s="1"/>
      <c r="AG198" s="1"/>
      <c r="AH198" s="13">
        <f>VLOOKUP(A198,'2024-25 DIBELS BOY '!A198:AP568,42,FALSE)</f>
        <v>0.41499999999999998</v>
      </c>
      <c r="AI198" s="1"/>
      <c r="AJ198" s="1"/>
      <c r="AK198" s="1"/>
      <c r="AL198" s="1"/>
      <c r="AM198" s="1"/>
    </row>
    <row r="199" spans="1:39" ht="12.3" x14ac:dyDescent="0.4">
      <c r="A199" s="1" t="s">
        <v>285</v>
      </c>
      <c r="B199" s="10">
        <f>VLOOKUP(A199,'[1]2025 KG Students'!$C$2:$D$630,2,FALSE)</f>
        <v>86026</v>
      </c>
      <c r="C199" s="1" t="s">
        <v>33</v>
      </c>
      <c r="D199" s="5" t="s">
        <v>7</v>
      </c>
      <c r="E199" s="5" t="s">
        <v>463</v>
      </c>
      <c r="F199" s="4" t="s">
        <v>465</v>
      </c>
      <c r="G199" s="4" t="s">
        <v>465</v>
      </c>
      <c r="I199" s="1" t="s">
        <v>8</v>
      </c>
      <c r="J199" s="1" t="s">
        <v>9</v>
      </c>
      <c r="K199" s="4" t="s">
        <v>464</v>
      </c>
      <c r="L199" s="1" t="s">
        <v>37</v>
      </c>
      <c r="M199" s="10">
        <f>VLOOKUP(L199,'[2]2025 Teachers (1)'!$C$2:$D$807,2,FALSE)</f>
        <v>11301</v>
      </c>
      <c r="O199" s="1"/>
      <c r="P199" s="3">
        <v>0.70166666666666666</v>
      </c>
      <c r="Q199" s="1"/>
      <c r="S199" s="2"/>
      <c r="T199" s="1"/>
      <c r="U199" s="2"/>
      <c r="V199" s="1"/>
      <c r="Y199" s="1"/>
      <c r="AA199" s="1"/>
      <c r="AB199" s="1"/>
      <c r="AC199" s="1"/>
      <c r="AD199" s="1"/>
      <c r="AE199" s="1"/>
      <c r="AF199" s="1"/>
      <c r="AG199" s="1"/>
      <c r="AH199" s="13">
        <f>VLOOKUP(A199,'2024-25 DIBELS BOY '!A199:AP569,42,FALSE)</f>
        <v>0.73</v>
      </c>
      <c r="AI199" s="1"/>
      <c r="AJ199" s="1"/>
      <c r="AK199" s="1"/>
      <c r="AL199" s="1"/>
      <c r="AM199" s="1"/>
    </row>
    <row r="200" spans="1:39" ht="12.3" x14ac:dyDescent="0.4">
      <c r="A200" s="1" t="s">
        <v>286</v>
      </c>
      <c r="B200" s="10">
        <f>VLOOKUP(A200,'[1]2025 KG Students'!$C$2:$D$630,2,FALSE)</f>
        <v>86193</v>
      </c>
      <c r="C200" s="1" t="s">
        <v>33</v>
      </c>
      <c r="D200" s="5" t="s">
        <v>7</v>
      </c>
      <c r="E200" s="5" t="s">
        <v>463</v>
      </c>
      <c r="F200" s="4" t="s">
        <v>465</v>
      </c>
      <c r="G200" s="4" t="s">
        <v>465</v>
      </c>
      <c r="I200" s="1" t="s">
        <v>8</v>
      </c>
      <c r="J200" s="1" t="s">
        <v>9</v>
      </c>
      <c r="K200" s="4" t="s">
        <v>464</v>
      </c>
      <c r="L200" s="1" t="s">
        <v>39</v>
      </c>
      <c r="M200" s="10">
        <f>VLOOKUP(L200,'[2]2025 Teachers (1)'!$C$2:$D$807,2,FALSE)</f>
        <v>18695</v>
      </c>
      <c r="O200" s="1"/>
      <c r="P200" s="3">
        <v>0.55000000000000004</v>
      </c>
      <c r="Q200" s="1"/>
      <c r="S200" s="2"/>
      <c r="T200" s="1"/>
      <c r="U200" s="2"/>
      <c r="V200" s="1"/>
      <c r="Y200" s="1"/>
      <c r="AA200" s="1"/>
      <c r="AB200" s="1"/>
      <c r="AC200" s="1"/>
      <c r="AD200" s="1"/>
      <c r="AE200" s="1"/>
      <c r="AF200" s="1"/>
      <c r="AG200" s="1"/>
      <c r="AH200" s="13">
        <f>VLOOKUP(A200,'2024-25 DIBELS BOY '!A200:AP570,42,FALSE)</f>
        <v>0.43</v>
      </c>
      <c r="AI200" s="1"/>
      <c r="AJ200" s="1"/>
      <c r="AK200" s="1"/>
      <c r="AL200" s="1"/>
      <c r="AM200" s="1"/>
    </row>
    <row r="201" spans="1:39" ht="12.3" x14ac:dyDescent="0.4">
      <c r="A201" s="1" t="s">
        <v>287</v>
      </c>
      <c r="B201" s="10">
        <f>VLOOKUP(A201,'[1]2025 KG Students'!$C$2:$D$630,2,FALSE)</f>
        <v>85111</v>
      </c>
      <c r="C201" s="1" t="s">
        <v>33</v>
      </c>
      <c r="D201" s="5" t="s">
        <v>7</v>
      </c>
      <c r="E201" s="5" t="s">
        <v>463</v>
      </c>
      <c r="F201" s="4" t="s">
        <v>465</v>
      </c>
      <c r="G201" s="4" t="s">
        <v>465</v>
      </c>
      <c r="I201" s="1" t="s">
        <v>16</v>
      </c>
      <c r="J201" s="1" t="s">
        <v>10</v>
      </c>
      <c r="K201" s="4" t="s">
        <v>464</v>
      </c>
      <c r="L201" s="1" t="s">
        <v>34</v>
      </c>
      <c r="M201" s="10">
        <f>VLOOKUP(L201,'[2]2025 Teachers (1)'!$C$2:$D$807,2,FALSE)</f>
        <v>18232</v>
      </c>
      <c r="O201" s="1"/>
      <c r="P201" s="3">
        <v>0.61833333333333329</v>
      </c>
      <c r="Q201" s="1"/>
      <c r="S201" s="2"/>
      <c r="T201" s="1"/>
      <c r="U201" s="1"/>
      <c r="V201" s="1"/>
      <c r="Y201" s="1"/>
      <c r="AA201" s="1"/>
      <c r="AB201" s="1"/>
      <c r="AC201" s="1"/>
      <c r="AD201" s="1"/>
      <c r="AE201" s="1"/>
      <c r="AF201" s="1"/>
      <c r="AG201" s="1"/>
      <c r="AH201" s="13">
        <f>VLOOKUP(A201,'2024-25 DIBELS BOY '!A201:AP571,42,FALSE)</f>
        <v>0.56499999999999995</v>
      </c>
      <c r="AI201" s="1"/>
      <c r="AJ201" s="1"/>
      <c r="AK201" s="1"/>
      <c r="AL201" s="1"/>
      <c r="AM201" s="1"/>
    </row>
    <row r="202" spans="1:39" ht="12.3" x14ac:dyDescent="0.4">
      <c r="A202" s="1" t="s">
        <v>288</v>
      </c>
      <c r="B202" s="10">
        <f>VLOOKUP(A202,'[1]2025 KG Students'!$C$2:$D$630,2,FALSE)</f>
        <v>85301</v>
      </c>
      <c r="C202" s="1" t="s">
        <v>33</v>
      </c>
      <c r="D202" s="5" t="s">
        <v>7</v>
      </c>
      <c r="E202" s="5" t="s">
        <v>463</v>
      </c>
      <c r="F202" s="4" t="s">
        <v>465</v>
      </c>
      <c r="G202" s="4" t="s">
        <v>465</v>
      </c>
      <c r="I202" s="1" t="s">
        <v>16</v>
      </c>
      <c r="J202" s="1" t="s">
        <v>9</v>
      </c>
      <c r="K202" s="4" t="s">
        <v>464</v>
      </c>
      <c r="L202" s="1" t="s">
        <v>36</v>
      </c>
      <c r="M202" s="10">
        <f>VLOOKUP(L202,'[2]2025 Teachers (1)'!$C$2:$D$807,2,FALSE)</f>
        <v>10374</v>
      </c>
      <c r="O202" s="1"/>
      <c r="P202" s="3">
        <v>0.53333333333333333</v>
      </c>
      <c r="Q202" s="1"/>
      <c r="S202" s="2"/>
      <c r="T202" s="1"/>
      <c r="U202" s="1"/>
      <c r="V202" s="1"/>
      <c r="Y202" s="1"/>
      <c r="AA202" s="1"/>
      <c r="AB202" s="1"/>
      <c r="AC202" s="1"/>
      <c r="AD202" s="1"/>
      <c r="AE202" s="1"/>
      <c r="AF202" s="1"/>
      <c r="AG202" s="1"/>
      <c r="AH202" s="13">
        <f>VLOOKUP(A202,'2024-25 DIBELS BOY '!A202:AP572,42,FALSE)</f>
        <v>0.40500000000000003</v>
      </c>
      <c r="AI202" s="1"/>
      <c r="AJ202" s="1"/>
      <c r="AK202" s="1"/>
      <c r="AL202" s="1"/>
      <c r="AM202" s="1"/>
    </row>
    <row r="203" spans="1:39" ht="12.3" x14ac:dyDescent="0.4">
      <c r="A203" s="1" t="s">
        <v>289</v>
      </c>
      <c r="B203" s="10">
        <f>VLOOKUP(A203,'[1]2025 KG Students'!$C$2:$D$630,2,FALSE)</f>
        <v>87890</v>
      </c>
      <c r="C203" s="1" t="s">
        <v>33</v>
      </c>
      <c r="D203" s="5" t="s">
        <v>7</v>
      </c>
      <c r="E203" s="5" t="s">
        <v>463</v>
      </c>
      <c r="F203" s="4" t="s">
        <v>465</v>
      </c>
      <c r="G203" s="4" t="s">
        <v>465</v>
      </c>
      <c r="I203" s="1" t="s">
        <v>16</v>
      </c>
      <c r="J203" s="1" t="s">
        <v>10</v>
      </c>
      <c r="K203" s="4" t="s">
        <v>464</v>
      </c>
      <c r="L203" s="1" t="s">
        <v>41</v>
      </c>
      <c r="M203" s="10">
        <f>VLOOKUP(L203,'[2]2025 Teachers (1)'!$C$2:$D$807,2,FALSE)</f>
        <v>17400</v>
      </c>
      <c r="O203" s="1"/>
      <c r="P203" s="3">
        <v>0.60499999999999998</v>
      </c>
      <c r="Q203" s="1"/>
      <c r="S203" s="2"/>
      <c r="T203" s="1"/>
      <c r="U203" s="1"/>
      <c r="V203" s="1"/>
      <c r="Y203" s="1"/>
      <c r="AA203" s="1"/>
      <c r="AB203" s="1"/>
      <c r="AC203" s="1"/>
      <c r="AD203" s="1"/>
      <c r="AE203" s="1"/>
      <c r="AF203" s="1"/>
      <c r="AG203" s="1"/>
      <c r="AH203" s="13">
        <f>VLOOKUP(A203,'2024-25 DIBELS BOY '!A203:AP573,42,FALSE)</f>
        <v>0.46333333333333332</v>
      </c>
      <c r="AI203" s="1"/>
      <c r="AJ203" s="1"/>
      <c r="AK203" s="1"/>
      <c r="AL203" s="1"/>
      <c r="AM203" s="1"/>
    </row>
    <row r="204" spans="1:39" ht="12.3" x14ac:dyDescent="0.4">
      <c r="A204" s="1" t="s">
        <v>290</v>
      </c>
      <c r="B204" s="10">
        <f>VLOOKUP(A204,'[1]2025 KG Students'!$C$2:$D$630,2,FALSE)</f>
        <v>88144</v>
      </c>
      <c r="C204" s="1" t="s">
        <v>33</v>
      </c>
      <c r="D204" s="5" t="s">
        <v>7</v>
      </c>
      <c r="E204" s="5" t="s">
        <v>463</v>
      </c>
      <c r="F204" s="4" t="s">
        <v>465</v>
      </c>
      <c r="G204" s="4" t="s">
        <v>465</v>
      </c>
      <c r="I204" s="1" t="s">
        <v>16</v>
      </c>
      <c r="J204" s="1" t="s">
        <v>10</v>
      </c>
      <c r="K204" s="4" t="s">
        <v>464</v>
      </c>
      <c r="L204" s="1" t="s">
        <v>36</v>
      </c>
      <c r="M204" s="10">
        <f>VLOOKUP(L204,'[2]2025 Teachers (1)'!$C$2:$D$807,2,FALSE)</f>
        <v>10374</v>
      </c>
      <c r="O204" s="1"/>
      <c r="P204" s="3">
        <v>0.59833333333333338</v>
      </c>
      <c r="Q204" s="1"/>
      <c r="S204" s="2"/>
      <c r="T204" s="1"/>
      <c r="U204" s="1"/>
      <c r="V204" s="1"/>
      <c r="Y204" s="1"/>
      <c r="AA204" s="1"/>
      <c r="AB204" s="1"/>
      <c r="AC204" s="1"/>
      <c r="AD204" s="1"/>
      <c r="AE204" s="1"/>
      <c r="AF204" s="1"/>
      <c r="AG204" s="1"/>
      <c r="AH204" s="13">
        <f>VLOOKUP(A204,'2024-25 DIBELS BOY '!A204:AP574,42,FALSE)</f>
        <v>0.43</v>
      </c>
      <c r="AI204" s="1"/>
      <c r="AJ204" s="1"/>
      <c r="AK204" s="1"/>
      <c r="AL204" s="1"/>
      <c r="AM204" s="1"/>
    </row>
    <row r="205" spans="1:39" ht="12.3" x14ac:dyDescent="0.4">
      <c r="A205" s="1" t="s">
        <v>291</v>
      </c>
      <c r="B205" s="10">
        <f>VLOOKUP(A205,'[1]2025 KG Students'!$C$2:$D$630,2,FALSE)</f>
        <v>87888</v>
      </c>
      <c r="C205" s="1" t="s">
        <v>33</v>
      </c>
      <c r="D205" s="5" t="s">
        <v>7</v>
      </c>
      <c r="E205" s="5" t="s">
        <v>463</v>
      </c>
      <c r="F205" s="4" t="s">
        <v>465</v>
      </c>
      <c r="G205" s="4" t="s">
        <v>465</v>
      </c>
      <c r="I205" s="1" t="s">
        <v>8</v>
      </c>
      <c r="J205" s="1" t="s">
        <v>9</v>
      </c>
      <c r="K205" s="4" t="s">
        <v>464</v>
      </c>
      <c r="L205" s="1" t="s">
        <v>36</v>
      </c>
      <c r="M205" s="10">
        <f>VLOOKUP(L205,'[2]2025 Teachers (1)'!$C$2:$D$807,2,FALSE)</f>
        <v>10374</v>
      </c>
      <c r="O205" s="1"/>
      <c r="P205" s="3">
        <v>0.68166666666666664</v>
      </c>
      <c r="Q205" s="1"/>
      <c r="S205" s="2"/>
      <c r="T205" s="1"/>
      <c r="U205" s="2"/>
      <c r="V205" s="1"/>
      <c r="Y205" s="1"/>
      <c r="AA205" s="1"/>
      <c r="AB205" s="1"/>
      <c r="AC205" s="1"/>
      <c r="AD205" s="1"/>
      <c r="AE205" s="1"/>
      <c r="AF205" s="1"/>
      <c r="AG205" s="1"/>
      <c r="AH205" s="13">
        <f>VLOOKUP(A205,'2024-25 DIBELS BOY '!A205:AP575,42,FALSE)</f>
        <v>0.60333333333333339</v>
      </c>
      <c r="AI205" s="1"/>
      <c r="AJ205" s="1"/>
      <c r="AK205" s="1"/>
      <c r="AL205" s="1"/>
      <c r="AM205" s="1"/>
    </row>
    <row r="206" spans="1:39" ht="12.3" x14ac:dyDescent="0.4">
      <c r="A206" s="1" t="s">
        <v>292</v>
      </c>
      <c r="B206" s="10">
        <f>VLOOKUP(A206,'[1]2025 KG Students'!$C$2:$D$630,2,FALSE)</f>
        <v>87232</v>
      </c>
      <c r="C206" s="1" t="s">
        <v>33</v>
      </c>
      <c r="D206" s="5" t="s">
        <v>7</v>
      </c>
      <c r="E206" s="5" t="s">
        <v>463</v>
      </c>
      <c r="F206" s="4" t="s">
        <v>465</v>
      </c>
      <c r="G206" s="4" t="s">
        <v>465</v>
      </c>
      <c r="I206" s="1" t="s">
        <v>8</v>
      </c>
      <c r="J206" s="1" t="s">
        <v>9</v>
      </c>
      <c r="K206" s="4" t="s">
        <v>464</v>
      </c>
      <c r="L206" s="1" t="s">
        <v>40</v>
      </c>
      <c r="M206" s="10">
        <f>VLOOKUP(L206,'[2]2025 Teachers (1)'!$C$2:$D$807,2,FALSE)</f>
        <v>18030</v>
      </c>
      <c r="O206" s="1"/>
      <c r="P206" s="3">
        <v>0.6216666666666667</v>
      </c>
      <c r="Q206" s="1"/>
      <c r="S206" s="2"/>
      <c r="T206" s="1"/>
      <c r="U206" s="1"/>
      <c r="V206" s="1"/>
      <c r="Y206" s="1"/>
      <c r="AA206" s="1"/>
      <c r="AB206" s="1"/>
      <c r="AC206" s="1"/>
      <c r="AD206" s="1"/>
      <c r="AE206" s="1"/>
      <c r="AF206" s="1"/>
      <c r="AG206" s="1"/>
      <c r="AH206" s="13">
        <f>VLOOKUP(A206,'2024-25 DIBELS BOY '!A206:AP576,42,FALSE)</f>
        <v>0.53166666666666662</v>
      </c>
      <c r="AI206" s="1"/>
      <c r="AJ206" s="1"/>
      <c r="AK206" s="1"/>
      <c r="AL206" s="1"/>
      <c r="AM206" s="1"/>
    </row>
    <row r="207" spans="1:39" ht="12.3" x14ac:dyDescent="0.4">
      <c r="A207" s="1" t="s">
        <v>293</v>
      </c>
      <c r="B207" s="10">
        <f>VLOOKUP(A207,'[1]2025 KG Students'!$C$2:$D$630,2,FALSE)</f>
        <v>87886</v>
      </c>
      <c r="C207" s="1" t="s">
        <v>33</v>
      </c>
      <c r="D207" s="5" t="s">
        <v>7</v>
      </c>
      <c r="E207" s="5" t="s">
        <v>463</v>
      </c>
      <c r="F207" s="4" t="s">
        <v>465</v>
      </c>
      <c r="G207" s="4" t="s">
        <v>465</v>
      </c>
      <c r="I207" s="1" t="s">
        <v>8</v>
      </c>
      <c r="J207" s="1" t="s">
        <v>9</v>
      </c>
      <c r="K207" s="4" t="s">
        <v>464</v>
      </c>
      <c r="L207" s="1" t="s">
        <v>35</v>
      </c>
      <c r="M207" s="10">
        <f>VLOOKUP(L207,'[2]2025 Teachers (1)'!$C$2:$D$807,2,FALSE)</f>
        <v>14129</v>
      </c>
      <c r="O207" s="1"/>
      <c r="P207" s="3">
        <v>0.68</v>
      </c>
      <c r="Q207" s="1"/>
      <c r="S207" s="2"/>
      <c r="T207" s="1"/>
      <c r="U207" s="2"/>
      <c r="V207" s="1"/>
      <c r="Y207" s="1"/>
      <c r="AA207" s="1"/>
      <c r="AB207" s="1"/>
      <c r="AC207" s="1"/>
      <c r="AD207" s="1"/>
      <c r="AE207" s="1"/>
      <c r="AF207" s="1"/>
      <c r="AG207" s="1"/>
      <c r="AH207" s="13">
        <f>VLOOKUP(A207,'2024-25 DIBELS BOY '!A207:AP577,42,FALSE)</f>
        <v>0.6166666666666667</v>
      </c>
      <c r="AI207" s="1"/>
      <c r="AJ207" s="1"/>
      <c r="AK207" s="1"/>
      <c r="AL207" s="1"/>
      <c r="AM207" s="1"/>
    </row>
    <row r="208" spans="1:39" ht="12.3" x14ac:dyDescent="0.4">
      <c r="A208" s="1" t="s">
        <v>294</v>
      </c>
      <c r="B208" s="10">
        <f>VLOOKUP(A208,'[1]2025 KG Students'!$C$2:$D$630,2,FALSE)</f>
        <v>86016</v>
      </c>
      <c r="C208" s="1" t="s">
        <v>33</v>
      </c>
      <c r="D208" s="5" t="s">
        <v>7</v>
      </c>
      <c r="E208" s="5" t="s">
        <v>463</v>
      </c>
      <c r="F208" s="4" t="s">
        <v>465</v>
      </c>
      <c r="G208" s="4" t="s">
        <v>465</v>
      </c>
      <c r="I208" s="1" t="s">
        <v>8</v>
      </c>
      <c r="J208" s="1" t="s">
        <v>9</v>
      </c>
      <c r="K208" s="4" t="s">
        <v>464</v>
      </c>
      <c r="L208" s="1" t="s">
        <v>36</v>
      </c>
      <c r="M208" s="10">
        <f>VLOOKUP(L208,'[2]2025 Teachers (1)'!$C$2:$D$807,2,FALSE)</f>
        <v>10374</v>
      </c>
      <c r="O208" s="1"/>
      <c r="P208" s="3">
        <v>0.64500000000000002</v>
      </c>
      <c r="Q208" s="1"/>
      <c r="S208" s="2"/>
      <c r="T208" s="1"/>
      <c r="U208" s="1"/>
      <c r="V208" s="1"/>
      <c r="Y208" s="1"/>
      <c r="AA208" s="1"/>
      <c r="AB208" s="1"/>
      <c r="AC208" s="1"/>
      <c r="AD208" s="1"/>
      <c r="AE208" s="1"/>
      <c r="AF208" s="1"/>
      <c r="AG208" s="1"/>
      <c r="AH208" s="13">
        <f>VLOOKUP(A208,'2024-25 DIBELS BOY '!A208:AP578,42,FALSE)</f>
        <v>0.54</v>
      </c>
      <c r="AI208" s="1"/>
      <c r="AJ208" s="1"/>
      <c r="AK208" s="1"/>
      <c r="AL208" s="1"/>
      <c r="AM208" s="1"/>
    </row>
    <row r="209" spans="1:39" ht="12.3" x14ac:dyDescent="0.4">
      <c r="A209" s="1" t="s">
        <v>295</v>
      </c>
      <c r="B209" s="10">
        <f>VLOOKUP(A209,'[1]2025 KG Students'!$C$2:$D$630,2,FALSE)</f>
        <v>85259</v>
      </c>
      <c r="C209" s="1" t="s">
        <v>33</v>
      </c>
      <c r="D209" s="5" t="s">
        <v>7</v>
      </c>
      <c r="E209" s="5" t="s">
        <v>463</v>
      </c>
      <c r="F209" s="4" t="s">
        <v>465</v>
      </c>
      <c r="G209" s="4" t="s">
        <v>465</v>
      </c>
      <c r="I209" s="1" t="s">
        <v>8</v>
      </c>
      <c r="J209" s="1" t="s">
        <v>9</v>
      </c>
      <c r="K209" s="4" t="s">
        <v>464</v>
      </c>
      <c r="L209" s="1" t="s">
        <v>41</v>
      </c>
      <c r="M209" s="10">
        <f>VLOOKUP(L209,'[2]2025 Teachers (1)'!$C$2:$D$807,2,FALSE)</f>
        <v>17400</v>
      </c>
      <c r="O209" s="1"/>
      <c r="P209" s="3">
        <v>0.66</v>
      </c>
      <c r="Q209" s="1"/>
      <c r="S209" s="2"/>
      <c r="T209" s="1"/>
      <c r="U209" s="2"/>
      <c r="V209" s="1"/>
      <c r="Y209" s="1"/>
      <c r="AA209" s="1"/>
      <c r="AB209" s="1"/>
      <c r="AC209" s="1"/>
      <c r="AD209" s="1"/>
      <c r="AE209" s="1"/>
      <c r="AF209" s="1"/>
      <c r="AG209" s="1"/>
      <c r="AH209" s="13">
        <f>VLOOKUP(A209,'2024-25 DIBELS BOY '!A209:AP579,42,FALSE)</f>
        <v>0.54166666666666663</v>
      </c>
      <c r="AI209" s="1"/>
      <c r="AJ209" s="1"/>
      <c r="AK209" s="1"/>
      <c r="AL209" s="1"/>
      <c r="AM209" s="1"/>
    </row>
    <row r="210" spans="1:39" ht="12.3" x14ac:dyDescent="0.4">
      <c r="A210" s="1" t="s">
        <v>296</v>
      </c>
      <c r="B210" s="10">
        <f>VLOOKUP(A210,'[1]2025 KG Students'!$C$2:$D$630,2,FALSE)</f>
        <v>85754</v>
      </c>
      <c r="C210" s="1" t="s">
        <v>33</v>
      </c>
      <c r="D210" s="5" t="s">
        <v>7</v>
      </c>
      <c r="E210" s="5" t="s">
        <v>463</v>
      </c>
      <c r="F210" s="4" t="s">
        <v>465</v>
      </c>
      <c r="G210" s="4" t="s">
        <v>465</v>
      </c>
      <c r="I210" s="1" t="s">
        <v>16</v>
      </c>
      <c r="J210" s="1" t="s">
        <v>9</v>
      </c>
      <c r="K210" s="4" t="s">
        <v>464</v>
      </c>
      <c r="L210" s="1" t="s">
        <v>42</v>
      </c>
      <c r="M210" s="10">
        <f>VLOOKUP(L210,'[2]2025 Teachers (1)'!$C$2:$D$807,2,FALSE)</f>
        <v>18541</v>
      </c>
      <c r="O210" s="1"/>
      <c r="P210" s="3">
        <v>0.67500000000000004</v>
      </c>
      <c r="Q210" s="1"/>
      <c r="S210" s="2"/>
      <c r="T210" s="1"/>
      <c r="U210" s="2"/>
      <c r="V210" s="1"/>
      <c r="Y210" s="1"/>
      <c r="AA210" s="1"/>
      <c r="AB210" s="1"/>
      <c r="AC210" s="1"/>
      <c r="AD210" s="1"/>
      <c r="AE210" s="1"/>
      <c r="AF210" s="1"/>
      <c r="AG210" s="1"/>
      <c r="AH210" s="13">
        <f>VLOOKUP(A210,'2024-25 DIBELS BOY '!A210:AP580,42,FALSE)</f>
        <v>0.57333333333333336</v>
      </c>
      <c r="AI210" s="1"/>
      <c r="AJ210" s="1"/>
      <c r="AK210" s="1"/>
      <c r="AL210" s="1"/>
      <c r="AM210" s="1"/>
    </row>
    <row r="211" spans="1:39" ht="12.3" x14ac:dyDescent="0.4">
      <c r="A211" s="1" t="s">
        <v>297</v>
      </c>
      <c r="B211" s="10">
        <f>VLOOKUP(A211,'[1]2025 KG Students'!$C$2:$D$630,2,FALSE)</f>
        <v>86125</v>
      </c>
      <c r="C211" s="1" t="s">
        <v>33</v>
      </c>
      <c r="D211" s="5" t="s">
        <v>7</v>
      </c>
      <c r="E211" s="5" t="s">
        <v>463</v>
      </c>
      <c r="F211" s="4" t="s">
        <v>465</v>
      </c>
      <c r="G211" s="4" t="s">
        <v>465</v>
      </c>
      <c r="I211" s="1" t="s">
        <v>8</v>
      </c>
      <c r="J211" s="1" t="s">
        <v>9</v>
      </c>
      <c r="K211" s="4" t="s">
        <v>464</v>
      </c>
      <c r="L211" s="1" t="s">
        <v>43</v>
      </c>
      <c r="M211" s="10">
        <f>VLOOKUP(L211,'[2]2025 Teachers (1)'!$C$2:$D$807,2,FALSE)</f>
        <v>18846</v>
      </c>
      <c r="O211" s="1"/>
      <c r="P211" s="3">
        <v>0.56833333333333336</v>
      </c>
      <c r="Q211" s="1"/>
      <c r="S211" s="2"/>
      <c r="T211" s="1"/>
      <c r="U211" s="1"/>
      <c r="V211" s="1"/>
      <c r="Y211" s="1"/>
      <c r="AA211" s="1"/>
      <c r="AB211" s="1"/>
      <c r="AC211" s="1"/>
      <c r="AD211" s="1"/>
      <c r="AE211" s="1"/>
      <c r="AF211" s="1"/>
      <c r="AG211" s="1"/>
      <c r="AH211" s="13">
        <f>VLOOKUP(A211,'2024-25 DIBELS BOY '!A211:AP581,42,FALSE)</f>
        <v>0.48666666666666669</v>
      </c>
      <c r="AI211" s="1"/>
      <c r="AJ211" s="1"/>
      <c r="AK211" s="1"/>
      <c r="AL211" s="1"/>
      <c r="AM211" s="1"/>
    </row>
    <row r="212" spans="1:39" ht="12.3" x14ac:dyDescent="0.4">
      <c r="A212" s="1" t="s">
        <v>298</v>
      </c>
      <c r="B212" s="10">
        <f>VLOOKUP(A212,'[1]2025 KG Students'!$C$2:$D$630,2,FALSE)</f>
        <v>85177</v>
      </c>
      <c r="C212" s="1" t="s">
        <v>33</v>
      </c>
      <c r="D212" s="5" t="s">
        <v>7</v>
      </c>
      <c r="E212" s="5" t="s">
        <v>463</v>
      </c>
      <c r="F212" s="4" t="s">
        <v>465</v>
      </c>
      <c r="G212" s="4" t="s">
        <v>465</v>
      </c>
      <c r="I212" s="1" t="s">
        <v>8</v>
      </c>
      <c r="J212" s="1" t="s">
        <v>9</v>
      </c>
      <c r="K212" s="4" t="s">
        <v>464</v>
      </c>
      <c r="L212" s="1" t="s">
        <v>43</v>
      </c>
      <c r="M212" s="10">
        <f>VLOOKUP(L212,'[2]2025 Teachers (1)'!$C$2:$D$807,2,FALSE)</f>
        <v>18846</v>
      </c>
      <c r="O212" s="1"/>
      <c r="P212" s="3">
        <v>0.61499999999999999</v>
      </c>
      <c r="Q212" s="1"/>
      <c r="S212" s="2"/>
      <c r="T212" s="1"/>
      <c r="U212" s="1"/>
      <c r="V212" s="1"/>
      <c r="Y212" s="1"/>
      <c r="AA212" s="1"/>
      <c r="AB212" s="1"/>
      <c r="AC212" s="1"/>
      <c r="AD212" s="1"/>
      <c r="AE212" s="1"/>
      <c r="AF212" s="1"/>
      <c r="AG212" s="1"/>
      <c r="AH212" s="13">
        <f>VLOOKUP(A212,'2024-25 DIBELS BOY '!A212:AP582,42,FALSE)</f>
        <v>0.47166666666666668</v>
      </c>
      <c r="AI212" s="1"/>
      <c r="AJ212" s="1"/>
      <c r="AK212" s="1"/>
      <c r="AL212" s="1"/>
      <c r="AM212" s="1"/>
    </row>
    <row r="213" spans="1:39" ht="12.3" x14ac:dyDescent="0.4">
      <c r="A213" s="1" t="s">
        <v>299</v>
      </c>
      <c r="B213" s="10">
        <f>VLOOKUP(A213,'[1]2025 KG Students'!$C$2:$D$630,2,FALSE)</f>
        <v>87714</v>
      </c>
      <c r="C213" s="1" t="s">
        <v>33</v>
      </c>
      <c r="D213" s="5" t="s">
        <v>7</v>
      </c>
      <c r="E213" s="5" t="s">
        <v>463</v>
      </c>
      <c r="F213" s="4" t="s">
        <v>465</v>
      </c>
      <c r="G213" s="4" t="s">
        <v>465</v>
      </c>
      <c r="I213" s="1" t="s">
        <v>8</v>
      </c>
      <c r="J213" s="1" t="s">
        <v>9</v>
      </c>
      <c r="K213" s="4" t="s">
        <v>464</v>
      </c>
      <c r="L213" s="1" t="s">
        <v>43</v>
      </c>
      <c r="M213" s="10">
        <f>VLOOKUP(L213,'[2]2025 Teachers (1)'!$C$2:$D$807,2,FALSE)</f>
        <v>18846</v>
      </c>
      <c r="O213" s="1"/>
      <c r="P213" s="3">
        <v>0.64166666666666672</v>
      </c>
      <c r="Q213" s="1"/>
      <c r="S213" s="1"/>
      <c r="T213" s="1"/>
      <c r="U213" s="1"/>
      <c r="V213" s="1"/>
      <c r="Y213" s="1"/>
      <c r="AA213" s="1"/>
      <c r="AB213" s="1"/>
      <c r="AC213" s="1"/>
      <c r="AD213" s="1"/>
      <c r="AE213" s="1"/>
      <c r="AF213" s="1"/>
      <c r="AG213" s="1"/>
      <c r="AH213" s="13">
        <f>VLOOKUP(A213,'2024-25 DIBELS BOY '!A213:AP583,42,FALSE)</f>
        <v>0.56666666666666665</v>
      </c>
      <c r="AI213" s="1"/>
      <c r="AJ213" s="1"/>
      <c r="AK213" s="1"/>
      <c r="AL213" s="1"/>
      <c r="AM213" s="1"/>
    </row>
    <row r="214" spans="1:39" ht="12.3" x14ac:dyDescent="0.4">
      <c r="A214" s="1" t="s">
        <v>300</v>
      </c>
      <c r="B214" s="10">
        <f>VLOOKUP(A214,'[1]2025 KG Students'!$C$2:$D$630,2,FALSE)</f>
        <v>82062</v>
      </c>
      <c r="C214" s="1" t="s">
        <v>33</v>
      </c>
      <c r="D214" s="5" t="s">
        <v>7</v>
      </c>
      <c r="E214" s="5" t="s">
        <v>463</v>
      </c>
      <c r="F214" s="4" t="s">
        <v>465</v>
      </c>
      <c r="G214" s="4" t="s">
        <v>465</v>
      </c>
      <c r="I214" s="1" t="s">
        <v>29</v>
      </c>
      <c r="J214" s="1" t="s">
        <v>9</v>
      </c>
      <c r="K214" s="4" t="s">
        <v>464</v>
      </c>
      <c r="L214" s="1" t="s">
        <v>41</v>
      </c>
      <c r="M214" s="10">
        <f>VLOOKUP(L214,'[2]2025 Teachers (1)'!$C$2:$D$807,2,FALSE)</f>
        <v>17400</v>
      </c>
      <c r="O214" s="1"/>
      <c r="P214" s="3">
        <v>0.6216666666666667</v>
      </c>
      <c r="Q214" s="1"/>
      <c r="S214" s="2"/>
      <c r="T214" s="1"/>
      <c r="U214" s="1"/>
      <c r="V214" s="1"/>
      <c r="Y214" s="1"/>
      <c r="AA214" s="1"/>
      <c r="AB214" s="1"/>
      <c r="AC214" s="1"/>
      <c r="AD214" s="1"/>
      <c r="AE214" s="1"/>
      <c r="AF214" s="1"/>
      <c r="AG214" s="1"/>
      <c r="AH214" s="13">
        <f>VLOOKUP(A214,'2024-25 DIBELS BOY '!A214:AP584,42,FALSE)</f>
        <v>0.55000000000000004</v>
      </c>
      <c r="AI214" s="1"/>
      <c r="AJ214" s="1"/>
      <c r="AK214" s="1"/>
      <c r="AL214" s="1"/>
      <c r="AM214" s="1"/>
    </row>
    <row r="215" spans="1:39" ht="12.3" x14ac:dyDescent="0.4">
      <c r="A215" s="1" t="s">
        <v>301</v>
      </c>
      <c r="B215" s="10">
        <f>VLOOKUP(A215,'[1]2025 KG Students'!$C$2:$D$630,2,FALSE)</f>
        <v>88502</v>
      </c>
      <c r="C215" s="1" t="s">
        <v>33</v>
      </c>
      <c r="D215" s="5" t="s">
        <v>7</v>
      </c>
      <c r="E215" s="5" t="s">
        <v>463</v>
      </c>
      <c r="F215" s="4" t="s">
        <v>465</v>
      </c>
      <c r="G215" s="4" t="s">
        <v>465</v>
      </c>
      <c r="I215" s="1" t="s">
        <v>8</v>
      </c>
      <c r="J215" s="1" t="s">
        <v>9</v>
      </c>
      <c r="K215" s="4" t="s">
        <v>464</v>
      </c>
      <c r="L215" s="1" t="s">
        <v>34</v>
      </c>
      <c r="M215" s="10">
        <f>VLOOKUP(L215,'[2]2025 Teachers (1)'!$C$2:$D$807,2,FALSE)</f>
        <v>18232</v>
      </c>
      <c r="O215" s="1"/>
      <c r="P215" s="3">
        <v>0.53166666666666662</v>
      </c>
      <c r="Q215" s="1"/>
      <c r="S215" s="2"/>
      <c r="T215" s="1"/>
      <c r="U215" s="1"/>
      <c r="V215" s="1"/>
      <c r="Y215" s="1"/>
      <c r="AA215" s="1"/>
      <c r="AB215" s="1"/>
      <c r="AC215" s="1"/>
      <c r="AD215" s="1"/>
      <c r="AE215" s="1"/>
      <c r="AF215" s="1"/>
      <c r="AG215" s="1"/>
      <c r="AH215" s="13">
        <f>VLOOKUP(A215,'2024-25 DIBELS BOY '!A215:AP585,42,FALSE)</f>
        <v>0.40500000000000003</v>
      </c>
      <c r="AI215" s="1"/>
      <c r="AJ215" s="1"/>
      <c r="AK215" s="1"/>
      <c r="AL215" s="1"/>
      <c r="AM215" s="1"/>
    </row>
    <row r="216" spans="1:39" ht="12.3" x14ac:dyDescent="0.4">
      <c r="A216" s="1" t="s">
        <v>302</v>
      </c>
      <c r="B216" s="10">
        <f>VLOOKUP(A216,'[1]2025 KG Students'!$C$2:$D$630,2,FALSE)</f>
        <v>85471</v>
      </c>
      <c r="C216" s="1" t="s">
        <v>33</v>
      </c>
      <c r="D216" s="5" t="s">
        <v>7</v>
      </c>
      <c r="E216" s="5" t="s">
        <v>463</v>
      </c>
      <c r="F216" s="4" t="s">
        <v>465</v>
      </c>
      <c r="G216" s="4" t="s">
        <v>465</v>
      </c>
      <c r="I216" s="1" t="s">
        <v>16</v>
      </c>
      <c r="J216" s="1" t="s">
        <v>10</v>
      </c>
      <c r="K216" s="4" t="s">
        <v>464</v>
      </c>
      <c r="L216" s="1" t="s">
        <v>35</v>
      </c>
      <c r="M216" s="10">
        <f>VLOOKUP(L216,'[2]2025 Teachers (1)'!$C$2:$D$807,2,FALSE)</f>
        <v>14129</v>
      </c>
      <c r="O216" s="1"/>
      <c r="P216" s="3">
        <v>0.69166666666666665</v>
      </c>
      <c r="Q216" s="1"/>
      <c r="S216" s="2"/>
      <c r="T216" s="1"/>
      <c r="U216" s="2"/>
      <c r="V216" s="1"/>
      <c r="Y216" s="1"/>
      <c r="AA216" s="1"/>
      <c r="AB216" s="1"/>
      <c r="AC216" s="1"/>
      <c r="AD216" s="1"/>
      <c r="AE216" s="1"/>
      <c r="AF216" s="1"/>
      <c r="AG216" s="1"/>
      <c r="AH216" s="13">
        <f>VLOOKUP(A216,'2024-25 DIBELS BOY '!A216:AP586,42,FALSE)</f>
        <v>0.6216666666666667</v>
      </c>
      <c r="AI216" s="1"/>
      <c r="AJ216" s="1"/>
      <c r="AK216" s="1"/>
      <c r="AL216" s="1"/>
      <c r="AM216" s="1"/>
    </row>
    <row r="217" spans="1:39" ht="12.3" x14ac:dyDescent="0.4">
      <c r="A217" s="1" t="s">
        <v>303</v>
      </c>
      <c r="B217" s="10">
        <f>VLOOKUP(A217,'[1]2025 KG Students'!$C$2:$D$630,2,FALSE)</f>
        <v>85175</v>
      </c>
      <c r="C217" s="1" t="s">
        <v>33</v>
      </c>
      <c r="D217" s="5" t="s">
        <v>7</v>
      </c>
      <c r="E217" s="5" t="s">
        <v>463</v>
      </c>
      <c r="F217" s="4" t="s">
        <v>465</v>
      </c>
      <c r="G217" s="4" t="s">
        <v>465</v>
      </c>
      <c r="I217" s="1" t="s">
        <v>16</v>
      </c>
      <c r="J217" s="1" t="s">
        <v>10</v>
      </c>
      <c r="K217" s="4" t="s">
        <v>464</v>
      </c>
      <c r="L217" s="1" t="s">
        <v>44</v>
      </c>
      <c r="M217" s="10">
        <f>VLOOKUP(L217,'[2]2025 Teachers (1)'!$C$2:$D$807,2,FALSE)</f>
        <v>15553</v>
      </c>
      <c r="O217" s="1"/>
      <c r="P217" s="3">
        <v>0.75666666666666671</v>
      </c>
      <c r="Q217" s="1"/>
      <c r="S217" s="2"/>
      <c r="T217" s="1"/>
      <c r="U217" s="1"/>
      <c r="V217" s="1"/>
      <c r="Y217" s="1"/>
      <c r="AA217" s="1"/>
      <c r="AB217" s="1"/>
      <c r="AC217" s="1"/>
      <c r="AD217" s="1"/>
      <c r="AE217" s="1"/>
      <c r="AF217" s="1"/>
      <c r="AG217" s="1"/>
      <c r="AH217" s="13">
        <f>VLOOKUP(A217,'2024-25 DIBELS BOY '!A217:AP587,42,FALSE)</f>
        <v>0.71333333333333337</v>
      </c>
      <c r="AI217" s="1"/>
      <c r="AJ217" s="1"/>
      <c r="AK217" s="1"/>
      <c r="AL217" s="1"/>
      <c r="AM217" s="1"/>
    </row>
    <row r="218" spans="1:39" ht="12.3" x14ac:dyDescent="0.4">
      <c r="A218" s="1" t="s">
        <v>304</v>
      </c>
      <c r="B218" s="10">
        <f>VLOOKUP(A218,'[1]2025 KG Students'!$C$2:$D$630,2,FALSE)</f>
        <v>85595</v>
      </c>
      <c r="C218" s="1" t="s">
        <v>33</v>
      </c>
      <c r="D218" s="5" t="s">
        <v>7</v>
      </c>
      <c r="E218" s="5" t="s">
        <v>463</v>
      </c>
      <c r="F218" s="4" t="s">
        <v>465</v>
      </c>
      <c r="G218" s="4" t="s">
        <v>465</v>
      </c>
      <c r="I218" s="1" t="s">
        <v>16</v>
      </c>
      <c r="J218" s="1" t="s">
        <v>10</v>
      </c>
      <c r="K218" s="4" t="s">
        <v>464</v>
      </c>
      <c r="L218" s="1" t="s">
        <v>34</v>
      </c>
      <c r="M218" s="10">
        <f>VLOOKUP(L218,'[2]2025 Teachers (1)'!$C$2:$D$807,2,FALSE)</f>
        <v>18232</v>
      </c>
      <c r="O218" s="1"/>
      <c r="P218" s="3">
        <v>0.56166666666666665</v>
      </c>
      <c r="Q218" s="1"/>
      <c r="S218" s="2"/>
      <c r="T218" s="1"/>
      <c r="U218" s="1"/>
      <c r="V218" s="1"/>
      <c r="Y218" s="1"/>
      <c r="AA218" s="1"/>
      <c r="AB218" s="1"/>
      <c r="AC218" s="1"/>
      <c r="AD218" s="1"/>
      <c r="AE218" s="1"/>
      <c r="AF218" s="1"/>
      <c r="AG218" s="1"/>
      <c r="AH218" s="13">
        <f>VLOOKUP(A218,'2024-25 DIBELS BOY '!A218:AP588,42,FALSE)</f>
        <v>0.42333333333333334</v>
      </c>
      <c r="AI218" s="1"/>
      <c r="AJ218" s="1"/>
      <c r="AK218" s="1"/>
      <c r="AL218" s="1"/>
      <c r="AM218" s="1"/>
    </row>
    <row r="219" spans="1:39" ht="12.3" x14ac:dyDescent="0.4">
      <c r="A219" s="1" t="s">
        <v>305</v>
      </c>
      <c r="B219" s="10">
        <f>VLOOKUP(A219,'[1]2025 KG Students'!$C$2:$D$630,2,FALSE)</f>
        <v>85448</v>
      </c>
      <c r="C219" s="1" t="s">
        <v>33</v>
      </c>
      <c r="D219" s="5" t="s">
        <v>7</v>
      </c>
      <c r="E219" s="5" t="s">
        <v>463</v>
      </c>
      <c r="F219" s="4" t="s">
        <v>465</v>
      </c>
      <c r="G219" s="4" t="s">
        <v>465</v>
      </c>
      <c r="I219" s="1" t="s">
        <v>16</v>
      </c>
      <c r="J219" s="1" t="s">
        <v>10</v>
      </c>
      <c r="K219" s="4" t="s">
        <v>464</v>
      </c>
      <c r="L219" s="1" t="s">
        <v>43</v>
      </c>
      <c r="M219" s="10">
        <f>VLOOKUP(L219,'[2]2025 Teachers (1)'!$C$2:$D$807,2,FALSE)</f>
        <v>18846</v>
      </c>
      <c r="O219" s="1"/>
      <c r="P219" s="3">
        <v>0.66666666666666663</v>
      </c>
      <c r="Q219" s="1"/>
      <c r="S219" s="2"/>
      <c r="T219" s="1"/>
      <c r="U219" s="1"/>
      <c r="V219" s="1"/>
      <c r="Y219" s="1"/>
      <c r="AA219" s="1"/>
      <c r="AB219" s="1"/>
      <c r="AC219" s="1"/>
      <c r="AD219" s="1"/>
      <c r="AE219" s="1"/>
      <c r="AF219" s="1"/>
      <c r="AG219" s="1"/>
      <c r="AH219" s="13" t="e">
        <f>VLOOKUP(A219,'2024-25 DIBELS BOY '!A219:AP589,42,FALSE)</f>
        <v>#N/A</v>
      </c>
      <c r="AI219" s="1"/>
      <c r="AJ219" s="1"/>
      <c r="AK219" s="1"/>
      <c r="AL219" s="1"/>
      <c r="AM219" s="1"/>
    </row>
    <row r="220" spans="1:39" ht="12.3" x14ac:dyDescent="0.4">
      <c r="A220" s="1" t="s">
        <v>306</v>
      </c>
      <c r="B220" s="10">
        <f>VLOOKUP(A220,'[1]2025 KG Students'!$C$2:$D$630,2,FALSE)</f>
        <v>87508</v>
      </c>
      <c r="C220" s="1" t="s">
        <v>33</v>
      </c>
      <c r="D220" s="5" t="s">
        <v>7</v>
      </c>
      <c r="E220" s="5" t="s">
        <v>463</v>
      </c>
      <c r="F220" s="4" t="s">
        <v>465</v>
      </c>
      <c r="G220" s="4" t="s">
        <v>465</v>
      </c>
      <c r="I220" s="1" t="s">
        <v>8</v>
      </c>
      <c r="J220" s="1" t="s">
        <v>9</v>
      </c>
      <c r="K220" s="4" t="s">
        <v>464</v>
      </c>
      <c r="L220" s="1" t="s">
        <v>34</v>
      </c>
      <c r="M220" s="10">
        <f>VLOOKUP(L220,'[2]2025 Teachers (1)'!$C$2:$D$807,2,FALSE)</f>
        <v>18232</v>
      </c>
      <c r="O220" s="1"/>
      <c r="P220" s="3">
        <v>0.62</v>
      </c>
      <c r="Q220" s="1"/>
      <c r="S220" s="2"/>
      <c r="T220" s="1"/>
      <c r="U220" s="1"/>
      <c r="V220" s="1"/>
      <c r="Y220" s="1"/>
      <c r="AA220" s="1"/>
      <c r="AB220" s="1"/>
      <c r="AC220" s="1"/>
      <c r="AD220" s="1"/>
      <c r="AE220" s="1"/>
      <c r="AF220" s="1"/>
      <c r="AG220" s="1"/>
      <c r="AH220" s="13">
        <f>VLOOKUP(A220,'2024-25 DIBELS BOY '!A220:AP590,42,FALSE)</f>
        <v>0.55333333333333334</v>
      </c>
      <c r="AI220" s="1"/>
      <c r="AJ220" s="1"/>
      <c r="AK220" s="1"/>
      <c r="AL220" s="1"/>
      <c r="AM220" s="1"/>
    </row>
    <row r="221" spans="1:39" ht="12.3" x14ac:dyDescent="0.4">
      <c r="A221" s="1" t="s">
        <v>307</v>
      </c>
      <c r="B221" s="10">
        <f>VLOOKUP(A221,'[1]2025 KG Students'!$C$2:$D$630,2,FALSE)</f>
        <v>87668</v>
      </c>
      <c r="C221" s="1" t="s">
        <v>33</v>
      </c>
      <c r="D221" s="5" t="s">
        <v>7</v>
      </c>
      <c r="E221" s="5" t="s">
        <v>463</v>
      </c>
      <c r="F221" s="4" t="s">
        <v>465</v>
      </c>
      <c r="G221" s="4" t="s">
        <v>465</v>
      </c>
      <c r="I221" s="1" t="s">
        <v>8</v>
      </c>
      <c r="J221" s="1" t="s">
        <v>9</v>
      </c>
      <c r="K221" s="4" t="s">
        <v>464</v>
      </c>
      <c r="L221" s="1" t="s">
        <v>43</v>
      </c>
      <c r="M221" s="10">
        <f>VLOOKUP(L221,'[2]2025 Teachers (1)'!$C$2:$D$807,2,FALSE)</f>
        <v>18846</v>
      </c>
      <c r="O221" s="1"/>
      <c r="P221" s="3">
        <v>0.63833333333333331</v>
      </c>
      <c r="Q221" s="1"/>
      <c r="S221" s="1"/>
      <c r="T221" s="1"/>
      <c r="U221" s="2"/>
      <c r="V221" s="1"/>
      <c r="Y221" s="1"/>
      <c r="AA221" s="1"/>
      <c r="AB221" s="1"/>
      <c r="AC221" s="1"/>
      <c r="AD221" s="1"/>
      <c r="AE221" s="1"/>
      <c r="AF221" s="1"/>
      <c r="AG221" s="1"/>
      <c r="AH221" s="13">
        <f>VLOOKUP(A221,'2024-25 DIBELS BOY '!A221:AP591,42,FALSE)</f>
        <v>0.505</v>
      </c>
      <c r="AI221" s="1"/>
      <c r="AJ221" s="1"/>
      <c r="AK221" s="1"/>
      <c r="AL221" s="1"/>
      <c r="AM221" s="1"/>
    </row>
    <row r="222" spans="1:39" ht="12.3" x14ac:dyDescent="0.4">
      <c r="A222" s="1" t="s">
        <v>308</v>
      </c>
      <c r="B222" s="10">
        <f>VLOOKUP(A222,'[1]2025 KG Students'!$C$2:$D$630,2,FALSE)</f>
        <v>83792</v>
      </c>
      <c r="C222" s="1" t="s">
        <v>33</v>
      </c>
      <c r="D222" s="5" t="s">
        <v>7</v>
      </c>
      <c r="E222" s="5" t="s">
        <v>463</v>
      </c>
      <c r="F222" s="4" t="s">
        <v>465</v>
      </c>
      <c r="G222" s="4" t="s">
        <v>465</v>
      </c>
      <c r="I222" s="1" t="s">
        <v>16</v>
      </c>
      <c r="J222" s="1" t="s">
        <v>10</v>
      </c>
      <c r="K222" s="4" t="s">
        <v>464</v>
      </c>
      <c r="L222" s="1" t="s">
        <v>42</v>
      </c>
      <c r="M222" s="10">
        <f>VLOOKUP(L222,'[2]2025 Teachers (1)'!$C$2:$D$807,2,FALSE)</f>
        <v>18541</v>
      </c>
      <c r="O222" s="1"/>
      <c r="P222" s="3">
        <v>0.77333333333333332</v>
      </c>
      <c r="Q222" s="1"/>
      <c r="S222" s="2"/>
      <c r="T222" s="1"/>
      <c r="U222" s="1"/>
      <c r="V222" s="1"/>
      <c r="Y222" s="1"/>
      <c r="AA222" s="1"/>
      <c r="AB222" s="1"/>
      <c r="AC222" s="1"/>
      <c r="AD222" s="1"/>
      <c r="AE222" s="1"/>
      <c r="AF222" s="1"/>
      <c r="AG222" s="1"/>
      <c r="AH222" s="13">
        <f>VLOOKUP(A222,'2024-25 DIBELS BOY '!A222:AP592,42,FALSE)</f>
        <v>0.71666666666666667</v>
      </c>
      <c r="AI222" s="1"/>
      <c r="AJ222" s="1"/>
      <c r="AK222" s="1"/>
      <c r="AL222" s="1"/>
      <c r="AM222" s="1"/>
    </row>
    <row r="223" spans="1:39" ht="12.3" x14ac:dyDescent="0.4">
      <c r="A223" s="1" t="s">
        <v>309</v>
      </c>
      <c r="B223" s="10">
        <f>VLOOKUP(A223,'[1]2025 KG Students'!$C$2:$D$630,2,FALSE)</f>
        <v>85157</v>
      </c>
      <c r="C223" s="1" t="s">
        <v>33</v>
      </c>
      <c r="D223" s="5" t="s">
        <v>7</v>
      </c>
      <c r="E223" s="5" t="s">
        <v>463</v>
      </c>
      <c r="F223" s="4" t="s">
        <v>465</v>
      </c>
      <c r="G223" s="4" t="s">
        <v>465</v>
      </c>
      <c r="I223" s="1" t="s">
        <v>16</v>
      </c>
      <c r="J223" s="1" t="s">
        <v>10</v>
      </c>
      <c r="K223" s="4" t="s">
        <v>464</v>
      </c>
      <c r="L223" s="1" t="s">
        <v>37</v>
      </c>
      <c r="M223" s="10">
        <f>VLOOKUP(L223,'[2]2025 Teachers (1)'!$C$2:$D$807,2,FALSE)</f>
        <v>11301</v>
      </c>
      <c r="O223" s="1"/>
      <c r="P223" s="3">
        <v>0.70666666666666667</v>
      </c>
      <c r="Q223" s="1"/>
      <c r="S223" s="2"/>
      <c r="T223" s="1"/>
      <c r="U223" s="2"/>
      <c r="V223" s="1"/>
      <c r="Y223" s="1"/>
      <c r="AA223" s="1"/>
      <c r="AB223" s="1"/>
      <c r="AC223" s="1"/>
      <c r="AD223" s="1"/>
      <c r="AE223" s="1"/>
      <c r="AF223" s="1"/>
      <c r="AG223" s="1"/>
      <c r="AH223" s="13">
        <f>VLOOKUP(A223,'2024-25 DIBELS BOY '!A223:AP593,42,FALSE)</f>
        <v>0.64166666666666672</v>
      </c>
      <c r="AI223" s="1"/>
      <c r="AJ223" s="1"/>
      <c r="AK223" s="1"/>
      <c r="AL223" s="1"/>
      <c r="AM223" s="1"/>
    </row>
    <row r="224" spans="1:39" ht="12.3" x14ac:dyDescent="0.4">
      <c r="A224" s="1" t="s">
        <v>310</v>
      </c>
      <c r="B224" s="10">
        <f>VLOOKUP(A224,'[1]2025 KG Students'!$C$2:$D$630,2,FALSE)</f>
        <v>85244</v>
      </c>
      <c r="C224" s="1" t="s">
        <v>33</v>
      </c>
      <c r="D224" s="5" t="s">
        <v>7</v>
      </c>
      <c r="E224" s="5" t="s">
        <v>463</v>
      </c>
      <c r="F224" s="4" t="s">
        <v>465</v>
      </c>
      <c r="G224" s="4" t="s">
        <v>465</v>
      </c>
      <c r="I224" s="1" t="s">
        <v>8</v>
      </c>
      <c r="J224" s="1" t="s">
        <v>9</v>
      </c>
      <c r="K224" s="4" t="s">
        <v>464</v>
      </c>
      <c r="L224" s="1" t="s">
        <v>39</v>
      </c>
      <c r="M224" s="10">
        <f>VLOOKUP(L224,'[2]2025 Teachers (1)'!$C$2:$D$807,2,FALSE)</f>
        <v>18695</v>
      </c>
      <c r="O224" s="1"/>
      <c r="P224" s="3">
        <v>0.64500000000000002</v>
      </c>
      <c r="Q224" s="1"/>
      <c r="S224" s="2"/>
      <c r="T224" s="1"/>
      <c r="U224" s="2"/>
      <c r="V224" s="1"/>
      <c r="Y224" s="1"/>
      <c r="AA224" s="1"/>
      <c r="AB224" s="1"/>
      <c r="AC224" s="1"/>
      <c r="AD224" s="1"/>
      <c r="AE224" s="1"/>
      <c r="AF224" s="1"/>
      <c r="AG224" s="1"/>
      <c r="AH224" s="13">
        <f>VLOOKUP(A224,'2024-25 DIBELS BOY '!A224:AP594,42,FALSE)</f>
        <v>0.57833333333333337</v>
      </c>
      <c r="AI224" s="1"/>
      <c r="AJ224" s="1"/>
      <c r="AK224" s="1"/>
      <c r="AL224" s="1"/>
      <c r="AM224" s="1"/>
    </row>
    <row r="225" spans="1:39" ht="12.3" x14ac:dyDescent="0.4">
      <c r="A225" s="1" t="s">
        <v>311</v>
      </c>
      <c r="B225" s="10">
        <f>VLOOKUP(A225,'[1]2025 KG Students'!$C$2:$D$630,2,FALSE)</f>
        <v>85562</v>
      </c>
      <c r="C225" s="1" t="s">
        <v>33</v>
      </c>
      <c r="D225" s="5" t="s">
        <v>7</v>
      </c>
      <c r="E225" s="5" t="s">
        <v>463</v>
      </c>
      <c r="F225" s="4" t="s">
        <v>465</v>
      </c>
      <c r="G225" s="4" t="s">
        <v>465</v>
      </c>
      <c r="I225" s="1" t="s">
        <v>16</v>
      </c>
      <c r="J225" s="1" t="s">
        <v>10</v>
      </c>
      <c r="K225" s="4" t="s">
        <v>464</v>
      </c>
      <c r="L225" s="1" t="s">
        <v>41</v>
      </c>
      <c r="M225" s="10">
        <f>VLOOKUP(L225,'[2]2025 Teachers (1)'!$C$2:$D$807,2,FALSE)</f>
        <v>17400</v>
      </c>
      <c r="O225" s="1"/>
      <c r="P225" s="3">
        <v>0.65500000000000003</v>
      </c>
      <c r="Q225" s="1"/>
      <c r="S225" s="2"/>
      <c r="T225" s="1"/>
      <c r="U225" s="1"/>
      <c r="V225" s="1"/>
      <c r="Y225" s="1"/>
      <c r="AA225" s="1"/>
      <c r="AB225" s="1"/>
      <c r="AC225" s="1"/>
      <c r="AD225" s="1"/>
      <c r="AE225" s="1"/>
      <c r="AF225" s="1"/>
      <c r="AG225" s="1"/>
      <c r="AH225" s="13">
        <f>VLOOKUP(A225,'2024-25 DIBELS BOY '!A225:AP595,42,FALSE)</f>
        <v>0.5033333333333333</v>
      </c>
      <c r="AI225" s="1"/>
      <c r="AJ225" s="1"/>
      <c r="AK225" s="1"/>
      <c r="AL225" s="1"/>
      <c r="AM225" s="1"/>
    </row>
    <row r="226" spans="1:39" ht="12.3" x14ac:dyDescent="0.4">
      <c r="A226" s="1" t="s">
        <v>312</v>
      </c>
      <c r="B226" s="10">
        <f>VLOOKUP(A226,'[1]2025 KG Students'!$C$2:$D$630,2,FALSE)</f>
        <v>85290</v>
      </c>
      <c r="C226" s="1" t="s">
        <v>33</v>
      </c>
      <c r="D226" s="5" t="s">
        <v>7</v>
      </c>
      <c r="E226" s="5" t="s">
        <v>463</v>
      </c>
      <c r="F226" s="4" t="s">
        <v>465</v>
      </c>
      <c r="G226" s="4" t="s">
        <v>465</v>
      </c>
      <c r="I226" s="1" t="s">
        <v>16</v>
      </c>
      <c r="J226" s="1" t="s">
        <v>10</v>
      </c>
      <c r="K226" s="4" t="s">
        <v>464</v>
      </c>
      <c r="L226" s="1" t="s">
        <v>37</v>
      </c>
      <c r="M226" s="10">
        <f>VLOOKUP(L226,'[2]2025 Teachers (1)'!$C$2:$D$807,2,FALSE)</f>
        <v>11301</v>
      </c>
      <c r="O226" s="1"/>
      <c r="P226" s="3">
        <v>0.68500000000000005</v>
      </c>
      <c r="Q226" s="1"/>
      <c r="S226" s="2"/>
      <c r="T226" s="1"/>
      <c r="U226" s="2"/>
      <c r="V226" s="1"/>
      <c r="Y226" s="1"/>
      <c r="AA226" s="1"/>
      <c r="AB226" s="1"/>
      <c r="AC226" s="1"/>
      <c r="AD226" s="1"/>
      <c r="AE226" s="1"/>
      <c r="AF226" s="1"/>
      <c r="AG226" s="1"/>
      <c r="AH226" s="13">
        <f>VLOOKUP(A226,'2024-25 DIBELS BOY '!A226:AP596,42,FALSE)</f>
        <v>0.62666666666666671</v>
      </c>
      <c r="AI226" s="1"/>
      <c r="AJ226" s="1"/>
      <c r="AK226" s="1"/>
      <c r="AL226" s="1"/>
      <c r="AM226" s="1"/>
    </row>
    <row r="227" spans="1:39" ht="12.3" x14ac:dyDescent="0.4">
      <c r="A227" s="1" t="s">
        <v>313</v>
      </c>
      <c r="B227" s="10">
        <f>VLOOKUP(A227,'[1]2025 KG Students'!$C$2:$D$630,2,FALSE)</f>
        <v>85171</v>
      </c>
      <c r="C227" s="1" t="s">
        <v>33</v>
      </c>
      <c r="D227" s="5" t="s">
        <v>7</v>
      </c>
      <c r="E227" s="5" t="s">
        <v>463</v>
      </c>
      <c r="F227" s="4" t="s">
        <v>465</v>
      </c>
      <c r="G227" s="4" t="s">
        <v>465</v>
      </c>
      <c r="I227" s="1" t="s">
        <v>16</v>
      </c>
      <c r="J227" s="1" t="s">
        <v>10</v>
      </c>
      <c r="K227" s="4" t="s">
        <v>464</v>
      </c>
      <c r="L227" s="1" t="s">
        <v>44</v>
      </c>
      <c r="M227" s="10">
        <f>VLOOKUP(L227,'[2]2025 Teachers (1)'!$C$2:$D$807,2,FALSE)</f>
        <v>15553</v>
      </c>
      <c r="O227" s="1"/>
      <c r="P227" s="3">
        <v>0.66666666666666663</v>
      </c>
      <c r="Q227" s="1"/>
      <c r="S227" s="2"/>
      <c r="T227" s="1"/>
      <c r="U227" s="1"/>
      <c r="V227" s="1"/>
      <c r="Y227" s="1"/>
      <c r="AA227" s="1"/>
      <c r="AB227" s="1"/>
      <c r="AC227" s="1"/>
      <c r="AD227" s="1"/>
      <c r="AE227" s="1"/>
      <c r="AF227" s="1"/>
      <c r="AG227" s="1"/>
      <c r="AH227" s="13">
        <f>VLOOKUP(A227,'2024-25 DIBELS BOY '!A227:AP597,42,FALSE)</f>
        <v>0.5083333333333333</v>
      </c>
      <c r="AI227" s="1"/>
      <c r="AJ227" s="1"/>
      <c r="AK227" s="1"/>
      <c r="AL227" s="1"/>
      <c r="AM227" s="1"/>
    </row>
    <row r="228" spans="1:39" ht="12.3" x14ac:dyDescent="0.4">
      <c r="A228" s="1" t="s">
        <v>314</v>
      </c>
      <c r="B228" s="10">
        <f>VLOOKUP(A228,'[1]2025 KG Students'!$C$2:$D$630,2,FALSE)</f>
        <v>85701</v>
      </c>
      <c r="C228" s="1" t="s">
        <v>33</v>
      </c>
      <c r="D228" s="5" t="s">
        <v>7</v>
      </c>
      <c r="E228" s="5" t="s">
        <v>463</v>
      </c>
      <c r="F228" s="4" t="s">
        <v>465</v>
      </c>
      <c r="G228" s="4" t="s">
        <v>465</v>
      </c>
      <c r="I228" s="1" t="s">
        <v>16</v>
      </c>
      <c r="J228" s="1" t="s">
        <v>10</v>
      </c>
      <c r="K228" s="4" t="s">
        <v>464</v>
      </c>
      <c r="L228" s="1" t="s">
        <v>38</v>
      </c>
      <c r="M228" s="10">
        <f>VLOOKUP(L228,'[2]2025 Teachers (1)'!$C$2:$D$807,2,FALSE)</f>
        <v>12216</v>
      </c>
      <c r="O228" s="1"/>
      <c r="P228" s="3">
        <v>0.57166666666666666</v>
      </c>
      <c r="Q228" s="1"/>
      <c r="S228" s="2"/>
      <c r="T228" s="1"/>
      <c r="U228" s="2"/>
      <c r="V228" s="1"/>
      <c r="Y228" s="1"/>
      <c r="AA228" s="1"/>
      <c r="AB228" s="1"/>
      <c r="AC228" s="1"/>
      <c r="AD228" s="1"/>
      <c r="AE228" s="1"/>
      <c r="AF228" s="1"/>
      <c r="AG228" s="1"/>
      <c r="AH228" s="13">
        <f>VLOOKUP(A228,'2024-25 DIBELS BOY '!A228:AP598,42,FALSE)</f>
        <v>0.47666666666666668</v>
      </c>
      <c r="AI228" s="1"/>
      <c r="AJ228" s="1"/>
      <c r="AK228" s="1"/>
      <c r="AL228" s="1"/>
      <c r="AM228" s="1"/>
    </row>
    <row r="229" spans="1:39" ht="12.3" x14ac:dyDescent="0.4">
      <c r="A229" s="1" t="s">
        <v>315</v>
      </c>
      <c r="B229" s="10">
        <f>VLOOKUP(A229,'[1]2025 KG Students'!$C$2:$D$630,2,FALSE)</f>
        <v>86358</v>
      </c>
      <c r="C229" s="1" t="s">
        <v>33</v>
      </c>
      <c r="D229" s="5" t="s">
        <v>7</v>
      </c>
      <c r="E229" s="5" t="s">
        <v>463</v>
      </c>
      <c r="F229" s="4" t="s">
        <v>465</v>
      </c>
      <c r="G229" s="4" t="s">
        <v>465</v>
      </c>
      <c r="I229" s="1" t="s">
        <v>8</v>
      </c>
      <c r="J229" s="1" t="s">
        <v>9</v>
      </c>
      <c r="K229" s="4" t="s">
        <v>464</v>
      </c>
      <c r="L229" s="1" t="s">
        <v>34</v>
      </c>
      <c r="M229" s="10">
        <f>VLOOKUP(L229,'[2]2025 Teachers (1)'!$C$2:$D$807,2,FALSE)</f>
        <v>18232</v>
      </c>
      <c r="O229" s="1"/>
      <c r="P229" s="3">
        <v>0.56333333333333335</v>
      </c>
      <c r="Q229" s="1"/>
      <c r="S229" s="1"/>
      <c r="T229" s="1"/>
      <c r="U229" s="1"/>
      <c r="V229" s="1"/>
      <c r="Y229" s="1"/>
      <c r="AA229" s="1"/>
      <c r="AB229" s="1"/>
      <c r="AC229" s="1"/>
      <c r="AD229" s="1"/>
      <c r="AE229" s="1"/>
      <c r="AF229" s="1"/>
      <c r="AG229" s="1"/>
      <c r="AH229" s="13">
        <f>VLOOKUP(A229,'2024-25 DIBELS BOY '!A229:AP599,42,FALSE)</f>
        <v>0.45333333333333331</v>
      </c>
      <c r="AI229" s="1"/>
      <c r="AJ229" s="1"/>
      <c r="AK229" s="1"/>
      <c r="AL229" s="1"/>
      <c r="AM229" s="1"/>
    </row>
    <row r="230" spans="1:39" ht="12.3" x14ac:dyDescent="0.4">
      <c r="A230" s="1" t="s">
        <v>316</v>
      </c>
      <c r="B230" s="10">
        <f>VLOOKUP(A230,'[1]2025 KG Students'!$C$2:$D$630,2,FALSE)</f>
        <v>85560</v>
      </c>
      <c r="C230" s="1" t="s">
        <v>33</v>
      </c>
      <c r="D230" s="5" t="s">
        <v>7</v>
      </c>
      <c r="E230" s="5" t="s">
        <v>463</v>
      </c>
      <c r="F230" s="4" t="s">
        <v>465</v>
      </c>
      <c r="G230" s="4" t="s">
        <v>465</v>
      </c>
      <c r="I230" s="1" t="s">
        <v>8</v>
      </c>
      <c r="J230" s="1" t="s">
        <v>9</v>
      </c>
      <c r="K230" s="4" t="s">
        <v>464</v>
      </c>
      <c r="L230" s="1" t="s">
        <v>41</v>
      </c>
      <c r="M230" s="10">
        <f>VLOOKUP(L230,'[2]2025 Teachers (1)'!$C$2:$D$807,2,FALSE)</f>
        <v>17400</v>
      </c>
      <c r="O230" s="1"/>
      <c r="P230" s="3">
        <v>0.625</v>
      </c>
      <c r="Q230" s="1"/>
      <c r="S230" s="2"/>
      <c r="T230" s="1"/>
      <c r="U230" s="2"/>
      <c r="V230" s="1"/>
      <c r="Y230" s="1"/>
      <c r="AA230" s="1"/>
      <c r="AB230" s="1"/>
      <c r="AC230" s="1"/>
      <c r="AD230" s="1"/>
      <c r="AE230" s="1"/>
      <c r="AF230" s="1"/>
      <c r="AG230" s="1"/>
      <c r="AH230" s="13">
        <f>VLOOKUP(A230,'2024-25 DIBELS BOY '!A230:AP600,42,FALSE)</f>
        <v>0.44833333333333331</v>
      </c>
      <c r="AI230" s="1"/>
      <c r="AJ230" s="1"/>
      <c r="AK230" s="1"/>
      <c r="AL230" s="1"/>
      <c r="AM230" s="1"/>
    </row>
    <row r="231" spans="1:39" ht="12.3" x14ac:dyDescent="0.4">
      <c r="A231" s="1" t="s">
        <v>317</v>
      </c>
      <c r="B231" s="10">
        <f>VLOOKUP(A231,'[1]2025 KG Students'!$C$2:$D$630,2,FALSE)</f>
        <v>87921</v>
      </c>
      <c r="C231" s="1" t="s">
        <v>33</v>
      </c>
      <c r="D231" s="5" t="s">
        <v>7</v>
      </c>
      <c r="E231" s="5" t="s">
        <v>463</v>
      </c>
      <c r="F231" s="4" t="s">
        <v>465</v>
      </c>
      <c r="G231" s="4" t="s">
        <v>465</v>
      </c>
      <c r="I231" s="1" t="s">
        <v>16</v>
      </c>
      <c r="J231" s="1" t="s">
        <v>10</v>
      </c>
      <c r="K231" s="4" t="s">
        <v>464</v>
      </c>
      <c r="L231" s="1" t="s">
        <v>40</v>
      </c>
      <c r="M231" s="10">
        <f>VLOOKUP(L231,'[2]2025 Teachers (1)'!$C$2:$D$807,2,FALSE)</f>
        <v>18030</v>
      </c>
      <c r="O231" s="1"/>
      <c r="P231" s="3">
        <v>0.57166666666666666</v>
      </c>
      <c r="Q231" s="1"/>
      <c r="S231" s="2"/>
      <c r="T231" s="1"/>
      <c r="U231" s="1"/>
      <c r="V231" s="1"/>
      <c r="Y231" s="1"/>
      <c r="AA231" s="1"/>
      <c r="AB231" s="1"/>
      <c r="AC231" s="1"/>
      <c r="AD231" s="1"/>
      <c r="AE231" s="1"/>
      <c r="AF231" s="1"/>
      <c r="AG231" s="1"/>
      <c r="AH231" s="13">
        <f>VLOOKUP(A231,'2024-25 DIBELS BOY '!A231:AP601,42,FALSE)</f>
        <v>0.44833333333333331</v>
      </c>
      <c r="AI231" s="1"/>
      <c r="AJ231" s="1"/>
      <c r="AK231" s="1"/>
      <c r="AL231" s="1"/>
      <c r="AM231" s="1"/>
    </row>
    <row r="232" spans="1:39" ht="12.3" x14ac:dyDescent="0.4">
      <c r="A232" s="1" t="s">
        <v>318</v>
      </c>
      <c r="B232" s="10">
        <f>VLOOKUP(A232,'[1]2025 KG Students'!$C$2:$D$630,2,FALSE)</f>
        <v>86100</v>
      </c>
      <c r="C232" s="1" t="s">
        <v>33</v>
      </c>
      <c r="D232" s="5" t="s">
        <v>7</v>
      </c>
      <c r="E232" s="5" t="s">
        <v>463</v>
      </c>
      <c r="F232" s="4" t="s">
        <v>465</v>
      </c>
      <c r="G232" s="4" t="s">
        <v>465</v>
      </c>
      <c r="I232" s="1" t="s">
        <v>16</v>
      </c>
      <c r="J232" s="1" t="s">
        <v>10</v>
      </c>
      <c r="K232" s="4" t="s">
        <v>464</v>
      </c>
      <c r="L232" s="1" t="s">
        <v>35</v>
      </c>
      <c r="M232" s="10">
        <f>VLOOKUP(L232,'[2]2025 Teachers (1)'!$C$2:$D$807,2,FALSE)</f>
        <v>14129</v>
      </c>
      <c r="O232" s="1"/>
      <c r="P232" s="3">
        <v>0.6216666666666667</v>
      </c>
      <c r="Q232" s="1"/>
      <c r="S232" s="2"/>
      <c r="T232" s="1"/>
      <c r="U232" s="2"/>
      <c r="V232" s="1"/>
      <c r="Y232" s="1"/>
      <c r="AA232" s="1"/>
      <c r="AB232" s="1"/>
      <c r="AC232" s="1"/>
      <c r="AD232" s="1"/>
      <c r="AE232" s="1"/>
      <c r="AF232" s="1"/>
      <c r="AG232" s="1"/>
      <c r="AH232" s="13">
        <f>VLOOKUP(A232,'2024-25 DIBELS BOY '!A232:AP602,42,FALSE)</f>
        <v>0.53166666666666662</v>
      </c>
      <c r="AI232" s="1"/>
      <c r="AJ232" s="1"/>
      <c r="AK232" s="1"/>
      <c r="AL232" s="1"/>
      <c r="AM232" s="1"/>
    </row>
    <row r="233" spans="1:39" ht="12.3" x14ac:dyDescent="0.4">
      <c r="A233" s="1" t="s">
        <v>319</v>
      </c>
      <c r="B233" s="10">
        <f>VLOOKUP(A233,'[1]2025 KG Students'!$C$2:$D$630,2,FALSE)</f>
        <v>85263</v>
      </c>
      <c r="C233" s="1" t="s">
        <v>33</v>
      </c>
      <c r="D233" s="5" t="s">
        <v>7</v>
      </c>
      <c r="E233" s="5" t="s">
        <v>463</v>
      </c>
      <c r="F233" s="4" t="s">
        <v>465</v>
      </c>
      <c r="G233" s="4" t="s">
        <v>465</v>
      </c>
      <c r="I233" s="1" t="s">
        <v>16</v>
      </c>
      <c r="J233" s="1" t="s">
        <v>10</v>
      </c>
      <c r="K233" s="4" t="s">
        <v>464</v>
      </c>
      <c r="L233" s="1" t="s">
        <v>38</v>
      </c>
      <c r="M233" s="10">
        <f>VLOOKUP(L233,'[2]2025 Teachers (1)'!$C$2:$D$807,2,FALSE)</f>
        <v>12216</v>
      </c>
      <c r="O233" s="1"/>
      <c r="P233" s="3">
        <v>0.74</v>
      </c>
      <c r="Q233" s="1"/>
      <c r="S233" s="2"/>
      <c r="T233" s="1"/>
      <c r="U233" s="2"/>
      <c r="V233" s="1"/>
      <c r="Y233" s="1"/>
      <c r="AA233" s="1"/>
      <c r="AB233" s="1"/>
      <c r="AC233" s="1"/>
      <c r="AD233" s="1"/>
      <c r="AE233" s="1"/>
      <c r="AF233" s="1"/>
      <c r="AG233" s="1"/>
      <c r="AH233" s="13">
        <f>VLOOKUP(A233,'2024-25 DIBELS BOY '!A233:AP603,42,FALSE)</f>
        <v>0.64833333333333332</v>
      </c>
      <c r="AI233" s="1"/>
      <c r="AJ233" s="1"/>
      <c r="AK233" s="1"/>
      <c r="AL233" s="1"/>
      <c r="AM233" s="1"/>
    </row>
    <row r="234" spans="1:39" ht="12.3" x14ac:dyDescent="0.4">
      <c r="A234" s="1" t="s">
        <v>320</v>
      </c>
      <c r="B234" s="10">
        <f>VLOOKUP(A234,'[1]2025 KG Students'!$C$2:$D$630,2,FALSE)</f>
        <v>86135</v>
      </c>
      <c r="C234" s="1" t="s">
        <v>33</v>
      </c>
      <c r="D234" s="5" t="s">
        <v>7</v>
      </c>
      <c r="E234" s="5" t="s">
        <v>463</v>
      </c>
      <c r="F234" s="4" t="s">
        <v>465</v>
      </c>
      <c r="G234" s="4" t="s">
        <v>465</v>
      </c>
      <c r="I234" s="1" t="s">
        <v>8</v>
      </c>
      <c r="J234" s="1" t="s">
        <v>9</v>
      </c>
      <c r="K234" s="4" t="s">
        <v>464</v>
      </c>
      <c r="L234" s="1" t="s">
        <v>43</v>
      </c>
      <c r="M234" s="10">
        <f>VLOOKUP(L234,'[2]2025 Teachers (1)'!$C$2:$D$807,2,FALSE)</f>
        <v>18846</v>
      </c>
      <c r="O234" s="1"/>
      <c r="P234" s="3">
        <v>0.64166666666666672</v>
      </c>
      <c r="Q234" s="1"/>
      <c r="S234" s="2"/>
      <c r="T234" s="1"/>
      <c r="U234" s="2"/>
      <c r="V234" s="1"/>
      <c r="Y234" s="1"/>
      <c r="AA234" s="1"/>
      <c r="AB234" s="1"/>
      <c r="AC234" s="1"/>
      <c r="AD234" s="1"/>
      <c r="AE234" s="1"/>
      <c r="AF234" s="1"/>
      <c r="AG234" s="1"/>
      <c r="AH234" s="13">
        <f>VLOOKUP(A234,'2024-25 DIBELS BOY '!A234:AP604,42,FALSE)</f>
        <v>0.5</v>
      </c>
      <c r="AI234" s="1"/>
      <c r="AJ234" s="1"/>
      <c r="AK234" s="1"/>
      <c r="AL234" s="1"/>
      <c r="AM234" s="1"/>
    </row>
    <row r="235" spans="1:39" ht="12.3" x14ac:dyDescent="0.4">
      <c r="A235" s="1" t="s">
        <v>321</v>
      </c>
      <c r="B235" s="10">
        <f>VLOOKUP(A235,'[1]2025 KG Students'!$C$2:$D$630,2,FALSE)</f>
        <v>85629</v>
      </c>
      <c r="C235" s="1" t="s">
        <v>33</v>
      </c>
      <c r="D235" s="5" t="s">
        <v>7</v>
      </c>
      <c r="E235" s="5" t="s">
        <v>463</v>
      </c>
      <c r="F235" s="4" t="s">
        <v>465</v>
      </c>
      <c r="G235" s="4" t="s">
        <v>465</v>
      </c>
      <c r="I235" s="1" t="s">
        <v>16</v>
      </c>
      <c r="J235" s="1" t="s">
        <v>10</v>
      </c>
      <c r="K235" s="4" t="s">
        <v>464</v>
      </c>
      <c r="L235" s="1" t="s">
        <v>40</v>
      </c>
      <c r="M235" s="10">
        <f>VLOOKUP(L235,'[2]2025 Teachers (1)'!$C$2:$D$807,2,FALSE)</f>
        <v>18030</v>
      </c>
      <c r="O235" s="1"/>
      <c r="P235" s="3">
        <v>0.66</v>
      </c>
      <c r="Q235" s="1"/>
      <c r="S235" s="2"/>
      <c r="T235" s="1"/>
      <c r="U235" s="2"/>
      <c r="V235" s="1"/>
      <c r="Y235" s="1"/>
      <c r="AA235" s="1"/>
      <c r="AB235" s="1"/>
      <c r="AC235" s="1"/>
      <c r="AD235" s="1"/>
      <c r="AE235" s="1"/>
      <c r="AF235" s="1"/>
      <c r="AG235" s="1"/>
      <c r="AH235" s="13">
        <f>VLOOKUP(A235,'2024-25 DIBELS BOY '!A235:AP605,42,FALSE)</f>
        <v>0.52500000000000002</v>
      </c>
      <c r="AI235" s="1"/>
      <c r="AJ235" s="1"/>
      <c r="AK235" s="1"/>
      <c r="AL235" s="1"/>
      <c r="AM235" s="1"/>
    </row>
    <row r="236" spans="1:39" ht="12.3" x14ac:dyDescent="0.4">
      <c r="A236" s="1" t="s">
        <v>322</v>
      </c>
      <c r="B236" s="10">
        <f>VLOOKUP(A236,'[1]2025 KG Students'!$C$2:$D$630,2,FALSE)</f>
        <v>85245</v>
      </c>
      <c r="C236" s="1" t="s">
        <v>33</v>
      </c>
      <c r="D236" s="5" t="s">
        <v>7</v>
      </c>
      <c r="E236" s="5" t="s">
        <v>463</v>
      </c>
      <c r="F236" s="4" t="s">
        <v>465</v>
      </c>
      <c r="G236" s="4" t="s">
        <v>465</v>
      </c>
      <c r="I236" s="1" t="s">
        <v>8</v>
      </c>
      <c r="J236" s="1" t="s">
        <v>9</v>
      </c>
      <c r="K236" s="4" t="s">
        <v>464</v>
      </c>
      <c r="L236" s="1" t="s">
        <v>35</v>
      </c>
      <c r="M236" s="10">
        <f>VLOOKUP(L236,'[2]2025 Teachers (1)'!$C$2:$D$807,2,FALSE)</f>
        <v>14129</v>
      </c>
      <c r="O236" s="1"/>
      <c r="P236" s="3">
        <v>0.54500000000000004</v>
      </c>
      <c r="Q236" s="1"/>
      <c r="S236" s="2"/>
      <c r="T236" s="1"/>
      <c r="U236" s="1"/>
      <c r="V236" s="1"/>
      <c r="Y236" s="1"/>
      <c r="AA236" s="1"/>
      <c r="AB236" s="1"/>
      <c r="AC236" s="1"/>
      <c r="AD236" s="1"/>
      <c r="AE236" s="1"/>
      <c r="AF236" s="1"/>
      <c r="AG236" s="1"/>
      <c r="AH236" s="13">
        <f>VLOOKUP(A236,'2024-25 DIBELS BOY '!A236:AP606,42,FALSE)</f>
        <v>0.41166666666666668</v>
      </c>
      <c r="AI236" s="1"/>
      <c r="AJ236" s="1"/>
      <c r="AK236" s="1"/>
      <c r="AL236" s="1"/>
      <c r="AM236" s="1"/>
    </row>
    <row r="237" spans="1:39" ht="12.3" x14ac:dyDescent="0.4">
      <c r="A237" s="1" t="s">
        <v>323</v>
      </c>
      <c r="B237" s="10">
        <f>VLOOKUP(A237,'[1]2025 KG Students'!$C$2:$D$630,2,FALSE)</f>
        <v>84968</v>
      </c>
      <c r="C237" s="1" t="s">
        <v>33</v>
      </c>
      <c r="D237" s="5" t="s">
        <v>7</v>
      </c>
      <c r="E237" s="5" t="s">
        <v>463</v>
      </c>
      <c r="F237" s="4" t="s">
        <v>465</v>
      </c>
      <c r="G237" s="4" t="s">
        <v>465</v>
      </c>
      <c r="I237" s="1" t="s">
        <v>8</v>
      </c>
      <c r="J237" s="1" t="s">
        <v>9</v>
      </c>
      <c r="K237" s="4" t="s">
        <v>464</v>
      </c>
      <c r="L237" s="1" t="s">
        <v>36</v>
      </c>
      <c r="M237" s="10">
        <f>VLOOKUP(L237,'[2]2025 Teachers (1)'!$C$2:$D$807,2,FALSE)</f>
        <v>10374</v>
      </c>
      <c r="O237" s="1"/>
      <c r="P237" s="3">
        <v>0.58666666666666667</v>
      </c>
      <c r="Q237" s="1"/>
      <c r="S237" s="2"/>
      <c r="T237" s="1"/>
      <c r="U237" s="1"/>
      <c r="V237" s="1"/>
      <c r="Y237" s="1"/>
      <c r="AA237" s="1"/>
      <c r="AB237" s="1"/>
      <c r="AC237" s="1"/>
      <c r="AD237" s="1"/>
      <c r="AE237" s="1"/>
      <c r="AF237" s="1"/>
      <c r="AG237" s="1"/>
      <c r="AH237" s="13" t="e">
        <f>VLOOKUP(A237,'2024-25 DIBELS BOY '!A237:AP607,42,FALSE)</f>
        <v>#N/A</v>
      </c>
      <c r="AI237" s="1"/>
      <c r="AJ237" s="1"/>
      <c r="AK237" s="1"/>
      <c r="AL237" s="1"/>
      <c r="AM237" s="1"/>
    </row>
    <row r="238" spans="1:39" ht="12.3" x14ac:dyDescent="0.4">
      <c r="A238" s="1" t="s">
        <v>326</v>
      </c>
      <c r="B238" s="10">
        <f>VLOOKUP(A238,'[1]2025 KG Students'!$C$2:$D$630,2,FALSE)</f>
        <v>87922</v>
      </c>
      <c r="C238" s="1" t="s">
        <v>33</v>
      </c>
      <c r="D238" s="5" t="s">
        <v>7</v>
      </c>
      <c r="E238" s="5" t="s">
        <v>463</v>
      </c>
      <c r="F238" s="4" t="s">
        <v>465</v>
      </c>
      <c r="G238" s="4" t="s">
        <v>465</v>
      </c>
      <c r="I238" s="1" t="s">
        <v>8</v>
      </c>
      <c r="J238" s="1" t="s">
        <v>9</v>
      </c>
      <c r="K238" s="4" t="s">
        <v>464</v>
      </c>
      <c r="L238" s="1" t="s">
        <v>35</v>
      </c>
      <c r="M238" s="10">
        <f>VLOOKUP(L238,'[2]2025 Teachers (1)'!$C$2:$D$807,2,FALSE)</f>
        <v>14129</v>
      </c>
      <c r="O238" s="1"/>
      <c r="P238" s="3">
        <v>0.63500000000000001</v>
      </c>
      <c r="Q238" s="1"/>
      <c r="S238" s="2"/>
      <c r="T238" s="1"/>
      <c r="U238" s="1"/>
      <c r="V238" s="1"/>
      <c r="Y238" s="1"/>
      <c r="AA238" s="1"/>
      <c r="AB238" s="1"/>
      <c r="AC238" s="1"/>
      <c r="AD238" s="1"/>
      <c r="AE238" s="1"/>
      <c r="AF238" s="1"/>
      <c r="AG238" s="1"/>
      <c r="AH238" s="13">
        <f>VLOOKUP(A238,'2024-25 DIBELS BOY '!A238:AP608,42,FALSE)</f>
        <v>0.58333333333333337</v>
      </c>
      <c r="AI238" s="1"/>
      <c r="AJ238" s="1"/>
      <c r="AK238" s="1"/>
      <c r="AL238" s="1"/>
      <c r="AM238" s="1"/>
    </row>
    <row r="239" spans="1:39" ht="12.3" x14ac:dyDescent="0.4">
      <c r="A239" s="1" t="s">
        <v>327</v>
      </c>
      <c r="B239" s="10">
        <f>VLOOKUP(A239,'[1]2025 KG Students'!$C$2:$D$630,2,FALSE)</f>
        <v>87486</v>
      </c>
      <c r="C239" s="1" t="s">
        <v>33</v>
      </c>
      <c r="D239" s="5" t="s">
        <v>7</v>
      </c>
      <c r="E239" s="5" t="s">
        <v>463</v>
      </c>
      <c r="F239" s="4" t="s">
        <v>465</v>
      </c>
      <c r="G239" s="4" t="s">
        <v>465</v>
      </c>
      <c r="I239" s="1" t="s">
        <v>8</v>
      </c>
      <c r="J239" s="1" t="s">
        <v>9</v>
      </c>
      <c r="K239" s="4" t="s">
        <v>464</v>
      </c>
      <c r="L239" s="1" t="s">
        <v>41</v>
      </c>
      <c r="M239" s="10">
        <f>VLOOKUP(L239,'[2]2025 Teachers (1)'!$C$2:$D$807,2,FALSE)</f>
        <v>17400</v>
      </c>
      <c r="O239" s="1"/>
      <c r="P239" s="3">
        <v>0.67333333333333334</v>
      </c>
      <c r="Q239" s="1"/>
      <c r="S239" s="2"/>
      <c r="T239" s="1"/>
      <c r="U239" s="2"/>
      <c r="V239" s="1"/>
      <c r="Y239" s="1"/>
      <c r="AA239" s="1"/>
      <c r="AB239" s="1"/>
      <c r="AC239" s="1"/>
      <c r="AD239" s="1"/>
      <c r="AE239" s="1"/>
      <c r="AF239" s="1"/>
      <c r="AG239" s="1"/>
      <c r="AH239" s="13">
        <f>VLOOKUP(A239,'2024-25 DIBELS BOY '!A239:AP609,42,FALSE)</f>
        <v>0.64166666666666672</v>
      </c>
      <c r="AI239" s="1"/>
      <c r="AJ239" s="1"/>
      <c r="AK239" s="1"/>
      <c r="AL239" s="1"/>
      <c r="AM239" s="1"/>
    </row>
    <row r="240" spans="1:39" ht="12.3" x14ac:dyDescent="0.4">
      <c r="A240" s="1" t="s">
        <v>328</v>
      </c>
      <c r="B240" s="10">
        <f>VLOOKUP(A240,'[1]2025 KG Students'!$C$2:$D$630,2,FALSE)</f>
        <v>85454</v>
      </c>
      <c r="C240" s="1" t="s">
        <v>33</v>
      </c>
      <c r="D240" s="5" t="s">
        <v>7</v>
      </c>
      <c r="E240" s="5" t="s">
        <v>463</v>
      </c>
      <c r="F240" s="4" t="s">
        <v>465</v>
      </c>
      <c r="G240" s="4" t="s">
        <v>465</v>
      </c>
      <c r="I240" s="1" t="s">
        <v>16</v>
      </c>
      <c r="J240" s="1" t="s">
        <v>10</v>
      </c>
      <c r="K240" s="4" t="s">
        <v>464</v>
      </c>
      <c r="L240" s="1" t="s">
        <v>40</v>
      </c>
      <c r="M240" s="10">
        <f>VLOOKUP(L240,'[2]2025 Teachers (1)'!$C$2:$D$807,2,FALSE)</f>
        <v>18030</v>
      </c>
      <c r="O240" s="1"/>
      <c r="P240" s="3">
        <v>0.54833333333333334</v>
      </c>
      <c r="Q240" s="1"/>
      <c r="S240" s="2"/>
      <c r="T240" s="1"/>
      <c r="U240" s="1"/>
      <c r="V240" s="1"/>
      <c r="Y240" s="1"/>
      <c r="AA240" s="1"/>
      <c r="AB240" s="1"/>
      <c r="AC240" s="1"/>
      <c r="AD240" s="1"/>
      <c r="AE240" s="1"/>
      <c r="AF240" s="1"/>
      <c r="AG240" s="1"/>
      <c r="AH240" s="13">
        <f>VLOOKUP(A240,'2024-25 DIBELS BOY '!A240:AP610,42,FALSE)</f>
        <v>0.43</v>
      </c>
      <c r="AI240" s="1"/>
      <c r="AJ240" s="1"/>
      <c r="AK240" s="1"/>
      <c r="AL240" s="1"/>
      <c r="AM240" s="1"/>
    </row>
    <row r="241" spans="1:39" ht="12.3" x14ac:dyDescent="0.4">
      <c r="A241" s="1" t="s">
        <v>329</v>
      </c>
      <c r="B241" s="10">
        <f>VLOOKUP(A241,'[1]2025 KG Students'!$C$2:$D$630,2,FALSE)</f>
        <v>85093</v>
      </c>
      <c r="C241" s="1" t="s">
        <v>33</v>
      </c>
      <c r="D241" s="5" t="s">
        <v>7</v>
      </c>
      <c r="E241" s="5" t="s">
        <v>463</v>
      </c>
      <c r="F241" s="4" t="s">
        <v>465</v>
      </c>
      <c r="G241" s="4" t="s">
        <v>465</v>
      </c>
      <c r="I241" s="1" t="s">
        <v>16</v>
      </c>
      <c r="J241" s="1" t="s">
        <v>10</v>
      </c>
      <c r="K241" s="4" t="s">
        <v>464</v>
      </c>
      <c r="L241" s="1" t="s">
        <v>44</v>
      </c>
      <c r="M241" s="10">
        <f>VLOOKUP(L241,'[2]2025 Teachers (1)'!$C$2:$D$807,2,FALSE)</f>
        <v>15553</v>
      </c>
      <c r="O241" s="1"/>
      <c r="P241" s="3">
        <v>0.78</v>
      </c>
      <c r="Q241" s="1"/>
      <c r="S241" s="2"/>
      <c r="T241" s="1"/>
      <c r="U241" s="1"/>
      <c r="V241" s="1"/>
      <c r="Y241" s="1"/>
      <c r="AA241" s="1"/>
      <c r="AB241" s="1"/>
      <c r="AC241" s="1"/>
      <c r="AD241" s="1"/>
      <c r="AE241" s="1"/>
      <c r="AF241" s="1"/>
      <c r="AG241" s="1"/>
      <c r="AH241" s="13">
        <f>VLOOKUP(A241,'2024-25 DIBELS BOY '!A241:AP611,42,FALSE)</f>
        <v>0.57999999999999996</v>
      </c>
      <c r="AI241" s="1"/>
      <c r="AJ241" s="1"/>
      <c r="AK241" s="1"/>
      <c r="AL241" s="1"/>
      <c r="AM241" s="1"/>
    </row>
    <row r="242" spans="1:39" ht="12.3" x14ac:dyDescent="0.4">
      <c r="A242" s="1" t="s">
        <v>330</v>
      </c>
      <c r="B242" s="10">
        <f>VLOOKUP(A242,'[1]2025 KG Students'!$C$2:$D$630,2,FALSE)</f>
        <v>88515</v>
      </c>
      <c r="C242" s="1" t="s">
        <v>33</v>
      </c>
      <c r="D242" s="5" t="s">
        <v>7</v>
      </c>
      <c r="E242" s="5" t="s">
        <v>463</v>
      </c>
      <c r="F242" s="4" t="s">
        <v>465</v>
      </c>
      <c r="G242" s="4" t="s">
        <v>465</v>
      </c>
      <c r="I242" s="1" t="s">
        <v>8</v>
      </c>
      <c r="J242" s="1" t="s">
        <v>9</v>
      </c>
      <c r="K242" s="4" t="s">
        <v>464</v>
      </c>
      <c r="L242" s="1" t="s">
        <v>39</v>
      </c>
      <c r="M242" s="10">
        <f>VLOOKUP(L242,'[2]2025 Teachers (1)'!$C$2:$D$807,2,FALSE)</f>
        <v>18695</v>
      </c>
      <c r="O242" s="1"/>
      <c r="P242" s="3">
        <v>0.54500000000000004</v>
      </c>
      <c r="Q242" s="1"/>
      <c r="S242" s="2"/>
      <c r="T242" s="1"/>
      <c r="U242" s="2"/>
      <c r="V242" s="1"/>
      <c r="Y242" s="1"/>
      <c r="AA242" s="1"/>
      <c r="AB242" s="1"/>
      <c r="AC242" s="1"/>
      <c r="AD242" s="1"/>
      <c r="AE242" s="1"/>
      <c r="AF242" s="1"/>
      <c r="AG242" s="1"/>
      <c r="AH242" s="13">
        <f>VLOOKUP(A242,'2024-25 DIBELS BOY '!A242:AP612,42,FALSE)</f>
        <v>0.41499999999999998</v>
      </c>
      <c r="AI242" s="1"/>
      <c r="AJ242" s="1"/>
      <c r="AK242" s="1"/>
      <c r="AL242" s="1"/>
      <c r="AM242" s="1"/>
    </row>
    <row r="243" spans="1:39" ht="12.3" x14ac:dyDescent="0.4">
      <c r="A243" s="1" t="s">
        <v>331</v>
      </c>
      <c r="B243" s="10">
        <f>VLOOKUP(A243,'[1]2025 KG Students'!$C$2:$D$630,2,FALSE)</f>
        <v>88516</v>
      </c>
      <c r="C243" s="1" t="s">
        <v>33</v>
      </c>
      <c r="D243" s="5" t="s">
        <v>7</v>
      </c>
      <c r="E243" s="5" t="s">
        <v>463</v>
      </c>
      <c r="F243" s="4" t="s">
        <v>465</v>
      </c>
      <c r="G243" s="4" t="s">
        <v>465</v>
      </c>
      <c r="I243" s="1" t="s">
        <v>8</v>
      </c>
      <c r="J243" s="1" t="s">
        <v>9</v>
      </c>
      <c r="K243" s="4" t="s">
        <v>464</v>
      </c>
      <c r="L243" s="1" t="s">
        <v>35</v>
      </c>
      <c r="M243" s="10">
        <f>VLOOKUP(L243,'[2]2025 Teachers (1)'!$C$2:$D$807,2,FALSE)</f>
        <v>14129</v>
      </c>
      <c r="O243" s="1"/>
      <c r="P243" s="3">
        <v>0.54</v>
      </c>
      <c r="Q243" s="1"/>
      <c r="S243" s="2"/>
      <c r="T243" s="1"/>
      <c r="U243" s="2"/>
      <c r="V243" s="1"/>
      <c r="Y243" s="1"/>
      <c r="AA243" s="1"/>
      <c r="AB243" s="1"/>
      <c r="AC243" s="1"/>
      <c r="AD243" s="1"/>
      <c r="AE243" s="1"/>
      <c r="AF243" s="1"/>
      <c r="AG243" s="1"/>
      <c r="AH243" s="13">
        <f>VLOOKUP(A243,'2024-25 DIBELS BOY '!A243:AP613,42,FALSE)</f>
        <v>0.41333333333333333</v>
      </c>
      <c r="AI243" s="1"/>
      <c r="AJ243" s="1"/>
      <c r="AK243" s="1"/>
      <c r="AL243" s="1"/>
      <c r="AM243" s="1"/>
    </row>
    <row r="244" spans="1:39" ht="12.3" x14ac:dyDescent="0.4">
      <c r="A244" s="1" t="s">
        <v>332</v>
      </c>
      <c r="B244" s="10">
        <f>VLOOKUP(A244,'[1]2025 KG Students'!$C$2:$D$630,2,FALSE)</f>
        <v>85378</v>
      </c>
      <c r="C244" s="1" t="s">
        <v>33</v>
      </c>
      <c r="D244" s="5" t="s">
        <v>7</v>
      </c>
      <c r="E244" s="5" t="s">
        <v>463</v>
      </c>
      <c r="F244" s="4" t="s">
        <v>465</v>
      </c>
      <c r="G244" s="4" t="s">
        <v>465</v>
      </c>
      <c r="I244" s="1" t="s">
        <v>8</v>
      </c>
      <c r="J244" s="1" t="s">
        <v>9</v>
      </c>
      <c r="K244" s="4" t="s">
        <v>464</v>
      </c>
      <c r="L244" s="1" t="s">
        <v>34</v>
      </c>
      <c r="M244" s="10">
        <f>VLOOKUP(L244,'[2]2025 Teachers (1)'!$C$2:$D$807,2,FALSE)</f>
        <v>18232</v>
      </c>
      <c r="O244" s="1"/>
      <c r="P244" s="3">
        <v>0.64833333333333332</v>
      </c>
      <c r="Q244" s="1"/>
      <c r="S244" s="2"/>
      <c r="T244" s="1"/>
      <c r="U244" s="2"/>
      <c r="V244" s="1"/>
      <c r="Y244" s="1"/>
      <c r="AA244" s="1"/>
      <c r="AB244" s="1"/>
      <c r="AC244" s="1"/>
      <c r="AD244" s="1"/>
      <c r="AE244" s="1"/>
      <c r="AF244" s="1"/>
      <c r="AG244" s="1"/>
      <c r="AH244" s="13">
        <f>VLOOKUP(A244,'2024-25 DIBELS BOY '!A244:AP614,42,FALSE)</f>
        <v>0.55500000000000005</v>
      </c>
      <c r="AI244" s="1"/>
      <c r="AJ244" s="1"/>
      <c r="AK244" s="1"/>
      <c r="AL244" s="1"/>
      <c r="AM244" s="1"/>
    </row>
    <row r="245" spans="1:39" ht="12.3" x14ac:dyDescent="0.4">
      <c r="A245" s="1" t="s">
        <v>333</v>
      </c>
      <c r="B245" s="10">
        <f>VLOOKUP(A245,'[1]2025 KG Students'!$C$2:$D$630,2,FALSE)</f>
        <v>87963</v>
      </c>
      <c r="C245" s="1" t="s">
        <v>33</v>
      </c>
      <c r="D245" s="5" t="s">
        <v>7</v>
      </c>
      <c r="E245" s="5" t="s">
        <v>463</v>
      </c>
      <c r="F245" s="4" t="s">
        <v>465</v>
      </c>
      <c r="G245" s="4" t="s">
        <v>465</v>
      </c>
      <c r="I245" s="1" t="s">
        <v>16</v>
      </c>
      <c r="J245" s="1" t="s">
        <v>10</v>
      </c>
      <c r="K245" s="4" t="s">
        <v>464</v>
      </c>
      <c r="L245" s="1" t="s">
        <v>43</v>
      </c>
      <c r="M245" s="10">
        <f>VLOOKUP(L245,'[2]2025 Teachers (1)'!$C$2:$D$807,2,FALSE)</f>
        <v>18846</v>
      </c>
      <c r="O245" s="1"/>
      <c r="P245" s="3">
        <v>0.56166666666666665</v>
      </c>
      <c r="Q245" s="1"/>
      <c r="S245" s="2"/>
      <c r="T245" s="1"/>
      <c r="U245" s="2"/>
      <c r="V245" s="1"/>
      <c r="Y245" s="1"/>
      <c r="AA245" s="1"/>
      <c r="AB245" s="1"/>
      <c r="AC245" s="1"/>
      <c r="AD245" s="1"/>
      <c r="AE245" s="1"/>
      <c r="AF245" s="1"/>
      <c r="AG245" s="1"/>
      <c r="AH245" s="13">
        <f>VLOOKUP(A245,'2024-25 DIBELS BOY '!A245:AP615,42,FALSE)</f>
        <v>0.43166666666666664</v>
      </c>
      <c r="AI245" s="1"/>
      <c r="AJ245" s="1"/>
      <c r="AK245" s="1"/>
      <c r="AL245" s="1"/>
      <c r="AM245" s="1"/>
    </row>
    <row r="246" spans="1:39" ht="12.3" x14ac:dyDescent="0.4">
      <c r="A246" s="1" t="s">
        <v>334</v>
      </c>
      <c r="B246" s="10">
        <f>VLOOKUP(A246,'[1]2025 KG Students'!$C$2:$D$630,2,FALSE)</f>
        <v>87228</v>
      </c>
      <c r="C246" s="1" t="s">
        <v>33</v>
      </c>
      <c r="D246" s="5" t="s">
        <v>7</v>
      </c>
      <c r="E246" s="5" t="s">
        <v>463</v>
      </c>
      <c r="F246" s="4" t="s">
        <v>465</v>
      </c>
      <c r="G246" s="4" t="s">
        <v>465</v>
      </c>
      <c r="I246" s="1" t="s">
        <v>16</v>
      </c>
      <c r="J246" s="1" t="s">
        <v>10</v>
      </c>
      <c r="K246" s="4" t="s">
        <v>464</v>
      </c>
      <c r="L246" s="1" t="s">
        <v>39</v>
      </c>
      <c r="M246" s="10">
        <f>VLOOKUP(L246,'[2]2025 Teachers (1)'!$C$2:$D$807,2,FALSE)</f>
        <v>18695</v>
      </c>
      <c r="O246" s="1"/>
      <c r="P246" s="3">
        <v>0.64166666666666672</v>
      </c>
      <c r="Q246" s="1"/>
      <c r="S246" s="2"/>
      <c r="T246" s="1"/>
      <c r="U246" s="2"/>
      <c r="V246" s="1"/>
      <c r="Y246" s="1"/>
      <c r="AA246" s="1"/>
      <c r="AB246" s="1"/>
      <c r="AC246" s="1"/>
      <c r="AD246" s="1"/>
      <c r="AE246" s="1"/>
      <c r="AF246" s="1"/>
      <c r="AG246" s="1"/>
      <c r="AH246" s="13">
        <f>VLOOKUP(A246,'2024-25 DIBELS BOY '!A246:AP616,42,FALSE)</f>
        <v>0.55000000000000004</v>
      </c>
      <c r="AI246" s="1"/>
      <c r="AJ246" s="1"/>
      <c r="AK246" s="1"/>
      <c r="AL246" s="1"/>
      <c r="AM246" s="1"/>
    </row>
    <row r="247" spans="1:39" ht="12.3" x14ac:dyDescent="0.4">
      <c r="A247" s="1" t="s">
        <v>335</v>
      </c>
      <c r="B247" s="10">
        <f>VLOOKUP(A247,'[1]2025 KG Students'!$C$2:$D$630,2,FALSE)</f>
        <v>86280</v>
      </c>
      <c r="C247" s="1" t="s">
        <v>33</v>
      </c>
      <c r="D247" s="5" t="s">
        <v>7</v>
      </c>
      <c r="E247" s="5" t="s">
        <v>463</v>
      </c>
      <c r="F247" s="4" t="s">
        <v>465</v>
      </c>
      <c r="G247" s="4" t="s">
        <v>465</v>
      </c>
      <c r="I247" s="1" t="s">
        <v>16</v>
      </c>
      <c r="J247" s="1" t="s">
        <v>10</v>
      </c>
      <c r="K247" s="4" t="s">
        <v>464</v>
      </c>
      <c r="L247" s="1" t="s">
        <v>35</v>
      </c>
      <c r="M247" s="10">
        <f>VLOOKUP(L247,'[2]2025 Teachers (1)'!$C$2:$D$807,2,FALSE)</f>
        <v>14129</v>
      </c>
      <c r="O247" s="1"/>
      <c r="P247" s="3">
        <v>0.54833333333333334</v>
      </c>
      <c r="Q247" s="1"/>
      <c r="S247" s="2"/>
      <c r="T247" s="1"/>
      <c r="U247" s="1"/>
      <c r="V247" s="1"/>
      <c r="Y247" s="1"/>
      <c r="AA247" s="1"/>
      <c r="AB247" s="1"/>
      <c r="AC247" s="1"/>
      <c r="AD247" s="1"/>
      <c r="AE247" s="1"/>
      <c r="AF247" s="1"/>
      <c r="AG247" s="1"/>
      <c r="AH247" s="13">
        <f>VLOOKUP(A247,'2024-25 DIBELS BOY '!A247:AP617,42,FALSE)</f>
        <v>0.41166666666666668</v>
      </c>
      <c r="AI247" s="1"/>
      <c r="AJ247" s="1"/>
      <c r="AK247" s="1"/>
      <c r="AL247" s="1"/>
      <c r="AM247" s="1"/>
    </row>
    <row r="248" spans="1:39" ht="12.3" x14ac:dyDescent="0.4">
      <c r="A248" s="1" t="s">
        <v>336</v>
      </c>
      <c r="B248" s="10">
        <f>VLOOKUP(A248,'[1]2025 KG Students'!$C$2:$D$630,2,FALSE)</f>
        <v>87498</v>
      </c>
      <c r="C248" s="1" t="s">
        <v>33</v>
      </c>
      <c r="D248" s="5" t="s">
        <v>7</v>
      </c>
      <c r="E248" s="5" t="s">
        <v>463</v>
      </c>
      <c r="F248" s="4" t="s">
        <v>465</v>
      </c>
      <c r="G248" s="4" t="s">
        <v>465</v>
      </c>
      <c r="I248" s="1" t="s">
        <v>16</v>
      </c>
      <c r="J248" s="1" t="s">
        <v>10</v>
      </c>
      <c r="K248" s="4" t="s">
        <v>464</v>
      </c>
      <c r="L248" s="1" t="s">
        <v>34</v>
      </c>
      <c r="M248" s="10">
        <f>VLOOKUP(L248,'[2]2025 Teachers (1)'!$C$2:$D$807,2,FALSE)</f>
        <v>18232</v>
      </c>
      <c r="O248" s="1"/>
      <c r="P248" s="3">
        <v>0.63500000000000001</v>
      </c>
      <c r="Q248" s="1"/>
      <c r="S248" s="2"/>
      <c r="T248" s="1"/>
      <c r="U248" s="1"/>
      <c r="V248" s="1"/>
      <c r="Y248" s="1"/>
      <c r="AA248" s="1"/>
      <c r="AB248" s="1"/>
      <c r="AC248" s="1"/>
      <c r="AD248" s="1"/>
      <c r="AE248" s="1"/>
      <c r="AF248" s="1"/>
      <c r="AG248" s="1"/>
      <c r="AH248" s="13">
        <f>VLOOKUP(A248,'2024-25 DIBELS BOY '!A248:AP618,42,FALSE)</f>
        <v>0.54666666666666663</v>
      </c>
      <c r="AI248" s="1"/>
      <c r="AJ248" s="1"/>
      <c r="AK248" s="1"/>
      <c r="AL248" s="1"/>
      <c r="AM248" s="1"/>
    </row>
    <row r="249" spans="1:39" ht="12.3" x14ac:dyDescent="0.4">
      <c r="A249" s="1" t="s">
        <v>337</v>
      </c>
      <c r="B249" s="10">
        <f>VLOOKUP(A249,'[1]2025 KG Students'!$C$2:$D$630,2,FALSE)</f>
        <v>86081</v>
      </c>
      <c r="C249" s="1" t="s">
        <v>33</v>
      </c>
      <c r="D249" s="5" t="s">
        <v>7</v>
      </c>
      <c r="E249" s="5" t="s">
        <v>463</v>
      </c>
      <c r="F249" s="4" t="s">
        <v>465</v>
      </c>
      <c r="G249" s="4" t="s">
        <v>465</v>
      </c>
      <c r="I249" s="1" t="s">
        <v>8</v>
      </c>
      <c r="J249" s="1" t="s">
        <v>9</v>
      </c>
      <c r="K249" s="4" t="s">
        <v>464</v>
      </c>
      <c r="L249" s="1" t="s">
        <v>34</v>
      </c>
      <c r="M249" s="10">
        <f>VLOOKUP(L249,'[2]2025 Teachers (1)'!$C$2:$D$807,2,FALSE)</f>
        <v>18232</v>
      </c>
      <c r="O249" s="1"/>
      <c r="P249" s="3">
        <v>0.65</v>
      </c>
      <c r="Q249" s="1"/>
      <c r="S249" s="2"/>
      <c r="T249" s="1"/>
      <c r="U249" s="1"/>
      <c r="V249" s="1"/>
      <c r="Y249" s="1"/>
      <c r="AA249" s="1"/>
      <c r="AB249" s="1"/>
      <c r="AC249" s="1"/>
      <c r="AD249" s="1"/>
      <c r="AE249" s="1"/>
      <c r="AF249" s="1"/>
      <c r="AG249" s="1"/>
      <c r="AH249" s="13">
        <f>VLOOKUP(A249,'2024-25 DIBELS BOY '!A249:AP619,42,FALSE)</f>
        <v>0.54</v>
      </c>
      <c r="AI249" s="1"/>
      <c r="AJ249" s="1"/>
      <c r="AK249" s="1"/>
      <c r="AL249" s="1"/>
      <c r="AM249" s="1"/>
    </row>
    <row r="250" spans="1:39" ht="12.3" x14ac:dyDescent="0.4">
      <c r="A250" s="1" t="s">
        <v>338</v>
      </c>
      <c r="B250" s="10">
        <f>VLOOKUP(A250,'[1]2025 KG Students'!$C$2:$D$630,2,FALSE)</f>
        <v>87719</v>
      </c>
      <c r="C250" s="1" t="s">
        <v>33</v>
      </c>
      <c r="D250" s="5" t="s">
        <v>7</v>
      </c>
      <c r="E250" s="5" t="s">
        <v>463</v>
      </c>
      <c r="F250" s="4" t="s">
        <v>465</v>
      </c>
      <c r="G250" s="4" t="s">
        <v>465</v>
      </c>
      <c r="I250" s="1" t="s">
        <v>16</v>
      </c>
      <c r="J250" s="1" t="s">
        <v>10</v>
      </c>
      <c r="K250" s="4" t="s">
        <v>464</v>
      </c>
      <c r="L250" s="1" t="s">
        <v>36</v>
      </c>
      <c r="M250" s="10">
        <f>VLOOKUP(L250,'[2]2025 Teachers (1)'!$C$2:$D$807,2,FALSE)</f>
        <v>10374</v>
      </c>
      <c r="O250" s="1"/>
      <c r="P250" s="3">
        <v>0.66833333333333333</v>
      </c>
      <c r="Q250" s="1"/>
      <c r="S250" s="2"/>
      <c r="T250" s="1"/>
      <c r="U250" s="1"/>
      <c r="V250" s="1"/>
      <c r="Y250" s="1"/>
      <c r="AA250" s="1"/>
      <c r="AB250" s="1"/>
      <c r="AC250" s="1"/>
      <c r="AD250" s="1"/>
      <c r="AE250" s="1"/>
      <c r="AF250" s="1"/>
      <c r="AG250" s="1"/>
      <c r="AH250" s="13">
        <f>VLOOKUP(A250,'2024-25 DIBELS BOY '!A250:AP620,42,FALSE)</f>
        <v>0.625</v>
      </c>
      <c r="AI250" s="1"/>
      <c r="AJ250" s="1"/>
      <c r="AK250" s="1"/>
      <c r="AL250" s="1"/>
      <c r="AM250" s="1"/>
    </row>
    <row r="251" spans="1:39" ht="12.3" x14ac:dyDescent="0.4">
      <c r="A251" s="1" t="s">
        <v>339</v>
      </c>
      <c r="B251" s="10">
        <f>VLOOKUP(A251,'[1]2025 KG Students'!$C$2:$D$630,2,FALSE)</f>
        <v>85252</v>
      </c>
      <c r="C251" s="1" t="s">
        <v>33</v>
      </c>
      <c r="D251" s="5" t="s">
        <v>7</v>
      </c>
      <c r="E251" s="5" t="s">
        <v>463</v>
      </c>
      <c r="F251" s="4" t="s">
        <v>465</v>
      </c>
      <c r="G251" s="4" t="s">
        <v>465</v>
      </c>
      <c r="I251" s="1" t="s">
        <v>16</v>
      </c>
      <c r="J251" s="1" t="s">
        <v>10</v>
      </c>
      <c r="K251" s="4" t="s">
        <v>464</v>
      </c>
      <c r="L251" s="1" t="s">
        <v>34</v>
      </c>
      <c r="M251" s="10">
        <f>VLOOKUP(L251,'[2]2025 Teachers (1)'!$C$2:$D$807,2,FALSE)</f>
        <v>18232</v>
      </c>
      <c r="O251" s="1"/>
      <c r="P251" s="3">
        <v>0.70333333333333337</v>
      </c>
      <c r="Q251" s="1"/>
      <c r="S251" s="2"/>
      <c r="T251" s="1"/>
      <c r="U251" s="2"/>
      <c r="V251" s="1"/>
      <c r="Y251" s="1"/>
      <c r="AA251" s="1"/>
      <c r="AB251" s="1"/>
      <c r="AC251" s="1"/>
      <c r="AD251" s="1"/>
      <c r="AE251" s="1"/>
      <c r="AF251" s="1"/>
      <c r="AG251" s="1"/>
      <c r="AH251" s="13">
        <f>VLOOKUP(A251,'2024-25 DIBELS BOY '!A251:AP621,42,FALSE)</f>
        <v>0.61833333333333329</v>
      </c>
      <c r="AI251" s="1"/>
      <c r="AJ251" s="1"/>
      <c r="AK251" s="1"/>
      <c r="AL251" s="1"/>
      <c r="AM251" s="1"/>
    </row>
    <row r="252" spans="1:39" ht="12.3" x14ac:dyDescent="0.4">
      <c r="A252" s="1" t="s">
        <v>340</v>
      </c>
      <c r="B252" s="10">
        <f>VLOOKUP(A252,'[1]2025 KG Students'!$C$2:$D$630,2,FALSE)</f>
        <v>88715</v>
      </c>
      <c r="C252" s="1" t="s">
        <v>33</v>
      </c>
      <c r="D252" s="5" t="s">
        <v>7</v>
      </c>
      <c r="E252" s="5" t="s">
        <v>463</v>
      </c>
      <c r="F252" s="4" t="s">
        <v>465</v>
      </c>
      <c r="G252" s="4" t="s">
        <v>465</v>
      </c>
      <c r="I252" s="1" t="s">
        <v>16</v>
      </c>
      <c r="J252" s="1" t="s">
        <v>9</v>
      </c>
      <c r="K252" s="4" t="s">
        <v>464</v>
      </c>
      <c r="L252" s="1" t="s">
        <v>40</v>
      </c>
      <c r="M252" s="10">
        <f>VLOOKUP(L252,'[2]2025 Teachers (1)'!$C$2:$D$807,2,FALSE)</f>
        <v>18030</v>
      </c>
      <c r="O252" s="1"/>
      <c r="P252" s="3">
        <v>0.66500000000000004</v>
      </c>
      <c r="Q252" s="1"/>
      <c r="S252" s="1"/>
      <c r="T252" s="1"/>
      <c r="U252" s="2"/>
      <c r="V252" s="1"/>
      <c r="Y252" s="1"/>
      <c r="AA252" s="1"/>
      <c r="AB252" s="1"/>
      <c r="AC252" s="1"/>
      <c r="AD252" s="1"/>
      <c r="AE252" s="1"/>
      <c r="AF252" s="1"/>
      <c r="AG252" s="1"/>
      <c r="AH252" s="13">
        <f>VLOOKUP(A252,'2024-25 DIBELS BOY '!A252:AP622,42,FALSE)</f>
        <v>0.70833333333333337</v>
      </c>
      <c r="AI252" s="1"/>
      <c r="AJ252" s="1"/>
      <c r="AK252" s="1"/>
      <c r="AL252" s="1"/>
      <c r="AM252" s="1"/>
    </row>
    <row r="253" spans="1:39" ht="12.3" x14ac:dyDescent="0.4">
      <c r="A253" s="1" t="s">
        <v>341</v>
      </c>
      <c r="B253" s="10">
        <f>VLOOKUP(A253,'[1]2025 KG Students'!$C$2:$D$630,2,FALSE)</f>
        <v>88643</v>
      </c>
      <c r="C253" s="1" t="s">
        <v>33</v>
      </c>
      <c r="D253" s="5" t="s">
        <v>7</v>
      </c>
      <c r="E253" s="5" t="s">
        <v>463</v>
      </c>
      <c r="F253" s="4" t="s">
        <v>465</v>
      </c>
      <c r="G253" s="4" t="s">
        <v>465</v>
      </c>
      <c r="I253" s="1" t="s">
        <v>8</v>
      </c>
      <c r="J253" s="1" t="s">
        <v>9</v>
      </c>
      <c r="K253" s="4" t="s">
        <v>464</v>
      </c>
      <c r="L253" s="1" t="s">
        <v>39</v>
      </c>
      <c r="M253" s="10">
        <f>VLOOKUP(L253,'[2]2025 Teachers (1)'!$C$2:$D$807,2,FALSE)</f>
        <v>18695</v>
      </c>
      <c r="O253" s="1"/>
      <c r="P253" s="3">
        <v>0.66833333333333333</v>
      </c>
      <c r="Q253" s="1"/>
      <c r="S253" s="1"/>
      <c r="T253" s="1"/>
      <c r="U253" s="1"/>
      <c r="V253" s="1"/>
      <c r="Y253" s="1"/>
      <c r="AA253" s="1"/>
      <c r="AB253" s="1"/>
      <c r="AC253" s="1"/>
      <c r="AD253" s="1"/>
      <c r="AE253" s="1"/>
      <c r="AF253" s="1"/>
      <c r="AG253" s="1"/>
      <c r="AH253" s="13">
        <f>VLOOKUP(A253,'2024-25 DIBELS BOY '!A253:AP623,42,FALSE)</f>
        <v>0.65833333333333333</v>
      </c>
      <c r="AI253" s="1"/>
      <c r="AJ253" s="1"/>
      <c r="AK253" s="1"/>
      <c r="AL253" s="1"/>
      <c r="AM253" s="1"/>
    </row>
    <row r="254" spans="1:39" ht="12.3" x14ac:dyDescent="0.4">
      <c r="A254" s="1" t="s">
        <v>342</v>
      </c>
      <c r="B254" s="10">
        <f>VLOOKUP(A254,'[1]2025 KG Students'!$C$2:$D$630,2,FALSE)</f>
        <v>87953</v>
      </c>
      <c r="C254" s="1" t="s">
        <v>33</v>
      </c>
      <c r="D254" s="5" t="s">
        <v>7</v>
      </c>
      <c r="E254" s="5" t="s">
        <v>463</v>
      </c>
      <c r="F254" s="4" t="s">
        <v>465</v>
      </c>
      <c r="G254" s="4" t="s">
        <v>465</v>
      </c>
      <c r="I254" s="1" t="s">
        <v>16</v>
      </c>
      <c r="J254" s="1" t="s">
        <v>10</v>
      </c>
      <c r="K254" s="4" t="s">
        <v>464</v>
      </c>
      <c r="L254" s="1" t="s">
        <v>41</v>
      </c>
      <c r="M254" s="10">
        <f>VLOOKUP(L254,'[2]2025 Teachers (1)'!$C$2:$D$807,2,FALSE)</f>
        <v>17400</v>
      </c>
      <c r="O254" s="1"/>
      <c r="P254" s="3">
        <v>0.55500000000000005</v>
      </c>
      <c r="Q254" s="1"/>
      <c r="S254" s="2"/>
      <c r="T254" s="1"/>
      <c r="U254" s="1"/>
      <c r="V254" s="1"/>
      <c r="Y254" s="1"/>
      <c r="AA254" s="1"/>
      <c r="AB254" s="1"/>
      <c r="AC254" s="1"/>
      <c r="AD254" s="1"/>
      <c r="AE254" s="1"/>
      <c r="AF254" s="1"/>
      <c r="AG254" s="1"/>
      <c r="AH254" s="13">
        <f>VLOOKUP(A254,'2024-25 DIBELS BOY '!A254:AP624,42,FALSE)</f>
        <v>0.41166666666666668</v>
      </c>
      <c r="AI254" s="1"/>
      <c r="AJ254" s="1"/>
      <c r="AK254" s="1"/>
      <c r="AL254" s="1"/>
      <c r="AM254" s="1"/>
    </row>
    <row r="255" spans="1:39" ht="12.3" x14ac:dyDescent="0.4">
      <c r="A255" s="1" t="s">
        <v>343</v>
      </c>
      <c r="B255" s="10">
        <f>VLOOKUP(A255,'[1]2025 KG Students'!$C$2:$D$630,2,FALSE)</f>
        <v>85206</v>
      </c>
      <c r="C255" s="1" t="s">
        <v>33</v>
      </c>
      <c r="D255" s="5" t="s">
        <v>7</v>
      </c>
      <c r="E255" s="5" t="s">
        <v>463</v>
      </c>
      <c r="F255" s="4" t="s">
        <v>465</v>
      </c>
      <c r="G255" s="4" t="s">
        <v>465</v>
      </c>
      <c r="I255" s="1" t="s">
        <v>16</v>
      </c>
      <c r="J255" s="1" t="s">
        <v>10</v>
      </c>
      <c r="K255" s="4" t="s">
        <v>464</v>
      </c>
      <c r="L255" s="1" t="s">
        <v>38</v>
      </c>
      <c r="M255" s="10">
        <f>VLOOKUP(L255,'[2]2025 Teachers (1)'!$C$2:$D$807,2,FALSE)</f>
        <v>12216</v>
      </c>
      <c r="O255" s="1"/>
      <c r="P255" s="3">
        <v>0.65833333333333333</v>
      </c>
      <c r="Q255" s="1"/>
      <c r="S255" s="2"/>
      <c r="T255" s="1"/>
      <c r="U255" s="2"/>
      <c r="V255" s="1"/>
      <c r="Y255" s="1"/>
      <c r="AA255" s="1"/>
      <c r="AB255" s="1"/>
      <c r="AC255" s="1"/>
      <c r="AD255" s="1"/>
      <c r="AE255" s="1"/>
      <c r="AF255" s="1"/>
      <c r="AG255" s="1"/>
      <c r="AH255" s="13">
        <f>VLOOKUP(A255,'2024-25 DIBELS BOY '!A255:AP625,42,FALSE)</f>
        <v>0.57833333333333337</v>
      </c>
      <c r="AI255" s="1"/>
      <c r="AJ255" s="1"/>
      <c r="AK255" s="1"/>
      <c r="AL255" s="1"/>
      <c r="AM255" s="1"/>
    </row>
    <row r="256" spans="1:39" ht="12.3" x14ac:dyDescent="0.4">
      <c r="A256" s="1" t="s">
        <v>344</v>
      </c>
      <c r="B256" s="10">
        <f>VLOOKUP(A256,'[1]2025 KG Students'!$C$2:$D$630,2,FALSE)</f>
        <v>85455</v>
      </c>
      <c r="C256" s="1" t="s">
        <v>33</v>
      </c>
      <c r="D256" s="5" t="s">
        <v>7</v>
      </c>
      <c r="E256" s="5" t="s">
        <v>463</v>
      </c>
      <c r="F256" s="4" t="s">
        <v>465</v>
      </c>
      <c r="G256" s="4" t="s">
        <v>465</v>
      </c>
      <c r="I256" s="1" t="s">
        <v>16</v>
      </c>
      <c r="J256" s="1" t="s">
        <v>10</v>
      </c>
      <c r="K256" s="4" t="s">
        <v>464</v>
      </c>
      <c r="L256" s="1" t="s">
        <v>43</v>
      </c>
      <c r="M256" s="10">
        <f>VLOOKUP(L256,'[2]2025 Teachers (1)'!$C$2:$D$807,2,FALSE)</f>
        <v>18846</v>
      </c>
      <c r="O256" s="1"/>
      <c r="P256" s="3">
        <v>0.64833333333333332</v>
      </c>
      <c r="Q256" s="1"/>
      <c r="S256" s="2"/>
      <c r="T256" s="1"/>
      <c r="U256" s="2"/>
      <c r="V256" s="1"/>
      <c r="Y256" s="1"/>
      <c r="AA256" s="1"/>
      <c r="AB256" s="1"/>
      <c r="AC256" s="1"/>
      <c r="AD256" s="1"/>
      <c r="AE256" s="1"/>
      <c r="AF256" s="1"/>
      <c r="AG256" s="1"/>
      <c r="AH256" s="13">
        <f>VLOOKUP(A256,'2024-25 DIBELS BOY '!A256:AP626,42,FALSE)</f>
        <v>0.53333333333333333</v>
      </c>
      <c r="AI256" s="1"/>
      <c r="AJ256" s="1"/>
      <c r="AK256" s="1"/>
      <c r="AL256" s="1"/>
      <c r="AM256" s="1"/>
    </row>
    <row r="257" spans="1:39" ht="12.3" x14ac:dyDescent="0.4">
      <c r="A257" s="1" t="s">
        <v>345</v>
      </c>
      <c r="B257" s="10">
        <f>VLOOKUP(A257,'[1]2025 KG Students'!$C$2:$D$630,2,FALSE)</f>
        <v>86605</v>
      </c>
      <c r="C257" s="1" t="s">
        <v>33</v>
      </c>
      <c r="D257" s="5" t="s">
        <v>7</v>
      </c>
      <c r="E257" s="5" t="s">
        <v>463</v>
      </c>
      <c r="F257" s="4" t="s">
        <v>465</v>
      </c>
      <c r="G257" s="4" t="s">
        <v>465</v>
      </c>
      <c r="I257" s="1" t="s">
        <v>16</v>
      </c>
      <c r="J257" s="1" t="s">
        <v>10</v>
      </c>
      <c r="K257" s="4" t="s">
        <v>464</v>
      </c>
      <c r="L257" s="1" t="s">
        <v>43</v>
      </c>
      <c r="M257" s="10">
        <f>VLOOKUP(L257,'[2]2025 Teachers (1)'!$C$2:$D$807,2,FALSE)</f>
        <v>18846</v>
      </c>
      <c r="O257" s="1"/>
      <c r="P257" s="3">
        <v>0.59666666666666668</v>
      </c>
      <c r="Q257" s="1"/>
      <c r="S257" s="2"/>
      <c r="T257" s="1"/>
      <c r="U257" s="1"/>
      <c r="V257" s="1"/>
      <c r="Y257" s="1"/>
      <c r="AA257" s="1"/>
      <c r="AB257" s="1"/>
      <c r="AC257" s="1"/>
      <c r="AD257" s="1"/>
      <c r="AE257" s="1"/>
      <c r="AF257" s="1"/>
      <c r="AG257" s="1"/>
      <c r="AH257" s="13">
        <f>VLOOKUP(A257,'2024-25 DIBELS BOY '!A257:AP627,42,FALSE)</f>
        <v>0.43666666666666665</v>
      </c>
      <c r="AI257" s="1"/>
      <c r="AJ257" s="1"/>
      <c r="AK257" s="1"/>
      <c r="AL257" s="1"/>
      <c r="AM257" s="1"/>
    </row>
    <row r="258" spans="1:39" ht="12.3" x14ac:dyDescent="0.4">
      <c r="A258" s="1" t="s">
        <v>346</v>
      </c>
      <c r="B258" s="10">
        <f>VLOOKUP(A258,'[1]2025 KG Students'!$C$2:$D$630,2,FALSE)</f>
        <v>85624</v>
      </c>
      <c r="C258" s="1" t="s">
        <v>33</v>
      </c>
      <c r="D258" s="5" t="s">
        <v>7</v>
      </c>
      <c r="E258" s="5" t="s">
        <v>463</v>
      </c>
      <c r="F258" s="4" t="s">
        <v>465</v>
      </c>
      <c r="G258" s="4" t="s">
        <v>465</v>
      </c>
      <c r="I258" s="1" t="s">
        <v>16</v>
      </c>
      <c r="J258" s="1" t="s">
        <v>10</v>
      </c>
      <c r="K258" s="4" t="s">
        <v>464</v>
      </c>
      <c r="L258" s="1" t="s">
        <v>42</v>
      </c>
      <c r="M258" s="10">
        <f>VLOOKUP(L258,'[2]2025 Teachers (1)'!$C$2:$D$807,2,FALSE)</f>
        <v>18541</v>
      </c>
      <c r="O258" s="1"/>
      <c r="P258" s="3">
        <v>0.64</v>
      </c>
      <c r="Q258" s="1"/>
      <c r="S258" s="2"/>
      <c r="T258" s="1"/>
      <c r="U258" s="1"/>
      <c r="V258" s="1"/>
      <c r="Y258" s="1"/>
      <c r="AA258" s="1"/>
      <c r="AB258" s="1"/>
      <c r="AC258" s="1"/>
      <c r="AD258" s="1"/>
      <c r="AE258" s="1"/>
      <c r="AF258" s="1"/>
      <c r="AG258" s="1"/>
      <c r="AH258" s="13">
        <f>VLOOKUP(A258,'2024-25 DIBELS BOY '!A258:AP628,42,FALSE)</f>
        <v>0.52</v>
      </c>
      <c r="AI258" s="1"/>
      <c r="AJ258" s="1"/>
      <c r="AK258" s="1"/>
      <c r="AL258" s="1"/>
      <c r="AM258" s="1"/>
    </row>
    <row r="259" spans="1:39" ht="12.3" x14ac:dyDescent="0.4">
      <c r="A259" s="1" t="s">
        <v>347</v>
      </c>
      <c r="B259" s="10">
        <f>VLOOKUP(A259,'[1]2025 KG Students'!$C$2:$D$630,2,FALSE)</f>
        <v>86024</v>
      </c>
      <c r="C259" s="1" t="s">
        <v>33</v>
      </c>
      <c r="D259" s="5" t="s">
        <v>7</v>
      </c>
      <c r="E259" s="5" t="s">
        <v>463</v>
      </c>
      <c r="F259" s="4" t="s">
        <v>465</v>
      </c>
      <c r="G259" s="4" t="s">
        <v>465</v>
      </c>
      <c r="I259" s="1" t="s">
        <v>16</v>
      </c>
      <c r="J259" s="1" t="s">
        <v>10</v>
      </c>
      <c r="K259" s="4" t="s">
        <v>464</v>
      </c>
      <c r="L259" s="1" t="s">
        <v>43</v>
      </c>
      <c r="M259" s="10">
        <f>VLOOKUP(L259,'[2]2025 Teachers (1)'!$C$2:$D$807,2,FALSE)</f>
        <v>18846</v>
      </c>
      <c r="O259" s="1"/>
      <c r="P259" s="3">
        <v>0.58833333333333337</v>
      </c>
      <c r="Q259" s="1"/>
      <c r="S259" s="2"/>
      <c r="T259" s="1"/>
      <c r="U259" s="2"/>
      <c r="V259" s="1"/>
      <c r="Y259" s="1"/>
      <c r="AA259" s="1"/>
      <c r="AB259" s="1"/>
      <c r="AC259" s="1"/>
      <c r="AD259" s="1"/>
      <c r="AE259" s="1"/>
      <c r="AF259" s="1"/>
      <c r="AG259" s="1"/>
      <c r="AH259" s="13">
        <f>VLOOKUP(A259,'2024-25 DIBELS BOY '!A259:AP629,42,FALSE)</f>
        <v>0.45166666666666666</v>
      </c>
      <c r="AI259" s="1"/>
      <c r="AJ259" s="1"/>
      <c r="AK259" s="1"/>
      <c r="AL259" s="1"/>
      <c r="AM259" s="1"/>
    </row>
    <row r="260" spans="1:39" ht="12.3" x14ac:dyDescent="0.4">
      <c r="A260" s="1" t="s">
        <v>348</v>
      </c>
      <c r="B260" s="10">
        <f>VLOOKUP(A260,'[1]2025 KG Students'!$C$2:$D$630,2,FALSE)</f>
        <v>85094</v>
      </c>
      <c r="C260" s="1" t="s">
        <v>33</v>
      </c>
      <c r="D260" s="5" t="s">
        <v>7</v>
      </c>
      <c r="E260" s="5" t="s">
        <v>463</v>
      </c>
      <c r="F260" s="4" t="s">
        <v>465</v>
      </c>
      <c r="G260" s="4" t="s">
        <v>465</v>
      </c>
      <c r="I260" s="1" t="s">
        <v>8</v>
      </c>
      <c r="J260" s="1" t="s">
        <v>9</v>
      </c>
      <c r="K260" s="4" t="s">
        <v>464</v>
      </c>
      <c r="L260" s="1" t="s">
        <v>38</v>
      </c>
      <c r="M260" s="10">
        <f>VLOOKUP(L260,'[2]2025 Teachers (1)'!$C$2:$D$807,2,FALSE)</f>
        <v>12216</v>
      </c>
      <c r="O260" s="1"/>
      <c r="P260" s="3">
        <v>0.63500000000000001</v>
      </c>
      <c r="Q260" s="1"/>
      <c r="S260" s="2"/>
      <c r="T260" s="1"/>
      <c r="U260" s="1"/>
      <c r="V260" s="1"/>
      <c r="Y260" s="1"/>
      <c r="AA260" s="1"/>
      <c r="AB260" s="1"/>
      <c r="AC260" s="1"/>
      <c r="AD260" s="1"/>
      <c r="AE260" s="1"/>
      <c r="AF260" s="1"/>
      <c r="AG260" s="1"/>
      <c r="AH260" s="13">
        <f>VLOOKUP(A260,'2024-25 DIBELS BOY '!A260:AP630,42,FALSE)</f>
        <v>0.49333333333333335</v>
      </c>
      <c r="AI260" s="1"/>
      <c r="AJ260" s="1"/>
      <c r="AK260" s="1"/>
      <c r="AL260" s="1"/>
      <c r="AM260" s="1"/>
    </row>
    <row r="261" spans="1:39" ht="12.3" x14ac:dyDescent="0.4">
      <c r="A261" s="1" t="s">
        <v>349</v>
      </c>
      <c r="B261" s="10">
        <f>VLOOKUP(A261,'[1]2025 KG Students'!$C$2:$D$630,2,FALSE)</f>
        <v>85241</v>
      </c>
      <c r="C261" s="1" t="s">
        <v>33</v>
      </c>
      <c r="D261" s="5" t="s">
        <v>7</v>
      </c>
      <c r="E261" s="5" t="s">
        <v>463</v>
      </c>
      <c r="F261" s="4" t="s">
        <v>465</v>
      </c>
      <c r="G261" s="4" t="s">
        <v>465</v>
      </c>
      <c r="I261" s="1" t="s">
        <v>8</v>
      </c>
      <c r="J261" s="1" t="s">
        <v>9</v>
      </c>
      <c r="K261" s="4" t="s">
        <v>464</v>
      </c>
      <c r="L261" s="1" t="s">
        <v>38</v>
      </c>
      <c r="M261" s="10">
        <f>VLOOKUP(L261,'[2]2025 Teachers (1)'!$C$2:$D$807,2,FALSE)</f>
        <v>12216</v>
      </c>
      <c r="O261" s="1"/>
      <c r="P261" s="3">
        <v>0.64333333333333331</v>
      </c>
      <c r="Q261" s="1"/>
      <c r="S261" s="2"/>
      <c r="T261" s="1"/>
      <c r="U261" s="1"/>
      <c r="V261" s="1"/>
      <c r="Y261" s="1"/>
      <c r="AA261" s="1"/>
      <c r="AB261" s="1"/>
      <c r="AC261" s="1"/>
      <c r="AD261" s="1"/>
      <c r="AE261" s="1"/>
      <c r="AF261" s="1"/>
      <c r="AG261" s="1"/>
      <c r="AH261" s="13">
        <f>VLOOKUP(A261,'2024-25 DIBELS BOY '!A261:AP631,42,FALSE)</f>
        <v>0.56833333333333336</v>
      </c>
      <c r="AI261" s="1"/>
      <c r="AJ261" s="1"/>
      <c r="AK261" s="1"/>
      <c r="AL261" s="1"/>
      <c r="AM261" s="1"/>
    </row>
    <row r="262" spans="1:39" ht="12.3" x14ac:dyDescent="0.4">
      <c r="A262" s="1" t="s">
        <v>350</v>
      </c>
      <c r="B262" s="10">
        <f>VLOOKUP(A262,'[1]2025 KG Students'!$C$2:$D$630,2,FALSE)</f>
        <v>85422</v>
      </c>
      <c r="C262" s="1" t="s">
        <v>33</v>
      </c>
      <c r="D262" s="5" t="s">
        <v>7</v>
      </c>
      <c r="E262" s="5" t="s">
        <v>463</v>
      </c>
      <c r="F262" s="4" t="s">
        <v>465</v>
      </c>
      <c r="G262" s="4" t="s">
        <v>465</v>
      </c>
      <c r="I262" s="1" t="s">
        <v>16</v>
      </c>
      <c r="J262" s="1" t="s">
        <v>10</v>
      </c>
      <c r="K262" s="4" t="s">
        <v>464</v>
      </c>
      <c r="L262" s="1" t="s">
        <v>38</v>
      </c>
      <c r="M262" s="10">
        <f>VLOOKUP(L262,'[2]2025 Teachers (1)'!$C$2:$D$807,2,FALSE)</f>
        <v>12216</v>
      </c>
      <c r="O262" s="1"/>
      <c r="P262" s="3">
        <v>0.66666666666666663</v>
      </c>
      <c r="Q262" s="1"/>
      <c r="S262" s="2"/>
      <c r="T262" s="1"/>
      <c r="U262" s="1"/>
      <c r="V262" s="1"/>
      <c r="Y262" s="1"/>
      <c r="AA262" s="1"/>
      <c r="AB262" s="1"/>
      <c r="AC262" s="1"/>
      <c r="AD262" s="1"/>
      <c r="AE262" s="1"/>
      <c r="AF262" s="1"/>
      <c r="AG262" s="1"/>
      <c r="AH262" s="13">
        <f>VLOOKUP(A262,'2024-25 DIBELS BOY '!A262:AP632,42,FALSE)</f>
        <v>0.56666666666666665</v>
      </c>
      <c r="AI262" s="1"/>
      <c r="AJ262" s="1"/>
      <c r="AK262" s="1"/>
      <c r="AL262" s="1"/>
      <c r="AM262" s="1"/>
    </row>
    <row r="263" spans="1:39" ht="12.3" x14ac:dyDescent="0.4">
      <c r="A263" s="1" t="s">
        <v>351</v>
      </c>
      <c r="B263" s="10">
        <f>VLOOKUP(A263,'[1]2025 KG Students'!$C$2:$D$630,2,FALSE)</f>
        <v>85255</v>
      </c>
      <c r="C263" s="1" t="s">
        <v>33</v>
      </c>
      <c r="D263" s="5" t="s">
        <v>7</v>
      </c>
      <c r="E263" s="5" t="s">
        <v>463</v>
      </c>
      <c r="F263" s="4" t="s">
        <v>465</v>
      </c>
      <c r="G263" s="4" t="s">
        <v>465</v>
      </c>
      <c r="I263" s="1" t="s">
        <v>16</v>
      </c>
      <c r="J263" s="1" t="s">
        <v>10</v>
      </c>
      <c r="K263" s="4" t="s">
        <v>464</v>
      </c>
      <c r="L263" s="1" t="s">
        <v>36</v>
      </c>
      <c r="M263" s="10">
        <f>VLOOKUP(L263,'[2]2025 Teachers (1)'!$C$2:$D$807,2,FALSE)</f>
        <v>10374</v>
      </c>
      <c r="O263" s="1"/>
      <c r="P263" s="3">
        <v>0.58833333333333337</v>
      </c>
      <c r="Q263" s="1"/>
      <c r="S263" s="2"/>
      <c r="T263" s="1"/>
      <c r="U263" s="1"/>
      <c r="V263" s="1"/>
      <c r="Y263" s="1"/>
      <c r="AA263" s="1"/>
      <c r="AB263" s="1"/>
      <c r="AC263" s="1"/>
      <c r="AD263" s="1"/>
      <c r="AE263" s="1"/>
      <c r="AF263" s="1"/>
      <c r="AG263" s="1"/>
      <c r="AH263" s="13">
        <f>VLOOKUP(A263,'2024-25 DIBELS BOY '!A263:AP633,42,FALSE)</f>
        <v>0.45333333333333331</v>
      </c>
      <c r="AI263" s="1"/>
      <c r="AJ263" s="1"/>
      <c r="AK263" s="1"/>
      <c r="AL263" s="1"/>
      <c r="AM263" s="1"/>
    </row>
    <row r="264" spans="1:39" ht="12.3" x14ac:dyDescent="0.4">
      <c r="A264" s="1" t="s">
        <v>352</v>
      </c>
      <c r="B264" s="10">
        <f>VLOOKUP(A264,'[1]2025 KG Students'!$C$2:$D$630,2,FALSE)</f>
        <v>86403</v>
      </c>
      <c r="C264" s="1" t="s">
        <v>33</v>
      </c>
      <c r="D264" s="5" t="s">
        <v>7</v>
      </c>
      <c r="E264" s="5" t="s">
        <v>463</v>
      </c>
      <c r="F264" s="4" t="s">
        <v>465</v>
      </c>
      <c r="G264" s="4" t="s">
        <v>465</v>
      </c>
      <c r="I264" s="1" t="s">
        <v>8</v>
      </c>
      <c r="J264" s="1" t="s">
        <v>9</v>
      </c>
      <c r="K264" s="4" t="s">
        <v>464</v>
      </c>
      <c r="L264" s="1" t="s">
        <v>42</v>
      </c>
      <c r="M264" s="10">
        <f>VLOOKUP(L264,'[2]2025 Teachers (1)'!$C$2:$D$807,2,FALSE)</f>
        <v>18541</v>
      </c>
      <c r="O264" s="1"/>
      <c r="P264" s="3">
        <v>0.72666666666666668</v>
      </c>
      <c r="Q264" s="1"/>
      <c r="S264" s="2"/>
      <c r="T264" s="1"/>
      <c r="U264" s="1"/>
      <c r="V264" s="1"/>
      <c r="Y264" s="1"/>
      <c r="AA264" s="1"/>
      <c r="AB264" s="1"/>
      <c r="AC264" s="1"/>
      <c r="AD264" s="1"/>
      <c r="AE264" s="1"/>
      <c r="AF264" s="1"/>
      <c r="AG264" s="1"/>
      <c r="AH264" s="13">
        <f>VLOOKUP(A264,'2024-25 DIBELS BOY '!A264:AP634,42,FALSE)</f>
        <v>0.63666666666666671</v>
      </c>
      <c r="AI264" s="1"/>
      <c r="AJ264" s="1"/>
      <c r="AK264" s="1"/>
      <c r="AL264" s="1"/>
      <c r="AM264" s="1"/>
    </row>
    <row r="265" spans="1:39" ht="12.3" x14ac:dyDescent="0.4">
      <c r="A265" s="1" t="s">
        <v>353</v>
      </c>
      <c r="B265" s="10">
        <f>VLOOKUP(A265,'[1]2025 KG Students'!$C$2:$D$630,2,FALSE)</f>
        <v>88764</v>
      </c>
      <c r="C265" s="1" t="s">
        <v>33</v>
      </c>
      <c r="D265" s="5" t="s">
        <v>7</v>
      </c>
      <c r="E265" s="5" t="s">
        <v>463</v>
      </c>
      <c r="F265" s="4" t="s">
        <v>465</v>
      </c>
      <c r="G265" s="4" t="s">
        <v>465</v>
      </c>
      <c r="I265" s="1" t="s">
        <v>8</v>
      </c>
      <c r="J265" s="1" t="s">
        <v>9</v>
      </c>
      <c r="K265" s="4" t="s">
        <v>464</v>
      </c>
      <c r="L265" s="1" t="s">
        <v>41</v>
      </c>
      <c r="M265" s="10">
        <f>VLOOKUP(L265,'[2]2025 Teachers (1)'!$C$2:$D$807,2,FALSE)</f>
        <v>17400</v>
      </c>
      <c r="O265" s="1"/>
      <c r="P265" s="3">
        <v>0.67666666666666664</v>
      </c>
      <c r="Q265" s="1"/>
      <c r="S265" s="2"/>
      <c r="T265" s="1"/>
      <c r="U265" s="1"/>
      <c r="V265" s="1"/>
      <c r="Y265" s="1"/>
      <c r="AA265" s="1"/>
      <c r="AB265" s="1"/>
      <c r="AC265" s="1"/>
      <c r="AD265" s="1"/>
      <c r="AE265" s="1"/>
      <c r="AF265" s="1"/>
      <c r="AG265" s="1"/>
      <c r="AH265" s="13" t="e">
        <f>VLOOKUP(A265,'2024-25 DIBELS BOY '!A265:AP635,42,FALSE)</f>
        <v>#N/A</v>
      </c>
      <c r="AI265" s="1"/>
      <c r="AJ265" s="1"/>
      <c r="AK265" s="1"/>
      <c r="AL265" s="1"/>
      <c r="AM265" s="1"/>
    </row>
    <row r="266" spans="1:39" ht="12.3" x14ac:dyDescent="0.4">
      <c r="A266" s="1" t="s">
        <v>354</v>
      </c>
      <c r="B266" s="10">
        <f>VLOOKUP(A266,'[1]2025 KG Students'!$C$2:$D$630,2,FALSE)</f>
        <v>86019</v>
      </c>
      <c r="C266" s="1" t="s">
        <v>33</v>
      </c>
      <c r="D266" s="5" t="s">
        <v>7</v>
      </c>
      <c r="E266" s="5" t="s">
        <v>463</v>
      </c>
      <c r="F266" s="4" t="s">
        <v>465</v>
      </c>
      <c r="G266" s="4" t="s">
        <v>465</v>
      </c>
      <c r="I266" s="1" t="s">
        <v>8</v>
      </c>
      <c r="J266" s="1" t="s">
        <v>9</v>
      </c>
      <c r="K266" s="4" t="s">
        <v>464</v>
      </c>
      <c r="L266" s="1" t="s">
        <v>43</v>
      </c>
      <c r="M266" s="10">
        <f>VLOOKUP(L266,'[2]2025 Teachers (1)'!$C$2:$D$807,2,FALSE)</f>
        <v>18846</v>
      </c>
      <c r="O266" s="1"/>
      <c r="P266" s="3">
        <v>0.55833333333333335</v>
      </c>
      <c r="Q266" s="1"/>
      <c r="S266" s="2"/>
      <c r="T266" s="1"/>
      <c r="U266" s="1"/>
      <c r="V266" s="1"/>
      <c r="Y266" s="1"/>
      <c r="AA266" s="1"/>
      <c r="AB266" s="1"/>
      <c r="AC266" s="1"/>
      <c r="AD266" s="1"/>
      <c r="AE266" s="1"/>
      <c r="AF266" s="1"/>
      <c r="AG266" s="1"/>
      <c r="AH266" s="13">
        <f>VLOOKUP(A266,'2024-25 DIBELS BOY '!A266:AP636,42,FALSE)</f>
        <v>0.41666666666666669</v>
      </c>
      <c r="AI266" s="1"/>
      <c r="AJ266" s="1"/>
      <c r="AK266" s="1"/>
      <c r="AL266" s="1"/>
      <c r="AM266" s="1"/>
    </row>
    <row r="267" spans="1:39" ht="12.3" x14ac:dyDescent="0.4">
      <c r="A267" s="1" t="s">
        <v>356</v>
      </c>
      <c r="B267" s="10">
        <f>VLOOKUP(A267,'[1]2025 KG Students'!$C$2:$D$630,2,FALSE)</f>
        <v>86045</v>
      </c>
      <c r="C267" s="1" t="s">
        <v>33</v>
      </c>
      <c r="D267" s="5" t="s">
        <v>7</v>
      </c>
      <c r="E267" s="5" t="s">
        <v>463</v>
      </c>
      <c r="F267" s="4" t="s">
        <v>465</v>
      </c>
      <c r="G267" s="4" t="s">
        <v>465</v>
      </c>
      <c r="I267" s="1" t="s">
        <v>16</v>
      </c>
      <c r="J267" s="1" t="s">
        <v>10</v>
      </c>
      <c r="K267" s="4" t="s">
        <v>464</v>
      </c>
      <c r="L267" s="1" t="s">
        <v>41</v>
      </c>
      <c r="M267" s="10">
        <f>VLOOKUP(L267,'[2]2025 Teachers (1)'!$C$2:$D$807,2,FALSE)</f>
        <v>17400</v>
      </c>
      <c r="O267" s="1"/>
      <c r="P267" s="3">
        <v>0.57999999999999996</v>
      </c>
      <c r="Q267" s="1"/>
      <c r="S267" s="2"/>
      <c r="T267" s="1"/>
      <c r="U267" s="1"/>
      <c r="V267" s="1"/>
      <c r="Y267" s="1"/>
      <c r="AA267" s="1"/>
      <c r="AB267" s="1"/>
      <c r="AC267" s="1"/>
      <c r="AD267" s="1"/>
      <c r="AE267" s="1"/>
      <c r="AF267" s="1"/>
      <c r="AG267" s="1"/>
      <c r="AH267" s="13">
        <f>VLOOKUP(A267,'2024-25 DIBELS BOY '!A267:AP637,42,FALSE)</f>
        <v>0.42333333333333334</v>
      </c>
      <c r="AI267" s="1"/>
      <c r="AJ267" s="1"/>
      <c r="AK267" s="1"/>
      <c r="AL267" s="1"/>
      <c r="AM267" s="1"/>
    </row>
    <row r="268" spans="1:39" ht="12.3" x14ac:dyDescent="0.4">
      <c r="A268" s="1" t="s">
        <v>357</v>
      </c>
      <c r="B268" s="10">
        <f>VLOOKUP(A268,'[1]2025 KG Students'!$C$2:$D$630,2,FALSE)</f>
        <v>85103</v>
      </c>
      <c r="C268" s="1" t="s">
        <v>33</v>
      </c>
      <c r="D268" s="5" t="s">
        <v>7</v>
      </c>
      <c r="E268" s="5" t="s">
        <v>463</v>
      </c>
      <c r="F268" s="4" t="s">
        <v>465</v>
      </c>
      <c r="G268" s="4" t="s">
        <v>465</v>
      </c>
      <c r="I268" s="1" t="s">
        <v>8</v>
      </c>
      <c r="J268" s="1" t="s">
        <v>9</v>
      </c>
      <c r="K268" s="4" t="s">
        <v>464</v>
      </c>
      <c r="L268" s="1" t="s">
        <v>37</v>
      </c>
      <c r="M268" s="10">
        <f>VLOOKUP(L268,'[2]2025 Teachers (1)'!$C$2:$D$807,2,FALSE)</f>
        <v>11301</v>
      </c>
      <c r="O268" s="1"/>
      <c r="P268" s="3">
        <v>0.82333333333333336</v>
      </c>
      <c r="Q268" s="1"/>
      <c r="S268" s="1"/>
      <c r="T268" s="1"/>
      <c r="U268" s="1"/>
      <c r="V268" s="1"/>
      <c r="Y268" s="1"/>
      <c r="AA268" s="1"/>
      <c r="AB268" s="1"/>
      <c r="AC268" s="1"/>
      <c r="AD268" s="1"/>
      <c r="AE268" s="1"/>
      <c r="AF268" s="1"/>
      <c r="AG268" s="1"/>
      <c r="AH268" s="13">
        <f>VLOOKUP(A268,'2024-25 DIBELS BOY '!A268:AP638,42,FALSE)</f>
        <v>0.89333333333333331</v>
      </c>
      <c r="AI268" s="1"/>
      <c r="AJ268" s="1"/>
      <c r="AK268" s="1"/>
      <c r="AL268" s="1"/>
      <c r="AM268" s="1"/>
    </row>
    <row r="269" spans="1:39" ht="12.3" x14ac:dyDescent="0.4">
      <c r="A269" s="1" t="s">
        <v>358</v>
      </c>
      <c r="B269" s="10">
        <f>VLOOKUP(A269,'[1]2025 KG Students'!$C$2:$D$630,2,FALSE)</f>
        <v>86615</v>
      </c>
      <c r="C269" s="1" t="s">
        <v>33</v>
      </c>
      <c r="D269" s="5" t="s">
        <v>7</v>
      </c>
      <c r="E269" s="5" t="s">
        <v>463</v>
      </c>
      <c r="F269" s="4" t="s">
        <v>465</v>
      </c>
      <c r="G269" s="4" t="s">
        <v>465</v>
      </c>
      <c r="I269" s="1" t="s">
        <v>8</v>
      </c>
      <c r="J269" s="1" t="s">
        <v>9</v>
      </c>
      <c r="K269" s="4" t="s">
        <v>464</v>
      </c>
      <c r="L269" s="1" t="s">
        <v>35</v>
      </c>
      <c r="M269" s="10">
        <f>VLOOKUP(L269,'[2]2025 Teachers (1)'!$C$2:$D$807,2,FALSE)</f>
        <v>14129</v>
      </c>
      <c r="O269" s="1"/>
      <c r="P269" s="3">
        <v>0.53333333333333333</v>
      </c>
      <c r="Q269" s="1"/>
      <c r="S269" s="2"/>
      <c r="T269" s="1"/>
      <c r="U269" s="1"/>
      <c r="V269" s="1"/>
      <c r="Y269" s="1"/>
      <c r="AA269" s="1"/>
      <c r="AB269" s="1"/>
      <c r="AC269" s="1"/>
      <c r="AD269" s="1"/>
      <c r="AE269" s="1"/>
      <c r="AF269" s="1"/>
      <c r="AG269" s="1"/>
      <c r="AH269" s="13">
        <f>VLOOKUP(A269,'2024-25 DIBELS BOY '!A269:AP639,42,FALSE)</f>
        <v>0.42666666666666669</v>
      </c>
      <c r="AI269" s="1"/>
      <c r="AJ269" s="1"/>
      <c r="AK269" s="1"/>
      <c r="AL269" s="1"/>
      <c r="AM269" s="1"/>
    </row>
    <row r="270" spans="1:39" ht="12.3" x14ac:dyDescent="0.4">
      <c r="A270" s="1" t="s">
        <v>359</v>
      </c>
      <c r="B270" s="10">
        <f>VLOOKUP(A270,'[1]2025 KG Students'!$C$2:$D$630,2,FALSE)</f>
        <v>86085</v>
      </c>
      <c r="C270" s="1" t="s">
        <v>33</v>
      </c>
      <c r="D270" s="5" t="s">
        <v>7</v>
      </c>
      <c r="E270" s="5" t="s">
        <v>463</v>
      </c>
      <c r="F270" s="4" t="s">
        <v>465</v>
      </c>
      <c r="G270" s="4" t="s">
        <v>465</v>
      </c>
      <c r="I270" s="1" t="s">
        <v>8</v>
      </c>
      <c r="J270" s="1" t="s">
        <v>9</v>
      </c>
      <c r="K270" s="4" t="s">
        <v>464</v>
      </c>
      <c r="L270" s="1" t="s">
        <v>41</v>
      </c>
      <c r="M270" s="10">
        <f>VLOOKUP(L270,'[2]2025 Teachers (1)'!$C$2:$D$807,2,FALSE)</f>
        <v>17400</v>
      </c>
      <c r="O270" s="1"/>
      <c r="P270" s="3">
        <v>0.68500000000000005</v>
      </c>
      <c r="Q270" s="1"/>
      <c r="S270" s="2"/>
      <c r="T270" s="1"/>
      <c r="U270" s="1"/>
      <c r="V270" s="1"/>
      <c r="Y270" s="1"/>
      <c r="AA270" s="1"/>
      <c r="AB270" s="1"/>
      <c r="AC270" s="1"/>
      <c r="AD270" s="1"/>
      <c r="AE270" s="1"/>
      <c r="AF270" s="1"/>
      <c r="AG270" s="1"/>
      <c r="AH270" s="13">
        <f>VLOOKUP(A270,'2024-25 DIBELS BOY '!A270:AP640,42,FALSE)</f>
        <v>0.54166666666666663</v>
      </c>
      <c r="AI270" s="1"/>
      <c r="AJ270" s="1"/>
      <c r="AK270" s="1"/>
      <c r="AL270" s="1"/>
      <c r="AM270" s="1"/>
    </row>
    <row r="271" spans="1:39" ht="12.3" x14ac:dyDescent="0.4">
      <c r="A271" s="1" t="s">
        <v>361</v>
      </c>
      <c r="B271" s="10">
        <f>VLOOKUP(A271,'[1]2025 KG Students'!$C$2:$D$630,2,FALSE)</f>
        <v>88146</v>
      </c>
      <c r="C271" s="1" t="s">
        <v>33</v>
      </c>
      <c r="D271" s="5" t="s">
        <v>7</v>
      </c>
      <c r="E271" s="5" t="s">
        <v>463</v>
      </c>
      <c r="F271" s="4" t="s">
        <v>465</v>
      </c>
      <c r="G271" s="4" t="s">
        <v>465</v>
      </c>
      <c r="I271" s="1" t="s">
        <v>8</v>
      </c>
      <c r="J271" s="1" t="s">
        <v>9</v>
      </c>
      <c r="K271" s="4" t="s">
        <v>464</v>
      </c>
      <c r="L271" s="1" t="s">
        <v>36</v>
      </c>
      <c r="M271" s="10">
        <f>VLOOKUP(L271,'[2]2025 Teachers (1)'!$C$2:$D$807,2,FALSE)</f>
        <v>10374</v>
      </c>
      <c r="O271" s="1"/>
      <c r="P271" s="3">
        <v>0.58666666666666667</v>
      </c>
      <c r="Q271" s="1"/>
      <c r="S271" s="2"/>
      <c r="T271" s="1"/>
      <c r="U271" s="1"/>
      <c r="V271" s="1"/>
      <c r="Y271" s="1"/>
      <c r="AA271" s="1"/>
      <c r="AB271" s="1"/>
      <c r="AC271" s="1"/>
      <c r="AD271" s="1"/>
      <c r="AE271" s="1"/>
      <c r="AF271" s="1"/>
      <c r="AG271" s="1"/>
      <c r="AH271" s="13">
        <f>VLOOKUP(A271,'2024-25 DIBELS BOY '!A271:AP641,42,FALSE)</f>
        <v>0.45166666666666666</v>
      </c>
      <c r="AI271" s="1"/>
      <c r="AJ271" s="1"/>
      <c r="AK271" s="1"/>
      <c r="AL271" s="1"/>
      <c r="AM271" s="1"/>
    </row>
    <row r="272" spans="1:39" ht="12.3" x14ac:dyDescent="0.4">
      <c r="A272" s="1" t="s">
        <v>362</v>
      </c>
      <c r="B272" s="10">
        <f>VLOOKUP(A272,'[1]2025 KG Students'!$C$2:$D$630,2,FALSE)</f>
        <v>88600</v>
      </c>
      <c r="C272" s="1" t="s">
        <v>33</v>
      </c>
      <c r="D272" s="5" t="s">
        <v>7</v>
      </c>
      <c r="E272" s="5" t="s">
        <v>463</v>
      </c>
      <c r="F272" s="4" t="s">
        <v>465</v>
      </c>
      <c r="G272" s="4" t="s">
        <v>465</v>
      </c>
      <c r="I272" s="1" t="s">
        <v>16</v>
      </c>
      <c r="J272" s="1" t="s">
        <v>10</v>
      </c>
      <c r="K272" s="4" t="s">
        <v>464</v>
      </c>
      <c r="L272" s="1" t="s">
        <v>43</v>
      </c>
      <c r="M272" s="10">
        <f>VLOOKUP(L272,'[2]2025 Teachers (1)'!$C$2:$D$807,2,FALSE)</f>
        <v>18846</v>
      </c>
      <c r="O272" s="1"/>
      <c r="P272" s="3">
        <v>0.61833333333333329</v>
      </c>
      <c r="Q272" s="1"/>
      <c r="S272" s="2"/>
      <c r="T272" s="1"/>
      <c r="U272" s="1"/>
      <c r="V272" s="1"/>
      <c r="Y272" s="1"/>
      <c r="AA272" s="1"/>
      <c r="AB272" s="1"/>
      <c r="AC272" s="1"/>
      <c r="AD272" s="1"/>
      <c r="AE272" s="1"/>
      <c r="AF272" s="1"/>
      <c r="AG272" s="1"/>
      <c r="AH272" s="13">
        <f>VLOOKUP(A272,'2024-25 DIBELS BOY '!A272:AP642,42,FALSE)</f>
        <v>0.56166666666666665</v>
      </c>
      <c r="AI272" s="1"/>
      <c r="AJ272" s="1"/>
      <c r="AK272" s="1"/>
      <c r="AL272" s="1"/>
      <c r="AM272" s="1"/>
    </row>
    <row r="273" spans="1:39" ht="12.3" x14ac:dyDescent="0.4">
      <c r="A273" s="1" t="s">
        <v>363</v>
      </c>
      <c r="B273" s="10">
        <f>VLOOKUP(A273,'[1]2025 KG Students'!$C$2:$D$630,2,FALSE)</f>
        <v>88792</v>
      </c>
      <c r="C273" s="1" t="s">
        <v>33</v>
      </c>
      <c r="D273" s="5" t="s">
        <v>7</v>
      </c>
      <c r="E273" s="5" t="s">
        <v>463</v>
      </c>
      <c r="F273" s="4" t="s">
        <v>465</v>
      </c>
      <c r="G273" s="4" t="s">
        <v>465</v>
      </c>
      <c r="I273" s="1" t="s">
        <v>16</v>
      </c>
      <c r="J273" s="1" t="s">
        <v>10</v>
      </c>
      <c r="K273" s="4" t="s">
        <v>464</v>
      </c>
      <c r="L273" s="1" t="s">
        <v>43</v>
      </c>
      <c r="M273" s="10">
        <f>VLOOKUP(L273,'[2]2025 Teachers (1)'!$C$2:$D$807,2,FALSE)</f>
        <v>18846</v>
      </c>
      <c r="O273" s="1"/>
      <c r="P273" s="3">
        <v>0.55833333333333335</v>
      </c>
      <c r="Q273" s="1"/>
      <c r="S273" s="2"/>
      <c r="T273" s="1"/>
      <c r="U273" s="1"/>
      <c r="V273" s="1"/>
      <c r="Y273" s="1"/>
      <c r="AA273" s="1"/>
      <c r="AB273" s="1"/>
      <c r="AC273" s="1"/>
      <c r="AD273" s="1"/>
      <c r="AE273" s="1"/>
      <c r="AF273" s="1"/>
      <c r="AG273" s="1"/>
      <c r="AH273" s="13" t="e">
        <f>VLOOKUP(A273,'2024-25 DIBELS BOY '!A273:AP643,42,FALSE)</f>
        <v>#N/A</v>
      </c>
      <c r="AI273" s="1"/>
      <c r="AJ273" s="1"/>
      <c r="AK273" s="1"/>
      <c r="AL273" s="1"/>
      <c r="AM273" s="1"/>
    </row>
    <row r="274" spans="1:39" ht="12.3" x14ac:dyDescent="0.4">
      <c r="A274" s="1" t="s">
        <v>364</v>
      </c>
      <c r="B274" s="10">
        <f>VLOOKUP(A274,'[1]2025 KG Students'!$C$2:$D$630,2,FALSE)</f>
        <v>85634</v>
      </c>
      <c r="C274" s="1" t="s">
        <v>33</v>
      </c>
      <c r="D274" s="5" t="s">
        <v>7</v>
      </c>
      <c r="E274" s="5" t="s">
        <v>463</v>
      </c>
      <c r="F274" s="4" t="s">
        <v>465</v>
      </c>
      <c r="G274" s="4" t="s">
        <v>465</v>
      </c>
      <c r="I274" s="1" t="s">
        <v>8</v>
      </c>
      <c r="J274" s="1" t="s">
        <v>9</v>
      </c>
      <c r="K274" s="4" t="s">
        <v>464</v>
      </c>
      <c r="L274" s="1" t="s">
        <v>39</v>
      </c>
      <c r="M274" s="10">
        <f>VLOOKUP(L274,'[2]2025 Teachers (1)'!$C$2:$D$807,2,FALSE)</f>
        <v>18695</v>
      </c>
      <c r="O274" s="1"/>
      <c r="P274" s="3">
        <v>0.61499999999999999</v>
      </c>
      <c r="Q274" s="1"/>
      <c r="S274" s="2"/>
      <c r="T274" s="1"/>
      <c r="U274" s="1"/>
      <c r="V274" s="1"/>
      <c r="Y274" s="1"/>
      <c r="AA274" s="1"/>
      <c r="AB274" s="1"/>
      <c r="AC274" s="1"/>
      <c r="AD274" s="1"/>
      <c r="AE274" s="1"/>
      <c r="AF274" s="1"/>
      <c r="AG274" s="1"/>
      <c r="AH274" s="13">
        <f>VLOOKUP(A274,'2024-25 DIBELS BOY '!A274:AP644,42,FALSE)</f>
        <v>0.46833333333333332</v>
      </c>
      <c r="AI274" s="1"/>
      <c r="AJ274" s="1"/>
      <c r="AK274" s="1"/>
      <c r="AL274" s="1"/>
      <c r="AM274" s="1"/>
    </row>
    <row r="275" spans="1:39" ht="12.3" x14ac:dyDescent="0.4">
      <c r="A275" s="1" t="s">
        <v>365</v>
      </c>
      <c r="B275" s="10">
        <f>VLOOKUP(A275,'[1]2025 KG Students'!$C$2:$D$630,2,FALSE)</f>
        <v>87264</v>
      </c>
      <c r="C275" s="1" t="s">
        <v>33</v>
      </c>
      <c r="D275" s="5" t="s">
        <v>7</v>
      </c>
      <c r="E275" s="5" t="s">
        <v>463</v>
      </c>
      <c r="F275" s="4" t="s">
        <v>465</v>
      </c>
      <c r="G275" s="4" t="s">
        <v>465</v>
      </c>
      <c r="I275" s="1" t="s">
        <v>16</v>
      </c>
      <c r="J275" s="1" t="s">
        <v>10</v>
      </c>
      <c r="K275" s="4" t="s">
        <v>464</v>
      </c>
      <c r="L275" s="1" t="s">
        <v>36</v>
      </c>
      <c r="M275" s="10">
        <f>VLOOKUP(L275,'[2]2025 Teachers (1)'!$C$2:$D$807,2,FALSE)</f>
        <v>10374</v>
      </c>
      <c r="O275" s="1"/>
      <c r="P275" s="3">
        <v>0.58666666666666667</v>
      </c>
      <c r="Q275" s="1"/>
      <c r="S275" s="1"/>
      <c r="T275" s="1"/>
      <c r="U275" s="1"/>
      <c r="V275" s="1"/>
      <c r="Y275" s="1"/>
      <c r="AA275" s="1"/>
      <c r="AB275" s="1"/>
      <c r="AC275" s="1"/>
      <c r="AD275" s="1"/>
      <c r="AE275" s="1"/>
      <c r="AF275" s="1"/>
      <c r="AG275" s="1"/>
      <c r="AH275" s="13">
        <f>VLOOKUP(A275,'2024-25 DIBELS BOY '!A275:AP645,42,FALSE)</f>
        <v>0.47</v>
      </c>
      <c r="AI275" s="1"/>
      <c r="AJ275" s="1"/>
      <c r="AK275" s="1"/>
      <c r="AL275" s="1"/>
      <c r="AM275" s="1"/>
    </row>
    <row r="276" spans="1:39" ht="12.3" x14ac:dyDescent="0.4">
      <c r="A276" s="1" t="s">
        <v>366</v>
      </c>
      <c r="B276" s="10">
        <f>VLOOKUP(A276,'[1]2025 KG Students'!$C$2:$D$630,2,FALSE)</f>
        <v>85696</v>
      </c>
      <c r="C276" s="1" t="s">
        <v>33</v>
      </c>
      <c r="D276" s="5" t="s">
        <v>7</v>
      </c>
      <c r="E276" s="5" t="s">
        <v>463</v>
      </c>
      <c r="F276" s="4" t="s">
        <v>465</v>
      </c>
      <c r="G276" s="4" t="s">
        <v>465</v>
      </c>
      <c r="I276" s="1" t="s">
        <v>29</v>
      </c>
      <c r="J276" s="1" t="s">
        <v>9</v>
      </c>
      <c r="K276" s="4" t="s">
        <v>464</v>
      </c>
      <c r="L276" s="1" t="s">
        <v>41</v>
      </c>
      <c r="M276" s="10">
        <f>VLOOKUP(L276,'[2]2025 Teachers (1)'!$C$2:$D$807,2,FALSE)</f>
        <v>17400</v>
      </c>
      <c r="O276" s="1"/>
      <c r="P276" s="3">
        <v>0.66</v>
      </c>
      <c r="Q276" s="1"/>
      <c r="S276" s="2"/>
      <c r="T276" s="1"/>
      <c r="U276" s="1"/>
      <c r="V276" s="1"/>
      <c r="Y276" s="1"/>
      <c r="AA276" s="1"/>
      <c r="AB276" s="1"/>
      <c r="AC276" s="1"/>
      <c r="AD276" s="1"/>
      <c r="AE276" s="1"/>
      <c r="AF276" s="1"/>
      <c r="AG276" s="1"/>
      <c r="AH276" s="13">
        <f>VLOOKUP(A276,'2024-25 DIBELS BOY '!A276:AP646,42,FALSE)</f>
        <v>0.60166666666666668</v>
      </c>
      <c r="AI276" s="1"/>
      <c r="AJ276" s="1"/>
      <c r="AK276" s="1"/>
      <c r="AL276" s="1"/>
      <c r="AM276" s="1"/>
    </row>
    <row r="277" spans="1:39" ht="12.3" x14ac:dyDescent="0.4">
      <c r="A277" s="1" t="s">
        <v>367</v>
      </c>
      <c r="B277" s="10">
        <f>VLOOKUP(A277,'[1]2025 KG Students'!$C$2:$D$630,2,FALSE)</f>
        <v>87677</v>
      </c>
      <c r="C277" s="1" t="s">
        <v>33</v>
      </c>
      <c r="D277" s="5" t="s">
        <v>7</v>
      </c>
      <c r="E277" s="5" t="s">
        <v>463</v>
      </c>
      <c r="F277" s="4" t="s">
        <v>465</v>
      </c>
      <c r="G277" s="4" t="s">
        <v>465</v>
      </c>
      <c r="I277" s="1" t="s">
        <v>8</v>
      </c>
      <c r="J277" s="1" t="s">
        <v>9</v>
      </c>
      <c r="K277" s="4" t="s">
        <v>464</v>
      </c>
      <c r="L277" s="1" t="s">
        <v>39</v>
      </c>
      <c r="M277" s="10">
        <f>VLOOKUP(L277,'[2]2025 Teachers (1)'!$C$2:$D$807,2,FALSE)</f>
        <v>18695</v>
      </c>
      <c r="O277" s="1"/>
      <c r="P277" s="3">
        <v>0.60666666666666669</v>
      </c>
      <c r="Q277" s="1"/>
      <c r="S277" s="2"/>
      <c r="T277" s="1"/>
      <c r="U277" s="2"/>
      <c r="V277" s="1"/>
      <c r="Y277" s="1"/>
      <c r="AA277" s="1"/>
      <c r="AB277" s="1"/>
      <c r="AC277" s="1"/>
      <c r="AD277" s="1"/>
      <c r="AE277" s="1"/>
      <c r="AF277" s="1"/>
      <c r="AG277" s="1"/>
      <c r="AH277" s="13">
        <f>VLOOKUP(A277,'2024-25 DIBELS BOY '!A277:AP647,42,FALSE)</f>
        <v>0.48333333333333334</v>
      </c>
      <c r="AI277" s="1"/>
      <c r="AJ277" s="1"/>
      <c r="AK277" s="1"/>
      <c r="AL277" s="1"/>
      <c r="AM277" s="1"/>
    </row>
    <row r="278" spans="1:39" ht="12.3" x14ac:dyDescent="0.4">
      <c r="A278" s="1" t="s">
        <v>368</v>
      </c>
      <c r="B278" s="10">
        <f>VLOOKUP(A278,'[1]2025 KG Students'!$C$2:$D$630,2,FALSE)</f>
        <v>85628</v>
      </c>
      <c r="C278" s="1" t="s">
        <v>33</v>
      </c>
      <c r="D278" s="5" t="s">
        <v>7</v>
      </c>
      <c r="E278" s="5" t="s">
        <v>463</v>
      </c>
      <c r="F278" s="4" t="s">
        <v>465</v>
      </c>
      <c r="G278" s="4" t="s">
        <v>465</v>
      </c>
      <c r="I278" s="1" t="s">
        <v>16</v>
      </c>
      <c r="J278" s="1" t="s">
        <v>10</v>
      </c>
      <c r="K278" s="4" t="s">
        <v>464</v>
      </c>
      <c r="L278" s="1" t="s">
        <v>40</v>
      </c>
      <c r="M278" s="10">
        <f>VLOOKUP(L278,'[2]2025 Teachers (1)'!$C$2:$D$807,2,FALSE)</f>
        <v>18030</v>
      </c>
      <c r="O278" s="1"/>
      <c r="P278" s="3">
        <v>0.58333333333333337</v>
      </c>
      <c r="Q278" s="1"/>
      <c r="S278" s="2"/>
      <c r="T278" s="1"/>
      <c r="U278" s="2"/>
      <c r="V278" s="1"/>
      <c r="Y278" s="1"/>
      <c r="AA278" s="1"/>
      <c r="AB278" s="1"/>
      <c r="AC278" s="1"/>
      <c r="AD278" s="1"/>
      <c r="AE278" s="1"/>
      <c r="AF278" s="1"/>
      <c r="AG278" s="1"/>
      <c r="AH278" s="13">
        <f>VLOOKUP(A278,'2024-25 DIBELS BOY '!A278:AP648,42,FALSE)</f>
        <v>0.46333333333333332</v>
      </c>
      <c r="AI278" s="1"/>
      <c r="AJ278" s="1"/>
      <c r="AK278" s="1"/>
      <c r="AL278" s="1"/>
      <c r="AM278" s="1"/>
    </row>
    <row r="279" spans="1:39" ht="12.3" x14ac:dyDescent="0.4">
      <c r="A279" s="1" t="s">
        <v>369</v>
      </c>
      <c r="B279" s="10">
        <f>VLOOKUP(A279,'[1]2025 KG Students'!$C$2:$D$630,2,FALSE)</f>
        <v>86357</v>
      </c>
      <c r="C279" s="1" t="s">
        <v>33</v>
      </c>
      <c r="D279" s="5" t="s">
        <v>7</v>
      </c>
      <c r="E279" s="5" t="s">
        <v>463</v>
      </c>
      <c r="F279" s="4" t="s">
        <v>465</v>
      </c>
      <c r="G279" s="4" t="s">
        <v>465</v>
      </c>
      <c r="I279" s="1" t="s">
        <v>8</v>
      </c>
      <c r="J279" s="1" t="s">
        <v>9</v>
      </c>
      <c r="K279" s="4" t="s">
        <v>464</v>
      </c>
      <c r="L279" s="1" t="s">
        <v>41</v>
      </c>
      <c r="M279" s="10">
        <f>VLOOKUP(L279,'[2]2025 Teachers (1)'!$C$2:$D$807,2,FALSE)</f>
        <v>17400</v>
      </c>
      <c r="O279" s="1"/>
      <c r="P279" s="3">
        <v>0.67</v>
      </c>
      <c r="Q279" s="1"/>
      <c r="S279" s="2"/>
      <c r="T279" s="1"/>
      <c r="U279" s="1"/>
      <c r="V279" s="1"/>
      <c r="Y279" s="1"/>
      <c r="AA279" s="1"/>
      <c r="AB279" s="1"/>
      <c r="AC279" s="1"/>
      <c r="AD279" s="1"/>
      <c r="AE279" s="1"/>
      <c r="AF279" s="1"/>
      <c r="AG279" s="1"/>
      <c r="AH279" s="13">
        <f>VLOOKUP(A279,'2024-25 DIBELS BOY '!A279:AP649,42,FALSE)</f>
        <v>0.52500000000000002</v>
      </c>
      <c r="AI279" s="1"/>
      <c r="AJ279" s="1"/>
      <c r="AK279" s="1"/>
      <c r="AL279" s="1"/>
      <c r="AM279" s="1"/>
    </row>
    <row r="280" spans="1:39" ht="12.3" x14ac:dyDescent="0.4">
      <c r="A280" s="1" t="s">
        <v>370</v>
      </c>
      <c r="B280" s="10">
        <f>VLOOKUP(A280,'[1]2025 KG Students'!$C$2:$D$630,2,FALSE)</f>
        <v>85400</v>
      </c>
      <c r="C280" s="1" t="s">
        <v>33</v>
      </c>
      <c r="D280" s="5" t="s">
        <v>7</v>
      </c>
      <c r="E280" s="5" t="s">
        <v>463</v>
      </c>
      <c r="F280" s="4" t="s">
        <v>465</v>
      </c>
      <c r="G280" s="4" t="s">
        <v>465</v>
      </c>
      <c r="I280" s="1" t="s">
        <v>16</v>
      </c>
      <c r="J280" s="1" t="s">
        <v>10</v>
      </c>
      <c r="K280" s="4" t="s">
        <v>464</v>
      </c>
      <c r="L280" s="1" t="s">
        <v>42</v>
      </c>
      <c r="M280" s="10">
        <f>VLOOKUP(L280,'[2]2025 Teachers (1)'!$C$2:$D$807,2,FALSE)</f>
        <v>18541</v>
      </c>
      <c r="O280" s="1"/>
      <c r="P280" s="3">
        <v>0.56333333333333335</v>
      </c>
      <c r="Q280" s="1"/>
      <c r="S280" s="2"/>
      <c r="T280" s="1"/>
      <c r="U280" s="2"/>
      <c r="V280" s="1"/>
      <c r="Y280" s="1"/>
      <c r="AA280" s="1"/>
      <c r="AB280" s="1"/>
      <c r="AC280" s="1"/>
      <c r="AD280" s="1"/>
      <c r="AE280" s="1"/>
      <c r="AF280" s="1"/>
      <c r="AG280" s="1"/>
      <c r="AH280" s="13">
        <f>VLOOKUP(A280,'2024-25 DIBELS BOY '!A280:AP650,42,FALSE)</f>
        <v>0.43666666666666665</v>
      </c>
      <c r="AI280" s="1"/>
      <c r="AJ280" s="1"/>
      <c r="AK280" s="1"/>
      <c r="AL280" s="1"/>
      <c r="AM280" s="1"/>
    </row>
    <row r="281" spans="1:39" ht="12.3" x14ac:dyDescent="0.4">
      <c r="A281" s="1" t="s">
        <v>371</v>
      </c>
      <c r="B281" s="10">
        <f>VLOOKUP(A281,'[1]2025 KG Students'!$C$2:$D$630,2,FALSE)</f>
        <v>87114</v>
      </c>
      <c r="C281" s="1" t="s">
        <v>33</v>
      </c>
      <c r="D281" s="5" t="s">
        <v>7</v>
      </c>
      <c r="E281" s="5" t="s">
        <v>463</v>
      </c>
      <c r="F281" s="4" t="s">
        <v>465</v>
      </c>
      <c r="G281" s="4" t="s">
        <v>465</v>
      </c>
      <c r="I281" s="1" t="s">
        <v>8</v>
      </c>
      <c r="J281" s="1" t="s">
        <v>9</v>
      </c>
      <c r="K281" s="4" t="s">
        <v>464</v>
      </c>
      <c r="L281" s="1" t="s">
        <v>36</v>
      </c>
      <c r="M281" s="10">
        <f>VLOOKUP(L281,'[2]2025 Teachers (1)'!$C$2:$D$807,2,FALSE)</f>
        <v>10374</v>
      </c>
      <c r="O281" s="1"/>
      <c r="P281" s="3">
        <v>0.57499999999999996</v>
      </c>
      <c r="Q281" s="1"/>
      <c r="S281" s="2"/>
      <c r="T281" s="1"/>
      <c r="U281" s="1"/>
      <c r="V281" s="1"/>
      <c r="Y281" s="1"/>
      <c r="AA281" s="1"/>
      <c r="AB281" s="1"/>
      <c r="AC281" s="1"/>
      <c r="AD281" s="1"/>
      <c r="AE281" s="1"/>
      <c r="AF281" s="1"/>
      <c r="AG281" s="1"/>
      <c r="AH281" s="13">
        <f>VLOOKUP(A281,'2024-25 DIBELS BOY '!A281:AP651,42,FALSE)</f>
        <v>0.435</v>
      </c>
      <c r="AI281" s="1"/>
      <c r="AJ281" s="1"/>
      <c r="AK281" s="1"/>
      <c r="AL281" s="1"/>
      <c r="AM281" s="1"/>
    </row>
    <row r="282" spans="1:39" ht="12.3" x14ac:dyDescent="0.4">
      <c r="A282" s="1" t="s">
        <v>372</v>
      </c>
      <c r="B282" s="10">
        <f>VLOOKUP(A282,'[1]2025 KG Students'!$C$2:$D$630,2,FALSE)</f>
        <v>86001</v>
      </c>
      <c r="C282" s="1" t="s">
        <v>33</v>
      </c>
      <c r="D282" s="5" t="s">
        <v>7</v>
      </c>
      <c r="E282" s="5" t="s">
        <v>463</v>
      </c>
      <c r="F282" s="4" t="s">
        <v>465</v>
      </c>
      <c r="G282" s="4" t="s">
        <v>465</v>
      </c>
      <c r="I282" s="1" t="s">
        <v>16</v>
      </c>
      <c r="J282" s="1" t="s">
        <v>10</v>
      </c>
      <c r="K282" s="4" t="s">
        <v>464</v>
      </c>
      <c r="L282" s="1" t="s">
        <v>36</v>
      </c>
      <c r="M282" s="10">
        <f>VLOOKUP(L282,'[2]2025 Teachers (1)'!$C$2:$D$807,2,FALSE)</f>
        <v>10374</v>
      </c>
      <c r="O282" s="1"/>
      <c r="P282" s="3">
        <v>0.57666666666666666</v>
      </c>
      <c r="Q282" s="1"/>
      <c r="S282" s="2"/>
      <c r="T282" s="1"/>
      <c r="U282" s="1"/>
      <c r="V282" s="1"/>
      <c r="Y282" s="1"/>
      <c r="AA282" s="1"/>
      <c r="AB282" s="1"/>
      <c r="AC282" s="1"/>
      <c r="AD282" s="1"/>
      <c r="AE282" s="1"/>
      <c r="AF282" s="1"/>
      <c r="AG282" s="1"/>
      <c r="AH282" s="13">
        <f>VLOOKUP(A282,'2024-25 DIBELS BOY '!A282:AP652,42,FALSE)</f>
        <v>0.435</v>
      </c>
      <c r="AI282" s="1"/>
      <c r="AJ282" s="1"/>
      <c r="AK282" s="1"/>
      <c r="AL282" s="1"/>
      <c r="AM282" s="1"/>
    </row>
    <row r="283" spans="1:39" ht="12.3" x14ac:dyDescent="0.4">
      <c r="A283" s="1" t="s">
        <v>373</v>
      </c>
      <c r="B283" s="10">
        <f>VLOOKUP(A283,'[1]2025 KG Students'!$C$2:$D$630,2,FALSE)</f>
        <v>85447</v>
      </c>
      <c r="C283" s="1" t="s">
        <v>33</v>
      </c>
      <c r="D283" s="5" t="s">
        <v>7</v>
      </c>
      <c r="E283" s="5" t="s">
        <v>463</v>
      </c>
      <c r="F283" s="4" t="s">
        <v>465</v>
      </c>
      <c r="G283" s="4" t="s">
        <v>465</v>
      </c>
      <c r="I283" s="1" t="s">
        <v>16</v>
      </c>
      <c r="J283" s="1" t="s">
        <v>10</v>
      </c>
      <c r="K283" s="4" t="s">
        <v>464</v>
      </c>
      <c r="L283" s="1" t="s">
        <v>38</v>
      </c>
      <c r="M283" s="10">
        <f>VLOOKUP(L283,'[2]2025 Teachers (1)'!$C$2:$D$807,2,FALSE)</f>
        <v>12216</v>
      </c>
      <c r="O283" s="1"/>
      <c r="P283" s="3">
        <v>0.67333333333333334</v>
      </c>
      <c r="Q283" s="1"/>
      <c r="S283" s="2"/>
      <c r="T283" s="1"/>
      <c r="U283" s="1"/>
      <c r="V283" s="1"/>
      <c r="Y283" s="1"/>
      <c r="AA283" s="1"/>
      <c r="AB283" s="1"/>
      <c r="AC283" s="1"/>
      <c r="AD283" s="1"/>
      <c r="AE283" s="1"/>
      <c r="AF283" s="1"/>
      <c r="AG283" s="1"/>
      <c r="AH283" s="13">
        <f>VLOOKUP(A283,'2024-25 DIBELS BOY '!A283:AP653,42,FALSE)</f>
        <v>0.55333333333333334</v>
      </c>
      <c r="AI283" s="1"/>
      <c r="AJ283" s="1"/>
      <c r="AK283" s="1"/>
      <c r="AL283" s="1"/>
      <c r="AM283" s="1"/>
    </row>
    <row r="284" spans="1:39" ht="12.3" x14ac:dyDescent="0.4">
      <c r="A284" s="1" t="s">
        <v>374</v>
      </c>
      <c r="B284" s="10">
        <f>VLOOKUP(A284,'[1]2025 KG Students'!$C$2:$D$630,2,FALSE)</f>
        <v>85431</v>
      </c>
      <c r="C284" s="1" t="s">
        <v>33</v>
      </c>
      <c r="D284" s="5" t="s">
        <v>7</v>
      </c>
      <c r="E284" s="5" t="s">
        <v>463</v>
      </c>
      <c r="F284" s="4" t="s">
        <v>465</v>
      </c>
      <c r="G284" s="4" t="s">
        <v>465</v>
      </c>
      <c r="I284" s="1" t="s">
        <v>16</v>
      </c>
      <c r="J284" s="1" t="s">
        <v>10</v>
      </c>
      <c r="K284" s="4" t="s">
        <v>464</v>
      </c>
      <c r="L284" s="1" t="s">
        <v>40</v>
      </c>
      <c r="M284" s="10">
        <f>VLOOKUP(L284,'[2]2025 Teachers (1)'!$C$2:$D$807,2,FALSE)</f>
        <v>18030</v>
      </c>
      <c r="O284" s="1"/>
      <c r="P284" s="3">
        <v>0.67833333333333334</v>
      </c>
      <c r="Q284" s="1"/>
      <c r="S284" s="2"/>
      <c r="T284" s="1"/>
      <c r="U284" s="1"/>
      <c r="V284" s="1"/>
      <c r="Y284" s="1"/>
      <c r="AA284" s="1"/>
      <c r="AB284" s="1"/>
      <c r="AC284" s="1"/>
      <c r="AD284" s="1"/>
      <c r="AE284" s="1"/>
      <c r="AF284" s="1"/>
      <c r="AG284" s="1"/>
      <c r="AH284" s="13">
        <f>VLOOKUP(A284,'2024-25 DIBELS BOY '!A284:AP654,42,FALSE)</f>
        <v>0.54666666666666663</v>
      </c>
      <c r="AI284" s="1"/>
      <c r="AJ284" s="1"/>
      <c r="AK284" s="1"/>
      <c r="AL284" s="1"/>
      <c r="AM284" s="1"/>
    </row>
    <row r="285" spans="1:39" ht="12.3" x14ac:dyDescent="0.4">
      <c r="A285" s="1" t="s">
        <v>375</v>
      </c>
      <c r="B285" s="10">
        <f>VLOOKUP(A285,'[1]2025 KG Students'!$C$2:$D$630,2,FALSE)</f>
        <v>85270</v>
      </c>
      <c r="C285" s="1" t="s">
        <v>33</v>
      </c>
      <c r="D285" s="5" t="s">
        <v>7</v>
      </c>
      <c r="E285" s="5" t="s">
        <v>463</v>
      </c>
      <c r="F285" s="4" t="s">
        <v>465</v>
      </c>
      <c r="G285" s="4" t="s">
        <v>465</v>
      </c>
      <c r="I285" s="1" t="s">
        <v>16</v>
      </c>
      <c r="J285" s="1" t="s">
        <v>10</v>
      </c>
      <c r="K285" s="4" t="s">
        <v>464</v>
      </c>
      <c r="L285" s="1" t="s">
        <v>41</v>
      </c>
      <c r="M285" s="10">
        <f>VLOOKUP(L285,'[2]2025 Teachers (1)'!$C$2:$D$807,2,FALSE)</f>
        <v>17400</v>
      </c>
      <c r="O285" s="1"/>
      <c r="P285" s="3">
        <v>0.66833333333333333</v>
      </c>
      <c r="Q285" s="1"/>
      <c r="S285" s="2"/>
      <c r="T285" s="1"/>
      <c r="U285" s="2"/>
      <c r="V285" s="1"/>
      <c r="Y285" s="1"/>
      <c r="AA285" s="1"/>
      <c r="AB285" s="1"/>
      <c r="AC285" s="1"/>
      <c r="AD285" s="1"/>
      <c r="AE285" s="1"/>
      <c r="AF285" s="1"/>
      <c r="AG285" s="1"/>
      <c r="AH285" s="13">
        <f>VLOOKUP(A285,'2024-25 DIBELS BOY '!A285:AP655,42,FALSE)</f>
        <v>0.54666666666666663</v>
      </c>
      <c r="AI285" s="1"/>
      <c r="AJ285" s="1"/>
      <c r="AK285" s="1"/>
      <c r="AL285" s="1"/>
      <c r="AM285" s="1"/>
    </row>
    <row r="286" spans="1:39" ht="12.3" x14ac:dyDescent="0.4">
      <c r="A286" s="1" t="s">
        <v>376</v>
      </c>
      <c r="B286" s="10">
        <f>VLOOKUP(A286,'[1]2025 KG Students'!$C$2:$D$630,2,FALSE)</f>
        <v>85374</v>
      </c>
      <c r="C286" s="1" t="s">
        <v>33</v>
      </c>
      <c r="D286" s="5" t="s">
        <v>7</v>
      </c>
      <c r="E286" s="5" t="s">
        <v>463</v>
      </c>
      <c r="F286" s="4" t="s">
        <v>465</v>
      </c>
      <c r="G286" s="4" t="s">
        <v>465</v>
      </c>
      <c r="I286" s="1" t="s">
        <v>16</v>
      </c>
      <c r="J286" s="1" t="s">
        <v>10</v>
      </c>
      <c r="K286" s="4" t="s">
        <v>464</v>
      </c>
      <c r="L286" s="1" t="s">
        <v>40</v>
      </c>
      <c r="M286" s="10">
        <f>VLOOKUP(L286,'[2]2025 Teachers (1)'!$C$2:$D$807,2,FALSE)</f>
        <v>18030</v>
      </c>
      <c r="O286" s="1"/>
      <c r="P286" s="3">
        <v>0.67833333333333334</v>
      </c>
      <c r="Q286" s="1"/>
      <c r="S286" s="2"/>
      <c r="T286" s="1"/>
      <c r="U286" s="2"/>
      <c r="V286" s="1"/>
      <c r="Y286" s="1"/>
      <c r="AA286" s="1"/>
      <c r="AB286" s="1"/>
      <c r="AC286" s="1"/>
      <c r="AD286" s="1"/>
      <c r="AE286" s="1"/>
      <c r="AF286" s="1"/>
      <c r="AG286" s="1"/>
      <c r="AH286" s="13">
        <f>VLOOKUP(A286,'2024-25 DIBELS BOY '!A286:AP656,42,FALSE)</f>
        <v>0.48833333333333334</v>
      </c>
      <c r="AI286" s="1"/>
      <c r="AJ286" s="1"/>
      <c r="AK286" s="1"/>
      <c r="AL286" s="1"/>
      <c r="AM286" s="1"/>
    </row>
    <row r="287" spans="1:39" ht="12.3" x14ac:dyDescent="0.4">
      <c r="A287" s="1" t="s">
        <v>377</v>
      </c>
      <c r="B287" s="10">
        <f>VLOOKUP(A287,'[1]2025 KG Students'!$C$2:$D$630,2,FALSE)</f>
        <v>86022</v>
      </c>
      <c r="C287" s="1" t="s">
        <v>33</v>
      </c>
      <c r="D287" s="5" t="s">
        <v>7</v>
      </c>
      <c r="E287" s="5" t="s">
        <v>463</v>
      </c>
      <c r="F287" s="4" t="s">
        <v>465</v>
      </c>
      <c r="G287" s="4" t="s">
        <v>465</v>
      </c>
      <c r="I287" s="1" t="s">
        <v>16</v>
      </c>
      <c r="J287" s="1" t="s">
        <v>10</v>
      </c>
      <c r="K287" s="4" t="s">
        <v>464</v>
      </c>
      <c r="L287" s="1" t="s">
        <v>41</v>
      </c>
      <c r="M287" s="10">
        <f>VLOOKUP(L287,'[2]2025 Teachers (1)'!$C$2:$D$807,2,FALSE)</f>
        <v>17400</v>
      </c>
      <c r="O287" s="1"/>
      <c r="P287" s="3">
        <v>0.66166666666666663</v>
      </c>
      <c r="Q287" s="1"/>
      <c r="S287" s="2"/>
      <c r="T287" s="1"/>
      <c r="U287" s="1"/>
      <c r="V287" s="1"/>
      <c r="Y287" s="1"/>
      <c r="AA287" s="1"/>
      <c r="AB287" s="1"/>
      <c r="AC287" s="1"/>
      <c r="AD287" s="1"/>
      <c r="AE287" s="1"/>
      <c r="AF287" s="1"/>
      <c r="AG287" s="1"/>
      <c r="AH287" s="13">
        <f>VLOOKUP(A287,'2024-25 DIBELS BOY '!A287:AP657,42,FALSE)</f>
        <v>0.51833333333333331</v>
      </c>
      <c r="AI287" s="1"/>
      <c r="AJ287" s="1"/>
      <c r="AK287" s="1"/>
      <c r="AL287" s="1"/>
      <c r="AM287" s="1"/>
    </row>
    <row r="288" spans="1:39" ht="12.3" x14ac:dyDescent="0.4">
      <c r="A288" s="1" t="s">
        <v>378</v>
      </c>
      <c r="B288" s="10">
        <f>VLOOKUP(A288,'[1]2025 KG Students'!$C$2:$D$630,2,FALSE)</f>
        <v>86037</v>
      </c>
      <c r="C288" s="1" t="s">
        <v>33</v>
      </c>
      <c r="D288" s="5" t="s">
        <v>7</v>
      </c>
      <c r="E288" s="5" t="s">
        <v>463</v>
      </c>
      <c r="F288" s="4" t="s">
        <v>465</v>
      </c>
      <c r="G288" s="4" t="s">
        <v>465</v>
      </c>
      <c r="I288" s="1" t="s">
        <v>16</v>
      </c>
      <c r="J288" s="1" t="s">
        <v>10</v>
      </c>
      <c r="K288" s="4" t="s">
        <v>464</v>
      </c>
      <c r="L288" s="1" t="s">
        <v>39</v>
      </c>
      <c r="M288" s="10">
        <f>VLOOKUP(L288,'[2]2025 Teachers (1)'!$C$2:$D$807,2,FALSE)</f>
        <v>18695</v>
      </c>
      <c r="O288" s="1"/>
      <c r="P288" s="3">
        <v>0.62666666666666671</v>
      </c>
      <c r="Q288" s="1"/>
      <c r="S288" s="2"/>
      <c r="T288" s="1"/>
      <c r="U288" s="1"/>
      <c r="V288" s="1"/>
      <c r="Y288" s="1"/>
      <c r="AA288" s="1"/>
      <c r="AB288" s="1"/>
      <c r="AC288" s="1"/>
      <c r="AD288" s="1"/>
      <c r="AE288" s="1"/>
      <c r="AF288" s="1"/>
      <c r="AG288" s="1"/>
      <c r="AH288" s="13">
        <f>VLOOKUP(A288,'2024-25 DIBELS BOY '!A288:AP658,42,FALSE)</f>
        <v>0.46</v>
      </c>
      <c r="AI288" s="1"/>
      <c r="AJ288" s="1"/>
      <c r="AK288" s="1"/>
      <c r="AL288" s="1"/>
      <c r="AM288" s="1"/>
    </row>
    <row r="289" spans="1:39" ht="12.3" x14ac:dyDescent="0.4">
      <c r="A289" s="1" t="s">
        <v>379</v>
      </c>
      <c r="B289" s="10">
        <f>VLOOKUP(A289,'[1]2025 KG Students'!$C$2:$D$630,2,FALSE)</f>
        <v>85202</v>
      </c>
      <c r="C289" s="1" t="s">
        <v>33</v>
      </c>
      <c r="D289" s="5" t="s">
        <v>7</v>
      </c>
      <c r="E289" s="5" t="s">
        <v>463</v>
      </c>
      <c r="F289" s="4" t="s">
        <v>465</v>
      </c>
      <c r="G289" s="4" t="s">
        <v>465</v>
      </c>
      <c r="I289" s="1" t="s">
        <v>16</v>
      </c>
      <c r="J289" s="1" t="s">
        <v>10</v>
      </c>
      <c r="K289" s="4" t="s">
        <v>464</v>
      </c>
      <c r="L289" s="1" t="s">
        <v>39</v>
      </c>
      <c r="M289" s="10">
        <f>VLOOKUP(L289,'[2]2025 Teachers (1)'!$C$2:$D$807,2,FALSE)</f>
        <v>18695</v>
      </c>
      <c r="O289" s="1"/>
      <c r="P289" s="3">
        <v>0.64</v>
      </c>
      <c r="Q289" s="1"/>
      <c r="S289" s="2"/>
      <c r="T289" s="1"/>
      <c r="U289" s="1"/>
      <c r="V289" s="1"/>
      <c r="Y289" s="1"/>
      <c r="AA289" s="1"/>
      <c r="AB289" s="1"/>
      <c r="AC289" s="1"/>
      <c r="AD289" s="1"/>
      <c r="AE289" s="1"/>
      <c r="AF289" s="1"/>
      <c r="AG289" s="1"/>
      <c r="AH289" s="13">
        <f>VLOOKUP(A289,'2024-25 DIBELS BOY '!A289:AP659,42,FALSE)</f>
        <v>0.53500000000000003</v>
      </c>
      <c r="AI289" s="1"/>
      <c r="AJ289" s="1"/>
      <c r="AK289" s="1"/>
      <c r="AL289" s="1"/>
      <c r="AM289" s="1"/>
    </row>
    <row r="290" spans="1:39" ht="12.3" x14ac:dyDescent="0.4">
      <c r="A290" s="1" t="s">
        <v>380</v>
      </c>
      <c r="B290" s="10">
        <f>VLOOKUP(A290,'[1]2025 KG Students'!$C$2:$D$630,2,FALSE)</f>
        <v>85198</v>
      </c>
      <c r="C290" s="1" t="s">
        <v>33</v>
      </c>
      <c r="D290" s="5" t="s">
        <v>7</v>
      </c>
      <c r="E290" s="5" t="s">
        <v>463</v>
      </c>
      <c r="F290" s="4" t="s">
        <v>465</v>
      </c>
      <c r="G290" s="4" t="s">
        <v>465</v>
      </c>
      <c r="I290" s="1" t="s">
        <v>16</v>
      </c>
      <c r="J290" s="1" t="s">
        <v>10</v>
      </c>
      <c r="K290" s="4" t="s">
        <v>464</v>
      </c>
      <c r="L290" s="1" t="s">
        <v>35</v>
      </c>
      <c r="M290" s="10">
        <f>VLOOKUP(L290,'[2]2025 Teachers (1)'!$C$2:$D$807,2,FALSE)</f>
        <v>14129</v>
      </c>
      <c r="O290" s="1"/>
      <c r="P290" s="3">
        <v>0.61</v>
      </c>
      <c r="Q290" s="1"/>
      <c r="S290" s="2"/>
      <c r="T290" s="1"/>
      <c r="U290" s="1"/>
      <c r="V290" s="1"/>
      <c r="Y290" s="1"/>
      <c r="AA290" s="1"/>
      <c r="AB290" s="1"/>
      <c r="AC290" s="1"/>
      <c r="AD290" s="1"/>
      <c r="AE290" s="1"/>
      <c r="AF290" s="1"/>
      <c r="AG290" s="1"/>
      <c r="AH290" s="13">
        <f>VLOOKUP(A290,'2024-25 DIBELS BOY '!A290:AP660,42,FALSE)</f>
        <v>0.43666666666666665</v>
      </c>
      <c r="AI290" s="1"/>
      <c r="AJ290" s="1"/>
      <c r="AK290" s="1"/>
      <c r="AL290" s="1"/>
      <c r="AM290" s="1"/>
    </row>
    <row r="291" spans="1:39" ht="12.3" x14ac:dyDescent="0.4">
      <c r="A291" s="1" t="s">
        <v>381</v>
      </c>
      <c r="B291" s="10">
        <f>VLOOKUP(A291,'[1]2025 KG Students'!$C$2:$D$630,2,FALSE)</f>
        <v>85173</v>
      </c>
      <c r="C291" s="1" t="s">
        <v>33</v>
      </c>
      <c r="D291" s="5" t="s">
        <v>7</v>
      </c>
      <c r="E291" s="5" t="s">
        <v>463</v>
      </c>
      <c r="F291" s="4" t="s">
        <v>465</v>
      </c>
      <c r="G291" s="4" t="s">
        <v>465</v>
      </c>
      <c r="I291" s="1" t="s">
        <v>8</v>
      </c>
      <c r="J291" s="1" t="s">
        <v>9</v>
      </c>
      <c r="K291" s="4" t="s">
        <v>464</v>
      </c>
      <c r="L291" s="1" t="s">
        <v>39</v>
      </c>
      <c r="M291" s="10">
        <f>VLOOKUP(L291,'[2]2025 Teachers (1)'!$C$2:$D$807,2,FALSE)</f>
        <v>18695</v>
      </c>
      <c r="O291" s="1"/>
      <c r="P291" s="3">
        <v>0.64333333333333331</v>
      </c>
      <c r="Q291" s="1"/>
      <c r="S291" s="2"/>
      <c r="T291" s="1"/>
      <c r="U291" s="1"/>
      <c r="V291" s="1"/>
      <c r="Y291" s="1"/>
      <c r="AA291" s="1"/>
      <c r="AB291" s="1"/>
      <c r="AC291" s="1"/>
      <c r="AD291" s="1"/>
      <c r="AE291" s="1"/>
      <c r="AF291" s="1"/>
      <c r="AG291" s="1"/>
      <c r="AH291" s="13">
        <f>VLOOKUP(A291,'2024-25 DIBELS BOY '!A291:AP661,42,FALSE)</f>
        <v>0.53666666666666663</v>
      </c>
      <c r="AI291" s="1"/>
      <c r="AJ291" s="1"/>
      <c r="AK291" s="1"/>
      <c r="AL291" s="1"/>
      <c r="AM291" s="1"/>
    </row>
    <row r="292" spans="1:39" ht="12.3" x14ac:dyDescent="0.4">
      <c r="A292" s="1" t="s">
        <v>382</v>
      </c>
      <c r="B292" s="10">
        <f>VLOOKUP(A292,'[1]2025 KG Students'!$C$2:$D$630,2,FALSE)</f>
        <v>85625</v>
      </c>
      <c r="C292" s="1" t="s">
        <v>33</v>
      </c>
      <c r="D292" s="5" t="s">
        <v>7</v>
      </c>
      <c r="E292" s="5" t="s">
        <v>463</v>
      </c>
      <c r="F292" s="4" t="s">
        <v>465</v>
      </c>
      <c r="G292" s="4" t="s">
        <v>465</v>
      </c>
      <c r="I292" s="1" t="s">
        <v>16</v>
      </c>
      <c r="J292" s="1" t="s">
        <v>10</v>
      </c>
      <c r="K292" s="4" t="s">
        <v>464</v>
      </c>
      <c r="L292" s="1" t="s">
        <v>34</v>
      </c>
      <c r="M292" s="10">
        <f>VLOOKUP(L292,'[2]2025 Teachers (1)'!$C$2:$D$807,2,FALSE)</f>
        <v>18232</v>
      </c>
      <c r="O292" s="1"/>
      <c r="P292" s="3">
        <v>0.59666666666666668</v>
      </c>
      <c r="Q292" s="1"/>
      <c r="S292" s="2"/>
      <c r="T292" s="1"/>
      <c r="U292" s="1"/>
      <c r="V292" s="1"/>
      <c r="Y292" s="1"/>
      <c r="AA292" s="1"/>
      <c r="AB292" s="1"/>
      <c r="AC292" s="1"/>
      <c r="AD292" s="1"/>
      <c r="AE292" s="1"/>
      <c r="AF292" s="1"/>
      <c r="AG292" s="1"/>
      <c r="AH292" s="13">
        <f>VLOOKUP(A292,'2024-25 DIBELS BOY '!A292:AP662,42,FALSE)</f>
        <v>0.45833333333333331</v>
      </c>
      <c r="AI292" s="1"/>
      <c r="AJ292" s="1"/>
      <c r="AK292" s="1"/>
      <c r="AL292" s="1"/>
      <c r="AM292" s="1"/>
    </row>
    <row r="293" spans="1:39" ht="12.3" x14ac:dyDescent="0.4">
      <c r="A293" s="1" t="s">
        <v>383</v>
      </c>
      <c r="B293" s="10">
        <f>VLOOKUP(A293,'[1]2025 KG Students'!$C$2:$D$630,2,FALSE)</f>
        <v>88884</v>
      </c>
      <c r="C293" s="1" t="s">
        <v>33</v>
      </c>
      <c r="D293" s="5" t="s">
        <v>7</v>
      </c>
      <c r="E293" s="5" t="s">
        <v>463</v>
      </c>
      <c r="F293" s="4" t="s">
        <v>465</v>
      </c>
      <c r="G293" s="4" t="s">
        <v>465</v>
      </c>
      <c r="I293" s="1" t="s">
        <v>16</v>
      </c>
      <c r="J293" s="1" t="s">
        <v>10</v>
      </c>
      <c r="K293" s="4" t="s">
        <v>464</v>
      </c>
      <c r="L293" s="1" t="s">
        <v>41</v>
      </c>
      <c r="M293" s="10">
        <f>VLOOKUP(L293,'[2]2025 Teachers (1)'!$C$2:$D$807,2,FALSE)</f>
        <v>17400</v>
      </c>
      <c r="O293" s="1"/>
      <c r="P293" s="3">
        <v>0.64833333333333332</v>
      </c>
      <c r="Q293" s="1"/>
      <c r="S293" s="2"/>
      <c r="T293" s="1"/>
      <c r="U293" s="1"/>
      <c r="V293" s="1"/>
      <c r="Y293" s="1"/>
      <c r="AA293" s="1"/>
      <c r="AB293" s="1"/>
      <c r="AC293" s="1"/>
      <c r="AD293" s="1"/>
      <c r="AE293" s="1"/>
      <c r="AF293" s="1"/>
      <c r="AG293" s="1"/>
      <c r="AH293" s="13" t="e">
        <f>VLOOKUP(A293,'2024-25 DIBELS BOY '!A293:AP663,42,FALSE)</f>
        <v>#N/A</v>
      </c>
      <c r="AI293" s="1"/>
      <c r="AJ293" s="1"/>
      <c r="AK293" s="1"/>
      <c r="AL293" s="1"/>
      <c r="AM293" s="1"/>
    </row>
    <row r="294" spans="1:39" ht="12.3" x14ac:dyDescent="0.4">
      <c r="A294" s="1" t="s">
        <v>384</v>
      </c>
      <c r="B294" s="10">
        <f>VLOOKUP(A294,'[1]2025 KG Students'!$C$2:$D$630,2,FALSE)</f>
        <v>87891</v>
      </c>
      <c r="C294" s="1" t="s">
        <v>33</v>
      </c>
      <c r="D294" s="5" t="s">
        <v>7</v>
      </c>
      <c r="E294" s="5" t="s">
        <v>463</v>
      </c>
      <c r="F294" s="4" t="s">
        <v>465</v>
      </c>
      <c r="G294" s="4" t="s">
        <v>465</v>
      </c>
      <c r="I294" s="1" t="s">
        <v>16</v>
      </c>
      <c r="J294" s="1" t="s">
        <v>10</v>
      </c>
      <c r="K294" s="4" t="s">
        <v>464</v>
      </c>
      <c r="L294" s="1" t="s">
        <v>36</v>
      </c>
      <c r="M294" s="10">
        <f>VLOOKUP(L294,'[2]2025 Teachers (1)'!$C$2:$D$807,2,FALSE)</f>
        <v>10374</v>
      </c>
      <c r="O294" s="1"/>
      <c r="P294" s="3">
        <v>0.53166666666666662</v>
      </c>
      <c r="Q294" s="1"/>
      <c r="S294" s="2"/>
      <c r="T294" s="1"/>
      <c r="U294" s="2"/>
      <c r="V294" s="1"/>
      <c r="Y294" s="1"/>
      <c r="AA294" s="1"/>
      <c r="AB294" s="1"/>
      <c r="AC294" s="1"/>
      <c r="AD294" s="1"/>
      <c r="AE294" s="1"/>
      <c r="AF294" s="1"/>
      <c r="AG294" s="1"/>
      <c r="AH294" s="13">
        <f>VLOOKUP(A294,'2024-25 DIBELS BOY '!A294:AP664,42,FALSE)</f>
        <v>0.41499999999999998</v>
      </c>
      <c r="AI294" s="1"/>
      <c r="AJ294" s="1"/>
      <c r="AK294" s="1"/>
      <c r="AL294" s="1"/>
      <c r="AM294" s="1"/>
    </row>
    <row r="295" spans="1:39" ht="12.3" x14ac:dyDescent="0.4">
      <c r="A295" s="1" t="s">
        <v>385</v>
      </c>
      <c r="B295" s="10" t="e">
        <f>VLOOKUP(A295,'[1]2025 KG Students'!$C$2:$D$630,2,FALSE)</f>
        <v>#N/A</v>
      </c>
      <c r="C295" s="1" t="s">
        <v>33</v>
      </c>
      <c r="D295" s="5" t="s">
        <v>7</v>
      </c>
      <c r="E295" s="5" t="s">
        <v>463</v>
      </c>
      <c r="F295" s="4" t="s">
        <v>465</v>
      </c>
      <c r="G295" s="4" t="s">
        <v>465</v>
      </c>
      <c r="I295" s="1" t="s">
        <v>16</v>
      </c>
      <c r="J295" s="1" t="s">
        <v>10</v>
      </c>
      <c r="K295" s="4" t="s">
        <v>464</v>
      </c>
      <c r="L295" s="1" t="s">
        <v>34</v>
      </c>
      <c r="M295" s="10">
        <f>VLOOKUP(L295,'[2]2025 Teachers (1)'!$C$2:$D$807,2,FALSE)</f>
        <v>18232</v>
      </c>
      <c r="O295" s="1"/>
      <c r="P295" s="3">
        <v>0.61</v>
      </c>
      <c r="Q295" s="1"/>
      <c r="S295" s="2"/>
      <c r="T295" s="1"/>
      <c r="U295" s="1"/>
      <c r="V295" s="1"/>
      <c r="Y295" s="1"/>
      <c r="AA295" s="1"/>
      <c r="AB295" s="1"/>
      <c r="AC295" s="1"/>
      <c r="AD295" s="1"/>
      <c r="AE295" s="1"/>
      <c r="AF295" s="1"/>
      <c r="AG295" s="1"/>
      <c r="AH295" s="13">
        <f>VLOOKUP(A295,'2024-25 DIBELS BOY '!A295:AP665,42,FALSE)</f>
        <v>0.46</v>
      </c>
      <c r="AI295" s="1"/>
      <c r="AJ295" s="1"/>
      <c r="AK295" s="1"/>
      <c r="AL295" s="1"/>
      <c r="AM295" s="1"/>
    </row>
    <row r="296" spans="1:39" ht="12.3" x14ac:dyDescent="0.4">
      <c r="A296" s="1" t="s">
        <v>386</v>
      </c>
      <c r="B296" s="10">
        <f>VLOOKUP(A296,'[1]2025 KG Students'!$C$2:$D$630,2,FALSE)</f>
        <v>85264</v>
      </c>
      <c r="C296" s="1" t="s">
        <v>33</v>
      </c>
      <c r="D296" s="5" t="s">
        <v>7</v>
      </c>
      <c r="E296" s="5" t="s">
        <v>463</v>
      </c>
      <c r="F296" s="4" t="s">
        <v>465</v>
      </c>
      <c r="G296" s="4" t="s">
        <v>465</v>
      </c>
      <c r="I296" s="1" t="s">
        <v>16</v>
      </c>
      <c r="J296" s="1" t="s">
        <v>10</v>
      </c>
      <c r="K296" s="4" t="s">
        <v>464</v>
      </c>
      <c r="L296" s="1" t="s">
        <v>38</v>
      </c>
      <c r="M296" s="10">
        <f>VLOOKUP(L296,'[2]2025 Teachers (1)'!$C$2:$D$807,2,FALSE)</f>
        <v>12216</v>
      </c>
      <c r="O296" s="1"/>
      <c r="P296" s="3">
        <v>0.66166666666666663</v>
      </c>
      <c r="Q296" s="1"/>
      <c r="S296" s="2"/>
      <c r="T296" s="1"/>
      <c r="U296" s="1"/>
      <c r="V296" s="1"/>
      <c r="Y296" s="1"/>
      <c r="AA296" s="1"/>
      <c r="AB296" s="1"/>
      <c r="AC296" s="1"/>
      <c r="AD296" s="1"/>
      <c r="AE296" s="1"/>
      <c r="AF296" s="1"/>
      <c r="AG296" s="1"/>
      <c r="AH296" s="13">
        <f>VLOOKUP(A296,'2024-25 DIBELS BOY '!A296:AP666,42,FALSE)</f>
        <v>0.56333333333333335</v>
      </c>
      <c r="AI296" s="1"/>
      <c r="AJ296" s="1"/>
      <c r="AK296" s="1"/>
      <c r="AL296" s="1"/>
      <c r="AM296" s="1"/>
    </row>
    <row r="297" spans="1:39" ht="12.3" x14ac:dyDescent="0.4">
      <c r="A297" s="1" t="s">
        <v>387</v>
      </c>
      <c r="B297" s="10">
        <f>VLOOKUP(A297,'[1]2025 KG Students'!$C$2:$D$630,2,FALSE)</f>
        <v>82939</v>
      </c>
      <c r="C297" s="1" t="s">
        <v>33</v>
      </c>
      <c r="D297" s="5" t="s">
        <v>7</v>
      </c>
      <c r="E297" s="5" t="s">
        <v>463</v>
      </c>
      <c r="F297" s="4" t="s">
        <v>465</v>
      </c>
      <c r="G297" s="4" t="s">
        <v>465</v>
      </c>
      <c r="I297" s="1" t="s">
        <v>16</v>
      </c>
      <c r="J297" s="1" t="s">
        <v>10</v>
      </c>
      <c r="K297" s="4" t="s">
        <v>464</v>
      </c>
      <c r="L297" s="1" t="s">
        <v>40</v>
      </c>
      <c r="M297" s="10">
        <f>VLOOKUP(L297,'[2]2025 Teachers (1)'!$C$2:$D$807,2,FALSE)</f>
        <v>18030</v>
      </c>
      <c r="O297" s="1"/>
      <c r="P297" s="3">
        <v>0.62666666666666671</v>
      </c>
      <c r="Q297" s="1"/>
      <c r="S297" s="2"/>
      <c r="T297" s="1"/>
      <c r="U297" s="2"/>
      <c r="V297" s="1"/>
      <c r="Y297" s="1"/>
      <c r="AA297" s="1"/>
      <c r="AB297" s="1"/>
      <c r="AC297" s="1"/>
      <c r="AD297" s="1"/>
      <c r="AE297" s="1"/>
      <c r="AF297" s="1"/>
      <c r="AG297" s="1"/>
      <c r="AH297" s="13">
        <f>VLOOKUP(A297,'2024-25 DIBELS BOY '!A297:AP667,42,FALSE)</f>
        <v>0.56999999999999995</v>
      </c>
      <c r="AI297" s="1"/>
      <c r="AJ297" s="1"/>
      <c r="AK297" s="1"/>
      <c r="AL297" s="1"/>
      <c r="AM297" s="1"/>
    </row>
    <row r="298" spans="1:39" ht="12.3" x14ac:dyDescent="0.4">
      <c r="A298" s="1" t="s">
        <v>388</v>
      </c>
      <c r="B298" s="10">
        <f>VLOOKUP(A298,'[1]2025 KG Students'!$C$2:$D$630,2,FALSE)</f>
        <v>85269</v>
      </c>
      <c r="C298" s="1" t="s">
        <v>33</v>
      </c>
      <c r="D298" s="5" t="s">
        <v>7</v>
      </c>
      <c r="E298" s="5" t="s">
        <v>463</v>
      </c>
      <c r="F298" s="4" t="s">
        <v>465</v>
      </c>
      <c r="G298" s="4" t="s">
        <v>465</v>
      </c>
      <c r="I298" s="1" t="s">
        <v>8</v>
      </c>
      <c r="J298" s="1" t="s">
        <v>9</v>
      </c>
      <c r="K298" s="4" t="s">
        <v>464</v>
      </c>
      <c r="L298" s="1" t="s">
        <v>34</v>
      </c>
      <c r="M298" s="10">
        <f>VLOOKUP(L298,'[2]2025 Teachers (1)'!$C$2:$D$807,2,FALSE)</f>
        <v>18232</v>
      </c>
      <c r="O298" s="1"/>
      <c r="P298" s="3">
        <v>0.60833333333333328</v>
      </c>
      <c r="Q298" s="1"/>
      <c r="S298" s="2"/>
      <c r="T298" s="1"/>
      <c r="U298" s="2"/>
      <c r="V298" s="1"/>
      <c r="Y298" s="1"/>
      <c r="AA298" s="1"/>
      <c r="AB298" s="1"/>
      <c r="AC298" s="1"/>
      <c r="AD298" s="1"/>
      <c r="AE298" s="1"/>
      <c r="AF298" s="1"/>
      <c r="AG298" s="1"/>
      <c r="AH298" s="13">
        <f>VLOOKUP(A298,'2024-25 DIBELS BOY '!A298:AP668,42,FALSE)</f>
        <v>0.48333333333333334</v>
      </c>
      <c r="AI298" s="1"/>
      <c r="AJ298" s="1"/>
      <c r="AK298" s="1"/>
      <c r="AL298" s="1"/>
      <c r="AM298" s="1"/>
    </row>
    <row r="299" spans="1:39" ht="12.3" x14ac:dyDescent="0.4">
      <c r="A299" s="1" t="s">
        <v>389</v>
      </c>
      <c r="B299" s="10">
        <f>VLOOKUP(A299,'[1]2025 KG Students'!$C$2:$D$630,2,FALSE)</f>
        <v>86573</v>
      </c>
      <c r="C299" s="1" t="s">
        <v>33</v>
      </c>
      <c r="D299" s="5" t="s">
        <v>7</v>
      </c>
      <c r="E299" s="5" t="s">
        <v>463</v>
      </c>
      <c r="F299" s="4" t="s">
        <v>465</v>
      </c>
      <c r="G299" s="4" t="s">
        <v>465</v>
      </c>
      <c r="I299" s="1" t="s">
        <v>8</v>
      </c>
      <c r="J299" s="1" t="s">
        <v>9</v>
      </c>
      <c r="K299" s="4" t="s">
        <v>464</v>
      </c>
      <c r="L299" s="1" t="s">
        <v>39</v>
      </c>
      <c r="M299" s="10">
        <f>VLOOKUP(L299,'[2]2025 Teachers (1)'!$C$2:$D$807,2,FALSE)</f>
        <v>18695</v>
      </c>
      <c r="O299" s="1"/>
      <c r="P299" s="3">
        <v>0.6333333333333333</v>
      </c>
      <c r="Q299" s="1"/>
      <c r="S299" s="2"/>
      <c r="T299" s="1"/>
      <c r="U299" s="2"/>
      <c r="V299" s="1"/>
      <c r="Y299" s="1"/>
      <c r="AA299" s="1"/>
      <c r="AB299" s="1"/>
      <c r="AC299" s="1"/>
      <c r="AD299" s="1"/>
      <c r="AE299" s="1"/>
      <c r="AF299" s="1"/>
      <c r="AG299" s="1"/>
      <c r="AH299" s="13">
        <f>VLOOKUP(A299,'2024-25 DIBELS BOY '!A299:AP669,42,FALSE)</f>
        <v>0.53333333333333333</v>
      </c>
      <c r="AI299" s="1"/>
      <c r="AJ299" s="1"/>
      <c r="AK299" s="1"/>
      <c r="AL299" s="1"/>
      <c r="AM299" s="1"/>
    </row>
    <row r="300" spans="1:39" ht="12.3" x14ac:dyDescent="0.4">
      <c r="A300" s="1" t="s">
        <v>390</v>
      </c>
      <c r="B300" s="10">
        <f>VLOOKUP(A300,'[1]2025 KG Students'!$C$2:$D$630,2,FALSE)</f>
        <v>88870</v>
      </c>
      <c r="C300" s="1" t="s">
        <v>33</v>
      </c>
      <c r="D300" s="5" t="s">
        <v>7</v>
      </c>
      <c r="E300" s="5" t="s">
        <v>463</v>
      </c>
      <c r="F300" s="4" t="s">
        <v>465</v>
      </c>
      <c r="G300" s="4" t="s">
        <v>465</v>
      </c>
      <c r="I300" s="1" t="s">
        <v>8</v>
      </c>
      <c r="J300" s="1" t="s">
        <v>9</v>
      </c>
      <c r="K300" s="4" t="s">
        <v>464</v>
      </c>
      <c r="L300" s="1" t="s">
        <v>41</v>
      </c>
      <c r="M300" s="10">
        <f>VLOOKUP(L300,'[2]2025 Teachers (1)'!$C$2:$D$807,2,FALSE)</f>
        <v>17400</v>
      </c>
      <c r="O300" s="1"/>
      <c r="P300" s="3">
        <v>0.62666666666666671</v>
      </c>
      <c r="Q300" s="1"/>
      <c r="S300" s="2"/>
      <c r="T300" s="1"/>
      <c r="U300" s="2"/>
      <c r="V300" s="1"/>
      <c r="Y300" s="1"/>
      <c r="AA300" s="1"/>
      <c r="AB300" s="1"/>
      <c r="AC300" s="1"/>
      <c r="AD300" s="1"/>
      <c r="AE300" s="1"/>
      <c r="AF300" s="1"/>
      <c r="AG300" s="1"/>
      <c r="AH300" s="13" t="e">
        <f>VLOOKUP(A300,'2024-25 DIBELS BOY '!A300:AP670,42,FALSE)</f>
        <v>#N/A</v>
      </c>
      <c r="AI300" s="1"/>
      <c r="AJ300" s="1"/>
      <c r="AK300" s="1"/>
      <c r="AL300" s="1"/>
      <c r="AM300" s="1"/>
    </row>
    <row r="301" spans="1:39" ht="12.3" x14ac:dyDescent="0.4">
      <c r="A301" s="1" t="s">
        <v>391</v>
      </c>
      <c r="B301" s="10">
        <f>VLOOKUP(A301,'[1]2025 KG Students'!$C$2:$D$630,2,FALSE)</f>
        <v>86023</v>
      </c>
      <c r="C301" s="1" t="s">
        <v>33</v>
      </c>
      <c r="D301" s="5" t="s">
        <v>7</v>
      </c>
      <c r="E301" s="5" t="s">
        <v>463</v>
      </c>
      <c r="F301" s="4" t="s">
        <v>465</v>
      </c>
      <c r="G301" s="4" t="s">
        <v>465</v>
      </c>
      <c r="I301" s="1" t="s">
        <v>16</v>
      </c>
      <c r="J301" s="1" t="s">
        <v>10</v>
      </c>
      <c r="K301" s="4" t="s">
        <v>464</v>
      </c>
      <c r="L301" s="1" t="s">
        <v>38</v>
      </c>
      <c r="M301" s="10">
        <f>VLOOKUP(L301,'[2]2025 Teachers (1)'!$C$2:$D$807,2,FALSE)</f>
        <v>12216</v>
      </c>
      <c r="O301" s="1"/>
      <c r="P301" s="3">
        <v>0.68333333333333335</v>
      </c>
      <c r="Q301" s="1"/>
      <c r="S301" s="2"/>
      <c r="T301" s="1"/>
      <c r="U301" s="1"/>
      <c r="V301" s="1"/>
      <c r="Y301" s="1"/>
      <c r="AA301" s="1"/>
      <c r="AB301" s="1"/>
      <c r="AC301" s="1"/>
      <c r="AD301" s="1"/>
      <c r="AE301" s="1"/>
      <c r="AF301" s="1"/>
      <c r="AG301" s="1"/>
      <c r="AH301" s="13">
        <f>VLOOKUP(A301,'2024-25 DIBELS BOY '!A301:AP671,42,FALSE)</f>
        <v>0.53666666666666663</v>
      </c>
      <c r="AI301" s="1"/>
      <c r="AJ301" s="1"/>
      <c r="AK301" s="1"/>
      <c r="AL301" s="1"/>
      <c r="AM301" s="1"/>
    </row>
    <row r="302" spans="1:39" ht="12.3" x14ac:dyDescent="0.4">
      <c r="A302" s="1" t="s">
        <v>392</v>
      </c>
      <c r="B302" s="10">
        <f>VLOOKUP(A302,'[1]2025 KG Students'!$C$2:$D$630,2,FALSE)</f>
        <v>87277</v>
      </c>
      <c r="C302" s="1" t="s">
        <v>33</v>
      </c>
      <c r="D302" s="5" t="s">
        <v>7</v>
      </c>
      <c r="E302" s="5" t="s">
        <v>463</v>
      </c>
      <c r="F302" s="4" t="s">
        <v>465</v>
      </c>
      <c r="G302" s="4" t="s">
        <v>465</v>
      </c>
      <c r="I302" s="1" t="s">
        <v>16</v>
      </c>
      <c r="J302" s="1" t="s">
        <v>10</v>
      </c>
      <c r="K302" s="4" t="s">
        <v>464</v>
      </c>
      <c r="L302" s="1" t="s">
        <v>44</v>
      </c>
      <c r="M302" s="10">
        <f>VLOOKUP(L302,'[2]2025 Teachers (1)'!$C$2:$D$807,2,FALSE)</f>
        <v>15553</v>
      </c>
      <c r="O302" s="1"/>
      <c r="P302" s="3">
        <v>0.78666666666666663</v>
      </c>
      <c r="Q302" s="1"/>
      <c r="S302" s="2"/>
      <c r="T302" s="1"/>
      <c r="U302" s="2"/>
      <c r="V302" s="1"/>
      <c r="Y302" s="1"/>
      <c r="AA302" s="1"/>
      <c r="AB302" s="1"/>
      <c r="AC302" s="1"/>
      <c r="AD302" s="1"/>
      <c r="AE302" s="1"/>
      <c r="AF302" s="1"/>
      <c r="AG302" s="1"/>
      <c r="AH302" s="13">
        <f>VLOOKUP(A302,'2024-25 DIBELS BOY '!A302:AP672,42,FALSE)</f>
        <v>0.69</v>
      </c>
      <c r="AI302" s="1"/>
      <c r="AJ302" s="1"/>
      <c r="AK302" s="1"/>
      <c r="AL302" s="1"/>
      <c r="AM302" s="1"/>
    </row>
    <row r="303" spans="1:39" ht="12.3" x14ac:dyDescent="0.4">
      <c r="A303" s="1" t="s">
        <v>393</v>
      </c>
      <c r="B303" s="10">
        <f>VLOOKUP(A303,'[1]2025 KG Students'!$C$2:$D$630,2,FALSE)</f>
        <v>85938</v>
      </c>
      <c r="C303" s="1" t="s">
        <v>33</v>
      </c>
      <c r="D303" s="5" t="s">
        <v>7</v>
      </c>
      <c r="E303" s="5" t="s">
        <v>463</v>
      </c>
      <c r="F303" s="4" t="s">
        <v>465</v>
      </c>
      <c r="G303" s="4" t="s">
        <v>465</v>
      </c>
      <c r="I303" s="1" t="s">
        <v>16</v>
      </c>
      <c r="J303" s="1" t="s">
        <v>10</v>
      </c>
      <c r="K303" s="4" t="s">
        <v>464</v>
      </c>
      <c r="L303" s="1" t="s">
        <v>37</v>
      </c>
      <c r="M303" s="10">
        <f>VLOOKUP(L303,'[2]2025 Teachers (1)'!$C$2:$D$807,2,FALSE)</f>
        <v>11301</v>
      </c>
      <c r="O303" s="1"/>
      <c r="P303" s="3">
        <v>0.68</v>
      </c>
      <c r="Q303" s="1"/>
      <c r="S303" s="2"/>
      <c r="T303" s="1"/>
      <c r="U303" s="2"/>
      <c r="V303" s="1"/>
      <c r="Y303" s="1"/>
      <c r="AA303" s="1"/>
      <c r="AB303" s="1"/>
      <c r="AC303" s="1"/>
      <c r="AD303" s="1"/>
      <c r="AE303" s="1"/>
      <c r="AF303" s="1"/>
      <c r="AG303" s="1"/>
      <c r="AH303" s="13">
        <f>VLOOKUP(A303,'2024-25 DIBELS BOY '!A303:AP673,42,FALSE)</f>
        <v>0.56499999999999995</v>
      </c>
      <c r="AI303" s="1"/>
      <c r="AJ303" s="1"/>
      <c r="AK303" s="1"/>
      <c r="AL303" s="1"/>
      <c r="AM303" s="1"/>
    </row>
    <row r="304" spans="1:39" ht="12.3" x14ac:dyDescent="0.4">
      <c r="A304" s="1" t="s">
        <v>394</v>
      </c>
      <c r="B304" s="10">
        <f>VLOOKUP(A304,'[1]2025 KG Students'!$C$2:$D$630,2,FALSE)</f>
        <v>85559</v>
      </c>
      <c r="C304" s="1" t="s">
        <v>33</v>
      </c>
      <c r="D304" s="5" t="s">
        <v>7</v>
      </c>
      <c r="E304" s="5" t="s">
        <v>463</v>
      </c>
      <c r="F304" s="4" t="s">
        <v>465</v>
      </c>
      <c r="G304" s="4" t="s">
        <v>465</v>
      </c>
      <c r="I304" s="1" t="s">
        <v>16</v>
      </c>
      <c r="J304" s="1" t="s">
        <v>10</v>
      </c>
      <c r="K304" s="4" t="s">
        <v>464</v>
      </c>
      <c r="L304" s="1" t="s">
        <v>39</v>
      </c>
      <c r="M304" s="10">
        <f>VLOOKUP(L304,'[2]2025 Teachers (1)'!$C$2:$D$807,2,FALSE)</f>
        <v>18695</v>
      </c>
      <c r="O304" s="1"/>
      <c r="P304" s="3">
        <v>0.60499999999999998</v>
      </c>
      <c r="Q304" s="1"/>
      <c r="S304" s="2"/>
      <c r="T304" s="1"/>
      <c r="U304" s="1"/>
      <c r="V304" s="1"/>
      <c r="Y304" s="1"/>
      <c r="AA304" s="1"/>
      <c r="AB304" s="1"/>
      <c r="AC304" s="1"/>
      <c r="AD304" s="1"/>
      <c r="AE304" s="1"/>
      <c r="AF304" s="1"/>
      <c r="AG304" s="1"/>
      <c r="AH304" s="13">
        <f>VLOOKUP(A304,'2024-25 DIBELS BOY '!A304:AP674,42,FALSE)</f>
        <v>0.53333333333333333</v>
      </c>
      <c r="AI304" s="1"/>
      <c r="AJ304" s="1"/>
      <c r="AK304" s="1"/>
      <c r="AL304" s="1"/>
      <c r="AM304" s="1"/>
    </row>
    <row r="305" spans="1:39" ht="12.3" x14ac:dyDescent="0.4">
      <c r="A305" s="1" t="s">
        <v>395</v>
      </c>
      <c r="B305" s="10">
        <f>VLOOKUP(A305,'[1]2025 KG Students'!$C$2:$D$630,2,FALSE)</f>
        <v>84508</v>
      </c>
      <c r="C305" s="1" t="s">
        <v>33</v>
      </c>
      <c r="D305" s="5" t="s">
        <v>7</v>
      </c>
      <c r="E305" s="5" t="s">
        <v>463</v>
      </c>
      <c r="F305" s="4" t="s">
        <v>465</v>
      </c>
      <c r="G305" s="4" t="s">
        <v>465</v>
      </c>
      <c r="I305" s="1" t="s">
        <v>16</v>
      </c>
      <c r="J305" s="1" t="s">
        <v>10</v>
      </c>
      <c r="K305" s="4" t="s">
        <v>464</v>
      </c>
      <c r="L305" s="1" t="s">
        <v>44</v>
      </c>
      <c r="M305" s="10">
        <f>VLOOKUP(L305,'[2]2025 Teachers (1)'!$C$2:$D$807,2,FALSE)</f>
        <v>15553</v>
      </c>
      <c r="O305" s="1"/>
      <c r="P305" s="3">
        <v>0.80666666666666664</v>
      </c>
      <c r="Q305" s="1"/>
      <c r="S305" s="2"/>
      <c r="T305" s="1"/>
      <c r="U305" s="2"/>
      <c r="V305" s="1"/>
      <c r="Y305" s="1"/>
      <c r="AA305" s="1"/>
      <c r="AB305" s="1"/>
      <c r="AC305" s="1"/>
      <c r="AD305" s="1"/>
      <c r="AE305" s="1"/>
      <c r="AF305" s="1"/>
      <c r="AG305" s="1"/>
      <c r="AH305" s="13">
        <f>VLOOKUP(A305,'2024-25 DIBELS BOY '!A305:AP675,42,FALSE)</f>
        <v>0.8</v>
      </c>
      <c r="AI305" s="1"/>
      <c r="AJ305" s="1"/>
      <c r="AK305" s="1"/>
      <c r="AL305" s="1"/>
      <c r="AM305" s="1"/>
    </row>
    <row r="306" spans="1:39" ht="12.3" x14ac:dyDescent="0.4">
      <c r="A306" s="1" t="s">
        <v>396</v>
      </c>
      <c r="B306" s="10">
        <f>VLOOKUP(A306,'[1]2025 KG Students'!$C$2:$D$630,2,FALSE)</f>
        <v>87309</v>
      </c>
      <c r="C306" s="1" t="s">
        <v>33</v>
      </c>
      <c r="D306" s="5" t="s">
        <v>7</v>
      </c>
      <c r="E306" s="5" t="s">
        <v>463</v>
      </c>
      <c r="F306" s="4" t="s">
        <v>465</v>
      </c>
      <c r="G306" s="4" t="s">
        <v>465</v>
      </c>
      <c r="I306" s="1" t="s">
        <v>8</v>
      </c>
      <c r="J306" s="1" t="s">
        <v>9</v>
      </c>
      <c r="K306" s="4" t="s">
        <v>464</v>
      </c>
      <c r="L306" s="1" t="s">
        <v>40</v>
      </c>
      <c r="M306" s="10">
        <f>VLOOKUP(L306,'[2]2025 Teachers (1)'!$C$2:$D$807,2,FALSE)</f>
        <v>18030</v>
      </c>
      <c r="O306" s="1"/>
      <c r="P306" s="3">
        <v>0.71166666666666667</v>
      </c>
      <c r="Q306" s="1"/>
      <c r="S306" s="2"/>
      <c r="T306" s="1"/>
      <c r="U306" s="2"/>
      <c r="V306" s="1"/>
      <c r="Y306" s="1"/>
      <c r="AA306" s="1"/>
      <c r="AB306" s="1"/>
      <c r="AC306" s="1"/>
      <c r="AD306" s="1"/>
      <c r="AE306" s="1"/>
      <c r="AF306" s="1"/>
      <c r="AG306" s="1"/>
      <c r="AH306" s="13">
        <f>VLOOKUP(A306,'2024-25 DIBELS BOY '!A306:AP676,42,FALSE)</f>
        <v>0.56999999999999995</v>
      </c>
      <c r="AI306" s="1"/>
      <c r="AJ306" s="1"/>
      <c r="AK306" s="1"/>
      <c r="AL306" s="1"/>
      <c r="AM306" s="1"/>
    </row>
    <row r="307" spans="1:39" ht="12.3" x14ac:dyDescent="0.4">
      <c r="A307" s="1" t="s">
        <v>397</v>
      </c>
      <c r="B307" s="10">
        <f>VLOOKUP(A307,'[1]2025 KG Students'!$C$2:$D$630,2,FALSE)</f>
        <v>85411</v>
      </c>
      <c r="C307" s="1" t="s">
        <v>33</v>
      </c>
      <c r="D307" s="5" t="s">
        <v>7</v>
      </c>
      <c r="E307" s="5" t="s">
        <v>463</v>
      </c>
      <c r="F307" s="4" t="s">
        <v>465</v>
      </c>
      <c r="G307" s="4" t="s">
        <v>465</v>
      </c>
      <c r="I307" s="1" t="s">
        <v>8</v>
      </c>
      <c r="J307" s="1" t="s">
        <v>9</v>
      </c>
      <c r="K307" s="4" t="s">
        <v>464</v>
      </c>
      <c r="L307" s="1" t="s">
        <v>41</v>
      </c>
      <c r="M307" s="10">
        <f>VLOOKUP(L307,'[2]2025 Teachers (1)'!$C$2:$D$807,2,FALSE)</f>
        <v>17400</v>
      </c>
      <c r="O307" s="1"/>
      <c r="P307" s="3">
        <v>0.72166666666666668</v>
      </c>
      <c r="Q307" s="1"/>
      <c r="S307" s="2"/>
      <c r="T307" s="1"/>
      <c r="U307" s="1"/>
      <c r="V307" s="1"/>
      <c r="Y307" s="1"/>
      <c r="AA307" s="1"/>
      <c r="AB307" s="1"/>
      <c r="AC307" s="1"/>
      <c r="AD307" s="1"/>
      <c r="AE307" s="1"/>
      <c r="AF307" s="1"/>
      <c r="AG307" s="1"/>
      <c r="AH307" s="13">
        <f>VLOOKUP(A307,'2024-25 DIBELS BOY '!A307:AP677,42,FALSE)</f>
        <v>0.56499999999999995</v>
      </c>
      <c r="AI307" s="1"/>
      <c r="AJ307" s="1"/>
      <c r="AK307" s="1"/>
      <c r="AL307" s="1"/>
      <c r="AM307" s="1"/>
    </row>
    <row r="308" spans="1:39" ht="12.3" x14ac:dyDescent="0.4">
      <c r="A308" s="1" t="s">
        <v>398</v>
      </c>
      <c r="B308" s="10">
        <f>VLOOKUP(A308,'[1]2025 KG Students'!$C$2:$D$630,2,FALSE)</f>
        <v>85228</v>
      </c>
      <c r="C308" s="1" t="s">
        <v>33</v>
      </c>
      <c r="D308" s="5" t="s">
        <v>7</v>
      </c>
      <c r="E308" s="5" t="s">
        <v>463</v>
      </c>
      <c r="F308" s="4" t="s">
        <v>465</v>
      </c>
      <c r="G308" s="4" t="s">
        <v>465</v>
      </c>
      <c r="I308" s="1" t="s">
        <v>29</v>
      </c>
      <c r="J308" s="1" t="s">
        <v>9</v>
      </c>
      <c r="K308" s="4" t="s">
        <v>464</v>
      </c>
      <c r="L308" s="1" t="s">
        <v>37</v>
      </c>
      <c r="M308" s="10">
        <f>VLOOKUP(L308,'[2]2025 Teachers (1)'!$C$2:$D$807,2,FALSE)</f>
        <v>11301</v>
      </c>
      <c r="O308" s="1"/>
      <c r="P308" s="3">
        <v>0.72333333333333338</v>
      </c>
      <c r="Q308" s="1"/>
      <c r="S308" s="2"/>
      <c r="T308" s="1"/>
      <c r="U308" s="1"/>
      <c r="V308" s="1"/>
      <c r="Y308" s="1"/>
      <c r="AA308" s="1"/>
      <c r="AB308" s="1"/>
      <c r="AC308" s="1"/>
      <c r="AD308" s="1"/>
      <c r="AE308" s="1"/>
      <c r="AF308" s="1"/>
      <c r="AG308" s="1"/>
      <c r="AH308" s="13">
        <f>VLOOKUP(A308,'2024-25 DIBELS BOY '!A308:AP678,42,FALSE)</f>
        <v>0.6216666666666667</v>
      </c>
      <c r="AI308" s="1"/>
      <c r="AJ308" s="1"/>
      <c r="AK308" s="1"/>
      <c r="AL308" s="1"/>
      <c r="AM308" s="1"/>
    </row>
    <row r="309" spans="1:39" ht="12.3" x14ac:dyDescent="0.4">
      <c r="A309" s="1" t="s">
        <v>399</v>
      </c>
      <c r="B309" s="10">
        <f>VLOOKUP(A309,'[1]2025 KG Students'!$C$2:$D$630,2,FALSE)</f>
        <v>88186</v>
      </c>
      <c r="C309" s="1" t="s">
        <v>33</v>
      </c>
      <c r="D309" s="5" t="s">
        <v>7</v>
      </c>
      <c r="E309" s="5" t="s">
        <v>463</v>
      </c>
      <c r="F309" s="4" t="s">
        <v>465</v>
      </c>
      <c r="G309" s="4" t="s">
        <v>465</v>
      </c>
      <c r="I309" s="1" t="s">
        <v>8</v>
      </c>
      <c r="J309" s="1" t="s">
        <v>9</v>
      </c>
      <c r="K309" s="4" t="s">
        <v>464</v>
      </c>
      <c r="L309" s="1" t="s">
        <v>39</v>
      </c>
      <c r="M309" s="10">
        <f>VLOOKUP(L309,'[2]2025 Teachers (1)'!$C$2:$D$807,2,FALSE)</f>
        <v>18695</v>
      </c>
      <c r="O309" s="1"/>
      <c r="P309" s="3">
        <v>0.54500000000000004</v>
      </c>
      <c r="Q309" s="1"/>
      <c r="S309" s="2"/>
      <c r="T309" s="1"/>
      <c r="U309" s="1"/>
      <c r="V309" s="1"/>
      <c r="Y309" s="1"/>
      <c r="AA309" s="1"/>
      <c r="AB309" s="1"/>
      <c r="AC309" s="1"/>
      <c r="AD309" s="1"/>
      <c r="AE309" s="1"/>
      <c r="AF309" s="1"/>
      <c r="AG309" s="1"/>
      <c r="AH309" s="13">
        <f>VLOOKUP(A309,'2024-25 DIBELS BOY '!A309:AP679,42,FALSE)</f>
        <v>0.44500000000000001</v>
      </c>
      <c r="AI309" s="1"/>
      <c r="AJ309" s="1"/>
      <c r="AK309" s="1"/>
      <c r="AL309" s="1"/>
      <c r="AM309" s="1"/>
    </row>
    <row r="310" spans="1:39" ht="12.3" x14ac:dyDescent="0.4">
      <c r="A310" s="1" t="s">
        <v>400</v>
      </c>
      <c r="B310" s="10">
        <f>VLOOKUP(A310,'[1]2025 KG Students'!$C$2:$D$630,2,FALSE)</f>
        <v>85360</v>
      </c>
      <c r="C310" s="1" t="s">
        <v>33</v>
      </c>
      <c r="D310" s="5" t="s">
        <v>7</v>
      </c>
      <c r="E310" s="5" t="s">
        <v>463</v>
      </c>
      <c r="F310" s="4" t="s">
        <v>465</v>
      </c>
      <c r="G310" s="4" t="s">
        <v>465</v>
      </c>
      <c r="I310" s="1" t="s">
        <v>16</v>
      </c>
      <c r="J310" s="1" t="s">
        <v>10</v>
      </c>
      <c r="K310" s="4" t="s">
        <v>464</v>
      </c>
      <c r="L310" s="1" t="s">
        <v>44</v>
      </c>
      <c r="M310" s="10">
        <f>VLOOKUP(L310,'[2]2025 Teachers (1)'!$C$2:$D$807,2,FALSE)</f>
        <v>15553</v>
      </c>
      <c r="O310" s="1"/>
      <c r="P310" s="3">
        <v>0.67333333333333334</v>
      </c>
      <c r="Q310" s="1"/>
      <c r="S310" s="2"/>
      <c r="T310" s="1"/>
      <c r="U310" s="2"/>
      <c r="V310" s="1"/>
      <c r="Y310" s="1"/>
      <c r="AA310" s="1"/>
      <c r="AB310" s="1"/>
      <c r="AC310" s="1"/>
      <c r="AD310" s="1"/>
      <c r="AE310" s="1"/>
      <c r="AF310" s="1"/>
      <c r="AG310" s="1"/>
      <c r="AH310" s="13">
        <f>VLOOKUP(A310,'2024-25 DIBELS BOY '!A310:AP680,42,FALSE)</f>
        <v>0.59499999999999997</v>
      </c>
      <c r="AI310" s="1"/>
      <c r="AJ310" s="1"/>
      <c r="AK310" s="1"/>
      <c r="AL310" s="1"/>
      <c r="AM310" s="1"/>
    </row>
    <row r="311" spans="1:39" ht="12.3" x14ac:dyDescent="0.4">
      <c r="A311" s="1" t="s">
        <v>401</v>
      </c>
      <c r="B311" s="10">
        <f>VLOOKUP(A311,'[1]2025 KG Students'!$C$2:$D$630,2,FALSE)</f>
        <v>86353</v>
      </c>
      <c r="C311" s="1" t="s">
        <v>33</v>
      </c>
      <c r="D311" s="5" t="s">
        <v>7</v>
      </c>
      <c r="E311" s="5" t="s">
        <v>463</v>
      </c>
      <c r="F311" s="4" t="s">
        <v>465</v>
      </c>
      <c r="G311" s="4" t="s">
        <v>465</v>
      </c>
      <c r="I311" s="1" t="s">
        <v>16</v>
      </c>
      <c r="J311" s="1" t="s">
        <v>10</v>
      </c>
      <c r="K311" s="4" t="s">
        <v>464</v>
      </c>
      <c r="L311" s="1" t="s">
        <v>40</v>
      </c>
      <c r="M311" s="10">
        <f>VLOOKUP(L311,'[2]2025 Teachers (1)'!$C$2:$D$807,2,FALSE)</f>
        <v>18030</v>
      </c>
      <c r="O311" s="1"/>
      <c r="P311" s="3">
        <v>0.63666666666666671</v>
      </c>
      <c r="Q311" s="1"/>
      <c r="S311" s="2"/>
      <c r="T311" s="1"/>
      <c r="U311" s="1"/>
      <c r="V311" s="1"/>
      <c r="Y311" s="1"/>
      <c r="AA311" s="1"/>
      <c r="AB311" s="1"/>
      <c r="AC311" s="1"/>
      <c r="AD311" s="1"/>
      <c r="AE311" s="1"/>
      <c r="AF311" s="1"/>
      <c r="AG311" s="1"/>
      <c r="AH311" s="13">
        <f>VLOOKUP(A311,'2024-25 DIBELS BOY '!A311:AP681,42,FALSE)</f>
        <v>0.53500000000000003</v>
      </c>
      <c r="AI311" s="1"/>
      <c r="AJ311" s="1"/>
      <c r="AK311" s="1"/>
      <c r="AL311" s="1"/>
      <c r="AM311" s="1"/>
    </row>
    <row r="312" spans="1:39" ht="12.3" x14ac:dyDescent="0.4">
      <c r="A312" s="1" t="s">
        <v>402</v>
      </c>
      <c r="B312" s="10">
        <f>VLOOKUP(A312,'[1]2025 KG Students'!$C$2:$D$630,2,FALSE)</f>
        <v>85769</v>
      </c>
      <c r="C312" s="1" t="s">
        <v>33</v>
      </c>
      <c r="D312" s="5" t="s">
        <v>7</v>
      </c>
      <c r="E312" s="5" t="s">
        <v>463</v>
      </c>
      <c r="F312" s="4" t="s">
        <v>465</v>
      </c>
      <c r="G312" s="4" t="s">
        <v>465</v>
      </c>
      <c r="I312" s="1" t="s">
        <v>16</v>
      </c>
      <c r="J312" s="1" t="s">
        <v>10</v>
      </c>
      <c r="K312" s="4" t="s">
        <v>464</v>
      </c>
      <c r="L312" s="1" t="s">
        <v>34</v>
      </c>
      <c r="M312" s="10">
        <f>VLOOKUP(L312,'[2]2025 Teachers (1)'!$C$2:$D$807,2,FALSE)</f>
        <v>18232</v>
      </c>
      <c r="O312" s="1"/>
      <c r="P312" s="3">
        <v>0.70166666666666666</v>
      </c>
      <c r="Q312" s="1"/>
      <c r="S312" s="2"/>
      <c r="T312" s="1"/>
      <c r="U312" s="1"/>
      <c r="V312" s="1"/>
      <c r="Y312" s="1"/>
      <c r="AA312" s="1"/>
      <c r="AB312" s="1"/>
      <c r="AC312" s="1"/>
      <c r="AD312" s="1"/>
      <c r="AE312" s="1"/>
      <c r="AF312" s="1"/>
      <c r="AG312" s="1"/>
      <c r="AH312" s="13">
        <f>VLOOKUP(A312,'2024-25 DIBELS BOY '!A312:AP682,42,FALSE)</f>
        <v>0.52166666666666661</v>
      </c>
      <c r="AI312" s="1"/>
      <c r="AJ312" s="1"/>
      <c r="AK312" s="1"/>
      <c r="AL312" s="1"/>
      <c r="AM312" s="1"/>
    </row>
    <row r="313" spans="1:39" ht="12.3" x14ac:dyDescent="0.4">
      <c r="A313" s="1" t="s">
        <v>405</v>
      </c>
      <c r="B313" s="10">
        <f>VLOOKUP(A313,'[1]2025 KG Students'!$C$2:$D$630,2,FALSE)</f>
        <v>85207</v>
      </c>
      <c r="C313" s="1" t="s">
        <v>33</v>
      </c>
      <c r="D313" s="5" t="s">
        <v>7</v>
      </c>
      <c r="E313" s="5" t="s">
        <v>463</v>
      </c>
      <c r="F313" s="4" t="s">
        <v>465</v>
      </c>
      <c r="G313" s="4" t="s">
        <v>465</v>
      </c>
      <c r="I313" s="1" t="s">
        <v>8</v>
      </c>
      <c r="J313" s="1" t="s">
        <v>9</v>
      </c>
      <c r="K313" s="4" t="s">
        <v>464</v>
      </c>
      <c r="L313" s="1" t="s">
        <v>34</v>
      </c>
      <c r="M313" s="10">
        <f>VLOOKUP(L313,'[2]2025 Teachers (1)'!$C$2:$D$807,2,FALSE)</f>
        <v>18232</v>
      </c>
      <c r="O313" s="1"/>
      <c r="P313" s="3">
        <v>0.65333333333333332</v>
      </c>
      <c r="Q313" s="1"/>
      <c r="S313" s="2"/>
      <c r="T313" s="1"/>
      <c r="U313" s="1"/>
      <c r="V313" s="1"/>
      <c r="Y313" s="1"/>
      <c r="AA313" s="1"/>
      <c r="AB313" s="1"/>
      <c r="AC313" s="1"/>
      <c r="AD313" s="1"/>
      <c r="AE313" s="1"/>
      <c r="AF313" s="1"/>
      <c r="AG313" s="1"/>
      <c r="AH313" s="13">
        <f>VLOOKUP(A313,'2024-25 DIBELS BOY '!A313:AP683,42,FALSE)</f>
        <v>0.53833333333333333</v>
      </c>
      <c r="AI313" s="1"/>
      <c r="AJ313" s="1"/>
      <c r="AK313" s="1"/>
      <c r="AL313" s="1"/>
      <c r="AM313" s="1"/>
    </row>
    <row r="314" spans="1:39" ht="12.3" x14ac:dyDescent="0.4">
      <c r="A314" s="1" t="s">
        <v>406</v>
      </c>
      <c r="B314" s="10">
        <f>VLOOKUP(A314,'[1]2025 KG Students'!$C$2:$D$630,2,FALSE)</f>
        <v>86181</v>
      </c>
      <c r="C314" s="1" t="s">
        <v>33</v>
      </c>
      <c r="D314" s="5" t="s">
        <v>7</v>
      </c>
      <c r="E314" s="5" t="s">
        <v>463</v>
      </c>
      <c r="F314" s="4" t="s">
        <v>465</v>
      </c>
      <c r="G314" s="4" t="s">
        <v>465</v>
      </c>
      <c r="I314" s="1" t="s">
        <v>8</v>
      </c>
      <c r="J314" s="1" t="s">
        <v>9</v>
      </c>
      <c r="K314" s="4" t="s">
        <v>464</v>
      </c>
      <c r="L314" s="1" t="s">
        <v>40</v>
      </c>
      <c r="M314" s="10">
        <f>VLOOKUP(L314,'[2]2025 Teachers (1)'!$C$2:$D$807,2,FALSE)</f>
        <v>18030</v>
      </c>
      <c r="O314" s="1"/>
      <c r="P314" s="3">
        <v>0.60833333333333328</v>
      </c>
      <c r="Q314" s="1"/>
      <c r="S314" s="2"/>
      <c r="T314" s="1"/>
      <c r="U314" s="2"/>
      <c r="V314" s="1"/>
      <c r="Y314" s="1"/>
      <c r="AA314" s="1"/>
      <c r="AB314" s="1"/>
      <c r="AC314" s="1"/>
      <c r="AD314" s="1"/>
      <c r="AE314" s="1"/>
      <c r="AF314" s="1"/>
      <c r="AG314" s="1"/>
      <c r="AH314" s="13">
        <f>VLOOKUP(A314,'2024-25 DIBELS BOY '!A314:AP684,42,FALSE)</f>
        <v>0.44833333333333331</v>
      </c>
      <c r="AI314" s="1"/>
      <c r="AJ314" s="1"/>
      <c r="AK314" s="1"/>
      <c r="AL314" s="1"/>
      <c r="AM314" s="1"/>
    </row>
    <row r="315" spans="1:39" ht="12.3" x14ac:dyDescent="0.4">
      <c r="A315" s="1" t="s">
        <v>407</v>
      </c>
      <c r="B315" s="10">
        <f>VLOOKUP(A315,'[1]2025 KG Students'!$C$2:$D$630,2,FALSE)</f>
        <v>85491</v>
      </c>
      <c r="C315" s="1" t="s">
        <v>33</v>
      </c>
      <c r="D315" s="5" t="s">
        <v>7</v>
      </c>
      <c r="E315" s="5" t="s">
        <v>463</v>
      </c>
      <c r="F315" s="4" t="s">
        <v>465</v>
      </c>
      <c r="G315" s="4" t="s">
        <v>465</v>
      </c>
      <c r="I315" s="1" t="s">
        <v>29</v>
      </c>
      <c r="J315" s="1" t="s">
        <v>9</v>
      </c>
      <c r="K315" s="4" t="s">
        <v>464</v>
      </c>
      <c r="L315" s="1" t="s">
        <v>43</v>
      </c>
      <c r="M315" s="10">
        <f>VLOOKUP(L315,'[2]2025 Teachers (1)'!$C$2:$D$807,2,FALSE)</f>
        <v>18846</v>
      </c>
      <c r="O315" s="1"/>
      <c r="P315" s="3">
        <v>0.62666666666666671</v>
      </c>
      <c r="Q315" s="1"/>
      <c r="S315" s="2"/>
      <c r="T315" s="1"/>
      <c r="U315" s="2"/>
      <c r="V315" s="1"/>
      <c r="Y315" s="1"/>
      <c r="AA315" s="1"/>
      <c r="AB315" s="1"/>
      <c r="AC315" s="1"/>
      <c r="AD315" s="1"/>
      <c r="AE315" s="1"/>
      <c r="AF315" s="1"/>
      <c r="AG315" s="1"/>
      <c r="AH315" s="13">
        <f>VLOOKUP(A315,'2024-25 DIBELS BOY '!A315:AP685,42,FALSE)</f>
        <v>0.61166666666666669</v>
      </c>
      <c r="AI315" s="1"/>
      <c r="AJ315" s="1"/>
      <c r="AK315" s="1"/>
      <c r="AL315" s="1"/>
      <c r="AM315" s="1"/>
    </row>
    <row r="316" spans="1:39" ht="12.3" x14ac:dyDescent="0.4">
      <c r="A316" s="1" t="s">
        <v>408</v>
      </c>
      <c r="B316" s="10">
        <f>VLOOKUP(A316,'[1]2025 KG Students'!$C$2:$D$630,2,FALSE)</f>
        <v>85095</v>
      </c>
      <c r="C316" s="1" t="s">
        <v>33</v>
      </c>
      <c r="D316" s="5" t="s">
        <v>7</v>
      </c>
      <c r="E316" s="5" t="s">
        <v>463</v>
      </c>
      <c r="F316" s="4" t="s">
        <v>465</v>
      </c>
      <c r="G316" s="4" t="s">
        <v>465</v>
      </c>
      <c r="I316" s="1" t="s">
        <v>16</v>
      </c>
      <c r="J316" s="1" t="s">
        <v>10</v>
      </c>
      <c r="K316" s="4" t="s">
        <v>464</v>
      </c>
      <c r="L316" s="1" t="s">
        <v>43</v>
      </c>
      <c r="M316" s="10">
        <f>VLOOKUP(L316,'[2]2025 Teachers (1)'!$C$2:$D$807,2,FALSE)</f>
        <v>18846</v>
      </c>
      <c r="O316" s="1"/>
      <c r="P316" s="3">
        <v>0.53666666666666663</v>
      </c>
      <c r="Q316" s="1"/>
      <c r="S316" s="2"/>
      <c r="T316" s="1"/>
      <c r="U316" s="1"/>
      <c r="V316" s="1"/>
      <c r="Y316" s="1"/>
      <c r="AA316" s="1"/>
      <c r="AB316" s="1"/>
      <c r="AC316" s="1"/>
      <c r="AD316" s="1"/>
      <c r="AE316" s="1"/>
      <c r="AF316" s="1"/>
      <c r="AG316" s="1"/>
      <c r="AH316" s="13">
        <f>VLOOKUP(A316,'2024-25 DIBELS BOY '!A316:AP686,42,FALSE)</f>
        <v>0.42333333333333334</v>
      </c>
      <c r="AI316" s="1"/>
      <c r="AJ316" s="1"/>
      <c r="AK316" s="1"/>
      <c r="AL316" s="1"/>
      <c r="AM316" s="1"/>
    </row>
    <row r="317" spans="1:39" ht="12.3" x14ac:dyDescent="0.4">
      <c r="A317" s="1" t="s">
        <v>409</v>
      </c>
      <c r="B317" s="10">
        <f>VLOOKUP(A317,'[1]2025 KG Students'!$C$2:$D$630,2,FALSE)</f>
        <v>85691</v>
      </c>
      <c r="C317" s="1" t="s">
        <v>33</v>
      </c>
      <c r="D317" s="5" t="s">
        <v>7</v>
      </c>
      <c r="E317" s="5" t="s">
        <v>463</v>
      </c>
      <c r="F317" s="4" t="s">
        <v>465</v>
      </c>
      <c r="G317" s="4" t="s">
        <v>465</v>
      </c>
      <c r="I317" s="1" t="s">
        <v>16</v>
      </c>
      <c r="J317" s="1" t="s">
        <v>10</v>
      </c>
      <c r="K317" s="4" t="s">
        <v>464</v>
      </c>
      <c r="L317" s="1" t="s">
        <v>41</v>
      </c>
      <c r="M317" s="10">
        <f>VLOOKUP(L317,'[2]2025 Teachers (1)'!$C$2:$D$807,2,FALSE)</f>
        <v>17400</v>
      </c>
      <c r="O317" s="1"/>
      <c r="P317" s="3">
        <v>0.68666666666666665</v>
      </c>
      <c r="Q317" s="1"/>
      <c r="S317" s="2"/>
      <c r="T317" s="1"/>
      <c r="U317" s="2"/>
      <c r="V317" s="1"/>
      <c r="Y317" s="1"/>
      <c r="AA317" s="1"/>
      <c r="AB317" s="1"/>
      <c r="AC317" s="1"/>
      <c r="AD317" s="1"/>
      <c r="AE317" s="1"/>
      <c r="AF317" s="1"/>
      <c r="AG317" s="1"/>
      <c r="AH317" s="13">
        <f>VLOOKUP(A317,'2024-25 DIBELS BOY '!A317:AP687,42,FALSE)</f>
        <v>0.55500000000000005</v>
      </c>
      <c r="AI317" s="1"/>
      <c r="AJ317" s="1"/>
      <c r="AK317" s="1"/>
      <c r="AL317" s="1"/>
      <c r="AM317" s="1"/>
    </row>
    <row r="318" spans="1:39" ht="12.3" x14ac:dyDescent="0.4">
      <c r="A318" s="1" t="s">
        <v>410</v>
      </c>
      <c r="B318" s="10">
        <f>VLOOKUP(A318,'[1]2025 KG Students'!$C$2:$D$630,2,FALSE)</f>
        <v>85726</v>
      </c>
      <c r="C318" s="1" t="s">
        <v>33</v>
      </c>
      <c r="D318" s="5" t="s">
        <v>7</v>
      </c>
      <c r="E318" s="5" t="s">
        <v>463</v>
      </c>
      <c r="F318" s="4" t="s">
        <v>465</v>
      </c>
      <c r="G318" s="4" t="s">
        <v>465</v>
      </c>
      <c r="I318" s="1" t="s">
        <v>16</v>
      </c>
      <c r="J318" s="1" t="s">
        <v>10</v>
      </c>
      <c r="K318" s="4" t="s">
        <v>464</v>
      </c>
      <c r="L318" s="1" t="s">
        <v>43</v>
      </c>
      <c r="M318" s="10">
        <f>VLOOKUP(L318,'[2]2025 Teachers (1)'!$C$2:$D$807,2,FALSE)</f>
        <v>18846</v>
      </c>
      <c r="O318" s="1"/>
      <c r="P318" s="3">
        <v>0.56000000000000005</v>
      </c>
      <c r="Q318" s="1"/>
      <c r="S318" s="2"/>
      <c r="T318" s="1"/>
      <c r="U318" s="1"/>
      <c r="V318" s="1"/>
      <c r="Y318" s="1"/>
      <c r="AA318" s="1"/>
      <c r="AB318" s="1"/>
      <c r="AC318" s="1"/>
      <c r="AD318" s="1"/>
      <c r="AE318" s="1"/>
      <c r="AF318" s="1"/>
      <c r="AG318" s="1"/>
      <c r="AH318" s="13">
        <f>VLOOKUP(A318,'2024-25 DIBELS BOY '!A318:AP688,42,FALSE)</f>
        <v>0.45500000000000002</v>
      </c>
      <c r="AI318" s="1"/>
      <c r="AJ318" s="1"/>
      <c r="AK318" s="1"/>
      <c r="AL318" s="1"/>
      <c r="AM318" s="1"/>
    </row>
    <row r="319" spans="1:39" ht="12.3" x14ac:dyDescent="0.4">
      <c r="A319" s="1" t="s">
        <v>411</v>
      </c>
      <c r="B319" s="10">
        <f>VLOOKUP(A319,'[1]2025 KG Students'!$C$2:$D$630,2,FALSE)</f>
        <v>86208</v>
      </c>
      <c r="C319" s="1" t="s">
        <v>33</v>
      </c>
      <c r="D319" s="5" t="s">
        <v>7</v>
      </c>
      <c r="E319" s="5" t="s">
        <v>463</v>
      </c>
      <c r="F319" s="4" t="s">
        <v>465</v>
      </c>
      <c r="G319" s="4" t="s">
        <v>465</v>
      </c>
      <c r="I319" s="1" t="s">
        <v>16</v>
      </c>
      <c r="J319" s="1" t="s">
        <v>10</v>
      </c>
      <c r="K319" s="4" t="s">
        <v>464</v>
      </c>
      <c r="L319" s="1" t="s">
        <v>35</v>
      </c>
      <c r="M319" s="10">
        <f>VLOOKUP(L319,'[2]2025 Teachers (1)'!$C$2:$D$807,2,FALSE)</f>
        <v>14129</v>
      </c>
      <c r="O319" s="1"/>
      <c r="P319" s="3">
        <v>0.6166666666666667</v>
      </c>
      <c r="Q319" s="1"/>
      <c r="S319" s="2"/>
      <c r="T319" s="1"/>
      <c r="U319" s="1"/>
      <c r="V319" s="1"/>
      <c r="Y319" s="1"/>
      <c r="AA319" s="1"/>
      <c r="AB319" s="1"/>
      <c r="AC319" s="1"/>
      <c r="AD319" s="1"/>
      <c r="AE319" s="1"/>
      <c r="AF319" s="1"/>
      <c r="AG319" s="1"/>
      <c r="AH319" s="13">
        <f>VLOOKUP(A319,'2024-25 DIBELS BOY '!A319:AP689,42,FALSE)</f>
        <v>0.51333333333333331</v>
      </c>
      <c r="AI319" s="1"/>
      <c r="AJ319" s="1"/>
      <c r="AK319" s="1"/>
      <c r="AL319" s="1"/>
      <c r="AM319" s="1"/>
    </row>
    <row r="320" spans="1:39" ht="12.3" x14ac:dyDescent="0.4">
      <c r="A320" s="1" t="s">
        <v>412</v>
      </c>
      <c r="B320" s="10">
        <f>VLOOKUP(A320,'[1]2025 KG Students'!$C$2:$D$630,2,FALSE)</f>
        <v>85195</v>
      </c>
      <c r="C320" s="1" t="s">
        <v>33</v>
      </c>
      <c r="D320" s="5" t="s">
        <v>7</v>
      </c>
      <c r="E320" s="5" t="s">
        <v>463</v>
      </c>
      <c r="F320" s="4" t="s">
        <v>465</v>
      </c>
      <c r="G320" s="4" t="s">
        <v>465</v>
      </c>
      <c r="I320" s="1" t="s">
        <v>16</v>
      </c>
      <c r="J320" s="1" t="s">
        <v>10</v>
      </c>
      <c r="K320" s="4" t="s">
        <v>464</v>
      </c>
      <c r="L320" s="1" t="s">
        <v>35</v>
      </c>
      <c r="M320" s="10">
        <f>VLOOKUP(L320,'[2]2025 Teachers (1)'!$C$2:$D$807,2,FALSE)</f>
        <v>14129</v>
      </c>
      <c r="O320" s="1"/>
      <c r="P320" s="3">
        <v>0.60833333333333328</v>
      </c>
      <c r="Q320" s="1"/>
      <c r="S320" s="2"/>
      <c r="T320" s="1"/>
      <c r="U320" s="2"/>
      <c r="V320" s="1"/>
      <c r="Y320" s="1"/>
      <c r="AA320" s="1"/>
      <c r="AB320" s="1"/>
      <c r="AC320" s="1"/>
      <c r="AD320" s="1"/>
      <c r="AE320" s="1"/>
      <c r="AF320" s="1"/>
      <c r="AG320" s="1"/>
      <c r="AH320" s="13">
        <f>VLOOKUP(A320,'2024-25 DIBELS BOY '!A320:AP690,42,FALSE)</f>
        <v>0.53666666666666663</v>
      </c>
      <c r="AI320" s="1"/>
      <c r="AJ320" s="1"/>
      <c r="AK320" s="1"/>
      <c r="AL320" s="1"/>
      <c r="AM320" s="1"/>
    </row>
    <row r="321" spans="1:39" ht="12.3" x14ac:dyDescent="0.4">
      <c r="A321" s="1" t="s">
        <v>413</v>
      </c>
      <c r="B321" s="10">
        <f>VLOOKUP(A321,'[1]2025 KG Students'!$C$2:$D$630,2,FALSE)</f>
        <v>85105</v>
      </c>
      <c r="C321" s="1" t="s">
        <v>33</v>
      </c>
      <c r="D321" s="5" t="s">
        <v>7</v>
      </c>
      <c r="E321" s="5" t="s">
        <v>463</v>
      </c>
      <c r="F321" s="4" t="s">
        <v>465</v>
      </c>
      <c r="G321" s="4" t="s">
        <v>465</v>
      </c>
      <c r="I321" s="1" t="s">
        <v>16</v>
      </c>
      <c r="J321" s="1" t="s">
        <v>10</v>
      </c>
      <c r="K321" s="4" t="s">
        <v>464</v>
      </c>
      <c r="L321" s="1" t="s">
        <v>38</v>
      </c>
      <c r="M321" s="10">
        <f>VLOOKUP(L321,'[2]2025 Teachers (1)'!$C$2:$D$807,2,FALSE)</f>
        <v>12216</v>
      </c>
      <c r="O321" s="1"/>
      <c r="P321" s="3">
        <v>0.59166666666666667</v>
      </c>
      <c r="Q321" s="1"/>
      <c r="S321" s="2"/>
      <c r="T321" s="1"/>
      <c r="U321" s="1"/>
      <c r="V321" s="1"/>
      <c r="Y321" s="1"/>
      <c r="AA321" s="1"/>
      <c r="AB321" s="1"/>
      <c r="AC321" s="1"/>
      <c r="AD321" s="1"/>
      <c r="AE321" s="1"/>
      <c r="AF321" s="1"/>
      <c r="AG321" s="1"/>
      <c r="AH321" s="13">
        <f>VLOOKUP(A321,'2024-25 DIBELS BOY '!A321:AP691,42,FALSE)</f>
        <v>0.49333333333333335</v>
      </c>
      <c r="AI321" s="1"/>
      <c r="AJ321" s="1"/>
      <c r="AK321" s="1"/>
      <c r="AL321" s="1"/>
      <c r="AM321" s="1"/>
    </row>
    <row r="322" spans="1:39" ht="12.3" x14ac:dyDescent="0.4">
      <c r="A322" s="1" t="s">
        <v>414</v>
      </c>
      <c r="B322" s="10">
        <f>VLOOKUP(A322,'[1]2025 KG Students'!$C$2:$D$630,2,FALSE)</f>
        <v>88807</v>
      </c>
      <c r="C322" s="1" t="s">
        <v>33</v>
      </c>
      <c r="D322" s="5" t="s">
        <v>7</v>
      </c>
      <c r="E322" s="5" t="s">
        <v>463</v>
      </c>
      <c r="F322" s="4" t="s">
        <v>465</v>
      </c>
      <c r="G322" s="4" t="s">
        <v>465</v>
      </c>
      <c r="I322" s="1" t="s">
        <v>16</v>
      </c>
      <c r="J322" s="1" t="s">
        <v>10</v>
      </c>
      <c r="K322" s="4" t="s">
        <v>464</v>
      </c>
      <c r="L322" s="1" t="s">
        <v>36</v>
      </c>
      <c r="M322" s="10">
        <f>VLOOKUP(L322,'[2]2025 Teachers (1)'!$C$2:$D$807,2,FALSE)</f>
        <v>10374</v>
      </c>
      <c r="O322" s="1"/>
      <c r="P322" s="3">
        <v>0.53666666666666663</v>
      </c>
      <c r="Q322" s="1"/>
      <c r="S322" s="2"/>
      <c r="T322" s="1"/>
      <c r="U322" s="1"/>
      <c r="V322" s="1"/>
      <c r="Y322" s="1"/>
      <c r="AA322" s="1"/>
      <c r="AB322" s="1"/>
      <c r="AC322" s="1"/>
      <c r="AD322" s="1"/>
      <c r="AE322" s="1"/>
      <c r="AF322" s="1"/>
      <c r="AG322" s="1"/>
      <c r="AH322" s="13" t="e">
        <f>VLOOKUP(A322,'2024-25 DIBELS BOY '!A322:AP692,42,FALSE)</f>
        <v>#N/A</v>
      </c>
      <c r="AI322" s="1"/>
      <c r="AJ322" s="1"/>
      <c r="AK322" s="1"/>
      <c r="AL322" s="1"/>
      <c r="AM322" s="1"/>
    </row>
    <row r="323" spans="1:39" ht="12.3" x14ac:dyDescent="0.4">
      <c r="A323" s="1" t="s">
        <v>415</v>
      </c>
      <c r="B323" s="10">
        <f>VLOOKUP(A323,'[1]2025 KG Students'!$C$2:$D$630,2,FALSE)</f>
        <v>85822</v>
      </c>
      <c r="C323" s="1" t="s">
        <v>33</v>
      </c>
      <c r="D323" s="5" t="s">
        <v>7</v>
      </c>
      <c r="E323" s="5" t="s">
        <v>463</v>
      </c>
      <c r="F323" s="4" t="s">
        <v>465</v>
      </c>
      <c r="G323" s="4" t="s">
        <v>465</v>
      </c>
      <c r="I323" s="1" t="s">
        <v>29</v>
      </c>
      <c r="J323" s="1" t="s">
        <v>9</v>
      </c>
      <c r="K323" s="4" t="s">
        <v>464</v>
      </c>
      <c r="L323" s="1" t="s">
        <v>37</v>
      </c>
      <c r="M323" s="10">
        <f>VLOOKUP(L323,'[2]2025 Teachers (1)'!$C$2:$D$807,2,FALSE)</f>
        <v>11301</v>
      </c>
      <c r="O323" s="1"/>
      <c r="P323" s="3">
        <v>0.65500000000000003</v>
      </c>
      <c r="Q323" s="1"/>
      <c r="S323" s="2"/>
      <c r="T323" s="1"/>
      <c r="U323" s="1"/>
      <c r="V323" s="1"/>
      <c r="Y323" s="1"/>
      <c r="AA323" s="1"/>
      <c r="AB323" s="1"/>
      <c r="AC323" s="1"/>
      <c r="AD323" s="1"/>
      <c r="AE323" s="1"/>
      <c r="AF323" s="1"/>
      <c r="AG323" s="1"/>
      <c r="AH323" s="13">
        <f>VLOOKUP(A323,'2024-25 DIBELS BOY '!A323:AP693,42,FALSE)</f>
        <v>0.59666666666666668</v>
      </c>
      <c r="AI323" s="1"/>
      <c r="AJ323" s="1"/>
      <c r="AK323" s="1"/>
      <c r="AL323" s="1"/>
      <c r="AM323" s="1"/>
    </row>
    <row r="324" spans="1:39" ht="12.3" x14ac:dyDescent="0.4">
      <c r="A324" s="1" t="s">
        <v>416</v>
      </c>
      <c r="B324" s="10" t="e">
        <f>VLOOKUP(A324,'[1]2025 KG Students'!$C$2:$D$630,2,FALSE)</f>
        <v>#N/A</v>
      </c>
      <c r="C324" s="1" t="s">
        <v>33</v>
      </c>
      <c r="D324" s="5" t="s">
        <v>7</v>
      </c>
      <c r="E324" s="5" t="s">
        <v>463</v>
      </c>
      <c r="F324" s="4" t="s">
        <v>465</v>
      </c>
      <c r="G324" s="4" t="s">
        <v>465</v>
      </c>
      <c r="I324" s="1" t="s">
        <v>16</v>
      </c>
      <c r="J324" s="1" t="s">
        <v>10</v>
      </c>
      <c r="K324" s="4" t="s">
        <v>464</v>
      </c>
      <c r="L324" s="1" t="s">
        <v>41</v>
      </c>
      <c r="M324" s="10">
        <f>VLOOKUP(L324,'[2]2025 Teachers (1)'!$C$2:$D$807,2,FALSE)</f>
        <v>17400</v>
      </c>
      <c r="O324" s="1"/>
      <c r="P324" s="3">
        <v>0.61333333333333329</v>
      </c>
      <c r="Q324" s="1"/>
      <c r="S324" s="2"/>
      <c r="T324" s="1"/>
      <c r="U324" s="1"/>
      <c r="V324" s="1"/>
      <c r="Y324" s="1"/>
      <c r="AA324" s="1"/>
      <c r="AB324" s="1"/>
      <c r="AC324" s="1"/>
      <c r="AD324" s="1"/>
      <c r="AE324" s="1"/>
      <c r="AF324" s="1"/>
      <c r="AG324" s="1"/>
      <c r="AH324" s="13">
        <f>VLOOKUP(A324,'2024-25 DIBELS BOY '!A324:AP694,42,FALSE)</f>
        <v>0.44666666666666666</v>
      </c>
      <c r="AI324" s="1"/>
      <c r="AJ324" s="1"/>
      <c r="AK324" s="1"/>
      <c r="AL324" s="1"/>
      <c r="AM324" s="1"/>
    </row>
    <row r="325" spans="1:39" ht="12.3" x14ac:dyDescent="0.4">
      <c r="A325" s="1" t="s">
        <v>417</v>
      </c>
      <c r="B325" s="10">
        <f>VLOOKUP(A325,'[1]2025 KG Students'!$C$2:$D$630,2,FALSE)</f>
        <v>85114</v>
      </c>
      <c r="C325" s="1" t="s">
        <v>33</v>
      </c>
      <c r="D325" s="5" t="s">
        <v>7</v>
      </c>
      <c r="E325" s="5" t="s">
        <v>463</v>
      </c>
      <c r="F325" s="4" t="s">
        <v>465</v>
      </c>
      <c r="G325" s="4" t="s">
        <v>465</v>
      </c>
      <c r="I325" s="1" t="s">
        <v>8</v>
      </c>
      <c r="J325" s="1" t="s">
        <v>9</v>
      </c>
      <c r="K325" s="4" t="s">
        <v>464</v>
      </c>
      <c r="L325" s="1" t="s">
        <v>39</v>
      </c>
      <c r="M325" s="10">
        <f>VLOOKUP(L325,'[2]2025 Teachers (1)'!$C$2:$D$807,2,FALSE)</f>
        <v>18695</v>
      </c>
      <c r="O325" s="1"/>
      <c r="P325" s="3">
        <v>0.625</v>
      </c>
      <c r="Q325" s="1"/>
      <c r="S325" s="2"/>
      <c r="T325" s="1"/>
      <c r="U325" s="1"/>
      <c r="V325" s="1"/>
      <c r="Y325" s="1"/>
      <c r="AA325" s="1"/>
      <c r="AB325" s="1"/>
      <c r="AC325" s="1"/>
      <c r="AD325" s="1"/>
      <c r="AE325" s="1"/>
      <c r="AF325" s="1"/>
      <c r="AG325" s="1"/>
      <c r="AH325" s="13">
        <f>VLOOKUP(A325,'2024-25 DIBELS BOY '!A325:AP695,42,FALSE)</f>
        <v>0.54166666666666663</v>
      </c>
      <c r="AI325" s="1"/>
      <c r="AJ325" s="1"/>
      <c r="AK325" s="1"/>
      <c r="AL325" s="1"/>
      <c r="AM325" s="1"/>
    </row>
    <row r="326" spans="1:39" ht="12.3" x14ac:dyDescent="0.4">
      <c r="A326" s="1" t="s">
        <v>418</v>
      </c>
      <c r="B326" s="10">
        <f>VLOOKUP(A326,'[1]2025 KG Students'!$C$2:$D$630,2,FALSE)</f>
        <v>86882</v>
      </c>
      <c r="C326" s="1" t="s">
        <v>33</v>
      </c>
      <c r="D326" s="5" t="s">
        <v>7</v>
      </c>
      <c r="E326" s="5" t="s">
        <v>463</v>
      </c>
      <c r="F326" s="4" t="s">
        <v>465</v>
      </c>
      <c r="G326" s="4" t="s">
        <v>465</v>
      </c>
      <c r="I326" s="1" t="s">
        <v>8</v>
      </c>
      <c r="J326" s="1" t="s">
        <v>9</v>
      </c>
      <c r="K326" s="4" t="s">
        <v>464</v>
      </c>
      <c r="L326" s="1" t="s">
        <v>38</v>
      </c>
      <c r="M326" s="10">
        <f>VLOOKUP(L326,'[2]2025 Teachers (1)'!$C$2:$D$807,2,FALSE)</f>
        <v>12216</v>
      </c>
      <c r="O326" s="1"/>
      <c r="P326" s="3">
        <v>0.755</v>
      </c>
      <c r="Q326" s="1"/>
      <c r="S326" s="2"/>
      <c r="T326" s="1"/>
      <c r="U326" s="2"/>
      <c r="V326" s="1"/>
      <c r="Y326" s="1"/>
      <c r="AA326" s="1"/>
      <c r="AB326" s="1"/>
      <c r="AC326" s="1"/>
      <c r="AD326" s="1"/>
      <c r="AE326" s="1"/>
      <c r="AF326" s="1"/>
      <c r="AG326" s="1"/>
      <c r="AH326" s="13">
        <f>VLOOKUP(A326,'2024-25 DIBELS BOY '!A326:AP696,42,FALSE)</f>
        <v>0.68500000000000005</v>
      </c>
      <c r="AI326" s="1"/>
      <c r="AJ326" s="1"/>
      <c r="AK326" s="1"/>
      <c r="AL326" s="1"/>
      <c r="AM326" s="1"/>
    </row>
    <row r="327" spans="1:39" ht="12.3" x14ac:dyDescent="0.4">
      <c r="A327" s="1" t="s">
        <v>419</v>
      </c>
      <c r="B327" s="10">
        <f>VLOOKUP(A327,'[1]2025 KG Students'!$C$2:$D$630,2,FALSE)</f>
        <v>88281</v>
      </c>
      <c r="C327" s="1" t="s">
        <v>33</v>
      </c>
      <c r="D327" s="5" t="s">
        <v>7</v>
      </c>
      <c r="E327" s="5" t="s">
        <v>463</v>
      </c>
      <c r="F327" s="4" t="s">
        <v>465</v>
      </c>
      <c r="G327" s="4" t="s">
        <v>465</v>
      </c>
      <c r="I327" s="1" t="s">
        <v>16</v>
      </c>
      <c r="J327" s="1" t="s">
        <v>10</v>
      </c>
      <c r="K327" s="4" t="s">
        <v>464</v>
      </c>
      <c r="L327" s="1" t="s">
        <v>43</v>
      </c>
      <c r="M327" s="10">
        <f>VLOOKUP(L327,'[2]2025 Teachers (1)'!$C$2:$D$807,2,FALSE)</f>
        <v>18846</v>
      </c>
      <c r="O327" s="1"/>
      <c r="P327" s="3">
        <v>0.64</v>
      </c>
      <c r="Q327" s="1"/>
      <c r="S327" s="2"/>
      <c r="T327" s="1"/>
      <c r="U327" s="1"/>
      <c r="V327" s="1"/>
      <c r="Y327" s="1"/>
      <c r="AA327" s="1"/>
      <c r="AB327" s="1"/>
      <c r="AC327" s="1"/>
      <c r="AD327" s="1"/>
      <c r="AE327" s="1"/>
      <c r="AF327" s="1"/>
      <c r="AG327" s="1"/>
      <c r="AH327" s="13">
        <f>VLOOKUP(A327,'2024-25 DIBELS BOY '!A327:AP697,42,FALSE)</f>
        <v>0.55500000000000005</v>
      </c>
      <c r="AI327" s="1"/>
      <c r="AJ327" s="1"/>
      <c r="AK327" s="1"/>
      <c r="AL327" s="1"/>
      <c r="AM327" s="1"/>
    </row>
    <row r="328" spans="1:39" ht="12.3" x14ac:dyDescent="0.4">
      <c r="A328" s="1" t="s">
        <v>420</v>
      </c>
      <c r="B328" s="10">
        <f>VLOOKUP(A328,'[1]2025 KG Students'!$C$2:$D$630,2,FALSE)</f>
        <v>85487</v>
      </c>
      <c r="C328" s="1" t="s">
        <v>33</v>
      </c>
      <c r="D328" s="5" t="s">
        <v>7</v>
      </c>
      <c r="E328" s="5" t="s">
        <v>463</v>
      </c>
      <c r="F328" s="4" t="s">
        <v>465</v>
      </c>
      <c r="G328" s="4" t="s">
        <v>465</v>
      </c>
      <c r="I328" s="1" t="s">
        <v>8</v>
      </c>
      <c r="J328" s="1" t="s">
        <v>9</v>
      </c>
      <c r="K328" s="4" t="s">
        <v>464</v>
      </c>
      <c r="L328" s="1" t="s">
        <v>42</v>
      </c>
      <c r="M328" s="10">
        <f>VLOOKUP(L328,'[2]2025 Teachers (1)'!$C$2:$D$807,2,FALSE)</f>
        <v>18541</v>
      </c>
      <c r="O328" s="1"/>
      <c r="P328" s="3">
        <v>0.62666666666666671</v>
      </c>
      <c r="Q328" s="1"/>
      <c r="S328" s="2"/>
      <c r="T328" s="1"/>
      <c r="U328" s="2"/>
      <c r="V328" s="1"/>
      <c r="Y328" s="1"/>
      <c r="AA328" s="1"/>
      <c r="AB328" s="1"/>
      <c r="AC328" s="1"/>
      <c r="AD328" s="1"/>
      <c r="AE328" s="1"/>
      <c r="AF328" s="1"/>
      <c r="AG328" s="1"/>
      <c r="AH328" s="13">
        <f>VLOOKUP(A328,'2024-25 DIBELS BOY '!A328:AP698,42,FALSE)</f>
        <v>0.56999999999999995</v>
      </c>
      <c r="AI328" s="1"/>
      <c r="AJ328" s="1"/>
      <c r="AK328" s="1"/>
      <c r="AL328" s="1"/>
      <c r="AM328" s="1"/>
    </row>
    <row r="329" spans="1:39" ht="12.3" x14ac:dyDescent="0.4">
      <c r="A329" s="1" t="s">
        <v>421</v>
      </c>
      <c r="B329" s="10">
        <f>VLOOKUP(A329,'[1]2025 KG Students'!$C$2:$D$630,2,FALSE)</f>
        <v>86017</v>
      </c>
      <c r="C329" s="1" t="s">
        <v>33</v>
      </c>
      <c r="D329" s="5" t="s">
        <v>7</v>
      </c>
      <c r="E329" s="5" t="s">
        <v>463</v>
      </c>
      <c r="F329" s="4" t="s">
        <v>465</v>
      </c>
      <c r="G329" s="4" t="s">
        <v>465</v>
      </c>
      <c r="I329" s="1" t="s">
        <v>16</v>
      </c>
      <c r="J329" s="1" t="s">
        <v>10</v>
      </c>
      <c r="K329" s="4" t="s">
        <v>464</v>
      </c>
      <c r="L329" s="1" t="s">
        <v>34</v>
      </c>
      <c r="M329" s="10">
        <f>VLOOKUP(L329,'[2]2025 Teachers (1)'!$C$2:$D$807,2,FALSE)</f>
        <v>18232</v>
      </c>
      <c r="O329" s="1"/>
      <c r="P329" s="3">
        <v>0.67166666666666663</v>
      </c>
      <c r="Q329" s="1"/>
      <c r="S329" s="2"/>
      <c r="T329" s="1"/>
      <c r="U329" s="1"/>
      <c r="V329" s="1"/>
      <c r="Y329" s="1"/>
      <c r="AA329" s="1"/>
      <c r="AB329" s="1"/>
      <c r="AC329" s="1"/>
      <c r="AD329" s="1"/>
      <c r="AE329" s="1"/>
      <c r="AF329" s="1"/>
      <c r="AG329" s="1"/>
      <c r="AH329" s="13">
        <f>VLOOKUP(A329,'2024-25 DIBELS BOY '!A329:AP699,42,FALSE)</f>
        <v>0.52666666666666662</v>
      </c>
      <c r="AI329" s="1"/>
      <c r="AJ329" s="1"/>
      <c r="AK329" s="1"/>
      <c r="AL329" s="1"/>
      <c r="AM329" s="1"/>
    </row>
    <row r="330" spans="1:39" ht="12.3" x14ac:dyDescent="0.4">
      <c r="A330" s="1" t="s">
        <v>423</v>
      </c>
      <c r="B330" s="10">
        <f>VLOOKUP(A330,'[1]2025 KG Students'!$C$2:$D$630,2,FALSE)</f>
        <v>85468</v>
      </c>
      <c r="C330" s="1" t="s">
        <v>33</v>
      </c>
      <c r="D330" s="5" t="s">
        <v>7</v>
      </c>
      <c r="E330" s="5" t="s">
        <v>463</v>
      </c>
      <c r="F330" s="4" t="s">
        <v>465</v>
      </c>
      <c r="G330" s="4" t="s">
        <v>465</v>
      </c>
      <c r="I330" s="1" t="s">
        <v>16</v>
      </c>
      <c r="J330" s="1" t="s">
        <v>10</v>
      </c>
      <c r="K330" s="4" t="s">
        <v>464</v>
      </c>
      <c r="L330" s="1" t="s">
        <v>41</v>
      </c>
      <c r="M330" s="10">
        <f>VLOOKUP(L330,'[2]2025 Teachers (1)'!$C$2:$D$807,2,FALSE)</f>
        <v>17400</v>
      </c>
      <c r="O330" s="1"/>
      <c r="P330" s="3">
        <v>0.55833333333333335</v>
      </c>
      <c r="Q330" s="1"/>
      <c r="S330" s="2"/>
      <c r="T330" s="1"/>
      <c r="U330" s="1"/>
      <c r="V330" s="1"/>
      <c r="Y330" s="1"/>
      <c r="AA330" s="1"/>
      <c r="AB330" s="1"/>
      <c r="AC330" s="1"/>
      <c r="AD330" s="1"/>
      <c r="AE330" s="1"/>
      <c r="AF330" s="1"/>
      <c r="AG330" s="1"/>
      <c r="AH330" s="13">
        <f>VLOOKUP(A330,'2024-25 DIBELS BOY '!A330:AP700,42,FALSE)</f>
        <v>0.43666666666666665</v>
      </c>
      <c r="AI330" s="1"/>
      <c r="AJ330" s="1"/>
      <c r="AK330" s="1"/>
      <c r="AL330" s="1"/>
      <c r="AM330" s="1"/>
    </row>
    <row r="331" spans="1:39" ht="12.3" x14ac:dyDescent="0.4">
      <c r="A331" s="1" t="s">
        <v>424</v>
      </c>
      <c r="B331" s="10">
        <f>VLOOKUP(A331,'[1]2025 KG Students'!$C$2:$D$630,2,FALSE)</f>
        <v>86087</v>
      </c>
      <c r="C331" s="1" t="s">
        <v>33</v>
      </c>
      <c r="D331" s="5" t="s">
        <v>7</v>
      </c>
      <c r="E331" s="5" t="s">
        <v>463</v>
      </c>
      <c r="F331" s="4" t="s">
        <v>465</v>
      </c>
      <c r="G331" s="4" t="s">
        <v>465</v>
      </c>
      <c r="I331" s="1" t="s">
        <v>8</v>
      </c>
      <c r="J331" s="1" t="s">
        <v>9</v>
      </c>
      <c r="K331" s="4" t="s">
        <v>464</v>
      </c>
      <c r="L331" s="1" t="s">
        <v>43</v>
      </c>
      <c r="M331" s="10">
        <f>VLOOKUP(L331,'[2]2025 Teachers (1)'!$C$2:$D$807,2,FALSE)</f>
        <v>18846</v>
      </c>
      <c r="O331" s="1"/>
      <c r="P331" s="3">
        <v>0.58499999999999996</v>
      </c>
      <c r="Q331" s="1"/>
      <c r="S331" s="2"/>
      <c r="T331" s="1"/>
      <c r="U331" s="1"/>
      <c r="V331" s="1"/>
      <c r="Y331" s="1"/>
      <c r="AA331" s="1"/>
      <c r="AB331" s="1"/>
      <c r="AC331" s="1"/>
      <c r="AD331" s="1"/>
      <c r="AE331" s="1"/>
      <c r="AF331" s="1"/>
      <c r="AG331" s="1"/>
      <c r="AH331" s="13">
        <f>VLOOKUP(A331,'2024-25 DIBELS BOY '!A331:AP701,42,FALSE)</f>
        <v>0.57999999999999996</v>
      </c>
      <c r="AI331" s="1"/>
      <c r="AJ331" s="1"/>
      <c r="AK331" s="1"/>
      <c r="AL331" s="1"/>
      <c r="AM331" s="1"/>
    </row>
    <row r="332" spans="1:39" ht="12.3" x14ac:dyDescent="0.4">
      <c r="A332" s="1" t="s">
        <v>425</v>
      </c>
      <c r="B332" s="10">
        <f>VLOOKUP(A332,'[1]2025 KG Students'!$C$2:$D$630,2,FALSE)</f>
        <v>85765</v>
      </c>
      <c r="C332" s="1" t="s">
        <v>33</v>
      </c>
      <c r="D332" s="5" t="s">
        <v>7</v>
      </c>
      <c r="E332" s="5" t="s">
        <v>463</v>
      </c>
      <c r="F332" s="4" t="s">
        <v>465</v>
      </c>
      <c r="G332" s="4" t="s">
        <v>465</v>
      </c>
      <c r="I332" s="1" t="s">
        <v>16</v>
      </c>
      <c r="J332" s="1" t="s">
        <v>10</v>
      </c>
      <c r="K332" s="4" t="s">
        <v>464</v>
      </c>
      <c r="L332" s="1" t="s">
        <v>35</v>
      </c>
      <c r="M332" s="10">
        <f>VLOOKUP(L332,'[2]2025 Teachers (1)'!$C$2:$D$807,2,FALSE)</f>
        <v>14129</v>
      </c>
      <c r="O332" s="1"/>
      <c r="P332" s="3">
        <v>0.59499999999999997</v>
      </c>
      <c r="Q332" s="1"/>
      <c r="S332" s="2"/>
      <c r="T332" s="1"/>
      <c r="U332" s="1"/>
      <c r="V332" s="1"/>
      <c r="Y332" s="1"/>
      <c r="AA332" s="1"/>
      <c r="AB332" s="1"/>
      <c r="AC332" s="1"/>
      <c r="AD332" s="1"/>
      <c r="AE332" s="1"/>
      <c r="AF332" s="1"/>
      <c r="AG332" s="1"/>
      <c r="AH332" s="13">
        <f>VLOOKUP(A332,'2024-25 DIBELS BOY '!A332:AP702,42,FALSE)</f>
        <v>0.43833333333333335</v>
      </c>
      <c r="AI332" s="1"/>
      <c r="AJ332" s="1"/>
      <c r="AK332" s="1"/>
      <c r="AL332" s="1"/>
      <c r="AM332" s="1"/>
    </row>
    <row r="333" spans="1:39" ht="12.3" x14ac:dyDescent="0.4">
      <c r="A333" s="1" t="s">
        <v>426</v>
      </c>
      <c r="B333" s="10">
        <f>VLOOKUP(A333,'[1]2025 KG Students'!$C$2:$D$630,2,FALSE)</f>
        <v>85237</v>
      </c>
      <c r="C333" s="1" t="s">
        <v>33</v>
      </c>
      <c r="D333" s="5" t="s">
        <v>7</v>
      </c>
      <c r="E333" s="5" t="s">
        <v>463</v>
      </c>
      <c r="F333" s="4" t="s">
        <v>465</v>
      </c>
      <c r="G333" s="4" t="s">
        <v>465</v>
      </c>
      <c r="I333" s="1" t="s">
        <v>8</v>
      </c>
      <c r="J333" s="1" t="s">
        <v>9</v>
      </c>
      <c r="K333" s="4" t="s">
        <v>464</v>
      </c>
      <c r="L333" s="1" t="s">
        <v>35</v>
      </c>
      <c r="M333" s="10">
        <f>VLOOKUP(L333,'[2]2025 Teachers (1)'!$C$2:$D$807,2,FALSE)</f>
        <v>14129</v>
      </c>
      <c r="O333" s="1"/>
      <c r="P333" s="3">
        <v>0.58833333333333337</v>
      </c>
      <c r="Q333" s="1"/>
      <c r="S333" s="2"/>
      <c r="T333" s="1"/>
      <c r="U333" s="1"/>
      <c r="V333" s="1"/>
      <c r="Y333" s="1"/>
      <c r="AA333" s="1"/>
      <c r="AB333" s="1"/>
      <c r="AC333" s="1"/>
      <c r="AD333" s="1"/>
      <c r="AE333" s="1"/>
      <c r="AF333" s="1"/>
      <c r="AG333" s="1"/>
      <c r="AH333" s="13">
        <f>VLOOKUP(A333,'2024-25 DIBELS BOY '!A333:AP703,42,FALSE)</f>
        <v>0.47166666666666668</v>
      </c>
      <c r="AI333" s="1"/>
      <c r="AJ333" s="1"/>
      <c r="AK333" s="1"/>
      <c r="AL333" s="1"/>
      <c r="AM333" s="1"/>
    </row>
    <row r="334" spans="1:39" ht="12.3" x14ac:dyDescent="0.4">
      <c r="A334" s="1" t="s">
        <v>427</v>
      </c>
      <c r="B334" s="10">
        <f>VLOOKUP(A334,'[1]2025 KG Students'!$C$2:$D$630,2,FALSE)</f>
        <v>88774</v>
      </c>
      <c r="C334" s="1" t="s">
        <v>33</v>
      </c>
      <c r="D334" s="5" t="s">
        <v>7</v>
      </c>
      <c r="E334" s="5" t="s">
        <v>463</v>
      </c>
      <c r="F334" s="4" t="s">
        <v>465</v>
      </c>
      <c r="G334" s="4" t="s">
        <v>465</v>
      </c>
      <c r="I334" s="1" t="s">
        <v>8</v>
      </c>
      <c r="J334" s="1" t="s">
        <v>9</v>
      </c>
      <c r="K334" s="4" t="s">
        <v>464</v>
      </c>
      <c r="L334" s="1" t="s">
        <v>35</v>
      </c>
      <c r="M334" s="10">
        <f>VLOOKUP(L334,'[2]2025 Teachers (1)'!$C$2:$D$807,2,FALSE)</f>
        <v>14129</v>
      </c>
      <c r="O334" s="1"/>
      <c r="P334" s="3">
        <v>0.58166666666666667</v>
      </c>
      <c r="Q334" s="1"/>
      <c r="S334" s="2"/>
      <c r="T334" s="1"/>
      <c r="U334" s="1"/>
      <c r="V334" s="1"/>
      <c r="Y334" s="1"/>
      <c r="AA334" s="1"/>
      <c r="AB334" s="1"/>
      <c r="AC334" s="1"/>
      <c r="AD334" s="1"/>
      <c r="AE334" s="1"/>
      <c r="AF334" s="1"/>
      <c r="AG334" s="1"/>
      <c r="AH334" s="13" t="e">
        <f>VLOOKUP(A334,'2024-25 DIBELS BOY '!A334:AP704,42,FALSE)</f>
        <v>#N/A</v>
      </c>
      <c r="AI334" s="1"/>
      <c r="AJ334" s="1"/>
      <c r="AK334" s="1"/>
      <c r="AL334" s="1"/>
      <c r="AM334" s="1"/>
    </row>
    <row r="335" spans="1:39" ht="12.3" x14ac:dyDescent="0.4">
      <c r="A335" s="1" t="s">
        <v>428</v>
      </c>
      <c r="B335" s="10">
        <f>VLOOKUP(A335,'[1]2025 KG Students'!$C$2:$D$630,2,FALSE)</f>
        <v>85603</v>
      </c>
      <c r="C335" s="1" t="s">
        <v>33</v>
      </c>
      <c r="D335" s="5" t="s">
        <v>7</v>
      </c>
      <c r="E335" s="5" t="s">
        <v>463</v>
      </c>
      <c r="F335" s="4" t="s">
        <v>465</v>
      </c>
      <c r="G335" s="4" t="s">
        <v>465</v>
      </c>
      <c r="I335" s="1" t="s">
        <v>8</v>
      </c>
      <c r="J335" s="1" t="s">
        <v>9</v>
      </c>
      <c r="K335" s="4" t="s">
        <v>464</v>
      </c>
      <c r="L335" s="1" t="s">
        <v>39</v>
      </c>
      <c r="M335" s="10">
        <f>VLOOKUP(L335,'[2]2025 Teachers (1)'!$C$2:$D$807,2,FALSE)</f>
        <v>18695</v>
      </c>
      <c r="O335" s="1"/>
      <c r="P335" s="3">
        <v>0.58499999999999996</v>
      </c>
      <c r="Q335" s="1"/>
      <c r="S335" s="2"/>
      <c r="T335" s="1"/>
      <c r="U335" s="1"/>
      <c r="V335" s="1"/>
      <c r="Y335" s="1"/>
      <c r="AA335" s="1"/>
      <c r="AB335" s="1"/>
      <c r="AC335" s="1"/>
      <c r="AD335" s="1"/>
      <c r="AE335" s="1"/>
      <c r="AF335" s="1"/>
      <c r="AG335" s="1"/>
      <c r="AH335" s="13">
        <f>VLOOKUP(A335,'2024-25 DIBELS BOY '!A335:AP705,42,FALSE)</f>
        <v>0.46166666666666667</v>
      </c>
      <c r="AI335" s="1"/>
      <c r="AJ335" s="1"/>
      <c r="AK335" s="1"/>
      <c r="AL335" s="1"/>
      <c r="AM335" s="1"/>
    </row>
    <row r="336" spans="1:39" ht="12.3" x14ac:dyDescent="0.4">
      <c r="A336" s="1" t="s">
        <v>429</v>
      </c>
      <c r="B336" s="10">
        <f>VLOOKUP(A336,'[1]2025 KG Students'!$C$2:$D$630,2,FALSE)</f>
        <v>88277</v>
      </c>
      <c r="C336" s="1" t="s">
        <v>33</v>
      </c>
      <c r="D336" s="5" t="s">
        <v>7</v>
      </c>
      <c r="E336" s="5" t="s">
        <v>463</v>
      </c>
      <c r="F336" s="4" t="s">
        <v>465</v>
      </c>
      <c r="G336" s="4" t="s">
        <v>465</v>
      </c>
      <c r="I336" s="1" t="s">
        <v>16</v>
      </c>
      <c r="J336" s="1" t="s">
        <v>10</v>
      </c>
      <c r="K336" s="4" t="s">
        <v>464</v>
      </c>
      <c r="L336" s="1" t="s">
        <v>35</v>
      </c>
      <c r="M336" s="10">
        <f>VLOOKUP(L336,'[2]2025 Teachers (1)'!$C$2:$D$807,2,FALSE)</f>
        <v>14129</v>
      </c>
      <c r="O336" s="1"/>
      <c r="P336" s="3">
        <v>0.64666666666666661</v>
      </c>
      <c r="Q336" s="1"/>
      <c r="S336" s="2"/>
      <c r="T336" s="1"/>
      <c r="U336" s="2"/>
      <c r="V336" s="1"/>
      <c r="Y336" s="1"/>
      <c r="AA336" s="1"/>
      <c r="AB336" s="1"/>
      <c r="AC336" s="1"/>
      <c r="AD336" s="1"/>
      <c r="AE336" s="1"/>
      <c r="AF336" s="1"/>
      <c r="AG336" s="1"/>
      <c r="AH336" s="13">
        <f>VLOOKUP(A336,'2024-25 DIBELS BOY '!A336:AP706,42,FALSE)</f>
        <v>0.6216666666666667</v>
      </c>
      <c r="AI336" s="1"/>
      <c r="AJ336" s="1"/>
      <c r="AK336" s="1"/>
      <c r="AL336" s="1"/>
      <c r="AM336" s="1"/>
    </row>
    <row r="337" spans="1:39" ht="12.3" x14ac:dyDescent="0.4">
      <c r="A337" s="1" t="s">
        <v>430</v>
      </c>
      <c r="B337" s="10">
        <f>VLOOKUP(A337,'[1]2025 KG Students'!$C$2:$D$630,2,FALSE)</f>
        <v>86082</v>
      </c>
      <c r="C337" s="1" t="s">
        <v>33</v>
      </c>
      <c r="D337" s="5" t="s">
        <v>7</v>
      </c>
      <c r="E337" s="5" t="s">
        <v>463</v>
      </c>
      <c r="F337" s="4" t="s">
        <v>465</v>
      </c>
      <c r="G337" s="4" t="s">
        <v>465</v>
      </c>
      <c r="I337" s="1" t="s">
        <v>8</v>
      </c>
      <c r="J337" s="1" t="s">
        <v>9</v>
      </c>
      <c r="K337" s="4" t="s">
        <v>464</v>
      </c>
      <c r="L337" s="1" t="s">
        <v>34</v>
      </c>
      <c r="M337" s="10">
        <f>VLOOKUP(L337,'[2]2025 Teachers (1)'!$C$2:$D$807,2,FALSE)</f>
        <v>18232</v>
      </c>
      <c r="O337" s="1"/>
      <c r="P337" s="3">
        <v>0.63500000000000001</v>
      </c>
      <c r="Q337" s="1"/>
      <c r="S337" s="2"/>
      <c r="T337" s="1"/>
      <c r="U337" s="2"/>
      <c r="V337" s="1"/>
      <c r="Y337" s="1"/>
      <c r="AA337" s="1"/>
      <c r="AB337" s="1"/>
      <c r="AC337" s="1"/>
      <c r="AD337" s="1"/>
      <c r="AE337" s="1"/>
      <c r="AF337" s="1"/>
      <c r="AG337" s="1"/>
      <c r="AH337" s="13">
        <f>VLOOKUP(A337,'2024-25 DIBELS BOY '!A337:AP707,42,FALSE)</f>
        <v>0.58333333333333337</v>
      </c>
      <c r="AI337" s="1"/>
      <c r="AJ337" s="1"/>
      <c r="AK337" s="1"/>
      <c r="AL337" s="1"/>
      <c r="AM337" s="1"/>
    </row>
    <row r="338" spans="1:39" ht="12.3" x14ac:dyDescent="0.4">
      <c r="A338" s="1" t="s">
        <v>431</v>
      </c>
      <c r="B338" s="10">
        <f>VLOOKUP(A338,'[1]2025 KG Students'!$C$2:$D$630,2,FALSE)</f>
        <v>87424</v>
      </c>
      <c r="C338" s="1" t="s">
        <v>33</v>
      </c>
      <c r="D338" s="5" t="s">
        <v>7</v>
      </c>
      <c r="E338" s="5" t="s">
        <v>463</v>
      </c>
      <c r="F338" s="4" t="s">
        <v>465</v>
      </c>
      <c r="G338" s="4" t="s">
        <v>465</v>
      </c>
      <c r="I338" s="1" t="s">
        <v>8</v>
      </c>
      <c r="J338" s="1" t="s">
        <v>9</v>
      </c>
      <c r="K338" s="4" t="s">
        <v>464</v>
      </c>
      <c r="L338" s="1" t="s">
        <v>35</v>
      </c>
      <c r="M338" s="10">
        <f>VLOOKUP(L338,'[2]2025 Teachers (1)'!$C$2:$D$807,2,FALSE)</f>
        <v>14129</v>
      </c>
      <c r="O338" s="1"/>
      <c r="P338" s="3">
        <v>0.625</v>
      </c>
      <c r="Q338" s="1"/>
      <c r="S338" s="2"/>
      <c r="T338" s="1"/>
      <c r="U338" s="2"/>
      <c r="V338" s="1"/>
      <c r="Y338" s="1"/>
      <c r="AA338" s="1"/>
      <c r="AB338" s="1"/>
      <c r="AC338" s="1"/>
      <c r="AD338" s="1"/>
      <c r="AE338" s="1"/>
      <c r="AF338" s="1"/>
      <c r="AG338" s="1"/>
      <c r="AH338" s="13">
        <f>VLOOKUP(A338,'2024-25 DIBELS BOY '!A338:AP708,42,FALSE)</f>
        <v>0.53</v>
      </c>
      <c r="AI338" s="1"/>
      <c r="AJ338" s="1"/>
      <c r="AK338" s="1"/>
      <c r="AL338" s="1"/>
      <c r="AM338" s="1"/>
    </row>
    <row r="339" spans="1:39" ht="12.3" x14ac:dyDescent="0.4">
      <c r="A339" s="1" t="s">
        <v>432</v>
      </c>
      <c r="B339" s="10">
        <f>VLOOKUP(A339,'[1]2025 KG Students'!$C$2:$D$630,2,FALSE)</f>
        <v>86447</v>
      </c>
      <c r="C339" s="1" t="s">
        <v>33</v>
      </c>
      <c r="D339" s="5" t="s">
        <v>7</v>
      </c>
      <c r="E339" s="5" t="s">
        <v>463</v>
      </c>
      <c r="F339" s="4" t="s">
        <v>465</v>
      </c>
      <c r="G339" s="4" t="s">
        <v>465</v>
      </c>
      <c r="I339" s="1" t="s">
        <v>8</v>
      </c>
      <c r="J339" s="1" t="s">
        <v>9</v>
      </c>
      <c r="K339" s="4" t="s">
        <v>464</v>
      </c>
      <c r="L339" s="1" t="s">
        <v>43</v>
      </c>
      <c r="M339" s="10">
        <f>VLOOKUP(L339,'[2]2025 Teachers (1)'!$C$2:$D$807,2,FALSE)</f>
        <v>18846</v>
      </c>
      <c r="O339" s="1"/>
      <c r="P339" s="3">
        <v>0.59666666666666668</v>
      </c>
      <c r="Q339" s="1"/>
      <c r="S339" s="2"/>
      <c r="T339" s="1"/>
      <c r="U339" s="1"/>
      <c r="V339" s="1"/>
      <c r="Y339" s="1"/>
      <c r="AA339" s="1"/>
      <c r="AB339" s="1"/>
      <c r="AC339" s="1"/>
      <c r="AD339" s="1"/>
      <c r="AE339" s="1"/>
      <c r="AF339" s="1"/>
      <c r="AG339" s="1"/>
      <c r="AH339" s="13">
        <f>VLOOKUP(A339,'2024-25 DIBELS BOY '!A339:AP709,42,FALSE)</f>
        <v>0.53</v>
      </c>
      <c r="AI339" s="1"/>
      <c r="AJ339" s="1"/>
      <c r="AK339" s="1"/>
      <c r="AL339" s="1"/>
      <c r="AM339" s="1"/>
    </row>
    <row r="340" spans="1:39" ht="12.3" x14ac:dyDescent="0.4">
      <c r="A340" s="1" t="s">
        <v>433</v>
      </c>
      <c r="B340" s="10">
        <f>VLOOKUP(A340,'[1]2025 KG Students'!$C$2:$D$630,2,FALSE)</f>
        <v>85704</v>
      </c>
      <c r="C340" s="1" t="s">
        <v>33</v>
      </c>
      <c r="D340" s="5" t="s">
        <v>7</v>
      </c>
      <c r="E340" s="5" t="s">
        <v>463</v>
      </c>
      <c r="F340" s="4" t="s">
        <v>465</v>
      </c>
      <c r="G340" s="4" t="s">
        <v>465</v>
      </c>
      <c r="I340" s="1" t="s">
        <v>16</v>
      </c>
      <c r="J340" s="1" t="s">
        <v>9</v>
      </c>
      <c r="K340" s="4" t="s">
        <v>464</v>
      </c>
      <c r="L340" s="1" t="s">
        <v>43</v>
      </c>
      <c r="M340" s="10">
        <f>VLOOKUP(L340,'[2]2025 Teachers (1)'!$C$2:$D$807,2,FALSE)</f>
        <v>18846</v>
      </c>
      <c r="O340" s="1"/>
      <c r="P340" s="3">
        <v>0.66333333333333333</v>
      </c>
      <c r="Q340" s="1"/>
      <c r="S340" s="2"/>
      <c r="T340" s="1"/>
      <c r="U340" s="1"/>
      <c r="V340" s="1"/>
      <c r="Y340" s="1"/>
      <c r="AA340" s="1"/>
      <c r="AB340" s="1"/>
      <c r="AC340" s="1"/>
      <c r="AD340" s="1"/>
      <c r="AE340" s="1"/>
      <c r="AF340" s="1"/>
      <c r="AG340" s="1"/>
      <c r="AH340" s="13">
        <f>VLOOKUP(A340,'2024-25 DIBELS BOY '!A340:AP710,42,FALSE)</f>
        <v>0.63166666666666671</v>
      </c>
      <c r="AI340" s="1"/>
      <c r="AJ340" s="1"/>
      <c r="AK340" s="1"/>
      <c r="AL340" s="1"/>
      <c r="AM340" s="1"/>
    </row>
    <row r="341" spans="1:39" ht="12.3" x14ac:dyDescent="0.4">
      <c r="A341" s="1" t="s">
        <v>434</v>
      </c>
      <c r="B341" s="10">
        <f>VLOOKUP(A341,'[1]2025 KG Students'!$C$2:$D$630,2,FALSE)</f>
        <v>88090</v>
      </c>
      <c r="C341" s="1" t="s">
        <v>33</v>
      </c>
      <c r="D341" s="5" t="s">
        <v>7</v>
      </c>
      <c r="E341" s="5" t="s">
        <v>463</v>
      </c>
      <c r="F341" s="4" t="s">
        <v>465</v>
      </c>
      <c r="G341" s="4" t="s">
        <v>465</v>
      </c>
      <c r="I341" s="1" t="s">
        <v>16</v>
      </c>
      <c r="J341" s="1" t="s">
        <v>10</v>
      </c>
      <c r="K341" s="4" t="s">
        <v>464</v>
      </c>
      <c r="L341" s="1" t="s">
        <v>35</v>
      </c>
      <c r="M341" s="10">
        <f>VLOOKUP(L341,'[2]2025 Teachers (1)'!$C$2:$D$807,2,FALSE)</f>
        <v>14129</v>
      </c>
      <c r="O341" s="1"/>
      <c r="P341" s="3">
        <v>0.55166666666666664</v>
      </c>
      <c r="Q341" s="1"/>
      <c r="S341" s="2"/>
      <c r="T341" s="1"/>
      <c r="U341" s="1"/>
      <c r="V341" s="1"/>
      <c r="Y341" s="1"/>
      <c r="AA341" s="1"/>
      <c r="AB341" s="1"/>
      <c r="AC341" s="1"/>
      <c r="AD341" s="1"/>
      <c r="AE341" s="1"/>
      <c r="AF341" s="1"/>
      <c r="AG341" s="1"/>
      <c r="AH341" s="13">
        <f>VLOOKUP(A341,'2024-25 DIBELS BOY '!A341:AP711,42,FALSE)</f>
        <v>0.42333333333333334</v>
      </c>
      <c r="AI341" s="1"/>
      <c r="AJ341" s="1"/>
      <c r="AK341" s="1"/>
      <c r="AL341" s="1"/>
      <c r="AM341" s="1"/>
    </row>
    <row r="342" spans="1:39" ht="12.3" x14ac:dyDescent="0.4">
      <c r="A342" s="1" t="s">
        <v>435</v>
      </c>
      <c r="B342" s="10">
        <f>VLOOKUP(A342,'[1]2025 KG Students'!$C$2:$D$630,2,FALSE)</f>
        <v>85265</v>
      </c>
      <c r="C342" s="1" t="s">
        <v>33</v>
      </c>
      <c r="D342" s="5" t="s">
        <v>7</v>
      </c>
      <c r="E342" s="5" t="s">
        <v>463</v>
      </c>
      <c r="F342" s="4" t="s">
        <v>465</v>
      </c>
      <c r="G342" s="4" t="s">
        <v>465</v>
      </c>
      <c r="I342" s="1" t="s">
        <v>16</v>
      </c>
      <c r="J342" s="1" t="s">
        <v>10</v>
      </c>
      <c r="K342" s="4" t="s">
        <v>464</v>
      </c>
      <c r="L342" s="1" t="s">
        <v>39</v>
      </c>
      <c r="M342" s="10">
        <f>VLOOKUP(L342,'[2]2025 Teachers (1)'!$C$2:$D$807,2,FALSE)</f>
        <v>18695</v>
      </c>
      <c r="O342" s="1"/>
      <c r="P342" s="3">
        <v>0.63833333333333331</v>
      </c>
      <c r="Q342" s="1"/>
      <c r="S342" s="2"/>
      <c r="T342" s="1"/>
      <c r="U342" s="1"/>
      <c r="V342" s="1"/>
      <c r="Y342" s="1"/>
      <c r="AA342" s="1"/>
      <c r="AB342" s="1"/>
      <c r="AC342" s="1"/>
      <c r="AD342" s="1"/>
      <c r="AE342" s="1"/>
      <c r="AF342" s="1"/>
      <c r="AG342" s="1"/>
      <c r="AH342" s="13">
        <f>VLOOKUP(A342,'2024-25 DIBELS BOY '!A342:AP712,42,FALSE)</f>
        <v>0.49166666666666664</v>
      </c>
      <c r="AI342" s="1"/>
      <c r="AJ342" s="1"/>
      <c r="AK342" s="1"/>
      <c r="AL342" s="1"/>
      <c r="AM342" s="1"/>
    </row>
    <row r="343" spans="1:39" ht="12.3" x14ac:dyDescent="0.4">
      <c r="A343" s="1" t="s">
        <v>436</v>
      </c>
      <c r="B343" s="10">
        <f>VLOOKUP(A343,'[1]2025 KG Students'!$C$2:$D$630,2,FALSE)</f>
        <v>82424</v>
      </c>
      <c r="C343" s="1" t="s">
        <v>33</v>
      </c>
      <c r="D343" s="5" t="s">
        <v>7</v>
      </c>
      <c r="E343" s="5" t="s">
        <v>463</v>
      </c>
      <c r="F343" s="4" t="s">
        <v>465</v>
      </c>
      <c r="G343" s="4" t="s">
        <v>465</v>
      </c>
      <c r="I343" s="1" t="s">
        <v>16</v>
      </c>
      <c r="J343" s="1" t="s">
        <v>10</v>
      </c>
      <c r="K343" s="4" t="s">
        <v>464</v>
      </c>
      <c r="L343" s="1" t="s">
        <v>36</v>
      </c>
      <c r="M343" s="10">
        <f>VLOOKUP(L343,'[2]2025 Teachers (1)'!$C$2:$D$807,2,FALSE)</f>
        <v>10374</v>
      </c>
      <c r="O343" s="1"/>
      <c r="P343" s="3">
        <v>0.68333333333333335</v>
      </c>
      <c r="Q343" s="1"/>
      <c r="S343" s="2"/>
      <c r="T343" s="1"/>
      <c r="U343" s="1"/>
      <c r="V343" s="1"/>
      <c r="Y343" s="1"/>
      <c r="AA343" s="1"/>
      <c r="AB343" s="1"/>
      <c r="AC343" s="1"/>
      <c r="AD343" s="1"/>
      <c r="AE343" s="1"/>
      <c r="AF343" s="1"/>
      <c r="AG343" s="1"/>
      <c r="AH343" s="13">
        <f>VLOOKUP(A343,'2024-25 DIBELS BOY '!A343:AP713,42,FALSE)</f>
        <v>0.53166666666666662</v>
      </c>
      <c r="AI343" s="1"/>
      <c r="AJ343" s="1"/>
      <c r="AK343" s="1"/>
      <c r="AL343" s="1"/>
      <c r="AM343" s="1"/>
    </row>
    <row r="344" spans="1:39" ht="12.3" x14ac:dyDescent="0.4">
      <c r="A344" s="1" t="s">
        <v>437</v>
      </c>
      <c r="B344" s="10">
        <f>VLOOKUP(A344,'[1]2025 KG Students'!$C$2:$D$630,2,FALSE)</f>
        <v>86003</v>
      </c>
      <c r="C344" s="1" t="s">
        <v>33</v>
      </c>
      <c r="D344" s="5" t="s">
        <v>7</v>
      </c>
      <c r="E344" s="5" t="s">
        <v>463</v>
      </c>
      <c r="F344" s="4" t="s">
        <v>465</v>
      </c>
      <c r="G344" s="4" t="s">
        <v>465</v>
      </c>
      <c r="I344" s="1" t="s">
        <v>16</v>
      </c>
      <c r="J344" s="1" t="s">
        <v>10</v>
      </c>
      <c r="K344" s="4" t="s">
        <v>464</v>
      </c>
      <c r="L344" s="1" t="s">
        <v>40</v>
      </c>
      <c r="M344" s="10">
        <f>VLOOKUP(L344,'[2]2025 Teachers (1)'!$C$2:$D$807,2,FALSE)</f>
        <v>18030</v>
      </c>
      <c r="O344" s="1"/>
      <c r="P344" s="3">
        <v>0.64333333333333331</v>
      </c>
      <c r="Q344" s="1"/>
      <c r="S344" s="2"/>
      <c r="T344" s="1"/>
      <c r="U344" s="2"/>
      <c r="V344" s="1"/>
      <c r="Y344" s="1"/>
      <c r="AA344" s="1"/>
      <c r="AB344" s="1"/>
      <c r="AC344" s="1"/>
      <c r="AD344" s="1"/>
      <c r="AE344" s="1"/>
      <c r="AF344" s="1"/>
      <c r="AG344" s="1"/>
      <c r="AH344" s="13">
        <f>VLOOKUP(A344,'2024-25 DIBELS BOY '!A344:AP714,42,FALSE)</f>
        <v>0.51500000000000001</v>
      </c>
      <c r="AI344" s="1"/>
      <c r="AJ344" s="1"/>
      <c r="AK344" s="1"/>
      <c r="AL344" s="1"/>
      <c r="AM344" s="1"/>
    </row>
    <row r="345" spans="1:39" ht="12.3" x14ac:dyDescent="0.4">
      <c r="A345" s="1" t="s">
        <v>438</v>
      </c>
      <c r="B345" s="10">
        <f>VLOOKUP(A345,'[1]2025 KG Students'!$C$2:$D$630,2,FALSE)</f>
        <v>86224</v>
      </c>
      <c r="C345" s="1" t="s">
        <v>33</v>
      </c>
      <c r="D345" s="5" t="s">
        <v>7</v>
      </c>
      <c r="E345" s="5" t="s">
        <v>463</v>
      </c>
      <c r="F345" s="4" t="s">
        <v>465</v>
      </c>
      <c r="G345" s="4" t="s">
        <v>465</v>
      </c>
      <c r="I345" s="1" t="s">
        <v>16</v>
      </c>
      <c r="J345" s="1" t="s">
        <v>10</v>
      </c>
      <c r="K345" s="4" t="s">
        <v>464</v>
      </c>
      <c r="L345" s="1" t="s">
        <v>42</v>
      </c>
      <c r="M345" s="10">
        <f>VLOOKUP(L345,'[2]2025 Teachers (1)'!$C$2:$D$807,2,FALSE)</f>
        <v>18541</v>
      </c>
      <c r="O345" s="1"/>
      <c r="P345" s="3">
        <v>0.65833333333333333</v>
      </c>
      <c r="Q345" s="1"/>
      <c r="S345" s="2"/>
      <c r="T345" s="1"/>
      <c r="U345" s="2"/>
      <c r="V345" s="1"/>
      <c r="Y345" s="1"/>
      <c r="AA345" s="1"/>
      <c r="AB345" s="1"/>
      <c r="AC345" s="1"/>
      <c r="AD345" s="1"/>
      <c r="AE345" s="1"/>
      <c r="AF345" s="1"/>
      <c r="AG345" s="1"/>
      <c r="AH345" s="13">
        <f>VLOOKUP(A345,'2024-25 DIBELS BOY '!A345:AP715,42,FALSE)</f>
        <v>0.57499999999999996</v>
      </c>
      <c r="AI345" s="1"/>
      <c r="AJ345" s="1"/>
      <c r="AK345" s="1"/>
      <c r="AL345" s="1"/>
      <c r="AM345" s="1"/>
    </row>
    <row r="346" spans="1:39" ht="12.3" x14ac:dyDescent="0.4">
      <c r="A346" s="1" t="s">
        <v>439</v>
      </c>
      <c r="B346" s="10">
        <f>VLOOKUP(A346,'[1]2025 KG Students'!$C$2:$D$630,2,FALSE)</f>
        <v>86282</v>
      </c>
      <c r="C346" s="1" t="s">
        <v>33</v>
      </c>
      <c r="D346" s="5" t="s">
        <v>7</v>
      </c>
      <c r="E346" s="5" t="s">
        <v>463</v>
      </c>
      <c r="F346" s="4" t="s">
        <v>465</v>
      </c>
      <c r="G346" s="4" t="s">
        <v>465</v>
      </c>
      <c r="I346" s="1" t="s">
        <v>16</v>
      </c>
      <c r="J346" s="1" t="s">
        <v>10</v>
      </c>
      <c r="K346" s="4" t="s">
        <v>464</v>
      </c>
      <c r="L346" s="1" t="s">
        <v>34</v>
      </c>
      <c r="M346" s="10">
        <f>VLOOKUP(L346,'[2]2025 Teachers (1)'!$C$2:$D$807,2,FALSE)</f>
        <v>18232</v>
      </c>
      <c r="O346" s="1"/>
      <c r="P346" s="3">
        <v>0.61166666666666669</v>
      </c>
      <c r="Q346" s="1"/>
      <c r="S346" s="2"/>
      <c r="T346" s="1"/>
      <c r="U346" s="1"/>
      <c r="V346" s="1"/>
      <c r="Y346" s="1"/>
      <c r="AA346" s="1"/>
      <c r="AB346" s="1"/>
      <c r="AC346" s="1"/>
      <c r="AD346" s="1"/>
      <c r="AE346" s="1"/>
      <c r="AF346" s="1"/>
      <c r="AG346" s="1"/>
      <c r="AH346" s="13">
        <f>VLOOKUP(A346,'2024-25 DIBELS BOY '!A346:AP716,42,FALSE)</f>
        <v>0.43333333333333335</v>
      </c>
      <c r="AI346" s="1"/>
      <c r="AJ346" s="1"/>
      <c r="AK346" s="1"/>
      <c r="AL346" s="1"/>
      <c r="AM346" s="1"/>
    </row>
    <row r="347" spans="1:39" ht="12.3" x14ac:dyDescent="0.4">
      <c r="A347" s="1" t="s">
        <v>441</v>
      </c>
      <c r="B347" s="10">
        <f>VLOOKUP(A347,'[1]2025 KG Students'!$C$2:$D$630,2,FALSE)</f>
        <v>85574</v>
      </c>
      <c r="C347" s="1" t="s">
        <v>33</v>
      </c>
      <c r="D347" s="5" t="s">
        <v>7</v>
      </c>
      <c r="E347" s="5" t="s">
        <v>463</v>
      </c>
      <c r="F347" s="4" t="s">
        <v>465</v>
      </c>
      <c r="G347" s="4" t="s">
        <v>465</v>
      </c>
      <c r="I347" s="1" t="s">
        <v>16</v>
      </c>
      <c r="J347" s="1" t="s">
        <v>10</v>
      </c>
      <c r="K347" s="4" t="s">
        <v>464</v>
      </c>
      <c r="L347" s="1" t="s">
        <v>36</v>
      </c>
      <c r="M347" s="10">
        <f>VLOOKUP(L347,'[2]2025 Teachers (1)'!$C$2:$D$807,2,FALSE)</f>
        <v>10374</v>
      </c>
      <c r="O347" s="1"/>
      <c r="P347" s="3">
        <v>0.55666666666666664</v>
      </c>
      <c r="Q347" s="1"/>
      <c r="S347" s="2"/>
      <c r="T347" s="1"/>
      <c r="U347" s="2"/>
      <c r="V347" s="1"/>
      <c r="Y347" s="1"/>
      <c r="AA347" s="1"/>
      <c r="AB347" s="1"/>
      <c r="AC347" s="1"/>
      <c r="AD347" s="1"/>
      <c r="AE347" s="1"/>
      <c r="AF347" s="1"/>
      <c r="AG347" s="1"/>
      <c r="AH347" s="13">
        <f>VLOOKUP(A347,'2024-25 DIBELS BOY '!A347:AP717,42,FALSE)</f>
        <v>0.44166666666666665</v>
      </c>
      <c r="AI347" s="1"/>
      <c r="AJ347" s="1"/>
      <c r="AK347" s="1"/>
      <c r="AL347" s="1"/>
      <c r="AM347" s="1"/>
    </row>
    <row r="348" spans="1:39" ht="12.3" x14ac:dyDescent="0.4">
      <c r="A348" s="1" t="s">
        <v>442</v>
      </c>
      <c r="B348" s="10">
        <f>VLOOKUP(A348,'[1]2025 KG Students'!$C$2:$D$630,2,FALSE)</f>
        <v>85170</v>
      </c>
      <c r="C348" s="1" t="s">
        <v>33</v>
      </c>
      <c r="D348" s="5" t="s">
        <v>7</v>
      </c>
      <c r="E348" s="5" t="s">
        <v>463</v>
      </c>
      <c r="F348" s="4" t="s">
        <v>465</v>
      </c>
      <c r="G348" s="4" t="s">
        <v>465</v>
      </c>
      <c r="I348" s="1" t="s">
        <v>16</v>
      </c>
      <c r="J348" s="1" t="s">
        <v>10</v>
      </c>
      <c r="K348" s="4" t="s">
        <v>464</v>
      </c>
      <c r="L348" s="1" t="s">
        <v>44</v>
      </c>
      <c r="M348" s="10">
        <v>18548</v>
      </c>
      <c r="O348" s="1"/>
      <c r="P348" s="3">
        <v>0.67500000000000004</v>
      </c>
      <c r="Q348" s="1"/>
      <c r="S348" s="2"/>
      <c r="T348" s="1"/>
      <c r="U348" s="1"/>
      <c r="V348" s="1"/>
      <c r="Y348" s="1"/>
      <c r="AA348" s="1"/>
      <c r="AB348" s="1"/>
      <c r="AC348" s="1"/>
      <c r="AD348" s="1"/>
      <c r="AE348" s="1"/>
      <c r="AF348" s="1"/>
      <c r="AG348" s="1"/>
      <c r="AH348" s="13">
        <f>VLOOKUP(A348,'2024-25 DIBELS BOY '!A348:AP718,42,FALSE)</f>
        <v>0.55833333333333335</v>
      </c>
      <c r="AI348" s="1"/>
      <c r="AJ348" s="1"/>
      <c r="AK348" s="1"/>
      <c r="AL348" s="1"/>
      <c r="AM348" s="1"/>
    </row>
    <row r="349" spans="1:39" ht="12.3" x14ac:dyDescent="0.4">
      <c r="A349" s="1" t="s">
        <v>443</v>
      </c>
      <c r="B349" s="10">
        <f>VLOOKUP(A349,'[1]2025 KG Students'!$C$2:$D$630,2,FALSE)</f>
        <v>86084</v>
      </c>
      <c r="C349" s="1" t="s">
        <v>33</v>
      </c>
      <c r="D349" s="5" t="s">
        <v>7</v>
      </c>
      <c r="E349" s="5" t="s">
        <v>463</v>
      </c>
      <c r="F349" s="4" t="s">
        <v>465</v>
      </c>
      <c r="G349" s="4" t="s">
        <v>465</v>
      </c>
      <c r="I349" s="1" t="s">
        <v>16</v>
      </c>
      <c r="J349" s="1" t="s">
        <v>10</v>
      </c>
      <c r="K349" s="4" t="s">
        <v>464</v>
      </c>
      <c r="L349" s="1" t="s">
        <v>44</v>
      </c>
      <c r="M349" s="10">
        <v>13866</v>
      </c>
      <c r="O349" s="1"/>
      <c r="P349" s="3">
        <v>0.58166666666666667</v>
      </c>
      <c r="Q349" s="1"/>
      <c r="S349" s="2"/>
      <c r="T349" s="1"/>
      <c r="U349" s="1"/>
      <c r="V349" s="1"/>
      <c r="Y349" s="1"/>
      <c r="AA349" s="1"/>
      <c r="AB349" s="1"/>
      <c r="AC349" s="1"/>
      <c r="AD349" s="1"/>
      <c r="AE349" s="1"/>
      <c r="AF349" s="1"/>
      <c r="AG349" s="1"/>
      <c r="AH349" s="13">
        <f>VLOOKUP(A349,'2024-25 DIBELS BOY '!A349:AP719,42,FALSE)</f>
        <v>0.41833333333333333</v>
      </c>
      <c r="AI349" s="1"/>
      <c r="AJ349" s="1"/>
      <c r="AK349" s="1"/>
      <c r="AL349" s="1"/>
      <c r="AM349" s="1"/>
    </row>
    <row r="350" spans="1:39" ht="12.3" x14ac:dyDescent="0.4">
      <c r="A350" s="1" t="s">
        <v>444</v>
      </c>
      <c r="B350" s="10">
        <f>VLOOKUP(A350,'[1]2025 KG Students'!$C$2:$D$630,2,FALSE)</f>
        <v>87306</v>
      </c>
      <c r="C350" s="1" t="s">
        <v>33</v>
      </c>
      <c r="D350" s="5" t="s">
        <v>7</v>
      </c>
      <c r="E350" s="5" t="s">
        <v>463</v>
      </c>
      <c r="F350" s="4" t="s">
        <v>465</v>
      </c>
      <c r="G350" s="4" t="s">
        <v>465</v>
      </c>
      <c r="I350" s="1" t="s">
        <v>16</v>
      </c>
      <c r="J350" s="1" t="s">
        <v>10</v>
      </c>
      <c r="K350" s="4" t="s">
        <v>464</v>
      </c>
      <c r="L350" s="1" t="s">
        <v>38</v>
      </c>
      <c r="M350" s="10">
        <v>18050</v>
      </c>
      <c r="O350" s="1"/>
      <c r="P350" s="3">
        <v>0.65333333333333332</v>
      </c>
      <c r="Q350" s="1"/>
      <c r="S350" s="2"/>
      <c r="T350" s="1"/>
      <c r="U350" s="1"/>
      <c r="V350" s="1"/>
      <c r="Y350" s="1"/>
      <c r="AA350" s="1"/>
      <c r="AB350" s="1"/>
      <c r="AC350" s="1"/>
      <c r="AD350" s="1"/>
      <c r="AE350" s="1"/>
      <c r="AF350" s="1"/>
      <c r="AG350" s="1"/>
      <c r="AH350" s="13">
        <f>VLOOKUP(A350,'2024-25 DIBELS BOY '!A350:AP720,42,FALSE)</f>
        <v>0.44500000000000001</v>
      </c>
      <c r="AI350" s="1"/>
      <c r="AJ350" s="1"/>
      <c r="AK350" s="1"/>
      <c r="AL350" s="1"/>
      <c r="AM350" s="1"/>
    </row>
    <row r="351" spans="1:39" ht="12.3" x14ac:dyDescent="0.4">
      <c r="A351" s="1" t="s">
        <v>445</v>
      </c>
      <c r="B351" s="10">
        <f>VLOOKUP(A351,'[1]2025 KG Students'!$C$2:$D$630,2,FALSE)</f>
        <v>88863</v>
      </c>
      <c r="C351" s="1" t="s">
        <v>33</v>
      </c>
      <c r="D351" s="5" t="s">
        <v>7</v>
      </c>
      <c r="E351" s="5" t="s">
        <v>463</v>
      </c>
      <c r="F351" s="4" t="s">
        <v>465</v>
      </c>
      <c r="G351" s="4" t="s">
        <v>465</v>
      </c>
      <c r="I351" s="1" t="s">
        <v>16</v>
      </c>
      <c r="J351" s="1" t="s">
        <v>10</v>
      </c>
      <c r="K351" s="4" t="s">
        <v>464</v>
      </c>
      <c r="L351" s="1" t="s">
        <v>36</v>
      </c>
      <c r="M351" s="10">
        <v>18050</v>
      </c>
      <c r="O351" s="1"/>
      <c r="P351" s="3">
        <v>0.53</v>
      </c>
      <c r="Q351" s="1"/>
      <c r="S351" s="2"/>
      <c r="T351" s="1"/>
      <c r="U351" s="1"/>
      <c r="V351" s="1"/>
      <c r="Y351" s="1"/>
      <c r="AA351" s="1"/>
      <c r="AB351" s="1"/>
      <c r="AC351" s="1"/>
      <c r="AD351" s="1"/>
      <c r="AE351" s="1"/>
      <c r="AF351" s="1"/>
      <c r="AG351" s="1"/>
      <c r="AH351" s="13" t="e">
        <f>VLOOKUP(A351,'2024-25 DIBELS BOY '!A351:AP721,42,FALSE)</f>
        <v>#N/A</v>
      </c>
      <c r="AI351" s="1"/>
      <c r="AJ351" s="1"/>
      <c r="AK351" s="1"/>
      <c r="AL351" s="1"/>
      <c r="AM351" s="1"/>
    </row>
    <row r="352" spans="1:39" ht="12.3" x14ac:dyDescent="0.4">
      <c r="A352" s="1" t="s">
        <v>446</v>
      </c>
      <c r="B352" s="10">
        <f>VLOOKUP(A352,'[1]2025 KG Students'!$C$2:$D$630,2,FALSE)</f>
        <v>86004</v>
      </c>
      <c r="C352" s="1" t="s">
        <v>33</v>
      </c>
      <c r="D352" s="5" t="s">
        <v>7</v>
      </c>
      <c r="E352" s="5" t="s">
        <v>463</v>
      </c>
      <c r="F352" s="4" t="s">
        <v>465</v>
      </c>
      <c r="G352" s="4" t="s">
        <v>465</v>
      </c>
      <c r="I352" s="1" t="s">
        <v>16</v>
      </c>
      <c r="J352" s="1" t="s">
        <v>10</v>
      </c>
      <c r="K352" s="4" t="s">
        <v>464</v>
      </c>
      <c r="L352" s="1" t="s">
        <v>35</v>
      </c>
      <c r="M352" s="10">
        <v>18050</v>
      </c>
      <c r="O352" s="1"/>
      <c r="P352" s="3">
        <v>0.6333333333333333</v>
      </c>
      <c r="Q352" s="1"/>
      <c r="S352" s="2"/>
      <c r="T352" s="1"/>
      <c r="U352" s="1"/>
      <c r="V352" s="1"/>
      <c r="Y352" s="1"/>
      <c r="AA352" s="1"/>
      <c r="AB352" s="1"/>
      <c r="AC352" s="1"/>
      <c r="AD352" s="1"/>
      <c r="AE352" s="1"/>
      <c r="AF352" s="1"/>
      <c r="AG352" s="1"/>
      <c r="AH352" s="13">
        <f>VLOOKUP(A352,'2024-25 DIBELS BOY '!A352:AP722,42,FALSE)</f>
        <v>0.48666666666666669</v>
      </c>
      <c r="AI352" s="1"/>
      <c r="AJ352" s="1"/>
      <c r="AK352" s="1"/>
      <c r="AL352" s="1"/>
      <c r="AM352" s="1"/>
    </row>
    <row r="353" spans="1:39" ht="12.3" x14ac:dyDescent="0.4">
      <c r="A353" s="1" t="s">
        <v>447</v>
      </c>
      <c r="B353" s="10">
        <f>VLOOKUP(A353,'[1]2025 KG Students'!$C$2:$D$630,2,FALSE)</f>
        <v>85153</v>
      </c>
      <c r="C353" s="1" t="s">
        <v>33</v>
      </c>
      <c r="D353" s="5" t="s">
        <v>7</v>
      </c>
      <c r="E353" s="5" t="s">
        <v>463</v>
      </c>
      <c r="F353" s="4" t="s">
        <v>465</v>
      </c>
      <c r="G353" s="4" t="s">
        <v>465</v>
      </c>
      <c r="I353" s="1" t="s">
        <v>16</v>
      </c>
      <c r="J353" s="1" t="s">
        <v>10</v>
      </c>
      <c r="K353" s="4" t="s">
        <v>464</v>
      </c>
      <c r="L353" s="1" t="s">
        <v>40</v>
      </c>
      <c r="M353" s="10">
        <v>18050</v>
      </c>
      <c r="O353" s="1"/>
      <c r="P353" s="3">
        <v>0.64833333333333332</v>
      </c>
      <c r="Q353" s="1"/>
      <c r="S353" s="2"/>
      <c r="T353" s="1"/>
      <c r="U353" s="1"/>
      <c r="V353" s="1"/>
      <c r="Y353" s="1"/>
      <c r="AA353" s="1"/>
      <c r="AB353" s="1"/>
      <c r="AC353" s="1"/>
      <c r="AD353" s="1"/>
      <c r="AE353" s="1"/>
      <c r="AF353" s="1"/>
      <c r="AG353" s="1"/>
      <c r="AH353" s="13">
        <f>VLOOKUP(A353,'2024-25 DIBELS BOY '!A353:AP723,42,FALSE)</f>
        <v>0.55666666666666664</v>
      </c>
      <c r="AI353" s="1"/>
      <c r="AJ353" s="1"/>
      <c r="AK353" s="1"/>
      <c r="AL353" s="1"/>
      <c r="AM353" s="1"/>
    </row>
    <row r="354" spans="1:39" ht="12.3" x14ac:dyDescent="0.4">
      <c r="A354" s="1" t="s">
        <v>448</v>
      </c>
      <c r="B354" s="10">
        <f>VLOOKUP(A354,'[1]2025 KG Students'!$C$2:$D$630,2,FALSE)</f>
        <v>85162</v>
      </c>
      <c r="C354" s="1" t="s">
        <v>33</v>
      </c>
      <c r="D354" s="5" t="s">
        <v>7</v>
      </c>
      <c r="E354" s="5" t="s">
        <v>463</v>
      </c>
      <c r="F354" s="4" t="s">
        <v>465</v>
      </c>
      <c r="G354" s="4" t="s">
        <v>465</v>
      </c>
      <c r="I354" s="1" t="s">
        <v>16</v>
      </c>
      <c r="J354" s="1" t="s">
        <v>10</v>
      </c>
      <c r="K354" s="4" t="s">
        <v>464</v>
      </c>
      <c r="L354" s="1" t="s">
        <v>42</v>
      </c>
      <c r="M354" s="11"/>
      <c r="O354" s="1"/>
      <c r="P354" s="3">
        <v>0.7533333333333333</v>
      </c>
      <c r="Q354" s="1"/>
      <c r="S354" s="2"/>
      <c r="T354" s="1"/>
      <c r="U354" s="1"/>
      <c r="V354" s="1"/>
      <c r="Y354" s="1"/>
      <c r="AA354" s="1"/>
      <c r="AB354" s="1"/>
      <c r="AC354" s="1"/>
      <c r="AD354" s="1"/>
      <c r="AE354" s="1"/>
      <c r="AF354" s="1"/>
      <c r="AG354" s="1"/>
      <c r="AH354" s="13">
        <f>VLOOKUP(A354,'2024-25 DIBELS BOY '!A354:AP724,42,FALSE)</f>
        <v>0.55666666666666664</v>
      </c>
      <c r="AI354" s="1"/>
      <c r="AJ354" s="1"/>
      <c r="AK354" s="1"/>
      <c r="AL354" s="1"/>
      <c r="AM354" s="1"/>
    </row>
    <row r="355" spans="1:39" ht="12.3" x14ac:dyDescent="0.4">
      <c r="A355" s="1" t="s">
        <v>449</v>
      </c>
      <c r="B355" s="10">
        <f>VLOOKUP(A355,'[1]2025 KG Students'!$C$2:$D$630,2,FALSE)</f>
        <v>86219</v>
      </c>
      <c r="C355" s="1" t="s">
        <v>33</v>
      </c>
      <c r="D355" s="5" t="s">
        <v>7</v>
      </c>
      <c r="E355" s="5" t="s">
        <v>463</v>
      </c>
      <c r="F355" s="4" t="s">
        <v>465</v>
      </c>
      <c r="G355" s="4" t="s">
        <v>465</v>
      </c>
      <c r="I355" s="1" t="s">
        <v>8</v>
      </c>
      <c r="J355" s="1" t="s">
        <v>9</v>
      </c>
      <c r="K355" s="4" t="s">
        <v>464</v>
      </c>
      <c r="L355" s="1" t="s">
        <v>40</v>
      </c>
      <c r="M355" s="10">
        <v>15019</v>
      </c>
      <c r="O355" s="1"/>
      <c r="P355" s="3">
        <v>0.63500000000000001</v>
      </c>
      <c r="Q355" s="1"/>
      <c r="S355" s="2"/>
      <c r="T355" s="1"/>
      <c r="U355" s="2"/>
      <c r="V355" s="1"/>
      <c r="Y355" s="1"/>
      <c r="AA355" s="1"/>
      <c r="AB355" s="1"/>
      <c r="AC355" s="1"/>
      <c r="AD355" s="1"/>
      <c r="AE355" s="1"/>
      <c r="AF355" s="1"/>
      <c r="AG355" s="1"/>
      <c r="AH355" s="13">
        <f>VLOOKUP(A355,'2024-25 DIBELS BOY '!A355:AP725,42,FALSE)</f>
        <v>0.49833333333333335</v>
      </c>
      <c r="AI355" s="1"/>
      <c r="AJ355" s="1"/>
      <c r="AK355" s="1"/>
      <c r="AL355" s="1"/>
      <c r="AM355" s="1"/>
    </row>
    <row r="356" spans="1:39" ht="12.3" x14ac:dyDescent="0.4">
      <c r="A356" s="1" t="s">
        <v>450</v>
      </c>
      <c r="B356" s="10">
        <f>VLOOKUP(A356,'[1]2025 KG Students'!$C$2:$D$630,2,FALSE)</f>
        <v>86020</v>
      </c>
      <c r="C356" s="1" t="s">
        <v>33</v>
      </c>
      <c r="D356" s="5" t="s">
        <v>7</v>
      </c>
      <c r="E356" s="5" t="s">
        <v>463</v>
      </c>
      <c r="F356" s="4" t="s">
        <v>465</v>
      </c>
      <c r="G356" s="4" t="s">
        <v>465</v>
      </c>
      <c r="I356" s="1" t="s">
        <v>16</v>
      </c>
      <c r="J356" s="1" t="s">
        <v>10</v>
      </c>
      <c r="K356" s="4" t="s">
        <v>464</v>
      </c>
      <c r="L356" s="1" t="s">
        <v>44</v>
      </c>
      <c r="M356" s="10">
        <v>18825</v>
      </c>
      <c r="O356" s="1"/>
      <c r="P356" s="3">
        <v>0.67333333333333334</v>
      </c>
      <c r="Q356" s="1"/>
      <c r="S356" s="2"/>
      <c r="T356" s="1"/>
      <c r="U356" s="2"/>
      <c r="V356" s="1"/>
      <c r="Y356" s="1"/>
      <c r="AA356" s="1"/>
      <c r="AB356" s="1"/>
      <c r="AC356" s="1"/>
      <c r="AD356" s="1"/>
      <c r="AE356" s="1"/>
      <c r="AF356" s="1"/>
      <c r="AG356" s="1"/>
      <c r="AH356" s="13">
        <f>VLOOKUP(A356,'2024-25 DIBELS BOY '!A356:AP726,42,FALSE)</f>
        <v>0.60499999999999998</v>
      </c>
      <c r="AI356" s="1"/>
      <c r="AJ356" s="1"/>
      <c r="AK356" s="1"/>
      <c r="AL356" s="1"/>
      <c r="AM356" s="1"/>
    </row>
    <row r="357" spans="1:39" ht="12.3" x14ac:dyDescent="0.4">
      <c r="A357" s="1" t="s">
        <v>452</v>
      </c>
      <c r="B357" s="10">
        <f>VLOOKUP(A357,'[1]2025 KG Students'!$C$2:$D$630,2,FALSE)</f>
        <v>85702</v>
      </c>
      <c r="C357" s="1" t="s">
        <v>33</v>
      </c>
      <c r="D357" s="5" t="s">
        <v>7</v>
      </c>
      <c r="E357" s="5" t="s">
        <v>463</v>
      </c>
      <c r="F357" s="4" t="s">
        <v>465</v>
      </c>
      <c r="G357" s="4" t="s">
        <v>465</v>
      </c>
      <c r="I357" s="1" t="s">
        <v>8</v>
      </c>
      <c r="J357" s="1" t="s">
        <v>9</v>
      </c>
      <c r="K357" s="4" t="s">
        <v>464</v>
      </c>
      <c r="L357" s="1" t="s">
        <v>43</v>
      </c>
      <c r="M357" s="10">
        <v>17879</v>
      </c>
      <c r="O357" s="1"/>
      <c r="P357" s="3">
        <v>0.65833333333333333</v>
      </c>
      <c r="Q357" s="1"/>
      <c r="S357" s="2"/>
      <c r="T357" s="1"/>
      <c r="U357" s="1"/>
      <c r="V357" s="1"/>
      <c r="Y357" s="1"/>
      <c r="AA357" s="1"/>
      <c r="AB357" s="1"/>
      <c r="AC357" s="1"/>
      <c r="AD357" s="1"/>
      <c r="AE357" s="1"/>
      <c r="AF357" s="1"/>
      <c r="AG357" s="1"/>
      <c r="AH357" s="13">
        <f>VLOOKUP(A357,'2024-25 DIBELS BOY '!A357:AP727,42,FALSE)</f>
        <v>0.5</v>
      </c>
      <c r="AI357" s="1"/>
      <c r="AJ357" s="1"/>
      <c r="AK357" s="1"/>
      <c r="AL357" s="1"/>
      <c r="AM357" s="1"/>
    </row>
    <row r="358" spans="1:39" ht="12.3" x14ac:dyDescent="0.4">
      <c r="A358" s="1" t="s">
        <v>453</v>
      </c>
      <c r="B358" s="10">
        <f>VLOOKUP(A358,'[1]2025 KG Students'!$C$2:$D$630,2,FALSE)</f>
        <v>85614</v>
      </c>
      <c r="C358" s="1" t="s">
        <v>33</v>
      </c>
      <c r="D358" s="5" t="s">
        <v>7</v>
      </c>
      <c r="E358" s="5" t="s">
        <v>463</v>
      </c>
      <c r="F358" s="4" t="s">
        <v>465</v>
      </c>
      <c r="G358" s="4" t="s">
        <v>465</v>
      </c>
      <c r="I358" s="1" t="s">
        <v>16</v>
      </c>
      <c r="J358" s="1" t="s">
        <v>10</v>
      </c>
      <c r="K358" s="4" t="s">
        <v>464</v>
      </c>
      <c r="L358" s="1" t="s">
        <v>44</v>
      </c>
      <c r="M358" s="10">
        <v>14530</v>
      </c>
      <c r="O358" s="1"/>
      <c r="P358" s="3">
        <v>0.71166666666666667</v>
      </c>
      <c r="Q358" s="1"/>
      <c r="S358" s="2"/>
      <c r="T358" s="1"/>
      <c r="U358" s="1"/>
      <c r="V358" s="1"/>
      <c r="Y358" s="1"/>
      <c r="AA358" s="1"/>
      <c r="AB358" s="1"/>
      <c r="AC358" s="1"/>
      <c r="AD358" s="1"/>
      <c r="AE358" s="1"/>
      <c r="AF358" s="1"/>
      <c r="AG358" s="1"/>
      <c r="AH358" s="13">
        <f>VLOOKUP(A358,'2024-25 DIBELS BOY '!A358:AP728,42,FALSE)</f>
        <v>0.60333333333333339</v>
      </c>
      <c r="AI358" s="1"/>
      <c r="AJ358" s="1"/>
      <c r="AK358" s="1"/>
      <c r="AL358" s="1"/>
      <c r="AM358" s="1"/>
    </row>
    <row r="359" spans="1:39" ht="12.3" x14ac:dyDescent="0.4">
      <c r="A359" s="1" t="s">
        <v>454</v>
      </c>
      <c r="B359" s="10">
        <f>VLOOKUP(A359,'[1]2025 KG Students'!$C$2:$D$630,2,FALSE)</f>
        <v>85576</v>
      </c>
      <c r="C359" s="1" t="s">
        <v>33</v>
      </c>
      <c r="D359" s="5" t="s">
        <v>7</v>
      </c>
      <c r="E359" s="5" t="s">
        <v>463</v>
      </c>
      <c r="F359" s="4" t="s">
        <v>465</v>
      </c>
      <c r="G359" s="4" t="s">
        <v>465</v>
      </c>
      <c r="I359" s="1" t="s">
        <v>8</v>
      </c>
      <c r="J359" s="1" t="s">
        <v>9</v>
      </c>
      <c r="K359" s="4" t="s">
        <v>464</v>
      </c>
      <c r="L359" s="1" t="s">
        <v>39</v>
      </c>
      <c r="M359" s="10">
        <v>17649</v>
      </c>
      <c r="O359" s="1"/>
      <c r="P359" s="3">
        <v>0.64500000000000002</v>
      </c>
      <c r="Q359" s="1"/>
      <c r="S359" s="2"/>
      <c r="T359" s="1"/>
      <c r="U359" s="1"/>
      <c r="V359" s="1"/>
      <c r="Y359" s="1"/>
      <c r="AA359" s="1"/>
      <c r="AB359" s="1"/>
      <c r="AC359" s="1"/>
      <c r="AD359" s="1"/>
      <c r="AE359" s="1"/>
      <c r="AF359" s="1"/>
      <c r="AG359" s="1"/>
      <c r="AH359" s="13">
        <f>VLOOKUP(A359,'2024-25 DIBELS BOY '!A359:AP729,42,FALSE)</f>
        <v>0.52500000000000002</v>
      </c>
      <c r="AI359" s="1"/>
      <c r="AJ359" s="1"/>
      <c r="AK359" s="1"/>
      <c r="AL359" s="1"/>
      <c r="AM359" s="1"/>
    </row>
    <row r="360" spans="1:39" ht="12.3" x14ac:dyDescent="0.4">
      <c r="A360" s="1" t="s">
        <v>455</v>
      </c>
      <c r="B360" s="10">
        <f>VLOOKUP(A360,'[1]2025 KG Students'!$C$2:$D$630,2,FALSE)</f>
        <v>86400</v>
      </c>
      <c r="C360" s="1" t="s">
        <v>33</v>
      </c>
      <c r="D360" s="5" t="s">
        <v>7</v>
      </c>
      <c r="E360" s="5" t="s">
        <v>463</v>
      </c>
      <c r="F360" s="4" t="s">
        <v>465</v>
      </c>
      <c r="G360" s="4" t="s">
        <v>465</v>
      </c>
      <c r="I360" s="1" t="s">
        <v>8</v>
      </c>
      <c r="J360" s="1" t="s">
        <v>9</v>
      </c>
      <c r="K360" s="4" t="s">
        <v>464</v>
      </c>
      <c r="L360" s="1" t="s">
        <v>39</v>
      </c>
      <c r="M360" s="10">
        <v>17649</v>
      </c>
      <c r="O360" s="1"/>
      <c r="P360" s="3">
        <v>0.58499999999999996</v>
      </c>
      <c r="Q360" s="1"/>
      <c r="S360" s="2"/>
      <c r="T360" s="1"/>
      <c r="U360" s="1"/>
      <c r="V360" s="1"/>
      <c r="Y360" s="1"/>
      <c r="AA360" s="1"/>
      <c r="AB360" s="1"/>
      <c r="AC360" s="1"/>
      <c r="AD360" s="1"/>
      <c r="AE360" s="1"/>
      <c r="AF360" s="1"/>
      <c r="AG360" s="1"/>
      <c r="AH360" s="13">
        <f>VLOOKUP(A360,'2024-25 DIBELS BOY '!A360:AP730,42,FALSE)</f>
        <v>0.5</v>
      </c>
      <c r="AI360" s="1"/>
      <c r="AJ360" s="1"/>
      <c r="AK360" s="1"/>
      <c r="AL360" s="1"/>
      <c r="AM360" s="1"/>
    </row>
    <row r="361" spans="1:39" ht="12.3" x14ac:dyDescent="0.4">
      <c r="A361" s="1" t="s">
        <v>456</v>
      </c>
      <c r="B361" s="10">
        <f>VLOOKUP(A361,'[1]2025 KG Students'!$C$2:$D$630,2,FALSE)</f>
        <v>85771</v>
      </c>
      <c r="C361" s="1" t="s">
        <v>33</v>
      </c>
      <c r="D361" s="5" t="s">
        <v>7</v>
      </c>
      <c r="E361" s="5" t="s">
        <v>463</v>
      </c>
      <c r="F361" s="4" t="s">
        <v>465</v>
      </c>
      <c r="G361" s="4" t="s">
        <v>465</v>
      </c>
      <c r="I361" s="1" t="s">
        <v>8</v>
      </c>
      <c r="J361" s="1" t="s">
        <v>9</v>
      </c>
      <c r="K361" s="4" t="s">
        <v>464</v>
      </c>
      <c r="L361" s="1" t="s">
        <v>35</v>
      </c>
      <c r="M361" s="10">
        <v>17649</v>
      </c>
      <c r="O361" s="1"/>
      <c r="P361" s="3">
        <v>0.56166666666666665</v>
      </c>
      <c r="Q361" s="1"/>
      <c r="S361" s="2"/>
      <c r="T361" s="1"/>
      <c r="U361" s="1"/>
      <c r="V361" s="1"/>
      <c r="Y361" s="1"/>
      <c r="AA361" s="1"/>
      <c r="AB361" s="1"/>
      <c r="AC361" s="1"/>
      <c r="AD361" s="1"/>
      <c r="AE361" s="1"/>
      <c r="AF361" s="1"/>
      <c r="AG361" s="1"/>
      <c r="AH361" s="13">
        <f>VLOOKUP(A361,'2024-25 DIBELS BOY '!A361:AP731,42,FALSE)</f>
        <v>0.46833333333333332</v>
      </c>
      <c r="AI361" s="1"/>
      <c r="AJ361" s="1"/>
      <c r="AK361" s="1"/>
      <c r="AL361" s="1"/>
      <c r="AM361" s="1"/>
    </row>
    <row r="362" spans="1:39" ht="12.3" x14ac:dyDescent="0.4">
      <c r="A362" s="1" t="s">
        <v>457</v>
      </c>
      <c r="B362" s="10">
        <f>VLOOKUP(A362,'[1]2025 KG Students'!$C$2:$D$630,2,FALSE)</f>
        <v>85523</v>
      </c>
      <c r="C362" s="1" t="s">
        <v>33</v>
      </c>
      <c r="D362" s="5" t="s">
        <v>7</v>
      </c>
      <c r="E362" s="5" t="s">
        <v>463</v>
      </c>
      <c r="F362" s="4" t="s">
        <v>465</v>
      </c>
      <c r="G362" s="4" t="s">
        <v>465</v>
      </c>
      <c r="I362" s="1" t="s">
        <v>8</v>
      </c>
      <c r="J362" s="1" t="s">
        <v>9</v>
      </c>
      <c r="K362" s="4" t="s">
        <v>464</v>
      </c>
      <c r="L362" s="1" t="s">
        <v>34</v>
      </c>
      <c r="M362" s="10">
        <v>18941</v>
      </c>
      <c r="O362" s="1"/>
      <c r="P362" s="3">
        <v>0.65666666666666662</v>
      </c>
      <c r="Q362" s="1"/>
      <c r="S362" s="2"/>
      <c r="T362" s="1"/>
      <c r="U362" s="1"/>
      <c r="V362" s="1"/>
      <c r="Y362" s="1"/>
      <c r="AA362" s="1"/>
      <c r="AB362" s="1"/>
      <c r="AC362" s="1"/>
      <c r="AD362" s="1"/>
      <c r="AE362" s="1"/>
      <c r="AF362" s="1"/>
      <c r="AG362" s="1"/>
      <c r="AH362" s="13">
        <f>VLOOKUP(A362,'2024-25 DIBELS BOY '!A362:AP732,42,FALSE)</f>
        <v>0.58666666666666667</v>
      </c>
      <c r="AI362" s="1"/>
      <c r="AJ362" s="1"/>
      <c r="AK362" s="1"/>
      <c r="AL362" s="1"/>
      <c r="AM362" s="1"/>
    </row>
    <row r="363" spans="1:39" ht="12.3" x14ac:dyDescent="0.4">
      <c r="A363" s="1" t="s">
        <v>458</v>
      </c>
      <c r="B363" s="10">
        <f>VLOOKUP(A363,'[1]2025 KG Students'!$C$2:$D$630,2,FALSE)</f>
        <v>88418</v>
      </c>
      <c r="C363" s="1" t="s">
        <v>33</v>
      </c>
      <c r="D363" s="5" t="s">
        <v>7</v>
      </c>
      <c r="E363" s="5" t="s">
        <v>463</v>
      </c>
      <c r="F363" s="4" t="s">
        <v>465</v>
      </c>
      <c r="G363" s="4" t="s">
        <v>465</v>
      </c>
      <c r="I363" s="1" t="s">
        <v>8</v>
      </c>
      <c r="J363" s="1" t="s">
        <v>9</v>
      </c>
      <c r="K363" s="4" t="s">
        <v>464</v>
      </c>
      <c r="L363" s="1" t="s">
        <v>34</v>
      </c>
      <c r="M363" s="10">
        <v>18548</v>
      </c>
      <c r="O363" s="1"/>
      <c r="P363" s="3">
        <v>0.56666666666666665</v>
      </c>
      <c r="Q363" s="1"/>
      <c r="S363" s="2"/>
      <c r="T363" s="1"/>
      <c r="U363" s="1"/>
      <c r="V363" s="1"/>
      <c r="Y363" s="1"/>
      <c r="AA363" s="1"/>
      <c r="AB363" s="1"/>
      <c r="AC363" s="1"/>
      <c r="AD363" s="1"/>
      <c r="AE363" s="1"/>
      <c r="AF363" s="1"/>
      <c r="AG363" s="1"/>
      <c r="AH363" s="13">
        <f>VLOOKUP(A363,'2024-25 DIBELS BOY '!A363:AP733,42,FALSE)</f>
        <v>0.43333333333333335</v>
      </c>
      <c r="AI363" s="1"/>
      <c r="AJ363" s="1"/>
      <c r="AK363" s="1"/>
      <c r="AL363" s="1"/>
      <c r="AM363" s="1"/>
    </row>
    <row r="364" spans="1:39" ht="12.3" x14ac:dyDescent="0.4">
      <c r="A364" s="1" t="s">
        <v>461</v>
      </c>
      <c r="B364" s="10">
        <f>VLOOKUP(A364,'[1]2025 KG Students'!$C$2:$D$630,2,FALSE)</f>
        <v>88511</v>
      </c>
      <c r="C364" s="1" t="s">
        <v>33</v>
      </c>
      <c r="D364" s="5" t="s">
        <v>7</v>
      </c>
      <c r="E364" s="5" t="s">
        <v>463</v>
      </c>
      <c r="F364" s="4" t="s">
        <v>465</v>
      </c>
      <c r="G364" s="4" t="s">
        <v>465</v>
      </c>
      <c r="I364" s="1" t="s">
        <v>29</v>
      </c>
      <c r="J364" s="1" t="s">
        <v>9</v>
      </c>
      <c r="K364" s="4" t="s">
        <v>464</v>
      </c>
      <c r="L364" s="1" t="s">
        <v>36</v>
      </c>
      <c r="M364" s="10">
        <v>17879</v>
      </c>
      <c r="O364" s="1"/>
      <c r="P364" s="3">
        <v>0.53</v>
      </c>
      <c r="Q364" s="1"/>
      <c r="S364" s="2"/>
      <c r="T364" s="1"/>
      <c r="U364" s="1"/>
      <c r="V364" s="1"/>
      <c r="Y364" s="1"/>
      <c r="AA364" s="1"/>
      <c r="AB364" s="1"/>
      <c r="AC364" s="1"/>
      <c r="AD364" s="1"/>
      <c r="AE364" s="1"/>
      <c r="AF364" s="1"/>
      <c r="AG364" s="1"/>
      <c r="AH364" s="13">
        <f>VLOOKUP(A364,'2024-25 DIBELS BOY '!A364:AP734,42,FALSE)</f>
        <v>0.41166666666666668</v>
      </c>
      <c r="AI364" s="1"/>
      <c r="AJ364" s="1"/>
      <c r="AK364" s="1"/>
      <c r="AL364" s="1"/>
      <c r="AM364" s="1"/>
    </row>
    <row r="365" spans="1:39" ht="12.3" x14ac:dyDescent="0.4">
      <c r="A365" s="1" t="s">
        <v>462</v>
      </c>
      <c r="B365" s="10">
        <f>VLOOKUP(A365,'[1]2025 KG Students'!$C$2:$D$630,2,FALSE)</f>
        <v>87889</v>
      </c>
      <c r="C365" s="1" t="s">
        <v>33</v>
      </c>
      <c r="D365" s="5" t="s">
        <v>7</v>
      </c>
      <c r="E365" s="5" t="s">
        <v>463</v>
      </c>
      <c r="F365" s="4" t="s">
        <v>465</v>
      </c>
      <c r="G365" s="4" t="s">
        <v>465</v>
      </c>
      <c r="I365" s="1" t="s">
        <v>16</v>
      </c>
      <c r="J365" s="1" t="s">
        <v>10</v>
      </c>
      <c r="K365" s="4" t="s">
        <v>464</v>
      </c>
      <c r="L365" s="1" t="s">
        <v>44</v>
      </c>
      <c r="M365" s="10">
        <v>13866</v>
      </c>
      <c r="O365" s="1"/>
      <c r="P365" s="3">
        <v>0.66666666666666663</v>
      </c>
      <c r="Q365" s="1"/>
      <c r="S365" s="2"/>
      <c r="T365" s="1"/>
      <c r="U365" s="2"/>
      <c r="V365" s="1"/>
      <c r="Y365" s="1"/>
      <c r="AA365" s="1"/>
      <c r="AB365" s="1"/>
      <c r="AC365" s="1"/>
      <c r="AD365" s="1"/>
      <c r="AE365" s="1"/>
      <c r="AF365" s="1"/>
      <c r="AG365" s="1"/>
      <c r="AH365" s="13">
        <f>VLOOKUP(A365,'2024-25 DIBELS BOY '!A365:AP735,42,FALSE)</f>
        <v>0.66166666666666663</v>
      </c>
      <c r="AI365" s="1"/>
      <c r="AJ365" s="1"/>
      <c r="AK365" s="1"/>
      <c r="AL365" s="1"/>
      <c r="AM365" s="1"/>
    </row>
    <row r="366" spans="1:39" ht="12.3" x14ac:dyDescent="0.4">
      <c r="A366" s="1"/>
      <c r="B366" s="10" t="e">
        <f>VLOOKUP(A366,'[1]2025 KG Students'!$C$2:$D$630,2,FALSE)</f>
        <v>#N/A</v>
      </c>
      <c r="C366" s="1"/>
      <c r="D366" s="5" t="s">
        <v>7</v>
      </c>
      <c r="E366" s="5" t="s">
        <v>463</v>
      </c>
      <c r="F366" s="4" t="s">
        <v>465</v>
      </c>
      <c r="G366" s="4" t="s">
        <v>465</v>
      </c>
      <c r="I366" s="1" t="s">
        <v>16</v>
      </c>
      <c r="J366" s="1" t="s">
        <v>10</v>
      </c>
      <c r="K366" s="4" t="s">
        <v>464</v>
      </c>
      <c r="L366" s="1"/>
      <c r="M366" s="10"/>
      <c r="O366" s="1"/>
      <c r="P366" s="3">
        <v>0.66666666666666663</v>
      </c>
      <c r="Q366" s="1"/>
      <c r="S366" s="2"/>
      <c r="T366" s="1"/>
      <c r="U366" s="2"/>
      <c r="V366" s="1"/>
      <c r="Y366" s="1"/>
      <c r="AA366" s="1"/>
      <c r="AB366" s="1"/>
      <c r="AC366" s="1"/>
      <c r="AD366" s="1"/>
      <c r="AE366" s="1"/>
      <c r="AF366" s="1"/>
      <c r="AG366" s="1"/>
      <c r="AH366" s="13"/>
      <c r="AI366" s="1"/>
      <c r="AJ366" s="1"/>
      <c r="AK366" s="1"/>
      <c r="AL366" s="1"/>
      <c r="AM366" s="1"/>
    </row>
    <row r="367" spans="1:39" ht="15.75" customHeight="1" x14ac:dyDescent="0.4">
      <c r="M367" s="11"/>
    </row>
    <row r="368" spans="1:39" ht="15.75" customHeight="1" x14ac:dyDescent="0.4">
      <c r="M368" s="10"/>
    </row>
    <row r="369" spans="13:13" ht="15.75" customHeight="1" x14ac:dyDescent="0.4">
      <c r="M369" s="10"/>
    </row>
    <row r="370" spans="13:13" ht="15.75" customHeight="1" x14ac:dyDescent="0.4">
      <c r="M370" s="10"/>
    </row>
    <row r="371" spans="13:13" ht="15.75" customHeight="1" x14ac:dyDescent="0.4">
      <c r="M371" s="10"/>
    </row>
    <row r="372" spans="13:13" ht="15.75" customHeight="1" x14ac:dyDescent="0.4">
      <c r="M372" s="10"/>
    </row>
    <row r="373" spans="13:13" ht="15.75" customHeight="1" x14ac:dyDescent="0.4">
      <c r="M373" s="10"/>
    </row>
    <row r="374" spans="13:13" ht="15.75" customHeight="1" x14ac:dyDescent="0.4">
      <c r="M374" s="10"/>
    </row>
    <row r="375" spans="13:13" ht="15.75" customHeight="1" x14ac:dyDescent="0.4">
      <c r="M375" s="10"/>
    </row>
    <row r="376" spans="13:13" ht="15.75" customHeight="1" x14ac:dyDescent="0.4">
      <c r="M376" s="10"/>
    </row>
    <row r="377" spans="13:13" ht="15.75" customHeight="1" x14ac:dyDescent="0.4">
      <c r="M377" s="10"/>
    </row>
    <row r="378" spans="13:13" ht="15.75" customHeight="1" x14ac:dyDescent="0.4">
      <c r="M378" s="10"/>
    </row>
    <row r="379" spans="13:13" ht="15.75" customHeight="1" x14ac:dyDescent="0.4">
      <c r="M379" s="10"/>
    </row>
    <row r="380" spans="13:13" ht="15.75" customHeight="1" x14ac:dyDescent="0.4">
      <c r="M380" s="10"/>
    </row>
    <row r="381" spans="13:13" ht="15.75" customHeight="1" x14ac:dyDescent="0.4">
      <c r="M381" s="10"/>
    </row>
    <row r="382" spans="13:13" ht="15.75" customHeight="1" x14ac:dyDescent="0.4">
      <c r="M382" s="10"/>
    </row>
    <row r="383" spans="13:13" ht="15.75" customHeight="1" x14ac:dyDescent="0.4">
      <c r="M383" s="10"/>
    </row>
    <row r="384" spans="13:13" ht="15.75" customHeight="1" x14ac:dyDescent="0.4">
      <c r="M384" s="10"/>
    </row>
    <row r="385" spans="13:13" ht="15.75" customHeight="1" x14ac:dyDescent="0.4">
      <c r="M385" s="10"/>
    </row>
    <row r="386" spans="13:13" ht="15.75" customHeight="1" x14ac:dyDescent="0.4">
      <c r="M386" s="10"/>
    </row>
    <row r="387" spans="13:13" ht="15.75" customHeight="1" x14ac:dyDescent="0.4">
      <c r="M387" s="10"/>
    </row>
    <row r="388" spans="13:13" ht="15.75" customHeight="1" x14ac:dyDescent="0.4">
      <c r="M388" s="10"/>
    </row>
    <row r="389" spans="13:13" ht="15.75" customHeight="1" x14ac:dyDescent="0.4">
      <c r="M389" s="10"/>
    </row>
    <row r="390" spans="13:13" ht="15.75" customHeight="1" x14ac:dyDescent="0.4">
      <c r="M390" s="10"/>
    </row>
    <row r="391" spans="13:13" ht="15.75" customHeight="1" x14ac:dyDescent="0.4">
      <c r="M391" s="10"/>
    </row>
    <row r="392" spans="13:13" ht="15.75" customHeight="1" x14ac:dyDescent="0.4">
      <c r="M392" s="10"/>
    </row>
    <row r="393" spans="13:13" ht="15.75" customHeight="1" x14ac:dyDescent="0.4">
      <c r="M393" s="10"/>
    </row>
    <row r="394" spans="13:13" ht="15.75" customHeight="1" x14ac:dyDescent="0.4">
      <c r="M394" s="10"/>
    </row>
    <row r="395" spans="13:13" ht="15.75" customHeight="1" x14ac:dyDescent="0.4">
      <c r="M395" s="10"/>
    </row>
    <row r="396" spans="13:13" ht="15.75" customHeight="1" x14ac:dyDescent="0.4">
      <c r="M396" s="10"/>
    </row>
    <row r="397" spans="13:13" ht="15.75" customHeight="1" x14ac:dyDescent="0.4">
      <c r="M397" s="10"/>
    </row>
    <row r="398" spans="13:13" ht="15.75" customHeight="1" x14ac:dyDescent="0.4">
      <c r="M398" s="10"/>
    </row>
    <row r="399" spans="13:13" ht="15.75" customHeight="1" x14ac:dyDescent="0.4">
      <c r="M399" s="10"/>
    </row>
    <row r="400" spans="13:13" ht="15.75" customHeight="1" x14ac:dyDescent="0.4">
      <c r="M400" s="10"/>
    </row>
    <row r="401" spans="13:13" ht="15.75" customHeight="1" x14ac:dyDescent="0.4">
      <c r="M401" s="10"/>
    </row>
    <row r="402" spans="13:13" ht="15.75" customHeight="1" x14ac:dyDescent="0.4">
      <c r="M402" s="10"/>
    </row>
    <row r="403" spans="13:13" ht="15.75" customHeight="1" x14ac:dyDescent="0.4">
      <c r="M403" s="10"/>
    </row>
    <row r="404" spans="13:13" ht="15.75" customHeight="1" x14ac:dyDescent="0.4">
      <c r="M404" s="10"/>
    </row>
    <row r="405" spans="13:13" ht="15.75" customHeight="1" x14ac:dyDescent="0.4">
      <c r="M405" s="10"/>
    </row>
    <row r="406" spans="13:13" ht="15.75" customHeight="1" x14ac:dyDescent="0.4">
      <c r="M406" s="10"/>
    </row>
    <row r="407" spans="13:13" ht="15.75" customHeight="1" x14ac:dyDescent="0.4">
      <c r="M407" s="10"/>
    </row>
    <row r="408" spans="13:13" ht="15.75" customHeight="1" x14ac:dyDescent="0.4">
      <c r="M408" s="10"/>
    </row>
    <row r="409" spans="13:13" ht="15.75" customHeight="1" x14ac:dyDescent="0.4">
      <c r="M409" s="10"/>
    </row>
    <row r="410" spans="13:13" ht="15.75" customHeight="1" x14ac:dyDescent="0.4">
      <c r="M410" s="10"/>
    </row>
    <row r="411" spans="13:13" ht="15.75" customHeight="1" x14ac:dyDescent="0.4">
      <c r="M411" s="10"/>
    </row>
    <row r="412" spans="13:13" ht="15.75" customHeight="1" x14ac:dyDescent="0.4">
      <c r="M412" s="10"/>
    </row>
    <row r="413" spans="13:13" ht="15.75" customHeight="1" x14ac:dyDescent="0.4">
      <c r="M413" s="10"/>
    </row>
    <row r="414" spans="13:13" ht="15.75" customHeight="1" x14ac:dyDescent="0.4">
      <c r="M414" s="10"/>
    </row>
    <row r="415" spans="13:13" ht="15.75" customHeight="1" x14ac:dyDescent="0.4">
      <c r="M415" s="10"/>
    </row>
    <row r="416" spans="13:13" ht="15.75" customHeight="1" x14ac:dyDescent="0.4">
      <c r="M416" s="10"/>
    </row>
    <row r="417" spans="13:13" ht="15.75" customHeight="1" x14ac:dyDescent="0.4">
      <c r="M417" s="10"/>
    </row>
    <row r="418" spans="13:13" ht="15.75" customHeight="1" x14ac:dyDescent="0.4">
      <c r="M418" s="10"/>
    </row>
    <row r="419" spans="13:13" ht="15.75" customHeight="1" x14ac:dyDescent="0.4">
      <c r="M419" s="10"/>
    </row>
    <row r="420" spans="13:13" ht="15.75" customHeight="1" x14ac:dyDescent="0.4">
      <c r="M420" s="10"/>
    </row>
    <row r="421" spans="13:13" ht="15.75" customHeight="1" x14ac:dyDescent="0.4">
      <c r="M421" s="10"/>
    </row>
    <row r="422" spans="13:13" ht="15.75" customHeight="1" x14ac:dyDescent="0.4">
      <c r="M422" s="10"/>
    </row>
    <row r="423" spans="13:13" ht="15.75" customHeight="1" x14ac:dyDescent="0.4">
      <c r="M423" s="10"/>
    </row>
    <row r="424" spans="13:13" ht="15.75" customHeight="1" x14ac:dyDescent="0.4">
      <c r="M424" s="10"/>
    </row>
    <row r="425" spans="13:13" ht="15.75" customHeight="1" x14ac:dyDescent="0.4">
      <c r="M425" s="10"/>
    </row>
    <row r="426" spans="13:13" ht="15.75" customHeight="1" x14ac:dyDescent="0.4">
      <c r="M426" s="10"/>
    </row>
    <row r="427" spans="13:13" ht="15.75" customHeight="1" x14ac:dyDescent="0.4">
      <c r="M427" s="10"/>
    </row>
    <row r="428" spans="13:13" ht="15.75" customHeight="1" x14ac:dyDescent="0.4">
      <c r="M428" s="10"/>
    </row>
    <row r="429" spans="13:13" ht="15.75" customHeight="1" x14ac:dyDescent="0.4">
      <c r="M429" s="10"/>
    </row>
    <row r="430" spans="13:13" ht="15.75" customHeight="1" x14ac:dyDescent="0.4">
      <c r="M430" s="10"/>
    </row>
    <row r="431" spans="13:13" ht="15.75" customHeight="1" x14ac:dyDescent="0.4">
      <c r="M431" s="10"/>
    </row>
    <row r="432" spans="13:13" ht="15.75" customHeight="1" x14ac:dyDescent="0.4">
      <c r="M432" s="10"/>
    </row>
    <row r="433" spans="13:13" ht="15.75" customHeight="1" x14ac:dyDescent="0.4">
      <c r="M433" s="10"/>
    </row>
    <row r="434" spans="13:13" ht="15.75" customHeight="1" x14ac:dyDescent="0.4">
      <c r="M434" s="10"/>
    </row>
    <row r="435" spans="13:13" ht="15.75" customHeight="1" x14ac:dyDescent="0.4">
      <c r="M435" s="10"/>
    </row>
    <row r="436" spans="13:13" ht="15.75" customHeight="1" x14ac:dyDescent="0.4">
      <c r="M436" s="10"/>
    </row>
    <row r="437" spans="13:13" ht="15.75" customHeight="1" x14ac:dyDescent="0.4">
      <c r="M437" s="10"/>
    </row>
    <row r="438" spans="13:13" ht="15.75" customHeight="1" x14ac:dyDescent="0.4">
      <c r="M438" s="10"/>
    </row>
    <row r="439" spans="13:13" ht="15.75" customHeight="1" x14ac:dyDescent="0.4">
      <c r="M439" s="10"/>
    </row>
    <row r="440" spans="13:13" ht="15.75" customHeight="1" x14ac:dyDescent="0.4">
      <c r="M440" s="10"/>
    </row>
    <row r="441" spans="13:13" ht="15.75" customHeight="1" x14ac:dyDescent="0.4">
      <c r="M441" s="10"/>
    </row>
    <row r="442" spans="13:13" ht="15.75" customHeight="1" x14ac:dyDescent="0.4">
      <c r="M442" s="10"/>
    </row>
    <row r="443" spans="13:13" ht="15.75" customHeight="1" x14ac:dyDescent="0.4">
      <c r="M443" s="10"/>
    </row>
    <row r="444" spans="13:13" ht="15.75" customHeight="1" x14ac:dyDescent="0.4">
      <c r="M444" s="10"/>
    </row>
    <row r="445" spans="13:13" ht="15.75" customHeight="1" x14ac:dyDescent="0.4">
      <c r="M445" s="10"/>
    </row>
    <row r="446" spans="13:13" ht="15.75" customHeight="1" x14ac:dyDescent="0.4">
      <c r="M446" s="10"/>
    </row>
    <row r="447" spans="13:13" ht="15.75" customHeight="1" x14ac:dyDescent="0.4">
      <c r="M447" s="10"/>
    </row>
    <row r="448" spans="13:13" ht="15.75" customHeight="1" x14ac:dyDescent="0.4">
      <c r="M448" s="10"/>
    </row>
    <row r="449" spans="13:13" ht="15.75" customHeight="1" x14ac:dyDescent="0.4">
      <c r="M449" s="10"/>
    </row>
    <row r="450" spans="13:13" ht="15.75" customHeight="1" x14ac:dyDescent="0.4">
      <c r="M450" s="10"/>
    </row>
    <row r="451" spans="13:13" ht="15.75" customHeight="1" x14ac:dyDescent="0.4">
      <c r="M451" s="10"/>
    </row>
    <row r="452" spans="13:13" ht="15.75" customHeight="1" x14ac:dyDescent="0.4">
      <c r="M452" s="10"/>
    </row>
    <row r="453" spans="13:13" ht="15.75" customHeight="1" x14ac:dyDescent="0.4">
      <c r="M453" s="10"/>
    </row>
    <row r="454" spans="13:13" ht="15.75" customHeight="1" x14ac:dyDescent="0.4">
      <c r="M454" s="10"/>
    </row>
    <row r="455" spans="13:13" ht="15.75" customHeight="1" x14ac:dyDescent="0.4">
      <c r="M455" s="10"/>
    </row>
    <row r="456" spans="13:13" ht="15.75" customHeight="1" x14ac:dyDescent="0.4">
      <c r="M456" s="10"/>
    </row>
    <row r="457" spans="13:13" ht="15.75" customHeight="1" x14ac:dyDescent="0.4">
      <c r="M457" s="10"/>
    </row>
    <row r="458" spans="13:13" ht="15.75" customHeight="1" x14ac:dyDescent="0.4">
      <c r="M458" s="10"/>
    </row>
    <row r="459" spans="13:13" ht="15.75" customHeight="1" x14ac:dyDescent="0.4">
      <c r="M459" s="10"/>
    </row>
    <row r="460" spans="13:13" ht="15.75" customHeight="1" x14ac:dyDescent="0.4">
      <c r="M460" s="10"/>
    </row>
    <row r="461" spans="13:13" ht="15.75" customHeight="1" x14ac:dyDescent="0.4">
      <c r="M461" s="10"/>
    </row>
    <row r="462" spans="13:13" ht="15.75" customHeight="1" x14ac:dyDescent="0.4">
      <c r="M462" s="10"/>
    </row>
    <row r="463" spans="13:13" ht="15.75" customHeight="1" x14ac:dyDescent="0.4">
      <c r="M463" s="10"/>
    </row>
    <row r="464" spans="13:13" ht="15.75" customHeight="1" x14ac:dyDescent="0.4">
      <c r="M464" s="10"/>
    </row>
    <row r="465" spans="13:13" ht="15.75" customHeight="1" x14ac:dyDescent="0.4">
      <c r="M465" s="10"/>
    </row>
    <row r="466" spans="13:13" ht="15.75" customHeight="1" x14ac:dyDescent="0.4">
      <c r="M466" s="10"/>
    </row>
    <row r="467" spans="13:13" ht="15.75" customHeight="1" x14ac:dyDescent="0.4">
      <c r="M467" s="10"/>
    </row>
    <row r="468" spans="13:13" ht="15.75" customHeight="1" x14ac:dyDescent="0.4">
      <c r="M468" s="11"/>
    </row>
    <row r="469" spans="13:13" ht="15.75" customHeight="1" x14ac:dyDescent="0.4">
      <c r="M469" s="10">
        <v>18941</v>
      </c>
    </row>
    <row r="470" spans="13:13" ht="15.75" customHeight="1" x14ac:dyDescent="0.4">
      <c r="M470" s="10">
        <v>18941</v>
      </c>
    </row>
    <row r="471" spans="13:13" ht="15.75" customHeight="1" x14ac:dyDescent="0.4">
      <c r="M471" s="10">
        <v>18050</v>
      </c>
    </row>
    <row r="472" spans="13:13" ht="15.75" customHeight="1" x14ac:dyDescent="0.4">
      <c r="M472" s="10">
        <v>18050</v>
      </c>
    </row>
    <row r="473" spans="13:13" ht="15.75" customHeight="1" x14ac:dyDescent="0.4">
      <c r="M473" s="10">
        <v>17879</v>
      </c>
    </row>
    <row r="474" spans="13:13" ht="15.75" customHeight="1" x14ac:dyDescent="0.4">
      <c r="M474" s="10">
        <v>17879</v>
      </c>
    </row>
    <row r="475" spans="13:13" ht="15.75" customHeight="1" x14ac:dyDescent="0.4">
      <c r="M475" s="10">
        <v>15143</v>
      </c>
    </row>
    <row r="476" spans="13:13" ht="15.75" customHeight="1" x14ac:dyDescent="0.4">
      <c r="M476" s="10">
        <v>15143</v>
      </c>
    </row>
    <row r="477" spans="13:13" ht="15.75" customHeight="1" x14ac:dyDescent="0.4">
      <c r="M477" s="10">
        <v>18825</v>
      </c>
    </row>
    <row r="478" spans="13:13" ht="15.75" customHeight="1" x14ac:dyDescent="0.4">
      <c r="M478" s="10">
        <v>18825</v>
      </c>
    </row>
    <row r="479" spans="13:13" ht="15.75" customHeight="1" x14ac:dyDescent="0.4">
      <c r="M479" s="10">
        <v>15019</v>
      </c>
    </row>
    <row r="480" spans="13:13" ht="15.75" customHeight="1" x14ac:dyDescent="0.4">
      <c r="M480" s="10">
        <v>15019</v>
      </c>
    </row>
    <row r="481" spans="13:13" ht="15.75" customHeight="1" x14ac:dyDescent="0.4">
      <c r="M481" s="10">
        <v>17879</v>
      </c>
    </row>
    <row r="482" spans="13:13" ht="15.75" customHeight="1" x14ac:dyDescent="0.4">
      <c r="M482" s="10">
        <v>18941</v>
      </c>
    </row>
    <row r="483" spans="13:13" ht="15.75" customHeight="1" x14ac:dyDescent="0.4">
      <c r="M483" s="10">
        <v>18941</v>
      </c>
    </row>
    <row r="484" spans="13:13" ht="15.75" customHeight="1" x14ac:dyDescent="0.4">
      <c r="M484" s="10">
        <v>18825</v>
      </c>
    </row>
    <row r="485" spans="13:13" ht="15.75" customHeight="1" x14ac:dyDescent="0.4">
      <c r="M485" s="10">
        <v>18825</v>
      </c>
    </row>
    <row r="486" spans="13:13" ht="15.75" customHeight="1" x14ac:dyDescent="0.4">
      <c r="M486" s="10">
        <v>18825</v>
      </c>
    </row>
    <row r="487" spans="13:13" ht="15.75" customHeight="1" x14ac:dyDescent="0.4">
      <c r="M487" s="10">
        <v>18825</v>
      </c>
    </row>
    <row r="488" spans="13:13" ht="15.75" customHeight="1" x14ac:dyDescent="0.4">
      <c r="M488" s="10">
        <v>13866</v>
      </c>
    </row>
    <row r="489" spans="13:13" ht="15.75" customHeight="1" x14ac:dyDescent="0.4">
      <c r="M489" s="10">
        <v>13866</v>
      </c>
    </row>
    <row r="490" spans="13:13" ht="15.75" customHeight="1" x14ac:dyDescent="0.4">
      <c r="M490" s="10">
        <v>14530</v>
      </c>
    </row>
    <row r="491" spans="13:13" ht="15.75" customHeight="1" x14ac:dyDescent="0.4">
      <c r="M491" s="10">
        <v>14530</v>
      </c>
    </row>
    <row r="492" spans="13:13" ht="15.75" customHeight="1" x14ac:dyDescent="0.4">
      <c r="M492" s="10">
        <v>14530</v>
      </c>
    </row>
    <row r="493" spans="13:13" ht="15.75" customHeight="1" x14ac:dyDescent="0.4">
      <c r="M493" s="10">
        <v>14530</v>
      </c>
    </row>
    <row r="494" spans="13:13" ht="15.75" customHeight="1" x14ac:dyDescent="0.4">
      <c r="M494" s="10">
        <v>14530</v>
      </c>
    </row>
    <row r="495" spans="13:13" ht="15.75" customHeight="1" x14ac:dyDescent="0.4">
      <c r="M495" s="10">
        <v>14530</v>
      </c>
    </row>
    <row r="496" spans="13:13" ht="15.75" customHeight="1" x14ac:dyDescent="0.4">
      <c r="M496" s="10">
        <v>18825</v>
      </c>
    </row>
    <row r="497" spans="13:13" ht="15.75" customHeight="1" x14ac:dyDescent="0.4">
      <c r="M497" s="10">
        <v>18825</v>
      </c>
    </row>
    <row r="498" spans="13:13" ht="15.75" customHeight="1" x14ac:dyDescent="0.4">
      <c r="M498" s="10">
        <v>18473</v>
      </c>
    </row>
    <row r="499" spans="13:13" ht="15.75" customHeight="1" x14ac:dyDescent="0.4">
      <c r="M499" s="10">
        <v>15019</v>
      </c>
    </row>
    <row r="500" spans="13:13" ht="15.75" customHeight="1" x14ac:dyDescent="0.4">
      <c r="M500" s="10">
        <v>15019</v>
      </c>
    </row>
    <row r="501" spans="13:13" ht="15.75" customHeight="1" x14ac:dyDescent="0.4">
      <c r="M501" s="10">
        <v>17879</v>
      </c>
    </row>
    <row r="502" spans="13:13" ht="15.75" customHeight="1" x14ac:dyDescent="0.4">
      <c r="M502" s="10">
        <v>17879</v>
      </c>
    </row>
    <row r="503" spans="13:13" ht="15.75" customHeight="1" x14ac:dyDescent="0.4">
      <c r="M503" s="10">
        <v>13866</v>
      </c>
    </row>
    <row r="504" spans="13:13" ht="15.75" customHeight="1" x14ac:dyDescent="0.4">
      <c r="M504" s="10">
        <v>13866</v>
      </c>
    </row>
    <row r="505" spans="13:13" ht="15.75" customHeight="1" x14ac:dyDescent="0.4">
      <c r="M505" s="10">
        <v>18825</v>
      </c>
    </row>
    <row r="506" spans="13:13" ht="15.75" customHeight="1" x14ac:dyDescent="0.4">
      <c r="M506" s="11"/>
    </row>
    <row r="507" spans="13:13" ht="15.75" customHeight="1" x14ac:dyDescent="0.4">
      <c r="M507" s="10">
        <v>17649</v>
      </c>
    </row>
    <row r="508" spans="13:13" ht="15.75" customHeight="1" x14ac:dyDescent="0.4">
      <c r="M508" s="10">
        <v>17649</v>
      </c>
    </row>
    <row r="509" spans="13:13" ht="15.75" customHeight="1" x14ac:dyDescent="0.4">
      <c r="M509" s="10">
        <v>17649</v>
      </c>
    </row>
    <row r="510" spans="13:13" ht="15.75" customHeight="1" x14ac:dyDescent="0.4">
      <c r="M510" s="10">
        <v>17649</v>
      </c>
    </row>
    <row r="511" spans="13:13" ht="15.75" customHeight="1" x14ac:dyDescent="0.4">
      <c r="M511" s="10">
        <v>14530</v>
      </c>
    </row>
    <row r="512" spans="13:13" ht="15.75" customHeight="1" x14ac:dyDescent="0.4">
      <c r="M512" s="10">
        <v>14530</v>
      </c>
    </row>
    <row r="513" spans="13:13" ht="15.75" customHeight="1" x14ac:dyDescent="0.4">
      <c r="M513" s="10">
        <v>15143</v>
      </c>
    </row>
    <row r="514" spans="13:13" ht="15.75" customHeight="1" x14ac:dyDescent="0.4">
      <c r="M514" s="10">
        <v>15143</v>
      </c>
    </row>
    <row r="515" spans="13:13" ht="15.75" customHeight="1" x14ac:dyDescent="0.4">
      <c r="M515" s="10">
        <v>18941</v>
      </c>
    </row>
    <row r="516" spans="13:13" ht="15.75" customHeight="1" x14ac:dyDescent="0.4">
      <c r="M516" s="10">
        <v>18941</v>
      </c>
    </row>
    <row r="517" spans="13:13" ht="15.75" customHeight="1" x14ac:dyDescent="0.4">
      <c r="M517" s="10">
        <v>18941</v>
      </c>
    </row>
    <row r="518" spans="13:13" ht="15.75" customHeight="1" x14ac:dyDescent="0.4">
      <c r="M518" s="10">
        <v>18941</v>
      </c>
    </row>
    <row r="519" spans="13:13" ht="15.75" customHeight="1" x14ac:dyDescent="0.4">
      <c r="M519" s="10">
        <v>17919</v>
      </c>
    </row>
    <row r="520" spans="13:13" ht="15.75" customHeight="1" x14ac:dyDescent="0.4">
      <c r="M520" s="10">
        <v>17919</v>
      </c>
    </row>
    <row r="521" spans="13:13" ht="15.75" customHeight="1" x14ac:dyDescent="0.4">
      <c r="M521" s="10">
        <v>15019</v>
      </c>
    </row>
    <row r="522" spans="13:13" ht="15.75" customHeight="1" x14ac:dyDescent="0.4">
      <c r="M522" s="10">
        <v>15019</v>
      </c>
    </row>
    <row r="523" spans="13:13" ht="15.75" customHeight="1" x14ac:dyDescent="0.4">
      <c r="M523" s="10">
        <v>17649</v>
      </c>
    </row>
    <row r="524" spans="13:13" ht="15.75" customHeight="1" x14ac:dyDescent="0.4">
      <c r="M524" s="10">
        <v>17649</v>
      </c>
    </row>
    <row r="525" spans="13:13" ht="15.75" customHeight="1" x14ac:dyDescent="0.4">
      <c r="M525" s="10">
        <v>18473</v>
      </c>
    </row>
    <row r="526" spans="13:13" ht="15.75" customHeight="1" x14ac:dyDescent="0.4">
      <c r="M526" s="10">
        <v>17649</v>
      </c>
    </row>
    <row r="527" spans="13:13" ht="15.75" customHeight="1" x14ac:dyDescent="0.4">
      <c r="M527" s="10">
        <v>17649</v>
      </c>
    </row>
    <row r="528" spans="13:13" ht="15.75" customHeight="1" x14ac:dyDescent="0.4">
      <c r="M528" s="10">
        <v>18548</v>
      </c>
    </row>
    <row r="529" spans="13:13" ht="15.75" customHeight="1" x14ac:dyDescent="0.4">
      <c r="M529" s="10">
        <v>18825</v>
      </c>
    </row>
    <row r="530" spans="13:13" ht="15.75" customHeight="1" x14ac:dyDescent="0.4">
      <c r="M530" s="10">
        <v>18825</v>
      </c>
    </row>
    <row r="531" spans="13:13" ht="15.75" customHeight="1" x14ac:dyDescent="0.4">
      <c r="M531" s="10">
        <v>15019</v>
      </c>
    </row>
    <row r="532" spans="13:13" ht="15.75" customHeight="1" x14ac:dyDescent="0.4">
      <c r="M532" s="10">
        <v>15143</v>
      </c>
    </row>
    <row r="533" spans="13:13" ht="15.75" customHeight="1" x14ac:dyDescent="0.4">
      <c r="M533" s="10">
        <v>15143</v>
      </c>
    </row>
    <row r="534" spans="13:13" ht="15.75" customHeight="1" x14ac:dyDescent="0.4">
      <c r="M534" s="10">
        <v>17649</v>
      </c>
    </row>
    <row r="535" spans="13:13" ht="15.75" customHeight="1" x14ac:dyDescent="0.4">
      <c r="M535" s="10">
        <v>17649</v>
      </c>
    </row>
    <row r="536" spans="13:13" ht="15.75" customHeight="1" x14ac:dyDescent="0.4">
      <c r="M536" s="10">
        <v>18548</v>
      </c>
    </row>
    <row r="537" spans="13:13" ht="15.75" customHeight="1" x14ac:dyDescent="0.4">
      <c r="M537" s="10">
        <v>18548</v>
      </c>
    </row>
    <row r="538" spans="13:13" ht="15.75" customHeight="1" x14ac:dyDescent="0.4">
      <c r="M538" s="10">
        <v>18050</v>
      </c>
    </row>
    <row r="539" spans="13:13" ht="15.75" customHeight="1" x14ac:dyDescent="0.4">
      <c r="M539" s="10">
        <v>18050</v>
      </c>
    </row>
    <row r="540" spans="13:13" ht="15.75" customHeight="1" x14ac:dyDescent="0.4">
      <c r="M540" s="10">
        <v>18050</v>
      </c>
    </row>
    <row r="541" spans="13:13" ht="15.75" customHeight="1" x14ac:dyDescent="0.4">
      <c r="M541" s="10">
        <v>18050</v>
      </c>
    </row>
    <row r="542" spans="13:13" ht="15.75" customHeight="1" x14ac:dyDescent="0.4">
      <c r="M542" s="10">
        <v>18825</v>
      </c>
    </row>
    <row r="543" spans="13:13" ht="15.75" customHeight="1" x14ac:dyDescent="0.4">
      <c r="M543" s="10">
        <v>18825</v>
      </c>
    </row>
    <row r="544" spans="13:13" ht="15.75" customHeight="1" x14ac:dyDescent="0.4">
      <c r="M544" s="10">
        <v>13866</v>
      </c>
    </row>
    <row r="545" spans="13:13" ht="15.75" customHeight="1" x14ac:dyDescent="0.4">
      <c r="M545" s="10">
        <v>13866</v>
      </c>
    </row>
    <row r="546" spans="13:13" ht="15.75" customHeight="1" x14ac:dyDescent="0.4">
      <c r="M546" s="10">
        <v>17649</v>
      </c>
    </row>
    <row r="547" spans="13:13" ht="15.75" customHeight="1" x14ac:dyDescent="0.4">
      <c r="M547" s="10">
        <v>17649</v>
      </c>
    </row>
    <row r="548" spans="13:13" ht="15.75" customHeight="1" x14ac:dyDescent="0.4">
      <c r="M548" s="10">
        <v>18941</v>
      </c>
    </row>
    <row r="549" spans="13:13" ht="15.75" customHeight="1" x14ac:dyDescent="0.4">
      <c r="M549" s="10">
        <v>18941</v>
      </c>
    </row>
    <row r="550" spans="13:13" ht="15.75" customHeight="1" x14ac:dyDescent="0.4">
      <c r="M550" s="10">
        <v>18050</v>
      </c>
    </row>
    <row r="551" spans="13:13" ht="15.75" customHeight="1" x14ac:dyDescent="0.4">
      <c r="M551" s="10">
        <v>18050</v>
      </c>
    </row>
    <row r="552" spans="13:13" ht="15.75" customHeight="1" x14ac:dyDescent="0.4">
      <c r="M552" s="10">
        <v>18825</v>
      </c>
    </row>
    <row r="553" spans="13:13" ht="15.75" customHeight="1" x14ac:dyDescent="0.4">
      <c r="M553" s="10">
        <v>18825</v>
      </c>
    </row>
    <row r="554" spans="13:13" ht="15.75" customHeight="1" x14ac:dyDescent="0.4">
      <c r="M554" s="10">
        <v>18548</v>
      </c>
    </row>
    <row r="555" spans="13:13" ht="15.75" customHeight="1" x14ac:dyDescent="0.4">
      <c r="M555" s="10">
        <v>18548</v>
      </c>
    </row>
    <row r="556" spans="13:13" ht="15.75" customHeight="1" x14ac:dyDescent="0.4">
      <c r="M556" s="10">
        <v>17879</v>
      </c>
    </row>
    <row r="557" spans="13:13" ht="15.75" customHeight="1" x14ac:dyDescent="0.4">
      <c r="M557" s="10">
        <v>17879</v>
      </c>
    </row>
    <row r="558" spans="13:13" ht="15.75" customHeight="1" x14ac:dyDescent="0.4">
      <c r="M558" s="10">
        <v>18050</v>
      </c>
    </row>
    <row r="559" spans="13:13" ht="15.75" customHeight="1" x14ac:dyDescent="0.4">
      <c r="M559" s="10">
        <v>18050</v>
      </c>
    </row>
    <row r="560" spans="13:13" ht="15.75" customHeight="1" x14ac:dyDescent="0.4">
      <c r="M560" s="10">
        <v>18825</v>
      </c>
    </row>
    <row r="561" spans="13:13" ht="15.75" customHeight="1" x14ac:dyDescent="0.4">
      <c r="M561" s="10">
        <v>18825</v>
      </c>
    </row>
    <row r="562" spans="13:13" ht="15.75" customHeight="1" x14ac:dyDescent="0.4">
      <c r="M562" s="10">
        <v>15143</v>
      </c>
    </row>
    <row r="563" spans="13:13" ht="15.75" customHeight="1" x14ac:dyDescent="0.4">
      <c r="M563" s="10">
        <v>15143</v>
      </c>
    </row>
    <row r="564" spans="13:13" ht="15.75" customHeight="1" x14ac:dyDescent="0.4">
      <c r="M564" s="10">
        <v>18825</v>
      </c>
    </row>
    <row r="565" spans="13:13" ht="15.75" customHeight="1" x14ac:dyDescent="0.4">
      <c r="M565" s="10">
        <v>18825</v>
      </c>
    </row>
    <row r="566" spans="13:13" ht="15.75" customHeight="1" x14ac:dyDescent="0.4">
      <c r="M566" s="10">
        <v>18825</v>
      </c>
    </row>
    <row r="567" spans="13:13" ht="15.75" customHeight="1" x14ac:dyDescent="0.4">
      <c r="M567" s="10">
        <v>18825</v>
      </c>
    </row>
    <row r="568" spans="13:13" ht="15.75" customHeight="1" x14ac:dyDescent="0.4">
      <c r="M568" s="10">
        <v>15143</v>
      </c>
    </row>
    <row r="569" spans="13:13" ht="15.75" customHeight="1" x14ac:dyDescent="0.4">
      <c r="M569" s="10">
        <v>15143</v>
      </c>
    </row>
    <row r="570" spans="13:13" ht="15.75" customHeight="1" x14ac:dyDescent="0.4">
      <c r="M570" s="10">
        <v>15143</v>
      </c>
    </row>
    <row r="571" spans="13:13" ht="15.75" customHeight="1" x14ac:dyDescent="0.4">
      <c r="M571" s="10">
        <v>18941</v>
      </c>
    </row>
    <row r="572" spans="13:13" ht="15.75" customHeight="1" x14ac:dyDescent="0.4">
      <c r="M572" s="10">
        <v>18941</v>
      </c>
    </row>
    <row r="573" spans="13:13" ht="15.75" customHeight="1" x14ac:dyDescent="0.4">
      <c r="M573" s="10">
        <v>15019</v>
      </c>
    </row>
    <row r="574" spans="13:13" ht="15.75" customHeight="1" x14ac:dyDescent="0.4">
      <c r="M574" s="10">
        <v>15019</v>
      </c>
    </row>
    <row r="575" spans="13:13" ht="15.75" customHeight="1" x14ac:dyDescent="0.4">
      <c r="M575" s="10">
        <v>18941</v>
      </c>
    </row>
    <row r="576" spans="13:13" ht="15.75" customHeight="1" x14ac:dyDescent="0.4">
      <c r="M576" s="10">
        <v>18941</v>
      </c>
    </row>
    <row r="577" spans="13:13" ht="15.75" customHeight="1" x14ac:dyDescent="0.4">
      <c r="M577" s="10">
        <v>18548</v>
      </c>
    </row>
    <row r="578" spans="13:13" ht="15.75" customHeight="1" x14ac:dyDescent="0.4">
      <c r="M578" s="10">
        <v>18548</v>
      </c>
    </row>
    <row r="579" spans="13:13" ht="15.75" customHeight="1" x14ac:dyDescent="0.4">
      <c r="M579" s="10">
        <v>18050</v>
      </c>
    </row>
    <row r="580" spans="13:13" ht="15.75" customHeight="1" x14ac:dyDescent="0.4">
      <c r="M580" s="10">
        <v>18050</v>
      </c>
    </row>
    <row r="581" spans="13:13" ht="15.75" customHeight="1" x14ac:dyDescent="0.4">
      <c r="M581" s="10">
        <v>17879</v>
      </c>
    </row>
    <row r="582" spans="13:13" ht="15.75" customHeight="1" x14ac:dyDescent="0.4">
      <c r="M582" s="10">
        <v>17879</v>
      </c>
    </row>
    <row r="583" spans="13:13" ht="15.75" customHeight="1" x14ac:dyDescent="0.4">
      <c r="M583" s="10">
        <v>15143</v>
      </c>
    </row>
    <row r="584" spans="13:13" ht="15.75" customHeight="1" x14ac:dyDescent="0.4">
      <c r="M584" s="10">
        <v>15143</v>
      </c>
    </row>
    <row r="585" spans="13:13" ht="15.75" customHeight="1" x14ac:dyDescent="0.4">
      <c r="M585" s="10">
        <v>17649</v>
      </c>
    </row>
    <row r="586" spans="13:13" ht="15.75" customHeight="1" x14ac:dyDescent="0.4">
      <c r="M586" s="10">
        <v>17649</v>
      </c>
    </row>
    <row r="587" spans="13:13" ht="15.75" customHeight="1" x14ac:dyDescent="0.4">
      <c r="M587" s="10">
        <v>14530</v>
      </c>
    </row>
    <row r="588" spans="13:13" ht="15.75" customHeight="1" x14ac:dyDescent="0.4">
      <c r="M588" s="10">
        <v>14530</v>
      </c>
    </row>
    <row r="589" spans="13:13" ht="15.75" customHeight="1" x14ac:dyDescent="0.4">
      <c r="M589" s="10">
        <v>18232</v>
      </c>
    </row>
    <row r="590" spans="13:13" ht="15.75" customHeight="1" x14ac:dyDescent="0.4">
      <c r="M590" s="10">
        <v>18232</v>
      </c>
    </row>
    <row r="591" spans="13:13" ht="15.75" customHeight="1" x14ac:dyDescent="0.4">
      <c r="M591" s="10">
        <v>14129</v>
      </c>
    </row>
    <row r="592" spans="13:13" ht="15.75" customHeight="1" x14ac:dyDescent="0.4">
      <c r="M592" s="10">
        <v>14129</v>
      </c>
    </row>
    <row r="593" spans="13:13" ht="15.75" customHeight="1" x14ac:dyDescent="0.4">
      <c r="M593" s="10">
        <v>10374</v>
      </c>
    </row>
    <row r="594" spans="13:13" ht="15.75" customHeight="1" x14ac:dyDescent="0.4">
      <c r="M594" s="10">
        <v>10374</v>
      </c>
    </row>
    <row r="595" spans="13:13" ht="15.75" customHeight="1" x14ac:dyDescent="0.4">
      <c r="M595" s="10">
        <v>11301</v>
      </c>
    </row>
    <row r="596" spans="13:13" ht="15.75" customHeight="1" x14ac:dyDescent="0.4">
      <c r="M596" s="10">
        <v>12216</v>
      </c>
    </row>
    <row r="597" spans="13:13" ht="15.75" customHeight="1" x14ac:dyDescent="0.4">
      <c r="M597" s="10">
        <v>12216</v>
      </c>
    </row>
    <row r="598" spans="13:13" ht="15.75" customHeight="1" x14ac:dyDescent="0.4">
      <c r="M598" s="10">
        <v>18695</v>
      </c>
    </row>
    <row r="599" spans="13:13" ht="15.75" customHeight="1" x14ac:dyDescent="0.4">
      <c r="M599" s="10">
        <v>18695</v>
      </c>
    </row>
    <row r="600" spans="13:13" ht="15.75" customHeight="1" x14ac:dyDescent="0.4">
      <c r="M600" s="10">
        <v>18030</v>
      </c>
    </row>
    <row r="601" spans="13:13" ht="15.75" customHeight="1" x14ac:dyDescent="0.4">
      <c r="M601" s="10">
        <v>18030</v>
      </c>
    </row>
    <row r="602" spans="13:13" ht="15.75" customHeight="1" x14ac:dyDescent="0.4">
      <c r="M602" s="10">
        <v>18030</v>
      </c>
    </row>
    <row r="603" spans="13:13" ht="15.75" customHeight="1" x14ac:dyDescent="0.4">
      <c r="M603" s="10">
        <v>18030</v>
      </c>
    </row>
    <row r="604" spans="13:13" ht="15.75" customHeight="1" x14ac:dyDescent="0.4">
      <c r="M604" s="10">
        <v>11301</v>
      </c>
    </row>
    <row r="605" spans="13:13" ht="15.75" customHeight="1" x14ac:dyDescent="0.4">
      <c r="M605" s="10">
        <v>11301</v>
      </c>
    </row>
    <row r="606" spans="13:13" ht="15.75" customHeight="1" x14ac:dyDescent="0.4">
      <c r="M606" s="10">
        <v>18695</v>
      </c>
    </row>
    <row r="607" spans="13:13" ht="15.75" customHeight="1" x14ac:dyDescent="0.4">
      <c r="M607" s="10">
        <v>18695</v>
      </c>
    </row>
    <row r="608" spans="13:13" ht="15.75" customHeight="1" x14ac:dyDescent="0.4">
      <c r="M608" s="10">
        <v>18232</v>
      </c>
    </row>
    <row r="609" spans="13:13" ht="15.75" customHeight="1" x14ac:dyDescent="0.4">
      <c r="M609" s="10">
        <v>18232</v>
      </c>
    </row>
    <row r="610" spans="13:13" ht="15.75" customHeight="1" x14ac:dyDescent="0.4">
      <c r="M610" s="10">
        <v>10374</v>
      </c>
    </row>
    <row r="611" spans="13:13" ht="15.75" customHeight="1" x14ac:dyDescent="0.4">
      <c r="M611" s="10">
        <v>10374</v>
      </c>
    </row>
    <row r="612" spans="13:13" ht="15.75" customHeight="1" x14ac:dyDescent="0.4">
      <c r="M612" s="10">
        <v>17400</v>
      </c>
    </row>
    <row r="613" spans="13:13" ht="15.75" customHeight="1" x14ac:dyDescent="0.4">
      <c r="M613" s="10">
        <v>17400</v>
      </c>
    </row>
    <row r="614" spans="13:13" ht="15.75" customHeight="1" x14ac:dyDescent="0.4">
      <c r="M614" s="10">
        <v>10374</v>
      </c>
    </row>
    <row r="615" spans="13:13" ht="15.75" customHeight="1" x14ac:dyDescent="0.4">
      <c r="M615" s="10">
        <v>10374</v>
      </c>
    </row>
    <row r="616" spans="13:13" ht="15.75" customHeight="1" x14ac:dyDescent="0.4">
      <c r="M616" s="10">
        <v>10374</v>
      </c>
    </row>
    <row r="617" spans="13:13" ht="15.75" customHeight="1" x14ac:dyDescent="0.4">
      <c r="M617" s="10">
        <v>10374</v>
      </c>
    </row>
    <row r="618" spans="13:13" ht="15.75" customHeight="1" x14ac:dyDescent="0.4">
      <c r="M618" s="10">
        <v>18030</v>
      </c>
    </row>
    <row r="619" spans="13:13" ht="15.75" customHeight="1" x14ac:dyDescent="0.4">
      <c r="M619" s="10">
        <v>18030</v>
      </c>
    </row>
    <row r="620" spans="13:13" ht="15.75" customHeight="1" x14ac:dyDescent="0.4">
      <c r="M620" s="10">
        <v>14129</v>
      </c>
    </row>
    <row r="621" spans="13:13" ht="15.75" customHeight="1" x14ac:dyDescent="0.4">
      <c r="M621" s="10">
        <v>14129</v>
      </c>
    </row>
    <row r="622" spans="13:13" ht="15.75" customHeight="1" x14ac:dyDescent="0.4">
      <c r="M622" s="10">
        <v>10374</v>
      </c>
    </row>
    <row r="623" spans="13:13" ht="15.75" customHeight="1" x14ac:dyDescent="0.4">
      <c r="M623" s="10">
        <v>10374</v>
      </c>
    </row>
    <row r="624" spans="13:13" ht="15.75" customHeight="1" x14ac:dyDescent="0.4">
      <c r="M624" s="10">
        <v>17400</v>
      </c>
    </row>
    <row r="625" spans="13:13" ht="15.75" customHeight="1" x14ac:dyDescent="0.4">
      <c r="M625" s="10">
        <v>17400</v>
      </c>
    </row>
    <row r="626" spans="13:13" ht="15.75" customHeight="1" x14ac:dyDescent="0.4">
      <c r="M626" s="10">
        <v>18541</v>
      </c>
    </row>
    <row r="627" spans="13:13" ht="15.75" customHeight="1" x14ac:dyDescent="0.4">
      <c r="M627" s="10">
        <v>18541</v>
      </c>
    </row>
    <row r="628" spans="13:13" ht="15.75" customHeight="1" x14ac:dyDescent="0.4">
      <c r="M628" s="10">
        <v>18846</v>
      </c>
    </row>
    <row r="629" spans="13:13" ht="15.75" customHeight="1" x14ac:dyDescent="0.4">
      <c r="M629" s="10">
        <v>18846</v>
      </c>
    </row>
    <row r="630" spans="13:13" ht="15.75" customHeight="1" x14ac:dyDescent="0.4">
      <c r="M630" s="10">
        <v>18846</v>
      </c>
    </row>
    <row r="631" spans="13:13" ht="15.75" customHeight="1" x14ac:dyDescent="0.4">
      <c r="M631" s="10">
        <v>18846</v>
      </c>
    </row>
    <row r="632" spans="13:13" ht="15.75" customHeight="1" x14ac:dyDescent="0.4">
      <c r="M632" s="10">
        <v>18846</v>
      </c>
    </row>
    <row r="633" spans="13:13" ht="15.75" customHeight="1" x14ac:dyDescent="0.4">
      <c r="M633" s="10">
        <v>18846</v>
      </c>
    </row>
    <row r="634" spans="13:13" ht="15.75" customHeight="1" x14ac:dyDescent="0.4">
      <c r="M634" s="10">
        <v>17400</v>
      </c>
    </row>
    <row r="635" spans="13:13" ht="15.75" customHeight="1" x14ac:dyDescent="0.4">
      <c r="M635" s="10">
        <v>17400</v>
      </c>
    </row>
    <row r="636" spans="13:13" ht="15.75" customHeight="1" x14ac:dyDescent="0.4">
      <c r="M636" s="10">
        <v>18232</v>
      </c>
    </row>
    <row r="637" spans="13:13" ht="15.75" customHeight="1" x14ac:dyDescent="0.4">
      <c r="M637" s="10">
        <v>18232</v>
      </c>
    </row>
    <row r="638" spans="13:13" ht="15.75" customHeight="1" x14ac:dyDescent="0.4">
      <c r="M638" s="10">
        <v>14129</v>
      </c>
    </row>
    <row r="639" spans="13:13" ht="15.75" customHeight="1" x14ac:dyDescent="0.4">
      <c r="M639" s="10">
        <v>14129</v>
      </c>
    </row>
    <row r="640" spans="13:13" ht="15.75" customHeight="1" x14ac:dyDescent="0.4">
      <c r="M640" s="10">
        <v>15553</v>
      </c>
    </row>
    <row r="641" spans="13:13" ht="15.75" customHeight="1" x14ac:dyDescent="0.4">
      <c r="M641" s="10">
        <v>15553</v>
      </c>
    </row>
    <row r="642" spans="13:13" ht="15.75" customHeight="1" x14ac:dyDescent="0.4">
      <c r="M642" s="10">
        <v>18232</v>
      </c>
    </row>
    <row r="643" spans="13:13" ht="15.75" customHeight="1" x14ac:dyDescent="0.4">
      <c r="M643" s="10">
        <v>18232</v>
      </c>
    </row>
    <row r="644" spans="13:13" ht="15.75" customHeight="1" x14ac:dyDescent="0.4">
      <c r="M644" s="10">
        <v>18846</v>
      </c>
    </row>
    <row r="645" spans="13:13" ht="15.75" customHeight="1" x14ac:dyDescent="0.4">
      <c r="M645" s="10">
        <v>18232</v>
      </c>
    </row>
    <row r="646" spans="13:13" ht="15.75" customHeight="1" x14ac:dyDescent="0.4">
      <c r="M646" s="10">
        <v>18232</v>
      </c>
    </row>
    <row r="647" spans="13:13" ht="15.75" customHeight="1" x14ac:dyDescent="0.4">
      <c r="M647" s="10">
        <v>18846</v>
      </c>
    </row>
    <row r="648" spans="13:13" ht="15.75" customHeight="1" x14ac:dyDescent="0.4">
      <c r="M648" s="10">
        <v>18846</v>
      </c>
    </row>
    <row r="649" spans="13:13" ht="15.75" customHeight="1" x14ac:dyDescent="0.4">
      <c r="M649" s="10">
        <v>18541</v>
      </c>
    </row>
    <row r="650" spans="13:13" ht="15.75" customHeight="1" x14ac:dyDescent="0.4">
      <c r="M650" s="10">
        <v>18541</v>
      </c>
    </row>
    <row r="651" spans="13:13" ht="15.75" customHeight="1" x14ac:dyDescent="0.4">
      <c r="M651" s="10">
        <v>11301</v>
      </c>
    </row>
    <row r="652" spans="13:13" ht="15.75" customHeight="1" x14ac:dyDescent="0.4">
      <c r="M652" s="10">
        <v>11301</v>
      </c>
    </row>
    <row r="653" spans="13:13" ht="15.75" customHeight="1" x14ac:dyDescent="0.4">
      <c r="M653" s="10">
        <v>18695</v>
      </c>
    </row>
    <row r="654" spans="13:13" ht="15.75" customHeight="1" x14ac:dyDescent="0.4">
      <c r="M654" s="10">
        <v>18695</v>
      </c>
    </row>
    <row r="655" spans="13:13" ht="15.75" customHeight="1" x14ac:dyDescent="0.4">
      <c r="M655" s="10">
        <v>17400</v>
      </c>
    </row>
    <row r="656" spans="13:13" ht="15.75" customHeight="1" x14ac:dyDescent="0.4">
      <c r="M656" s="10">
        <v>17400</v>
      </c>
    </row>
    <row r="657" spans="13:13" ht="15.75" customHeight="1" x14ac:dyDescent="0.4">
      <c r="M657" s="10">
        <v>11301</v>
      </c>
    </row>
    <row r="658" spans="13:13" ht="15.75" customHeight="1" x14ac:dyDescent="0.4">
      <c r="M658" s="10">
        <v>11301</v>
      </c>
    </row>
    <row r="659" spans="13:13" ht="15.75" customHeight="1" x14ac:dyDescent="0.4">
      <c r="M659" s="10">
        <v>15553</v>
      </c>
    </row>
    <row r="660" spans="13:13" ht="15.75" customHeight="1" x14ac:dyDescent="0.4">
      <c r="M660" s="10">
        <v>15553</v>
      </c>
    </row>
    <row r="661" spans="13:13" ht="15.75" customHeight="1" x14ac:dyDescent="0.4">
      <c r="M661" s="10">
        <v>12216</v>
      </c>
    </row>
    <row r="662" spans="13:13" ht="15.75" customHeight="1" x14ac:dyDescent="0.4">
      <c r="M662" s="10">
        <v>12216</v>
      </c>
    </row>
    <row r="663" spans="13:13" ht="15.75" customHeight="1" x14ac:dyDescent="0.4">
      <c r="M663" s="10">
        <v>18232</v>
      </c>
    </row>
    <row r="664" spans="13:13" ht="15.75" customHeight="1" x14ac:dyDescent="0.4">
      <c r="M664" s="10">
        <v>18232</v>
      </c>
    </row>
    <row r="665" spans="13:13" ht="15.75" customHeight="1" x14ac:dyDescent="0.4">
      <c r="M665" s="10">
        <v>17400</v>
      </c>
    </row>
    <row r="666" spans="13:13" ht="15.75" customHeight="1" x14ac:dyDescent="0.4">
      <c r="M666" s="10">
        <v>17400</v>
      </c>
    </row>
    <row r="667" spans="13:13" ht="15.75" customHeight="1" x14ac:dyDescent="0.4">
      <c r="M667" s="10">
        <v>18030</v>
      </c>
    </row>
    <row r="668" spans="13:13" ht="15.75" customHeight="1" x14ac:dyDescent="0.4">
      <c r="M668" s="10">
        <v>18030</v>
      </c>
    </row>
    <row r="669" spans="13:13" ht="15.75" customHeight="1" x14ac:dyDescent="0.4">
      <c r="M669" s="10">
        <v>14129</v>
      </c>
    </row>
    <row r="670" spans="13:13" ht="15.75" customHeight="1" x14ac:dyDescent="0.4">
      <c r="M670" s="10">
        <v>14129</v>
      </c>
    </row>
    <row r="671" spans="13:13" ht="15.75" customHeight="1" x14ac:dyDescent="0.4">
      <c r="M671" s="10">
        <v>12216</v>
      </c>
    </row>
    <row r="672" spans="13:13" ht="15.75" customHeight="1" x14ac:dyDescent="0.4">
      <c r="M672" s="10">
        <v>12216</v>
      </c>
    </row>
    <row r="673" spans="13:13" ht="15.75" customHeight="1" x14ac:dyDescent="0.4">
      <c r="M673" s="10">
        <v>18846</v>
      </c>
    </row>
    <row r="674" spans="13:13" ht="15.75" customHeight="1" x14ac:dyDescent="0.4">
      <c r="M674" s="10">
        <v>18846</v>
      </c>
    </row>
    <row r="675" spans="13:13" ht="15.75" customHeight="1" x14ac:dyDescent="0.4">
      <c r="M675" s="10">
        <v>18030</v>
      </c>
    </row>
    <row r="676" spans="13:13" ht="15.75" customHeight="1" x14ac:dyDescent="0.4">
      <c r="M676" s="10">
        <v>18030</v>
      </c>
    </row>
    <row r="677" spans="13:13" ht="15.75" customHeight="1" x14ac:dyDescent="0.4">
      <c r="M677" s="10">
        <v>14129</v>
      </c>
    </row>
    <row r="678" spans="13:13" ht="15.75" customHeight="1" x14ac:dyDescent="0.4">
      <c r="M678" s="10">
        <v>14129</v>
      </c>
    </row>
    <row r="679" spans="13:13" ht="15.75" customHeight="1" x14ac:dyDescent="0.4">
      <c r="M679" s="10">
        <v>10374</v>
      </c>
    </row>
    <row r="680" spans="13:13" ht="15.75" customHeight="1" x14ac:dyDescent="0.4">
      <c r="M680" s="11"/>
    </row>
    <row r="681" spans="13:13" ht="15.75" customHeight="1" x14ac:dyDescent="0.4">
      <c r="M681" s="11"/>
    </row>
    <row r="682" spans="13:13" ht="15.75" customHeight="1" x14ac:dyDescent="0.4">
      <c r="M682" s="10">
        <v>14129</v>
      </c>
    </row>
    <row r="683" spans="13:13" ht="15.75" customHeight="1" x14ac:dyDescent="0.4">
      <c r="M683" s="10">
        <v>14129</v>
      </c>
    </row>
    <row r="684" spans="13:13" ht="15.75" customHeight="1" x14ac:dyDescent="0.4">
      <c r="M684" s="10">
        <v>17400</v>
      </c>
    </row>
    <row r="685" spans="13:13" ht="15.75" customHeight="1" x14ac:dyDescent="0.4">
      <c r="M685" s="10">
        <v>17400</v>
      </c>
    </row>
    <row r="686" spans="13:13" ht="15.75" customHeight="1" x14ac:dyDescent="0.4">
      <c r="M686" s="10">
        <v>18030</v>
      </c>
    </row>
    <row r="687" spans="13:13" ht="15.75" customHeight="1" x14ac:dyDescent="0.4">
      <c r="M687" s="10">
        <v>18030</v>
      </c>
    </row>
    <row r="688" spans="13:13" ht="15.75" customHeight="1" x14ac:dyDescent="0.4">
      <c r="M688" s="10">
        <v>15553</v>
      </c>
    </row>
    <row r="689" spans="13:13" ht="15.75" customHeight="1" x14ac:dyDescent="0.4">
      <c r="M689" s="10">
        <v>15553</v>
      </c>
    </row>
    <row r="690" spans="13:13" ht="15.75" customHeight="1" x14ac:dyDescent="0.4">
      <c r="M690" s="10">
        <v>18695</v>
      </c>
    </row>
    <row r="691" spans="13:13" ht="15.75" customHeight="1" x14ac:dyDescent="0.4">
      <c r="M691" s="10">
        <v>18695</v>
      </c>
    </row>
    <row r="692" spans="13:13" ht="15.75" customHeight="1" x14ac:dyDescent="0.4">
      <c r="M692" s="10">
        <v>14129</v>
      </c>
    </row>
    <row r="693" spans="13:13" ht="15.75" customHeight="1" x14ac:dyDescent="0.4">
      <c r="M693" s="10">
        <v>14129</v>
      </c>
    </row>
    <row r="694" spans="13:13" ht="15.75" customHeight="1" x14ac:dyDescent="0.4">
      <c r="M694" s="10">
        <v>18232</v>
      </c>
    </row>
    <row r="695" spans="13:13" ht="15.75" customHeight="1" x14ac:dyDescent="0.4">
      <c r="M695" s="10">
        <v>18232</v>
      </c>
    </row>
    <row r="696" spans="13:13" ht="15.75" customHeight="1" x14ac:dyDescent="0.4">
      <c r="M696" s="10">
        <v>18846</v>
      </c>
    </row>
    <row r="697" spans="13:13" ht="15.75" customHeight="1" x14ac:dyDescent="0.4">
      <c r="M697" s="10">
        <v>18846</v>
      </c>
    </row>
    <row r="698" spans="13:13" ht="15.75" customHeight="1" x14ac:dyDescent="0.4">
      <c r="M698" s="10">
        <v>18695</v>
      </c>
    </row>
    <row r="699" spans="13:13" ht="15.75" customHeight="1" x14ac:dyDescent="0.4">
      <c r="M699" s="10">
        <v>18695</v>
      </c>
    </row>
    <row r="700" spans="13:13" ht="15.75" customHeight="1" x14ac:dyDescent="0.4">
      <c r="M700" s="10">
        <v>14129</v>
      </c>
    </row>
    <row r="701" spans="13:13" ht="15.75" customHeight="1" x14ac:dyDescent="0.4">
      <c r="M701" s="10">
        <v>14129</v>
      </c>
    </row>
    <row r="702" spans="13:13" ht="15.75" customHeight="1" x14ac:dyDescent="0.4">
      <c r="M702" s="10">
        <v>18232</v>
      </c>
    </row>
    <row r="703" spans="13:13" ht="15.75" customHeight="1" x14ac:dyDescent="0.4">
      <c r="M703" s="10">
        <v>18232</v>
      </c>
    </row>
    <row r="704" spans="13:13" ht="15.75" customHeight="1" x14ac:dyDescent="0.4">
      <c r="M704" s="10">
        <v>18232</v>
      </c>
    </row>
    <row r="705" spans="13:13" ht="15.75" customHeight="1" x14ac:dyDescent="0.4">
      <c r="M705" s="10">
        <v>18232</v>
      </c>
    </row>
    <row r="706" spans="13:13" ht="15.75" customHeight="1" x14ac:dyDescent="0.4">
      <c r="M706" s="10">
        <v>10374</v>
      </c>
    </row>
    <row r="707" spans="13:13" ht="15.75" customHeight="1" x14ac:dyDescent="0.4">
      <c r="M707" s="10">
        <v>10374</v>
      </c>
    </row>
    <row r="708" spans="13:13" ht="15.75" customHeight="1" x14ac:dyDescent="0.4">
      <c r="M708" s="10">
        <v>18232</v>
      </c>
    </row>
    <row r="709" spans="13:13" ht="15.75" customHeight="1" x14ac:dyDescent="0.4">
      <c r="M709" s="10">
        <v>18232</v>
      </c>
    </row>
    <row r="710" spans="13:13" ht="15.75" customHeight="1" x14ac:dyDescent="0.4">
      <c r="M710" s="10">
        <v>18030</v>
      </c>
    </row>
    <row r="711" spans="13:13" ht="15.75" customHeight="1" x14ac:dyDescent="0.4">
      <c r="M711" s="10">
        <v>18030</v>
      </c>
    </row>
    <row r="712" spans="13:13" ht="15.75" customHeight="1" x14ac:dyDescent="0.4">
      <c r="M712" s="10">
        <v>18695</v>
      </c>
    </row>
    <row r="713" spans="13:13" ht="15.75" customHeight="1" x14ac:dyDescent="0.4">
      <c r="M713" s="10">
        <v>18695</v>
      </c>
    </row>
    <row r="714" spans="13:13" ht="15.75" customHeight="1" x14ac:dyDescent="0.4">
      <c r="M714" s="10">
        <v>17400</v>
      </c>
    </row>
    <row r="715" spans="13:13" ht="15.75" customHeight="1" x14ac:dyDescent="0.4">
      <c r="M715" s="10">
        <v>17400</v>
      </c>
    </row>
    <row r="716" spans="13:13" ht="15.75" customHeight="1" x14ac:dyDescent="0.4">
      <c r="M716" s="10">
        <v>12216</v>
      </c>
    </row>
    <row r="717" spans="13:13" ht="15.75" customHeight="1" x14ac:dyDescent="0.4">
      <c r="M717" s="10">
        <v>12216</v>
      </c>
    </row>
    <row r="718" spans="13:13" ht="15.75" customHeight="1" x14ac:dyDescent="0.4">
      <c r="M718" s="10">
        <v>18846</v>
      </c>
    </row>
    <row r="719" spans="13:13" ht="15.75" customHeight="1" x14ac:dyDescent="0.4">
      <c r="M719" s="10">
        <v>18846</v>
      </c>
    </row>
    <row r="720" spans="13:13" ht="15.75" customHeight="1" x14ac:dyDescent="0.4">
      <c r="M720" s="10">
        <v>18846</v>
      </c>
    </row>
    <row r="721" spans="13:13" ht="15.75" customHeight="1" x14ac:dyDescent="0.4">
      <c r="M721" s="10">
        <v>18846</v>
      </c>
    </row>
    <row r="722" spans="13:13" ht="15.75" customHeight="1" x14ac:dyDescent="0.4">
      <c r="M722" s="10">
        <v>18541</v>
      </c>
    </row>
    <row r="723" spans="13:13" ht="15.75" customHeight="1" x14ac:dyDescent="0.4">
      <c r="M723" s="10">
        <v>18541</v>
      </c>
    </row>
    <row r="724" spans="13:13" ht="15.75" customHeight="1" x14ac:dyDescent="0.4">
      <c r="M724" s="10">
        <v>18846</v>
      </c>
    </row>
    <row r="725" spans="13:13" ht="15.75" customHeight="1" x14ac:dyDescent="0.4">
      <c r="M725" s="10">
        <v>18846</v>
      </c>
    </row>
    <row r="726" spans="13:13" ht="15.75" customHeight="1" x14ac:dyDescent="0.4">
      <c r="M726" s="10">
        <v>12216</v>
      </c>
    </row>
    <row r="727" spans="13:13" ht="15.75" customHeight="1" x14ac:dyDescent="0.4">
      <c r="M727" s="10">
        <v>12216</v>
      </c>
    </row>
    <row r="728" spans="13:13" ht="15.75" customHeight="1" x14ac:dyDescent="0.4">
      <c r="M728" s="11"/>
    </row>
    <row r="729" spans="13:13" ht="15.75" customHeight="1" x14ac:dyDescent="0.4">
      <c r="M729" s="10">
        <v>12216</v>
      </c>
    </row>
    <row r="730" spans="13:13" ht="15.75" customHeight="1" x14ac:dyDescent="0.4">
      <c r="M730" s="10">
        <v>12216</v>
      </c>
    </row>
    <row r="731" spans="13:13" ht="15.75" customHeight="1" x14ac:dyDescent="0.4">
      <c r="M731" s="10">
        <v>12216</v>
      </c>
    </row>
    <row r="732" spans="13:13" ht="15.75" customHeight="1" x14ac:dyDescent="0.4">
      <c r="M732" s="10">
        <v>12216</v>
      </c>
    </row>
    <row r="733" spans="13:13" ht="15.75" customHeight="1" x14ac:dyDescent="0.4">
      <c r="M733" s="10">
        <v>10374</v>
      </c>
    </row>
    <row r="734" spans="13:13" ht="15.75" customHeight="1" x14ac:dyDescent="0.4">
      <c r="M734" s="10">
        <v>10374</v>
      </c>
    </row>
    <row r="735" spans="13:13" ht="15.75" customHeight="1" x14ac:dyDescent="0.4">
      <c r="M735" s="10">
        <v>18541</v>
      </c>
    </row>
    <row r="736" spans="13:13" ht="15.75" customHeight="1" x14ac:dyDescent="0.4">
      <c r="M736" s="10">
        <v>18541</v>
      </c>
    </row>
    <row r="737" spans="13:13" ht="15.75" customHeight="1" x14ac:dyDescent="0.4">
      <c r="M737" s="10">
        <v>17400</v>
      </c>
    </row>
    <row r="738" spans="13:13" ht="15.75" customHeight="1" x14ac:dyDescent="0.4">
      <c r="M738" s="10">
        <v>18846</v>
      </c>
    </row>
    <row r="739" spans="13:13" ht="15.75" customHeight="1" x14ac:dyDescent="0.4">
      <c r="M739" s="10">
        <v>18846</v>
      </c>
    </row>
    <row r="740" spans="13:13" ht="15.75" customHeight="1" x14ac:dyDescent="0.4">
      <c r="M740" s="11"/>
    </row>
    <row r="741" spans="13:13" ht="15.75" customHeight="1" x14ac:dyDescent="0.4">
      <c r="M741" s="10">
        <v>17400</v>
      </c>
    </row>
    <row r="742" spans="13:13" ht="15.75" customHeight="1" x14ac:dyDescent="0.4">
      <c r="M742" s="10">
        <v>17400</v>
      </c>
    </row>
    <row r="743" spans="13:13" ht="15.75" customHeight="1" x14ac:dyDescent="0.4">
      <c r="M743" s="10">
        <v>11301</v>
      </c>
    </row>
    <row r="744" spans="13:13" ht="15.75" customHeight="1" x14ac:dyDescent="0.4">
      <c r="M744" s="10">
        <v>11301</v>
      </c>
    </row>
    <row r="745" spans="13:13" ht="15.75" customHeight="1" x14ac:dyDescent="0.4">
      <c r="M745" s="10">
        <v>14129</v>
      </c>
    </row>
    <row r="746" spans="13:13" ht="15.75" customHeight="1" x14ac:dyDescent="0.4">
      <c r="M746" s="10">
        <v>14129</v>
      </c>
    </row>
    <row r="747" spans="13:13" ht="15.75" customHeight="1" x14ac:dyDescent="0.4">
      <c r="M747" s="10">
        <v>17400</v>
      </c>
    </row>
    <row r="748" spans="13:13" ht="15.75" customHeight="1" x14ac:dyDescent="0.4">
      <c r="M748" s="10">
        <v>17400</v>
      </c>
    </row>
    <row r="749" spans="13:13" ht="15.75" customHeight="1" x14ac:dyDescent="0.4">
      <c r="M749" s="11"/>
    </row>
    <row r="750" spans="13:13" ht="15.75" customHeight="1" x14ac:dyDescent="0.4">
      <c r="M750" s="10">
        <v>10374</v>
      </c>
    </row>
    <row r="751" spans="13:13" ht="15.75" customHeight="1" x14ac:dyDescent="0.4">
      <c r="M751" s="10">
        <v>10374</v>
      </c>
    </row>
    <row r="752" spans="13:13" ht="15.75" customHeight="1" x14ac:dyDescent="0.4">
      <c r="M752" s="10">
        <v>18846</v>
      </c>
    </row>
    <row r="753" spans="13:13" ht="15.75" customHeight="1" x14ac:dyDescent="0.4">
      <c r="M753" s="10">
        <v>18846</v>
      </c>
    </row>
    <row r="754" spans="13:13" ht="15.75" customHeight="1" x14ac:dyDescent="0.4">
      <c r="M754" s="10">
        <v>18846</v>
      </c>
    </row>
    <row r="755" spans="13:13" ht="15.75" customHeight="1" x14ac:dyDescent="0.4">
      <c r="M755" s="10">
        <v>18695</v>
      </c>
    </row>
    <row r="756" spans="13:13" ht="15.75" customHeight="1" x14ac:dyDescent="0.4">
      <c r="M756" s="10">
        <v>18695</v>
      </c>
    </row>
    <row r="757" spans="13:13" ht="15.75" customHeight="1" x14ac:dyDescent="0.4">
      <c r="M757" s="10">
        <v>10374</v>
      </c>
    </row>
    <row r="758" spans="13:13" ht="15.75" customHeight="1" x14ac:dyDescent="0.4">
      <c r="M758" s="10">
        <v>10374</v>
      </c>
    </row>
    <row r="759" spans="13:13" ht="15.75" customHeight="1" x14ac:dyDescent="0.4">
      <c r="M759" s="10">
        <v>17400</v>
      </c>
    </row>
    <row r="760" spans="13:13" ht="15.75" customHeight="1" x14ac:dyDescent="0.4">
      <c r="M760" s="10">
        <v>17400</v>
      </c>
    </row>
    <row r="761" spans="13:13" ht="15.75" customHeight="1" x14ac:dyDescent="0.4">
      <c r="M761" s="10">
        <v>18695</v>
      </c>
    </row>
    <row r="762" spans="13:13" ht="15.75" customHeight="1" x14ac:dyDescent="0.4">
      <c r="M762" s="10">
        <v>18695</v>
      </c>
    </row>
    <row r="763" spans="13:13" ht="15.75" customHeight="1" x14ac:dyDescent="0.4">
      <c r="M763" s="10">
        <v>18030</v>
      </c>
    </row>
    <row r="764" spans="13:13" ht="15.75" customHeight="1" x14ac:dyDescent="0.4">
      <c r="M764" s="10">
        <v>18030</v>
      </c>
    </row>
    <row r="765" spans="13:13" ht="15.75" customHeight="1" x14ac:dyDescent="0.4">
      <c r="M765" s="10">
        <v>17400</v>
      </c>
    </row>
    <row r="766" spans="13:13" ht="15.75" customHeight="1" x14ac:dyDescent="0.4">
      <c r="M766" s="10">
        <v>17400</v>
      </c>
    </row>
    <row r="767" spans="13:13" ht="15.75" customHeight="1" x14ac:dyDescent="0.4">
      <c r="M767" s="10">
        <v>18541</v>
      </c>
    </row>
    <row r="768" spans="13:13" ht="15.75" customHeight="1" x14ac:dyDescent="0.4">
      <c r="M768" s="10">
        <v>18541</v>
      </c>
    </row>
    <row r="769" spans="13:13" ht="15.75" customHeight="1" x14ac:dyDescent="0.4">
      <c r="M769" s="10">
        <v>10374</v>
      </c>
    </row>
    <row r="770" spans="13:13" ht="15.75" customHeight="1" x14ac:dyDescent="0.4">
      <c r="M770" s="10">
        <v>10374</v>
      </c>
    </row>
    <row r="771" spans="13:13" ht="15.75" customHeight="1" x14ac:dyDescent="0.4">
      <c r="M771" s="10">
        <v>10374</v>
      </c>
    </row>
    <row r="772" spans="13:13" ht="15.75" customHeight="1" x14ac:dyDescent="0.4">
      <c r="M772" s="10">
        <v>10374</v>
      </c>
    </row>
    <row r="773" spans="13:13" ht="15.75" customHeight="1" x14ac:dyDescent="0.4">
      <c r="M773" s="10">
        <v>12216</v>
      </c>
    </row>
    <row r="774" spans="13:13" ht="15.75" customHeight="1" x14ac:dyDescent="0.4">
      <c r="M774" s="10">
        <v>12216</v>
      </c>
    </row>
    <row r="775" spans="13:13" ht="15.75" customHeight="1" x14ac:dyDescent="0.4">
      <c r="M775" s="10">
        <v>18030</v>
      </c>
    </row>
    <row r="776" spans="13:13" ht="15.75" customHeight="1" x14ac:dyDescent="0.4">
      <c r="M776" s="10">
        <v>18030</v>
      </c>
    </row>
    <row r="777" spans="13:13" ht="15.75" customHeight="1" x14ac:dyDescent="0.4">
      <c r="M777" s="10">
        <v>17400</v>
      </c>
    </row>
    <row r="778" spans="13:13" ht="15.75" customHeight="1" x14ac:dyDescent="0.4">
      <c r="M778" s="10">
        <v>17400</v>
      </c>
    </row>
    <row r="779" spans="13:13" ht="15.75" customHeight="1" x14ac:dyDescent="0.4">
      <c r="M779" s="10">
        <v>18030</v>
      </c>
    </row>
    <row r="780" spans="13:13" ht="15.75" customHeight="1" x14ac:dyDescent="0.4">
      <c r="M780" s="10">
        <v>18030</v>
      </c>
    </row>
    <row r="781" spans="13:13" ht="15.75" customHeight="1" x14ac:dyDescent="0.4">
      <c r="M781" s="10">
        <v>17400</v>
      </c>
    </row>
    <row r="782" spans="13:13" ht="15.75" customHeight="1" x14ac:dyDescent="0.4">
      <c r="M782" s="10">
        <v>17400</v>
      </c>
    </row>
    <row r="783" spans="13:13" ht="15.75" customHeight="1" x14ac:dyDescent="0.4">
      <c r="M783" s="10">
        <v>18695</v>
      </c>
    </row>
    <row r="784" spans="13:13" ht="15.75" customHeight="1" x14ac:dyDescent="0.4">
      <c r="M784" s="10">
        <v>18695</v>
      </c>
    </row>
    <row r="785" spans="13:13" ht="15.75" customHeight="1" x14ac:dyDescent="0.4">
      <c r="M785" s="10">
        <v>18695</v>
      </c>
    </row>
    <row r="786" spans="13:13" ht="15.75" customHeight="1" x14ac:dyDescent="0.4">
      <c r="M786" s="10">
        <v>18695</v>
      </c>
    </row>
    <row r="787" spans="13:13" ht="15.75" customHeight="1" x14ac:dyDescent="0.4">
      <c r="M787" s="10">
        <v>14129</v>
      </c>
    </row>
    <row r="788" spans="13:13" ht="15.75" customHeight="1" x14ac:dyDescent="0.4">
      <c r="M788" s="10">
        <v>14129</v>
      </c>
    </row>
    <row r="789" spans="13:13" ht="15.75" customHeight="1" x14ac:dyDescent="0.4">
      <c r="M789" s="10">
        <v>18695</v>
      </c>
    </row>
    <row r="790" spans="13:13" ht="15.75" customHeight="1" x14ac:dyDescent="0.4">
      <c r="M790" s="10">
        <v>18695</v>
      </c>
    </row>
    <row r="791" spans="13:13" ht="15.75" customHeight="1" x14ac:dyDescent="0.4">
      <c r="M791" s="10">
        <v>18232</v>
      </c>
    </row>
    <row r="792" spans="13:13" ht="15.75" customHeight="1" x14ac:dyDescent="0.4">
      <c r="M792" s="10">
        <v>18232</v>
      </c>
    </row>
    <row r="793" spans="13:13" ht="15.75" customHeight="1" x14ac:dyDescent="0.4">
      <c r="M793" s="10">
        <v>17400</v>
      </c>
    </row>
    <row r="794" spans="13:13" ht="15.75" customHeight="1" x14ac:dyDescent="0.4">
      <c r="M794" s="10">
        <v>10374</v>
      </c>
    </row>
    <row r="795" spans="13:13" ht="15.75" customHeight="1" x14ac:dyDescent="0.4">
      <c r="M795" s="10">
        <v>10374</v>
      </c>
    </row>
    <row r="796" spans="13:13" ht="15.75" customHeight="1" x14ac:dyDescent="0.4">
      <c r="M796" s="10">
        <v>18232</v>
      </c>
    </row>
    <row r="797" spans="13:13" ht="15.75" customHeight="1" x14ac:dyDescent="0.4">
      <c r="M797" s="10">
        <v>18232</v>
      </c>
    </row>
    <row r="798" spans="13:13" ht="15.75" customHeight="1" x14ac:dyDescent="0.4">
      <c r="M798" s="10">
        <v>12216</v>
      </c>
    </row>
    <row r="799" spans="13:13" ht="15.75" customHeight="1" x14ac:dyDescent="0.4">
      <c r="M799" s="10">
        <v>12216</v>
      </c>
    </row>
    <row r="800" spans="13:13" ht="15.75" customHeight="1" x14ac:dyDescent="0.4">
      <c r="M800" s="10">
        <v>18030</v>
      </c>
    </row>
    <row r="801" spans="13:13" ht="15.75" customHeight="1" x14ac:dyDescent="0.4">
      <c r="M801" s="10">
        <v>18030</v>
      </c>
    </row>
    <row r="802" spans="13:13" ht="15.75" customHeight="1" x14ac:dyDescent="0.4">
      <c r="M802" s="10">
        <v>18232</v>
      </c>
    </row>
    <row r="803" spans="13:13" ht="15.75" customHeight="1" x14ac:dyDescent="0.4">
      <c r="M803" s="10">
        <v>18232</v>
      </c>
    </row>
    <row r="804" spans="13:13" ht="15.75" customHeight="1" x14ac:dyDescent="0.4">
      <c r="M804" s="10">
        <v>18695</v>
      </c>
    </row>
    <row r="805" spans="13:13" ht="15.75" customHeight="1" x14ac:dyDescent="0.4">
      <c r="M805" s="10">
        <v>18695</v>
      </c>
    </row>
    <row r="806" spans="13:13" ht="15.75" customHeight="1" x14ac:dyDescent="0.4">
      <c r="M806" s="10">
        <v>17400</v>
      </c>
    </row>
    <row r="807" spans="13:13" ht="15.75" customHeight="1" x14ac:dyDescent="0.4">
      <c r="M807" s="10">
        <v>12216</v>
      </c>
    </row>
    <row r="808" spans="13:13" ht="15.75" customHeight="1" x14ac:dyDescent="0.4">
      <c r="M808" s="10">
        <v>12216</v>
      </c>
    </row>
    <row r="809" spans="13:13" ht="15.75" customHeight="1" x14ac:dyDescent="0.4">
      <c r="M809" s="10">
        <v>15553</v>
      </c>
    </row>
    <row r="810" spans="13:13" ht="15.75" customHeight="1" x14ac:dyDescent="0.4">
      <c r="M810" s="10">
        <v>15553</v>
      </c>
    </row>
    <row r="811" spans="13:13" ht="15.75" customHeight="1" x14ac:dyDescent="0.4">
      <c r="M811" s="10">
        <v>11301</v>
      </c>
    </row>
    <row r="812" spans="13:13" ht="15.75" customHeight="1" x14ac:dyDescent="0.4">
      <c r="M812" s="10">
        <v>11301</v>
      </c>
    </row>
    <row r="813" spans="13:13" ht="15.75" customHeight="1" x14ac:dyDescent="0.4">
      <c r="M813" s="10">
        <v>18695</v>
      </c>
    </row>
    <row r="814" spans="13:13" ht="15.75" customHeight="1" x14ac:dyDescent="0.4">
      <c r="M814" s="10">
        <v>18695</v>
      </c>
    </row>
    <row r="815" spans="13:13" ht="15.75" customHeight="1" x14ac:dyDescent="0.4">
      <c r="M815" s="10">
        <v>15553</v>
      </c>
    </row>
    <row r="816" spans="13:13" ht="15.75" customHeight="1" x14ac:dyDescent="0.4">
      <c r="M816" s="10">
        <v>15553</v>
      </c>
    </row>
    <row r="817" spans="13:13" ht="15.75" customHeight="1" x14ac:dyDescent="0.4">
      <c r="M817" s="10">
        <v>18030</v>
      </c>
    </row>
    <row r="818" spans="13:13" ht="15.75" customHeight="1" x14ac:dyDescent="0.4">
      <c r="M818" s="10">
        <v>18030</v>
      </c>
    </row>
    <row r="819" spans="13:13" ht="15.75" customHeight="1" x14ac:dyDescent="0.4">
      <c r="M819" s="10">
        <v>17400</v>
      </c>
    </row>
    <row r="820" spans="13:13" ht="15.75" customHeight="1" x14ac:dyDescent="0.4">
      <c r="M820" s="10">
        <v>17400</v>
      </c>
    </row>
    <row r="821" spans="13:13" ht="15.75" customHeight="1" x14ac:dyDescent="0.4">
      <c r="M821" s="10">
        <v>11301</v>
      </c>
    </row>
    <row r="822" spans="13:13" ht="15.75" customHeight="1" x14ac:dyDescent="0.4">
      <c r="M822" s="10">
        <v>11301</v>
      </c>
    </row>
    <row r="823" spans="13:13" ht="15.75" customHeight="1" x14ac:dyDescent="0.4">
      <c r="M823" s="10">
        <v>18695</v>
      </c>
    </row>
    <row r="824" spans="13:13" ht="15.75" customHeight="1" x14ac:dyDescent="0.4">
      <c r="M824" s="10">
        <v>18695</v>
      </c>
    </row>
    <row r="825" spans="13:13" ht="15.75" customHeight="1" x14ac:dyDescent="0.4">
      <c r="M825" s="10">
        <v>15553</v>
      </c>
    </row>
    <row r="826" spans="13:13" ht="15.75" customHeight="1" x14ac:dyDescent="0.4">
      <c r="M826" s="10">
        <v>15553</v>
      </c>
    </row>
    <row r="827" spans="13:13" ht="15.75" customHeight="1" x14ac:dyDescent="0.4">
      <c r="M827" s="10">
        <v>18030</v>
      </c>
    </row>
    <row r="828" spans="13:13" ht="15.75" customHeight="1" x14ac:dyDescent="0.4">
      <c r="M828" s="10">
        <v>18030</v>
      </c>
    </row>
    <row r="829" spans="13:13" ht="15.75" customHeight="1" x14ac:dyDescent="0.4">
      <c r="M829" s="10">
        <v>18232</v>
      </c>
    </row>
    <row r="830" spans="13:13" ht="15.75" customHeight="1" x14ac:dyDescent="0.4">
      <c r="M830" s="10">
        <v>18232</v>
      </c>
    </row>
    <row r="831" spans="13:13" ht="15.75" customHeight="1" x14ac:dyDescent="0.4">
      <c r="M831" s="11"/>
    </row>
    <row r="832" spans="13:13" ht="15.75" customHeight="1" x14ac:dyDescent="0.4">
      <c r="M832" s="11"/>
    </row>
    <row r="833" spans="13:13" ht="15.75" customHeight="1" x14ac:dyDescent="0.4">
      <c r="M833" s="10">
        <v>18232</v>
      </c>
    </row>
    <row r="834" spans="13:13" ht="15.75" customHeight="1" x14ac:dyDescent="0.4">
      <c r="M834" s="10">
        <v>18232</v>
      </c>
    </row>
    <row r="835" spans="13:13" ht="15.75" customHeight="1" x14ac:dyDescent="0.4">
      <c r="M835" s="10">
        <v>18030</v>
      </c>
    </row>
    <row r="836" spans="13:13" ht="15.75" customHeight="1" x14ac:dyDescent="0.4">
      <c r="M836" s="10">
        <v>18030</v>
      </c>
    </row>
    <row r="837" spans="13:13" ht="15.75" customHeight="1" x14ac:dyDescent="0.4">
      <c r="M837" s="10">
        <v>18846</v>
      </c>
    </row>
    <row r="838" spans="13:13" ht="15.75" customHeight="1" x14ac:dyDescent="0.4">
      <c r="M838" s="10">
        <v>18846</v>
      </c>
    </row>
    <row r="839" spans="13:13" ht="15.75" customHeight="1" x14ac:dyDescent="0.4">
      <c r="M839" s="10">
        <v>18846</v>
      </c>
    </row>
    <row r="840" spans="13:13" ht="15.75" customHeight="1" x14ac:dyDescent="0.4">
      <c r="M840" s="10">
        <v>18846</v>
      </c>
    </row>
    <row r="841" spans="13:13" ht="15.75" customHeight="1" x14ac:dyDescent="0.4">
      <c r="M841" s="10">
        <v>17400</v>
      </c>
    </row>
    <row r="842" spans="13:13" ht="15.75" customHeight="1" x14ac:dyDescent="0.4">
      <c r="M842" s="10">
        <v>17400</v>
      </c>
    </row>
    <row r="843" spans="13:13" ht="15.75" customHeight="1" x14ac:dyDescent="0.4">
      <c r="M843" s="10">
        <v>18846</v>
      </c>
    </row>
    <row r="844" spans="13:13" ht="15.75" customHeight="1" x14ac:dyDescent="0.4">
      <c r="M844" s="10">
        <v>18846</v>
      </c>
    </row>
    <row r="845" spans="13:13" ht="15.75" customHeight="1" x14ac:dyDescent="0.4">
      <c r="M845" s="10">
        <v>14129</v>
      </c>
    </row>
    <row r="846" spans="13:13" ht="15.75" customHeight="1" x14ac:dyDescent="0.4">
      <c r="M846" s="10">
        <v>14129</v>
      </c>
    </row>
    <row r="847" spans="13:13" ht="15.75" customHeight="1" x14ac:dyDescent="0.4">
      <c r="M847" s="10">
        <v>14129</v>
      </c>
    </row>
    <row r="848" spans="13:13" ht="15.75" customHeight="1" x14ac:dyDescent="0.4">
      <c r="M848" s="10">
        <v>14129</v>
      </c>
    </row>
    <row r="849" spans="13:13" ht="15.75" customHeight="1" x14ac:dyDescent="0.4">
      <c r="M849" s="10">
        <v>12216</v>
      </c>
    </row>
    <row r="850" spans="13:13" ht="15.75" customHeight="1" x14ac:dyDescent="0.4">
      <c r="M850" s="10">
        <v>12216</v>
      </c>
    </row>
    <row r="851" spans="13:13" ht="15.75" customHeight="1" x14ac:dyDescent="0.4">
      <c r="M851" s="10">
        <v>10374</v>
      </c>
    </row>
    <row r="852" spans="13:13" ht="15.75" customHeight="1" x14ac:dyDescent="0.4">
      <c r="M852" s="10">
        <v>11301</v>
      </c>
    </row>
    <row r="853" spans="13:13" ht="15.75" customHeight="1" x14ac:dyDescent="0.4">
      <c r="M853" s="10">
        <v>11301</v>
      </c>
    </row>
    <row r="854" spans="13:13" ht="15.75" customHeight="1" x14ac:dyDescent="0.4">
      <c r="M854" s="10">
        <v>17400</v>
      </c>
    </row>
    <row r="855" spans="13:13" ht="15.75" customHeight="1" x14ac:dyDescent="0.4">
      <c r="M855" s="10">
        <v>17400</v>
      </c>
    </row>
    <row r="856" spans="13:13" ht="15.75" customHeight="1" x14ac:dyDescent="0.4">
      <c r="M856" s="10">
        <v>18695</v>
      </c>
    </row>
    <row r="857" spans="13:13" ht="15.75" customHeight="1" x14ac:dyDescent="0.4">
      <c r="M857" s="10">
        <v>18695</v>
      </c>
    </row>
    <row r="858" spans="13:13" ht="15.75" customHeight="1" x14ac:dyDescent="0.4">
      <c r="M858" s="10">
        <v>12216</v>
      </c>
    </row>
    <row r="859" spans="13:13" ht="15.75" customHeight="1" x14ac:dyDescent="0.4">
      <c r="M859" s="10">
        <v>12216</v>
      </c>
    </row>
    <row r="860" spans="13:13" ht="15.75" customHeight="1" x14ac:dyDescent="0.4">
      <c r="M860" s="10">
        <v>18846</v>
      </c>
    </row>
    <row r="861" spans="13:13" ht="15.75" customHeight="1" x14ac:dyDescent="0.4">
      <c r="M861" s="10">
        <v>18846</v>
      </c>
    </row>
    <row r="862" spans="13:13" ht="15.75" customHeight="1" x14ac:dyDescent="0.4">
      <c r="M862" s="10">
        <v>18541</v>
      </c>
    </row>
    <row r="863" spans="13:13" ht="15.75" customHeight="1" x14ac:dyDescent="0.4">
      <c r="M863" s="10">
        <v>18541</v>
      </c>
    </row>
    <row r="864" spans="13:13" ht="15.75" customHeight="1" x14ac:dyDescent="0.4">
      <c r="M864" s="10">
        <v>18232</v>
      </c>
    </row>
    <row r="865" spans="13:13" ht="15.75" customHeight="1" x14ac:dyDescent="0.4">
      <c r="M865" s="10">
        <v>18232</v>
      </c>
    </row>
    <row r="866" spans="13:13" ht="15.75" customHeight="1" x14ac:dyDescent="0.4">
      <c r="M866" s="11"/>
    </row>
    <row r="867" spans="13:13" ht="15.75" customHeight="1" x14ac:dyDescent="0.4">
      <c r="M867" s="10">
        <v>17400</v>
      </c>
    </row>
    <row r="868" spans="13:13" ht="15.75" customHeight="1" x14ac:dyDescent="0.4">
      <c r="M868" s="10">
        <v>17400</v>
      </c>
    </row>
    <row r="869" spans="13:13" ht="15.75" customHeight="1" x14ac:dyDescent="0.4">
      <c r="M869" s="10">
        <v>18846</v>
      </c>
    </row>
    <row r="870" spans="13:13" ht="15.75" customHeight="1" x14ac:dyDescent="0.4">
      <c r="M870" s="10">
        <v>18846</v>
      </c>
    </row>
    <row r="871" spans="13:13" ht="15.75" customHeight="1" x14ac:dyDescent="0.4">
      <c r="M871" s="10">
        <v>14129</v>
      </c>
    </row>
    <row r="872" spans="13:13" ht="15.75" customHeight="1" x14ac:dyDescent="0.4">
      <c r="M872" s="10">
        <v>14129</v>
      </c>
    </row>
    <row r="873" spans="13:13" ht="15.75" customHeight="1" x14ac:dyDescent="0.4">
      <c r="M873" s="10">
        <v>14129</v>
      </c>
    </row>
    <row r="874" spans="13:13" ht="15.75" customHeight="1" x14ac:dyDescent="0.4">
      <c r="M874" s="10">
        <v>14129</v>
      </c>
    </row>
    <row r="875" spans="13:13" ht="15.75" customHeight="1" x14ac:dyDescent="0.4">
      <c r="M875" s="10">
        <v>14129</v>
      </c>
    </row>
    <row r="876" spans="13:13" ht="15.75" customHeight="1" x14ac:dyDescent="0.4">
      <c r="M876" s="10">
        <v>18695</v>
      </c>
    </row>
    <row r="877" spans="13:13" ht="15.75" customHeight="1" x14ac:dyDescent="0.4">
      <c r="M877" s="10">
        <v>18695</v>
      </c>
    </row>
    <row r="878" spans="13:13" ht="15.75" customHeight="1" x14ac:dyDescent="0.4">
      <c r="M878" s="10">
        <v>14129</v>
      </c>
    </row>
    <row r="879" spans="13:13" ht="15.75" customHeight="1" x14ac:dyDescent="0.4">
      <c r="M879" s="10">
        <v>14129</v>
      </c>
    </row>
    <row r="880" spans="13:13" ht="15.75" customHeight="1" x14ac:dyDescent="0.4">
      <c r="M880" s="10">
        <v>18232</v>
      </c>
    </row>
    <row r="881" spans="13:13" ht="15.75" customHeight="1" x14ac:dyDescent="0.4">
      <c r="M881" s="10">
        <v>18232</v>
      </c>
    </row>
    <row r="882" spans="13:13" ht="15.75" customHeight="1" x14ac:dyDescent="0.4">
      <c r="M882" s="10">
        <v>14129</v>
      </c>
    </row>
    <row r="883" spans="13:13" ht="15.75" customHeight="1" x14ac:dyDescent="0.4">
      <c r="M883" s="10">
        <v>14129</v>
      </c>
    </row>
    <row r="884" spans="13:13" ht="15.75" customHeight="1" x14ac:dyDescent="0.4">
      <c r="M884" s="10">
        <v>18846</v>
      </c>
    </row>
    <row r="885" spans="13:13" ht="15.75" customHeight="1" x14ac:dyDescent="0.4">
      <c r="M885" s="10">
        <v>18846</v>
      </c>
    </row>
    <row r="886" spans="13:13" ht="15.75" customHeight="1" x14ac:dyDescent="0.4">
      <c r="M886" s="10">
        <v>18846</v>
      </c>
    </row>
    <row r="887" spans="13:13" ht="15.75" customHeight="1" x14ac:dyDescent="0.4">
      <c r="M887" s="10">
        <v>18846</v>
      </c>
    </row>
    <row r="888" spans="13:13" ht="15.75" customHeight="1" x14ac:dyDescent="0.4">
      <c r="M888" s="10">
        <v>14129</v>
      </c>
    </row>
    <row r="889" spans="13:13" ht="15.75" customHeight="1" x14ac:dyDescent="0.4">
      <c r="M889" s="10">
        <v>14129</v>
      </c>
    </row>
    <row r="890" spans="13:13" ht="15.75" customHeight="1" x14ac:dyDescent="0.4">
      <c r="M890" s="10">
        <v>18695</v>
      </c>
    </row>
    <row r="891" spans="13:13" ht="15.75" customHeight="1" x14ac:dyDescent="0.4">
      <c r="M891" s="10">
        <v>18695</v>
      </c>
    </row>
    <row r="892" spans="13:13" ht="15.75" customHeight="1" x14ac:dyDescent="0.4">
      <c r="M892" s="10">
        <v>10374</v>
      </c>
    </row>
    <row r="893" spans="13:13" ht="15.75" customHeight="1" x14ac:dyDescent="0.4">
      <c r="M893" s="10">
        <v>10374</v>
      </c>
    </row>
    <row r="894" spans="13:13" ht="15.75" customHeight="1" x14ac:dyDescent="0.4">
      <c r="M894" s="10">
        <v>18030</v>
      </c>
    </row>
    <row r="895" spans="13:13" ht="15.75" customHeight="1" x14ac:dyDescent="0.4">
      <c r="M895" s="10">
        <v>18030</v>
      </c>
    </row>
    <row r="896" spans="13:13" ht="15.75" customHeight="1" x14ac:dyDescent="0.4">
      <c r="M896" s="10">
        <v>18541</v>
      </c>
    </row>
    <row r="897" spans="13:13" ht="15.75" customHeight="1" x14ac:dyDescent="0.4">
      <c r="M897" s="10">
        <v>18541</v>
      </c>
    </row>
    <row r="898" spans="13:13" ht="15.75" customHeight="1" x14ac:dyDescent="0.4">
      <c r="M898" s="10">
        <v>18232</v>
      </c>
    </row>
    <row r="899" spans="13:13" ht="15.75" customHeight="1" x14ac:dyDescent="0.4">
      <c r="M899" s="10">
        <v>18232</v>
      </c>
    </row>
    <row r="900" spans="13:13" ht="15.75" customHeight="1" x14ac:dyDescent="0.4">
      <c r="M900" s="11"/>
    </row>
    <row r="901" spans="13:13" ht="15.75" customHeight="1" x14ac:dyDescent="0.4">
      <c r="M901" s="10">
        <v>10374</v>
      </c>
    </row>
    <row r="902" spans="13:13" ht="15.75" customHeight="1" x14ac:dyDescent="0.4">
      <c r="M902" s="10">
        <v>10374</v>
      </c>
    </row>
    <row r="903" spans="13:13" ht="15.75" customHeight="1" x14ac:dyDescent="0.4">
      <c r="M903" s="10">
        <v>15553</v>
      </c>
    </row>
    <row r="904" spans="13:13" ht="15.75" customHeight="1" x14ac:dyDescent="0.4">
      <c r="M904" s="10">
        <v>15553</v>
      </c>
    </row>
    <row r="905" spans="13:13" ht="15.75" customHeight="1" x14ac:dyDescent="0.4">
      <c r="M905" s="10">
        <v>15553</v>
      </c>
    </row>
    <row r="906" spans="13:13" ht="15.75" customHeight="1" x14ac:dyDescent="0.4">
      <c r="M906" s="10">
        <v>15553</v>
      </c>
    </row>
    <row r="907" spans="13:13" ht="15.75" customHeight="1" x14ac:dyDescent="0.4">
      <c r="M907" s="10">
        <v>12216</v>
      </c>
    </row>
    <row r="908" spans="13:13" ht="15.75" customHeight="1" x14ac:dyDescent="0.4">
      <c r="M908" s="10">
        <v>12216</v>
      </c>
    </row>
    <row r="909" spans="13:13" ht="15.75" customHeight="1" x14ac:dyDescent="0.4">
      <c r="M909" s="10">
        <v>10374</v>
      </c>
    </row>
    <row r="910" spans="13:13" ht="15.75" customHeight="1" x14ac:dyDescent="0.4">
      <c r="M910" s="10">
        <v>14129</v>
      </c>
    </row>
    <row r="911" spans="13:13" ht="15.75" customHeight="1" x14ac:dyDescent="0.4">
      <c r="M911" s="10">
        <v>14129</v>
      </c>
    </row>
    <row r="912" spans="13:13" ht="15.75" customHeight="1" x14ac:dyDescent="0.4">
      <c r="M912" s="10">
        <v>18030</v>
      </c>
    </row>
    <row r="913" spans="13:13" ht="15.75" customHeight="1" x14ac:dyDescent="0.4">
      <c r="M913" s="10">
        <v>18030</v>
      </c>
    </row>
    <row r="914" spans="13:13" ht="15.75" customHeight="1" x14ac:dyDescent="0.4">
      <c r="M914" s="10">
        <v>18541</v>
      </c>
    </row>
    <row r="915" spans="13:13" ht="15.75" customHeight="1" x14ac:dyDescent="0.4">
      <c r="M915" s="10">
        <v>18541</v>
      </c>
    </row>
    <row r="916" spans="13:13" ht="15.75" customHeight="1" x14ac:dyDescent="0.4">
      <c r="M916" s="10">
        <v>18030</v>
      </c>
    </row>
    <row r="917" spans="13:13" ht="15.75" customHeight="1" x14ac:dyDescent="0.4">
      <c r="M917" s="10">
        <v>18030</v>
      </c>
    </row>
    <row r="918" spans="13:13" ht="15.75" customHeight="1" x14ac:dyDescent="0.4">
      <c r="M918" s="10">
        <v>15553</v>
      </c>
    </row>
    <row r="919" spans="13:13" ht="15.75" customHeight="1" x14ac:dyDescent="0.4">
      <c r="M919" s="10">
        <v>15553</v>
      </c>
    </row>
    <row r="920" spans="13:13" ht="15.75" customHeight="1" x14ac:dyDescent="0.4">
      <c r="M920" s="11"/>
    </row>
    <row r="921" spans="13:13" ht="15.75" customHeight="1" x14ac:dyDescent="0.4">
      <c r="M921" s="10">
        <v>18846</v>
      </c>
    </row>
    <row r="922" spans="13:13" ht="15.75" customHeight="1" x14ac:dyDescent="0.4">
      <c r="M922" s="10">
        <v>18846</v>
      </c>
    </row>
    <row r="923" spans="13:13" ht="15.75" customHeight="1" x14ac:dyDescent="0.4">
      <c r="M923" s="10">
        <v>15553</v>
      </c>
    </row>
    <row r="924" spans="13:13" ht="15.75" customHeight="1" x14ac:dyDescent="0.4">
      <c r="M924" s="10">
        <v>15553</v>
      </c>
    </row>
    <row r="925" spans="13:13" ht="15.75" customHeight="1" x14ac:dyDescent="0.4">
      <c r="M925" s="10">
        <v>18695</v>
      </c>
    </row>
    <row r="926" spans="13:13" ht="15.75" customHeight="1" x14ac:dyDescent="0.4">
      <c r="M926" s="10">
        <v>18695</v>
      </c>
    </row>
    <row r="927" spans="13:13" ht="15.75" customHeight="1" x14ac:dyDescent="0.4">
      <c r="M927" s="10">
        <v>18695</v>
      </c>
    </row>
    <row r="928" spans="13:13" ht="15.75" customHeight="1" x14ac:dyDescent="0.4">
      <c r="M928" s="10">
        <v>18695</v>
      </c>
    </row>
    <row r="929" spans="13:13" ht="15.75" customHeight="1" x14ac:dyDescent="0.4">
      <c r="M929" s="10">
        <v>14129</v>
      </c>
    </row>
    <row r="930" spans="13:13" ht="15.75" customHeight="1" x14ac:dyDescent="0.4">
      <c r="M930" s="10">
        <v>14129</v>
      </c>
    </row>
    <row r="931" spans="13:13" ht="15.75" customHeight="1" x14ac:dyDescent="0.4">
      <c r="M931" s="10">
        <v>18232</v>
      </c>
    </row>
    <row r="932" spans="13:13" ht="15.75" customHeight="1" x14ac:dyDescent="0.4">
      <c r="M932" s="10">
        <v>18232</v>
      </c>
    </row>
    <row r="933" spans="13:13" ht="15.75" customHeight="1" x14ac:dyDescent="0.4">
      <c r="M933" s="10">
        <v>18232</v>
      </c>
    </row>
    <row r="934" spans="13:13" ht="15.75" customHeight="1" x14ac:dyDescent="0.4">
      <c r="M934" s="10">
        <v>18232</v>
      </c>
    </row>
    <row r="935" spans="13:13" ht="15.75" customHeight="1" x14ac:dyDescent="0.4">
      <c r="M935" s="11"/>
    </row>
    <row r="936" spans="13:13" ht="15.75" customHeight="1" x14ac:dyDescent="0.4">
      <c r="M936" s="11"/>
    </row>
    <row r="937" spans="13:13" ht="15.75" customHeight="1" x14ac:dyDescent="0.4">
      <c r="M937" s="10">
        <v>10374</v>
      </c>
    </row>
    <row r="938" spans="13:13" ht="15.75" customHeight="1" x14ac:dyDescent="0.4">
      <c r="M938" s="10">
        <v>10374</v>
      </c>
    </row>
    <row r="939" spans="13:13" ht="15.75" customHeight="1" x14ac:dyDescent="0.4">
      <c r="M939" s="10">
        <v>15553</v>
      </c>
    </row>
    <row r="940" spans="13:13" ht="15.75" customHeight="1" x14ac:dyDescent="0.4">
      <c r="M940" s="10">
        <v>15553</v>
      </c>
    </row>
  </sheetData>
  <autoFilter ref="A1:AM366" xr:uid="{C5324F92-7366-449C-9598-8E78B6503C1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8D40-CFAB-4AB9-8D6F-4E4F733187C9}">
  <sheetPr>
    <outlinePr summaryBelow="0" summaryRight="0"/>
  </sheetPr>
  <dimension ref="A1:AQ845"/>
  <sheetViews>
    <sheetView workbookViewId="0">
      <pane xSplit="1" ySplit="1" topLeftCell="AI352" activePane="bottomRight" state="frozen"/>
      <selection activeCell="AP2" sqref="AP2"/>
      <selection pane="topRight" activeCell="AP2" sqref="AP2"/>
      <selection pane="bottomLeft" activeCell="AP2" sqref="AP2"/>
      <selection pane="bottomRight" activeCell="AP2" sqref="AP2"/>
    </sheetView>
  </sheetViews>
  <sheetFormatPr defaultColWidth="12.5546875" defaultRowHeight="15.75" customHeight="1" x14ac:dyDescent="0.4"/>
  <cols>
    <col min="1" max="1" width="35.1640625" bestFit="1" customWidth="1"/>
    <col min="3" max="3" width="40" bestFit="1" customWidth="1"/>
    <col min="10" max="10" width="24.1640625" bestFit="1" customWidth="1"/>
    <col min="12" max="12" width="25.71875" bestFit="1" customWidth="1"/>
    <col min="13" max="13" width="25.71875" customWidth="1"/>
    <col min="15" max="15" width="27.1640625" bestFit="1" customWidth="1"/>
    <col min="16" max="16" width="17.5546875" bestFit="1" customWidth="1"/>
    <col min="17" max="17" width="35.1640625" bestFit="1" customWidth="1"/>
    <col min="39" max="39" width="16.44140625" bestFit="1" customWidth="1"/>
    <col min="40" max="40" width="20.5546875" bestFit="1" customWidth="1"/>
    <col min="41" max="41" width="15.44140625" bestFit="1" customWidth="1"/>
  </cols>
  <sheetData>
    <row r="1" spans="1:43" s="11" customFormat="1" ht="49.5" customHeight="1" thickTop="1" thickBot="1" x14ac:dyDescent="0.45">
      <c r="A1" s="6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  <c r="I1" s="7" t="s">
        <v>53</v>
      </c>
      <c r="J1" s="7"/>
      <c r="K1" s="7" t="s">
        <v>54</v>
      </c>
      <c r="L1" s="7" t="s">
        <v>55</v>
      </c>
      <c r="M1" s="9" t="s">
        <v>466</v>
      </c>
      <c r="N1" s="7" t="s">
        <v>56</v>
      </c>
      <c r="O1" s="7" t="s">
        <v>57</v>
      </c>
      <c r="P1" s="7" t="s">
        <v>58</v>
      </c>
      <c r="Q1" s="7" t="s">
        <v>59</v>
      </c>
      <c r="R1" s="8" t="s">
        <v>60</v>
      </c>
      <c r="S1" s="8" t="s">
        <v>61</v>
      </c>
      <c r="T1" s="8" t="s">
        <v>62</v>
      </c>
      <c r="U1" s="8" t="s">
        <v>63</v>
      </c>
      <c r="V1" s="8" t="s">
        <v>64</v>
      </c>
      <c r="W1" s="8" t="s">
        <v>65</v>
      </c>
      <c r="X1" s="8" t="s">
        <v>66</v>
      </c>
      <c r="Y1" s="8" t="s">
        <v>67</v>
      </c>
      <c r="Z1" s="8" t="s">
        <v>68</v>
      </c>
      <c r="AA1" s="8" t="s">
        <v>69</v>
      </c>
      <c r="AB1" s="7" t="s">
        <v>70</v>
      </c>
      <c r="AC1" s="7" t="s">
        <v>71</v>
      </c>
      <c r="AD1" s="8" t="s">
        <v>60</v>
      </c>
      <c r="AE1" s="8" t="s">
        <v>61</v>
      </c>
      <c r="AF1" s="8" t="s">
        <v>62</v>
      </c>
      <c r="AG1" s="8" t="s">
        <v>72</v>
      </c>
      <c r="AH1" s="8" t="s">
        <v>73</v>
      </c>
      <c r="AI1" s="8" t="s">
        <v>65</v>
      </c>
      <c r="AJ1" s="8" t="s">
        <v>66</v>
      </c>
      <c r="AK1" s="8" t="s">
        <v>67</v>
      </c>
      <c r="AL1" s="8" t="s">
        <v>68</v>
      </c>
      <c r="AM1" s="10" t="s">
        <v>2</v>
      </c>
      <c r="AN1" s="10" t="s">
        <v>3</v>
      </c>
      <c r="AO1" s="10" t="s">
        <v>4</v>
      </c>
      <c r="AP1" s="12" t="s">
        <v>5</v>
      </c>
    </row>
    <row r="2" spans="1:43" ht="12.6" thickTop="1" x14ac:dyDescent="0.4">
      <c r="A2" s="1" t="s">
        <v>74</v>
      </c>
      <c r="B2" s="1"/>
      <c r="C2" s="1" t="s">
        <v>6</v>
      </c>
      <c r="D2" s="5" t="s">
        <v>7</v>
      </c>
      <c r="E2" s="5" t="s">
        <v>463</v>
      </c>
      <c r="F2" s="4" t="s">
        <v>465</v>
      </c>
      <c r="G2" s="4" t="s">
        <v>465</v>
      </c>
      <c r="H2" s="1"/>
      <c r="I2" s="1" t="s">
        <v>0</v>
      </c>
      <c r="J2" s="1" t="s">
        <v>1</v>
      </c>
      <c r="K2" s="4" t="s">
        <v>464</v>
      </c>
      <c r="L2" s="1" t="s">
        <v>11</v>
      </c>
      <c r="M2" s="1"/>
      <c r="N2" s="1"/>
      <c r="O2" s="1"/>
      <c r="P2" s="1"/>
      <c r="Q2" s="1"/>
      <c r="R2" s="1"/>
      <c r="S2" s="1"/>
      <c r="T2" s="1"/>
      <c r="U2" s="1"/>
      <c r="V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 t="s">
        <v>12</v>
      </c>
      <c r="AN2" s="1" t="s">
        <v>13</v>
      </c>
      <c r="AO2" s="1">
        <v>281</v>
      </c>
      <c r="AP2" s="3">
        <v>0.46833333333333332</v>
      </c>
      <c r="AQ2" s="1"/>
    </row>
    <row r="3" spans="1:43" ht="12.3" x14ac:dyDescent="0.4">
      <c r="A3" s="1" t="s">
        <v>75</v>
      </c>
      <c r="B3" s="1"/>
      <c r="C3" s="1" t="s">
        <v>6</v>
      </c>
      <c r="D3" s="5" t="s">
        <v>7</v>
      </c>
      <c r="E3" s="5" t="s">
        <v>463</v>
      </c>
      <c r="F3" s="4" t="s">
        <v>465</v>
      </c>
      <c r="G3" s="4" t="s">
        <v>465</v>
      </c>
      <c r="I3" s="1" t="s">
        <v>8</v>
      </c>
      <c r="J3" s="1" t="s">
        <v>9</v>
      </c>
      <c r="K3" s="4" t="s">
        <v>464</v>
      </c>
      <c r="L3" s="1" t="s">
        <v>17</v>
      </c>
      <c r="M3" s="1"/>
      <c r="O3" s="1"/>
      <c r="P3" s="1"/>
      <c r="Q3" s="1"/>
      <c r="S3" s="2"/>
      <c r="T3" s="1"/>
      <c r="U3" s="1"/>
      <c r="V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 t="s">
        <v>12</v>
      </c>
      <c r="AN3" s="1" t="s">
        <v>13</v>
      </c>
      <c r="AO3" s="1">
        <v>294</v>
      </c>
      <c r="AP3" s="3">
        <v>0.49</v>
      </c>
      <c r="AQ3" s="1"/>
    </row>
    <row r="4" spans="1:43" ht="12.3" x14ac:dyDescent="0.4">
      <c r="A4" s="1" t="s">
        <v>76</v>
      </c>
      <c r="B4" s="1"/>
      <c r="C4" s="1" t="s">
        <v>6</v>
      </c>
      <c r="D4" s="5" t="s">
        <v>7</v>
      </c>
      <c r="E4" s="5" t="s">
        <v>463</v>
      </c>
      <c r="F4" s="4" t="s">
        <v>465</v>
      </c>
      <c r="G4" s="4" t="s">
        <v>465</v>
      </c>
      <c r="I4" s="1" t="s">
        <v>16</v>
      </c>
      <c r="J4" s="1" t="s">
        <v>10</v>
      </c>
      <c r="K4" s="4" t="s">
        <v>464</v>
      </c>
      <c r="L4" s="1" t="s">
        <v>19</v>
      </c>
      <c r="M4" s="1"/>
      <c r="O4" s="1"/>
      <c r="P4" s="1"/>
      <c r="Q4" s="1"/>
      <c r="S4" s="2"/>
      <c r="T4" s="1"/>
      <c r="U4" s="1"/>
      <c r="V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 t="s">
        <v>12</v>
      </c>
      <c r="AN4" s="1" t="s">
        <v>20</v>
      </c>
      <c r="AO4" s="1">
        <v>390</v>
      </c>
      <c r="AP4" s="3">
        <v>0.65</v>
      </c>
      <c r="AQ4" s="1"/>
    </row>
    <row r="5" spans="1:43" ht="12.3" x14ac:dyDescent="0.4">
      <c r="A5" s="1" t="s">
        <v>77</v>
      </c>
      <c r="B5" s="1"/>
      <c r="C5" s="1" t="s">
        <v>6</v>
      </c>
      <c r="D5" s="5" t="s">
        <v>7</v>
      </c>
      <c r="E5" s="5" t="s">
        <v>463</v>
      </c>
      <c r="F5" s="4" t="s">
        <v>465</v>
      </c>
      <c r="G5" s="4" t="s">
        <v>465</v>
      </c>
      <c r="I5" s="1" t="s">
        <v>16</v>
      </c>
      <c r="J5" s="1" t="s">
        <v>10</v>
      </c>
      <c r="K5" s="4" t="s">
        <v>464</v>
      </c>
      <c r="L5" s="1" t="s">
        <v>19</v>
      </c>
      <c r="M5" s="1"/>
      <c r="O5" s="1"/>
      <c r="P5" s="1"/>
      <c r="Q5" s="1"/>
      <c r="S5" s="1"/>
      <c r="T5" s="1"/>
      <c r="U5" s="2"/>
      <c r="V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 t="s">
        <v>12</v>
      </c>
      <c r="AN5" s="1" t="s">
        <v>20</v>
      </c>
      <c r="AO5" s="1">
        <v>333</v>
      </c>
      <c r="AP5" s="3">
        <v>0.55500000000000005</v>
      </c>
      <c r="AQ5" s="1"/>
    </row>
    <row r="6" spans="1:43" ht="12.3" x14ac:dyDescent="0.4">
      <c r="A6" s="1" t="s">
        <v>78</v>
      </c>
      <c r="B6" s="1"/>
      <c r="C6" s="1" t="s">
        <v>6</v>
      </c>
      <c r="D6" s="5" t="s">
        <v>7</v>
      </c>
      <c r="E6" s="5" t="s">
        <v>463</v>
      </c>
      <c r="F6" s="4" t="s">
        <v>465</v>
      </c>
      <c r="G6" s="4" t="s">
        <v>465</v>
      </c>
      <c r="I6" s="1" t="s">
        <v>8</v>
      </c>
      <c r="J6" s="1" t="s">
        <v>9</v>
      </c>
      <c r="K6" s="4" t="s">
        <v>464</v>
      </c>
      <c r="O6" s="1"/>
      <c r="P6" s="1"/>
      <c r="Q6" s="1"/>
      <c r="S6" s="2"/>
      <c r="T6" s="1"/>
      <c r="U6" s="2"/>
      <c r="V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 t="s">
        <v>12</v>
      </c>
      <c r="AN6" s="1" t="s">
        <v>13</v>
      </c>
      <c r="AO6" s="1">
        <v>297</v>
      </c>
      <c r="AP6" s="3">
        <v>0.495</v>
      </c>
      <c r="AQ6" s="1"/>
    </row>
    <row r="7" spans="1:43" ht="12.3" x14ac:dyDescent="0.4">
      <c r="A7" s="1" t="s">
        <v>79</v>
      </c>
      <c r="B7" s="1"/>
      <c r="C7" s="1" t="s">
        <v>6</v>
      </c>
      <c r="D7" s="5" t="s">
        <v>7</v>
      </c>
      <c r="E7" s="5" t="s">
        <v>463</v>
      </c>
      <c r="F7" s="4" t="s">
        <v>465</v>
      </c>
      <c r="G7" s="4" t="s">
        <v>465</v>
      </c>
      <c r="I7" s="1" t="s">
        <v>8</v>
      </c>
      <c r="J7" s="1" t="s">
        <v>9</v>
      </c>
      <c r="K7" s="4" t="s">
        <v>464</v>
      </c>
      <c r="L7" s="1" t="s">
        <v>19</v>
      </c>
      <c r="M7" s="1"/>
      <c r="O7" s="1"/>
      <c r="P7" s="1"/>
      <c r="Q7" s="1"/>
      <c r="S7" s="2"/>
      <c r="T7" s="1"/>
      <c r="U7" s="2"/>
      <c r="V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 t="s">
        <v>12</v>
      </c>
      <c r="AN7" s="1" t="s">
        <v>14</v>
      </c>
      <c r="AO7" s="1">
        <v>264</v>
      </c>
      <c r="AP7" s="3">
        <v>0.44</v>
      </c>
      <c r="AQ7" s="1"/>
    </row>
    <row r="8" spans="1:43" ht="12.3" x14ac:dyDescent="0.4">
      <c r="A8" s="1" t="s">
        <v>80</v>
      </c>
      <c r="B8" s="1"/>
      <c r="C8" s="1" t="s">
        <v>6</v>
      </c>
      <c r="D8" s="5" t="s">
        <v>7</v>
      </c>
      <c r="E8" s="5" t="s">
        <v>463</v>
      </c>
      <c r="F8" s="4" t="s">
        <v>465</v>
      </c>
      <c r="G8" s="4" t="s">
        <v>465</v>
      </c>
      <c r="I8" s="1" t="s">
        <v>8</v>
      </c>
      <c r="J8" s="1" t="s">
        <v>9</v>
      </c>
      <c r="K8" s="4" t="s">
        <v>464</v>
      </c>
      <c r="O8" s="1"/>
      <c r="P8" s="1"/>
      <c r="Q8" s="1"/>
      <c r="S8" s="1"/>
      <c r="T8" s="1"/>
      <c r="U8" s="2"/>
      <c r="V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 t="s">
        <v>12</v>
      </c>
      <c r="AN8" s="1" t="s">
        <v>18</v>
      </c>
      <c r="AO8" s="1">
        <v>310</v>
      </c>
      <c r="AP8" s="3">
        <v>0.51666666666666672</v>
      </c>
      <c r="AQ8" s="1"/>
    </row>
    <row r="9" spans="1:43" ht="12.3" x14ac:dyDescent="0.4">
      <c r="A9" s="1" t="s">
        <v>81</v>
      </c>
      <c r="B9" s="1"/>
      <c r="C9" s="1" t="s">
        <v>6</v>
      </c>
      <c r="D9" s="5" t="s">
        <v>7</v>
      </c>
      <c r="E9" s="5" t="s">
        <v>463</v>
      </c>
      <c r="F9" s="4" t="s">
        <v>465</v>
      </c>
      <c r="G9" s="4" t="s">
        <v>465</v>
      </c>
      <c r="I9" s="1" t="s">
        <v>16</v>
      </c>
      <c r="J9" s="1" t="s">
        <v>10</v>
      </c>
      <c r="K9" s="4" t="s">
        <v>464</v>
      </c>
      <c r="L9" s="1" t="s">
        <v>21</v>
      </c>
      <c r="M9" s="1"/>
      <c r="O9" s="1"/>
      <c r="P9" s="1"/>
      <c r="Q9" s="1"/>
      <c r="S9" s="2"/>
      <c r="T9" s="1"/>
      <c r="U9" s="2"/>
      <c r="V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 t="s">
        <v>12</v>
      </c>
      <c r="AN9" s="1" t="s">
        <v>14</v>
      </c>
      <c r="AO9" s="1">
        <v>269</v>
      </c>
      <c r="AP9" s="3">
        <v>0.44833333333333331</v>
      </c>
      <c r="AQ9" s="1"/>
    </row>
    <row r="10" spans="1:43" ht="12.3" x14ac:dyDescent="0.4">
      <c r="A10" s="1" t="s">
        <v>82</v>
      </c>
      <c r="B10" s="1"/>
      <c r="C10" s="1" t="s">
        <v>6</v>
      </c>
      <c r="D10" s="5" t="s">
        <v>7</v>
      </c>
      <c r="E10" s="5" t="s">
        <v>463</v>
      </c>
      <c r="F10" s="4" t="s">
        <v>465</v>
      </c>
      <c r="G10" s="4" t="s">
        <v>465</v>
      </c>
      <c r="I10" s="1" t="s">
        <v>16</v>
      </c>
      <c r="J10" s="1" t="s">
        <v>10</v>
      </c>
      <c r="K10" s="4" t="s">
        <v>464</v>
      </c>
      <c r="L10" s="1" t="s">
        <v>22</v>
      </c>
      <c r="M10" s="1"/>
      <c r="O10" s="1"/>
      <c r="P10" s="1"/>
      <c r="Q10" s="1"/>
      <c r="S10" s="2"/>
      <c r="T10" s="1"/>
      <c r="U10" s="1"/>
      <c r="V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 t="s">
        <v>12</v>
      </c>
      <c r="AN10" s="1" t="s">
        <v>18</v>
      </c>
      <c r="AO10" s="1">
        <v>306</v>
      </c>
      <c r="AP10" s="3">
        <v>0.51</v>
      </c>
      <c r="AQ10" s="1"/>
    </row>
    <row r="11" spans="1:43" ht="12.3" x14ac:dyDescent="0.4">
      <c r="A11" s="1" t="s">
        <v>83</v>
      </c>
      <c r="B11" s="1"/>
      <c r="C11" s="1" t="s">
        <v>6</v>
      </c>
      <c r="D11" s="5" t="s">
        <v>7</v>
      </c>
      <c r="E11" s="5" t="s">
        <v>463</v>
      </c>
      <c r="F11" s="4" t="s">
        <v>465</v>
      </c>
      <c r="G11" s="4" t="s">
        <v>465</v>
      </c>
      <c r="I11" s="1" t="s">
        <v>16</v>
      </c>
      <c r="J11" s="1" t="s">
        <v>10</v>
      </c>
      <c r="K11" s="4" t="s">
        <v>464</v>
      </c>
      <c r="L11" s="1" t="s">
        <v>22</v>
      </c>
      <c r="M11" s="1"/>
      <c r="O11" s="1"/>
      <c r="P11" s="1"/>
      <c r="Q11" s="1"/>
      <c r="S11" s="1"/>
      <c r="T11" s="1"/>
      <c r="U11" s="1"/>
      <c r="V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 t="s">
        <v>12</v>
      </c>
      <c r="AN11" s="1" t="s">
        <v>13</v>
      </c>
      <c r="AO11" s="1">
        <v>289</v>
      </c>
      <c r="AP11" s="3">
        <v>0.48166666666666669</v>
      </c>
      <c r="AQ11" s="1"/>
    </row>
    <row r="12" spans="1:43" ht="12.3" x14ac:dyDescent="0.4">
      <c r="A12" s="1" t="s">
        <v>84</v>
      </c>
      <c r="B12" s="1"/>
      <c r="C12" s="1" t="s">
        <v>6</v>
      </c>
      <c r="D12" s="5" t="s">
        <v>7</v>
      </c>
      <c r="E12" s="5" t="s">
        <v>463</v>
      </c>
      <c r="F12" s="4" t="s">
        <v>465</v>
      </c>
      <c r="G12" s="4" t="s">
        <v>465</v>
      </c>
      <c r="I12" s="1" t="s">
        <v>16</v>
      </c>
      <c r="J12" s="1" t="s">
        <v>10</v>
      </c>
      <c r="K12" s="4" t="s">
        <v>464</v>
      </c>
      <c r="L12" s="1" t="s">
        <v>23</v>
      </c>
      <c r="M12" s="1"/>
      <c r="O12" s="1"/>
      <c r="P12" s="1"/>
      <c r="Q12" s="1"/>
      <c r="S12" s="1"/>
      <c r="T12" s="1"/>
      <c r="U12" s="2"/>
      <c r="V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 t="s">
        <v>12</v>
      </c>
      <c r="AN12" s="1" t="s">
        <v>13</v>
      </c>
      <c r="AO12" s="1">
        <v>280</v>
      </c>
      <c r="AP12" s="3">
        <v>0.46666666666666667</v>
      </c>
      <c r="AQ12" s="1"/>
    </row>
    <row r="13" spans="1:43" ht="12.3" x14ac:dyDescent="0.4">
      <c r="A13" s="1" t="s">
        <v>85</v>
      </c>
      <c r="B13" s="1"/>
      <c r="C13" s="1" t="s">
        <v>6</v>
      </c>
      <c r="D13" s="5" t="s">
        <v>7</v>
      </c>
      <c r="E13" s="5" t="s">
        <v>463</v>
      </c>
      <c r="F13" s="4" t="s">
        <v>465</v>
      </c>
      <c r="G13" s="4" t="s">
        <v>465</v>
      </c>
      <c r="I13" s="1" t="s">
        <v>8</v>
      </c>
      <c r="J13" s="1" t="s">
        <v>9</v>
      </c>
      <c r="K13" s="4" t="s">
        <v>464</v>
      </c>
      <c r="L13" s="1" t="s">
        <v>24</v>
      </c>
      <c r="M13" s="1"/>
      <c r="O13" s="1"/>
      <c r="P13" s="1"/>
      <c r="Q13" s="1"/>
      <c r="S13" s="2"/>
      <c r="T13" s="1"/>
      <c r="U13" s="1"/>
      <c r="V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 t="s">
        <v>12</v>
      </c>
      <c r="AN13" s="1" t="s">
        <v>13</v>
      </c>
      <c r="AO13" s="1">
        <v>286</v>
      </c>
      <c r="AP13" s="3">
        <v>0.47666666666666668</v>
      </c>
      <c r="AQ13" s="1"/>
    </row>
    <row r="14" spans="1:43" ht="12.3" x14ac:dyDescent="0.4">
      <c r="A14" s="1" t="s">
        <v>86</v>
      </c>
      <c r="B14" s="1"/>
      <c r="C14" s="1" t="s">
        <v>6</v>
      </c>
      <c r="D14" s="5" t="s">
        <v>7</v>
      </c>
      <c r="E14" s="5" t="s">
        <v>463</v>
      </c>
      <c r="F14" s="4" t="s">
        <v>465</v>
      </c>
      <c r="G14" s="4" t="s">
        <v>465</v>
      </c>
      <c r="I14" s="1" t="s">
        <v>16</v>
      </c>
      <c r="J14" s="1" t="s">
        <v>10</v>
      </c>
      <c r="K14" s="4" t="s">
        <v>464</v>
      </c>
      <c r="L14" s="1" t="s">
        <v>25</v>
      </c>
      <c r="M14" s="1"/>
      <c r="O14" s="1"/>
      <c r="P14" s="1"/>
      <c r="Q14" s="1"/>
      <c r="S14" s="2"/>
      <c r="T14" s="1"/>
      <c r="U14" s="1"/>
      <c r="V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 t="s">
        <v>12</v>
      </c>
      <c r="AN14" s="1" t="s">
        <v>18</v>
      </c>
      <c r="AO14" s="1">
        <v>326</v>
      </c>
      <c r="AP14" s="3">
        <v>0.54333333333333333</v>
      </c>
      <c r="AQ14" s="1"/>
    </row>
    <row r="15" spans="1:43" ht="12.3" x14ac:dyDescent="0.4">
      <c r="A15" s="1" t="s">
        <v>87</v>
      </c>
      <c r="B15" s="1"/>
      <c r="C15" s="1" t="s">
        <v>6</v>
      </c>
      <c r="D15" s="5" t="s">
        <v>7</v>
      </c>
      <c r="E15" s="5" t="s">
        <v>463</v>
      </c>
      <c r="F15" s="4" t="s">
        <v>465</v>
      </c>
      <c r="G15" s="4" t="s">
        <v>465</v>
      </c>
      <c r="I15" s="1" t="s">
        <v>16</v>
      </c>
      <c r="J15" s="1" t="s">
        <v>10</v>
      </c>
      <c r="K15" s="4" t="s">
        <v>464</v>
      </c>
      <c r="L15" s="1" t="s">
        <v>25</v>
      </c>
      <c r="M15" s="1"/>
      <c r="O15" s="1"/>
      <c r="P15" s="1"/>
      <c r="Q15" s="1"/>
      <c r="S15" s="2"/>
      <c r="T15" s="1"/>
      <c r="U15" s="1"/>
      <c r="V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 t="s">
        <v>12</v>
      </c>
      <c r="AN15" s="1" t="s">
        <v>20</v>
      </c>
      <c r="AO15" s="1">
        <v>333</v>
      </c>
      <c r="AP15" s="3">
        <v>0.55500000000000005</v>
      </c>
      <c r="AQ15" s="1"/>
    </row>
    <row r="16" spans="1:43" ht="12.3" x14ac:dyDescent="0.4">
      <c r="A16" s="1" t="s">
        <v>88</v>
      </c>
      <c r="B16" s="1"/>
      <c r="C16" s="1" t="s">
        <v>6</v>
      </c>
      <c r="D16" s="5" t="s">
        <v>7</v>
      </c>
      <c r="E16" s="5" t="s">
        <v>463</v>
      </c>
      <c r="F16" s="4" t="s">
        <v>465</v>
      </c>
      <c r="G16" s="4" t="s">
        <v>465</v>
      </c>
      <c r="I16" s="1" t="s">
        <v>16</v>
      </c>
      <c r="J16" s="1" t="s">
        <v>10</v>
      </c>
      <c r="K16" s="4" t="s">
        <v>464</v>
      </c>
      <c r="L16" s="1" t="s">
        <v>25</v>
      </c>
      <c r="M16" s="1"/>
      <c r="O16" s="1"/>
      <c r="P16" s="1"/>
      <c r="Q16" s="1"/>
      <c r="S16" s="1"/>
      <c r="T16" s="1"/>
      <c r="U16" s="1"/>
      <c r="V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 t="s">
        <v>12</v>
      </c>
      <c r="AN16" s="1" t="s">
        <v>14</v>
      </c>
      <c r="AO16" s="1">
        <v>248</v>
      </c>
      <c r="AP16" s="3">
        <v>0.41333333333333333</v>
      </c>
      <c r="AQ16" s="1"/>
    </row>
    <row r="17" spans="1:43" ht="12.3" x14ac:dyDescent="0.4">
      <c r="A17" s="1" t="s">
        <v>89</v>
      </c>
      <c r="B17" s="1"/>
      <c r="C17" s="1" t="s">
        <v>6</v>
      </c>
      <c r="D17" s="5" t="s">
        <v>7</v>
      </c>
      <c r="E17" s="5" t="s">
        <v>463</v>
      </c>
      <c r="F17" s="4" t="s">
        <v>465</v>
      </c>
      <c r="G17" s="4" t="s">
        <v>465</v>
      </c>
      <c r="I17" s="1" t="s">
        <v>16</v>
      </c>
      <c r="J17" s="1" t="s">
        <v>10</v>
      </c>
      <c r="K17" s="4" t="s">
        <v>464</v>
      </c>
      <c r="L17" s="1" t="s">
        <v>26</v>
      </c>
      <c r="M17" s="1"/>
      <c r="O17" s="1"/>
      <c r="P17" s="1"/>
      <c r="Q17" s="1"/>
      <c r="S17" s="1"/>
      <c r="T17" s="1"/>
      <c r="U17" s="2"/>
      <c r="V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 t="s">
        <v>12</v>
      </c>
      <c r="AN17" s="1" t="s">
        <v>20</v>
      </c>
      <c r="AO17" s="1">
        <v>433</v>
      </c>
      <c r="AP17" s="3">
        <v>0.72166666666666668</v>
      </c>
      <c r="AQ17" s="1"/>
    </row>
    <row r="18" spans="1:43" ht="12.3" x14ac:dyDescent="0.4">
      <c r="A18" s="1" t="s">
        <v>90</v>
      </c>
      <c r="B18" s="1"/>
      <c r="C18" s="1" t="s">
        <v>6</v>
      </c>
      <c r="D18" s="5" t="s">
        <v>7</v>
      </c>
      <c r="E18" s="5" t="s">
        <v>463</v>
      </c>
      <c r="F18" s="4" t="s">
        <v>465</v>
      </c>
      <c r="G18" s="4" t="s">
        <v>465</v>
      </c>
      <c r="I18" s="1" t="s">
        <v>8</v>
      </c>
      <c r="J18" s="1" t="s">
        <v>9</v>
      </c>
      <c r="K18" s="4" t="s">
        <v>464</v>
      </c>
      <c r="L18" s="1" t="s">
        <v>11</v>
      </c>
      <c r="M18" s="1"/>
      <c r="O18" s="1"/>
      <c r="P18" s="1"/>
      <c r="Q18" s="1"/>
      <c r="S18" s="2"/>
      <c r="T18" s="1"/>
      <c r="U18" s="1"/>
      <c r="V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 t="s">
        <v>12</v>
      </c>
      <c r="AN18" s="1" t="s">
        <v>18</v>
      </c>
      <c r="AO18" s="1">
        <v>330</v>
      </c>
      <c r="AP18" s="3">
        <v>0.55000000000000004</v>
      </c>
      <c r="AQ18" s="1"/>
    </row>
    <row r="19" spans="1:43" ht="12.3" x14ac:dyDescent="0.4">
      <c r="A19" s="1" t="s">
        <v>91</v>
      </c>
      <c r="B19" s="1"/>
      <c r="C19" s="1" t="s">
        <v>6</v>
      </c>
      <c r="D19" s="5" t="s">
        <v>7</v>
      </c>
      <c r="E19" s="5" t="s">
        <v>463</v>
      </c>
      <c r="F19" s="4" t="s">
        <v>465</v>
      </c>
      <c r="G19" s="4" t="s">
        <v>465</v>
      </c>
      <c r="I19" s="1" t="s">
        <v>8</v>
      </c>
      <c r="J19" s="1" t="s">
        <v>9</v>
      </c>
      <c r="K19" s="4" t="s">
        <v>464</v>
      </c>
      <c r="L19" s="1" t="s">
        <v>25</v>
      </c>
      <c r="M19" s="1"/>
      <c r="O19" s="1"/>
      <c r="P19" s="1"/>
      <c r="Q19" s="1"/>
      <c r="S19" s="2"/>
      <c r="T19" s="1"/>
      <c r="U19" s="2"/>
      <c r="V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 t="s">
        <v>12</v>
      </c>
      <c r="AN19" s="1" t="s">
        <v>20</v>
      </c>
      <c r="AO19" s="1">
        <v>514</v>
      </c>
      <c r="AP19" s="3">
        <v>0.85666666666666669</v>
      </c>
      <c r="AQ19" s="1"/>
    </row>
    <row r="20" spans="1:43" ht="12.3" x14ac:dyDescent="0.4">
      <c r="A20" s="1" t="s">
        <v>92</v>
      </c>
      <c r="B20" s="1"/>
      <c r="C20" s="1" t="s">
        <v>6</v>
      </c>
      <c r="D20" s="5" t="s">
        <v>7</v>
      </c>
      <c r="E20" s="5" t="s">
        <v>463</v>
      </c>
      <c r="F20" s="4" t="s">
        <v>465</v>
      </c>
      <c r="G20" s="4" t="s">
        <v>465</v>
      </c>
      <c r="I20" s="1" t="s">
        <v>27</v>
      </c>
      <c r="J20" s="1" t="s">
        <v>9</v>
      </c>
      <c r="K20" s="4" t="s">
        <v>464</v>
      </c>
      <c r="L20" s="1" t="s">
        <v>23</v>
      </c>
      <c r="M20" s="1"/>
      <c r="O20" s="1"/>
      <c r="P20" s="1"/>
      <c r="Q20" s="1"/>
      <c r="S20" s="2"/>
      <c r="T20" s="1"/>
      <c r="U20" s="2"/>
      <c r="V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 t="s">
        <v>12</v>
      </c>
      <c r="AN20" s="1" t="s">
        <v>13</v>
      </c>
      <c r="AO20" s="1">
        <v>293</v>
      </c>
      <c r="AP20" s="3">
        <v>0.48833333333333334</v>
      </c>
      <c r="AQ20" s="1"/>
    </row>
    <row r="21" spans="1:43" ht="12.3" x14ac:dyDescent="0.4">
      <c r="A21" s="1" t="s">
        <v>93</v>
      </c>
      <c r="B21" s="1"/>
      <c r="C21" s="1" t="s">
        <v>6</v>
      </c>
      <c r="D21" s="5" t="s">
        <v>7</v>
      </c>
      <c r="E21" s="5" t="s">
        <v>463</v>
      </c>
      <c r="F21" s="4" t="s">
        <v>465</v>
      </c>
      <c r="G21" s="4" t="s">
        <v>465</v>
      </c>
      <c r="I21" s="1" t="s">
        <v>16</v>
      </c>
      <c r="J21" s="1" t="s">
        <v>10</v>
      </c>
      <c r="K21" s="4" t="s">
        <v>464</v>
      </c>
      <c r="L21" s="1" t="s">
        <v>17</v>
      </c>
      <c r="M21" s="1"/>
      <c r="O21" s="1"/>
      <c r="P21" s="1"/>
      <c r="Q21" s="1"/>
      <c r="S21" s="2"/>
      <c r="T21" s="1"/>
      <c r="U21" s="2"/>
      <c r="V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 t="s">
        <v>12</v>
      </c>
      <c r="AN21" s="1" t="s">
        <v>20</v>
      </c>
      <c r="AO21" s="1">
        <v>354</v>
      </c>
      <c r="AP21" s="3">
        <v>0.59</v>
      </c>
      <c r="AQ21" s="1"/>
    </row>
    <row r="22" spans="1:43" ht="12.3" x14ac:dyDescent="0.4">
      <c r="A22" s="1" t="s">
        <v>94</v>
      </c>
      <c r="B22" s="1"/>
      <c r="C22" s="1" t="s">
        <v>6</v>
      </c>
      <c r="D22" s="5" t="s">
        <v>7</v>
      </c>
      <c r="E22" s="5" t="s">
        <v>463</v>
      </c>
      <c r="F22" s="4" t="s">
        <v>465</v>
      </c>
      <c r="G22" s="4" t="s">
        <v>465</v>
      </c>
      <c r="I22" s="1" t="s">
        <v>16</v>
      </c>
      <c r="J22" s="1" t="s">
        <v>10</v>
      </c>
      <c r="K22" s="4" t="s">
        <v>464</v>
      </c>
      <c r="L22" s="1" t="s">
        <v>24</v>
      </c>
      <c r="M22" s="1"/>
      <c r="O22" s="1"/>
      <c r="P22" s="1"/>
      <c r="Q22" s="1"/>
      <c r="S22" s="2"/>
      <c r="T22" s="1"/>
      <c r="U22" s="1"/>
      <c r="V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 t="s">
        <v>12</v>
      </c>
      <c r="AN22" s="1" t="s">
        <v>20</v>
      </c>
      <c r="AO22" s="1">
        <v>349</v>
      </c>
      <c r="AP22" s="3">
        <v>0.58166666666666667</v>
      </c>
      <c r="AQ22" s="1"/>
    </row>
    <row r="23" spans="1:43" ht="12.3" x14ac:dyDescent="0.4">
      <c r="A23" s="1" t="s">
        <v>95</v>
      </c>
      <c r="B23" s="1"/>
      <c r="C23" s="1" t="s">
        <v>6</v>
      </c>
      <c r="D23" s="5" t="s">
        <v>7</v>
      </c>
      <c r="E23" s="5" t="s">
        <v>463</v>
      </c>
      <c r="F23" s="4" t="s">
        <v>465</v>
      </c>
      <c r="G23" s="4" t="s">
        <v>465</v>
      </c>
      <c r="I23" s="1" t="s">
        <v>16</v>
      </c>
      <c r="J23" s="1" t="s">
        <v>10</v>
      </c>
      <c r="K23" s="4" t="s">
        <v>464</v>
      </c>
      <c r="L23" s="1" t="s">
        <v>24</v>
      </c>
      <c r="M23" s="1"/>
      <c r="O23" s="1"/>
      <c r="P23" s="1"/>
      <c r="Q23" s="1"/>
      <c r="S23" s="2"/>
      <c r="T23" s="1"/>
      <c r="U23" s="1"/>
      <c r="V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 t="s">
        <v>12</v>
      </c>
      <c r="AN23" s="1" t="s">
        <v>14</v>
      </c>
      <c r="AO23" s="1">
        <v>279</v>
      </c>
      <c r="AP23" s="3">
        <v>0.46500000000000002</v>
      </c>
      <c r="AQ23" s="1"/>
    </row>
    <row r="24" spans="1:43" ht="12.3" x14ac:dyDescent="0.4">
      <c r="A24" s="1" t="s">
        <v>96</v>
      </c>
      <c r="B24" s="1"/>
      <c r="C24" s="1" t="s">
        <v>6</v>
      </c>
      <c r="D24" s="5" t="s">
        <v>7</v>
      </c>
      <c r="E24" s="5" t="s">
        <v>463</v>
      </c>
      <c r="F24" s="4" t="s">
        <v>465</v>
      </c>
      <c r="G24" s="4" t="s">
        <v>465</v>
      </c>
      <c r="I24" s="1" t="s">
        <v>8</v>
      </c>
      <c r="J24" s="1" t="s">
        <v>9</v>
      </c>
      <c r="K24" s="4" t="s">
        <v>464</v>
      </c>
      <c r="L24" s="1" t="s">
        <v>22</v>
      </c>
      <c r="M24" s="1"/>
      <c r="O24" s="1"/>
      <c r="P24" s="1"/>
      <c r="Q24" s="1"/>
      <c r="S24" s="2"/>
      <c r="T24" s="1"/>
      <c r="U24" s="1"/>
      <c r="V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 t="s">
        <v>12</v>
      </c>
      <c r="AN24" s="1" t="s">
        <v>20</v>
      </c>
      <c r="AO24" s="1">
        <v>383</v>
      </c>
      <c r="AP24" s="3">
        <v>0.63833333333333331</v>
      </c>
      <c r="AQ24" s="1"/>
    </row>
    <row r="25" spans="1:43" ht="12.3" x14ac:dyDescent="0.4">
      <c r="A25" s="1" t="s">
        <v>97</v>
      </c>
      <c r="B25" s="1"/>
      <c r="C25" s="1" t="s">
        <v>6</v>
      </c>
      <c r="D25" s="5" t="s">
        <v>7</v>
      </c>
      <c r="E25" s="5" t="s">
        <v>463</v>
      </c>
      <c r="F25" s="4" t="s">
        <v>465</v>
      </c>
      <c r="G25" s="4" t="s">
        <v>465</v>
      </c>
      <c r="I25" s="1" t="s">
        <v>8</v>
      </c>
      <c r="J25" s="1" t="s">
        <v>9</v>
      </c>
      <c r="K25" s="4" t="s">
        <v>464</v>
      </c>
      <c r="L25" s="1" t="s">
        <v>28</v>
      </c>
      <c r="M25" s="1"/>
      <c r="O25" s="1"/>
      <c r="P25" s="1"/>
      <c r="Q25" s="1"/>
      <c r="S25" s="2"/>
      <c r="T25" s="1"/>
      <c r="U25" s="1"/>
      <c r="V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 t="s">
        <v>12</v>
      </c>
      <c r="AN25" s="1" t="s">
        <v>20</v>
      </c>
      <c r="AO25" s="1">
        <v>346</v>
      </c>
      <c r="AP25" s="3">
        <v>0.57666666666666666</v>
      </c>
      <c r="AQ25" s="1"/>
    </row>
    <row r="26" spans="1:43" ht="12.3" x14ac:dyDescent="0.4">
      <c r="A26" s="1" t="s">
        <v>98</v>
      </c>
      <c r="B26" s="1"/>
      <c r="C26" s="1" t="s">
        <v>6</v>
      </c>
      <c r="D26" s="5" t="s">
        <v>7</v>
      </c>
      <c r="E26" s="5" t="s">
        <v>463</v>
      </c>
      <c r="F26" s="4" t="s">
        <v>465</v>
      </c>
      <c r="G26" s="4" t="s">
        <v>465</v>
      </c>
      <c r="I26" s="1" t="s">
        <v>8</v>
      </c>
      <c r="J26" s="1" t="s">
        <v>9</v>
      </c>
      <c r="K26" s="4" t="s">
        <v>464</v>
      </c>
      <c r="L26" s="1" t="s">
        <v>28</v>
      </c>
      <c r="M26" s="1"/>
      <c r="O26" s="1"/>
      <c r="P26" s="1"/>
      <c r="Q26" s="1"/>
      <c r="S26" s="2"/>
      <c r="T26" s="1"/>
      <c r="U26" s="1"/>
      <c r="V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 t="s">
        <v>12</v>
      </c>
      <c r="AN26" s="1" t="s">
        <v>14</v>
      </c>
      <c r="AO26" s="1">
        <v>261</v>
      </c>
      <c r="AP26" s="3">
        <v>0.435</v>
      </c>
      <c r="AQ26" s="1"/>
    </row>
    <row r="27" spans="1:43" ht="12.3" x14ac:dyDescent="0.4">
      <c r="A27" s="1" t="s">
        <v>99</v>
      </c>
      <c r="B27" s="1"/>
      <c r="C27" s="1" t="s">
        <v>6</v>
      </c>
      <c r="D27" s="5" t="s">
        <v>7</v>
      </c>
      <c r="E27" s="5" t="s">
        <v>463</v>
      </c>
      <c r="F27" s="4" t="s">
        <v>465</v>
      </c>
      <c r="G27" s="4" t="s">
        <v>465</v>
      </c>
      <c r="I27" s="1" t="s">
        <v>16</v>
      </c>
      <c r="J27" s="1" t="s">
        <v>10</v>
      </c>
      <c r="K27" s="4" t="s">
        <v>464</v>
      </c>
      <c r="L27" s="1" t="s">
        <v>17</v>
      </c>
      <c r="M27" s="1"/>
      <c r="O27" s="1"/>
      <c r="P27" s="1"/>
      <c r="Q27" s="1"/>
      <c r="S27" s="2"/>
      <c r="T27" s="1"/>
      <c r="U27" s="2"/>
      <c r="V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 t="s">
        <v>12</v>
      </c>
      <c r="AN27" s="1" t="s">
        <v>20</v>
      </c>
      <c r="AO27" s="1">
        <v>423</v>
      </c>
      <c r="AP27" s="3">
        <v>0.70499999999999996</v>
      </c>
      <c r="AQ27" s="1"/>
    </row>
    <row r="28" spans="1:43" ht="12.3" x14ac:dyDescent="0.4">
      <c r="A28" s="1" t="s">
        <v>100</v>
      </c>
      <c r="B28" s="1"/>
      <c r="C28" s="1" t="s">
        <v>6</v>
      </c>
      <c r="D28" s="5" t="s">
        <v>7</v>
      </c>
      <c r="E28" s="5" t="s">
        <v>463</v>
      </c>
      <c r="F28" s="4" t="s">
        <v>465</v>
      </c>
      <c r="G28" s="4" t="s">
        <v>465</v>
      </c>
      <c r="I28" s="1" t="s">
        <v>8</v>
      </c>
      <c r="J28" s="1" t="s">
        <v>9</v>
      </c>
      <c r="K28" s="4" t="s">
        <v>464</v>
      </c>
      <c r="L28" s="1" t="s">
        <v>23</v>
      </c>
      <c r="M28" s="1"/>
      <c r="O28" s="1"/>
      <c r="P28" s="1"/>
      <c r="Q28" s="1"/>
      <c r="S28" s="2"/>
      <c r="T28" s="1"/>
      <c r="U28" s="1"/>
      <c r="V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 t="s">
        <v>12</v>
      </c>
      <c r="AN28" s="1" t="s">
        <v>20</v>
      </c>
      <c r="AO28" s="1">
        <v>383</v>
      </c>
      <c r="AP28" s="3">
        <v>0.63833333333333331</v>
      </c>
      <c r="AQ28" s="1"/>
    </row>
    <row r="29" spans="1:43" ht="12.3" x14ac:dyDescent="0.4">
      <c r="A29" s="1" t="s">
        <v>101</v>
      </c>
      <c r="B29" s="1"/>
      <c r="C29" s="1" t="s">
        <v>6</v>
      </c>
      <c r="D29" s="5" t="s">
        <v>7</v>
      </c>
      <c r="E29" s="5" t="s">
        <v>463</v>
      </c>
      <c r="F29" s="4" t="s">
        <v>465</v>
      </c>
      <c r="G29" s="4" t="s">
        <v>465</v>
      </c>
      <c r="I29" s="1" t="s">
        <v>8</v>
      </c>
      <c r="J29" s="1" t="s">
        <v>9</v>
      </c>
      <c r="K29" s="4" t="s">
        <v>464</v>
      </c>
      <c r="L29" s="1" t="s">
        <v>22</v>
      </c>
      <c r="M29" s="1"/>
      <c r="O29" s="1"/>
      <c r="P29" s="1"/>
      <c r="Q29" s="1"/>
      <c r="S29" s="1"/>
      <c r="T29" s="1"/>
      <c r="U29" s="2"/>
      <c r="V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 t="s">
        <v>12</v>
      </c>
      <c r="AN29" s="1" t="s">
        <v>14</v>
      </c>
      <c r="AO29" s="1">
        <v>276</v>
      </c>
      <c r="AP29" s="3">
        <v>0.46</v>
      </c>
      <c r="AQ29" s="1"/>
    </row>
    <row r="30" spans="1:43" ht="12.3" x14ac:dyDescent="0.4">
      <c r="A30" s="1" t="s">
        <v>102</v>
      </c>
      <c r="B30" s="1"/>
      <c r="C30" s="1" t="s">
        <v>6</v>
      </c>
      <c r="D30" s="5" t="s">
        <v>7</v>
      </c>
      <c r="E30" s="5" t="s">
        <v>463</v>
      </c>
      <c r="F30" s="4" t="s">
        <v>465</v>
      </c>
      <c r="G30" s="4" t="s">
        <v>465</v>
      </c>
      <c r="I30" s="1" t="s">
        <v>8</v>
      </c>
      <c r="J30" s="1" t="s">
        <v>9</v>
      </c>
      <c r="K30" s="4" t="s">
        <v>464</v>
      </c>
      <c r="L30" s="1" t="s">
        <v>11</v>
      </c>
      <c r="M30" s="1"/>
      <c r="O30" s="1"/>
      <c r="P30" s="1"/>
      <c r="Q30" s="1"/>
      <c r="S30" s="1"/>
      <c r="T30" s="1"/>
      <c r="U30" s="1"/>
      <c r="V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 t="s">
        <v>12</v>
      </c>
      <c r="AN30" s="1" t="s">
        <v>20</v>
      </c>
      <c r="AO30" s="1">
        <v>354</v>
      </c>
      <c r="AP30" s="3">
        <v>0.59</v>
      </c>
      <c r="AQ30" s="1"/>
    </row>
    <row r="31" spans="1:43" ht="12.3" x14ac:dyDescent="0.4">
      <c r="A31" s="1" t="s">
        <v>103</v>
      </c>
      <c r="B31" s="1"/>
      <c r="C31" s="1" t="s">
        <v>6</v>
      </c>
      <c r="D31" s="5" t="s">
        <v>7</v>
      </c>
      <c r="E31" s="5" t="s">
        <v>463</v>
      </c>
      <c r="F31" s="4" t="s">
        <v>465</v>
      </c>
      <c r="G31" s="4" t="s">
        <v>465</v>
      </c>
      <c r="I31" s="1" t="s">
        <v>8</v>
      </c>
      <c r="J31" s="1" t="s">
        <v>9</v>
      </c>
      <c r="K31" s="4" t="s">
        <v>464</v>
      </c>
      <c r="L31" s="1" t="s">
        <v>24</v>
      </c>
      <c r="M31" s="1"/>
      <c r="O31" s="1"/>
      <c r="P31" s="1"/>
      <c r="Q31" s="1"/>
      <c r="S31" s="1"/>
      <c r="T31" s="1"/>
      <c r="U31" s="2"/>
      <c r="V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 t="s">
        <v>12</v>
      </c>
      <c r="AN31" s="1" t="s">
        <v>20</v>
      </c>
      <c r="AO31" s="1">
        <v>337</v>
      </c>
      <c r="AP31" s="3">
        <v>0.56166666666666665</v>
      </c>
      <c r="AQ31" s="1"/>
    </row>
    <row r="32" spans="1:43" ht="12.3" x14ac:dyDescent="0.4">
      <c r="A32" s="1" t="s">
        <v>104</v>
      </c>
      <c r="B32" s="1"/>
      <c r="C32" s="1" t="s">
        <v>6</v>
      </c>
      <c r="D32" s="5" t="s">
        <v>7</v>
      </c>
      <c r="E32" s="5" t="s">
        <v>463</v>
      </c>
      <c r="F32" s="4" t="s">
        <v>465</v>
      </c>
      <c r="G32" s="4" t="s">
        <v>465</v>
      </c>
      <c r="I32" s="1" t="s">
        <v>8</v>
      </c>
      <c r="J32" s="1" t="s">
        <v>9</v>
      </c>
      <c r="K32" s="4" t="s">
        <v>464</v>
      </c>
      <c r="L32" s="1" t="s">
        <v>11</v>
      </c>
      <c r="M32" s="1"/>
      <c r="O32" s="1"/>
      <c r="P32" s="1"/>
      <c r="Q32" s="1"/>
      <c r="S32" s="1"/>
      <c r="T32" s="1"/>
      <c r="U32" s="2"/>
      <c r="V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 t="s">
        <v>12</v>
      </c>
      <c r="AN32" s="1" t="s">
        <v>20</v>
      </c>
      <c r="AO32" s="1">
        <v>357</v>
      </c>
      <c r="AP32" s="3">
        <v>0.59499999999999997</v>
      </c>
      <c r="AQ32" s="1"/>
    </row>
    <row r="33" spans="1:43" ht="12.3" x14ac:dyDescent="0.4">
      <c r="A33" s="1" t="s">
        <v>105</v>
      </c>
      <c r="B33" s="1"/>
      <c r="C33" s="1" t="s">
        <v>6</v>
      </c>
      <c r="D33" s="5" t="s">
        <v>7</v>
      </c>
      <c r="E33" s="5" t="s">
        <v>463</v>
      </c>
      <c r="F33" s="4" t="s">
        <v>465</v>
      </c>
      <c r="G33" s="4" t="s">
        <v>465</v>
      </c>
      <c r="I33" s="1" t="s">
        <v>16</v>
      </c>
      <c r="J33" s="1" t="s">
        <v>10</v>
      </c>
      <c r="K33" s="4" t="s">
        <v>464</v>
      </c>
      <c r="L33" s="1" t="s">
        <v>28</v>
      </c>
      <c r="M33" s="1"/>
      <c r="O33" s="1"/>
      <c r="P33" s="1"/>
      <c r="Q33" s="1"/>
      <c r="S33" s="2"/>
      <c r="T33" s="1"/>
      <c r="U33" s="1"/>
      <c r="V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 t="s">
        <v>12</v>
      </c>
      <c r="AN33" s="1" t="s">
        <v>18</v>
      </c>
      <c r="AO33" s="1">
        <v>317</v>
      </c>
      <c r="AP33" s="3">
        <v>0.52833333333333332</v>
      </c>
      <c r="AQ33" s="1"/>
    </row>
    <row r="34" spans="1:43" ht="12.3" x14ac:dyDescent="0.4">
      <c r="A34" s="1" t="s">
        <v>106</v>
      </c>
      <c r="B34" s="1"/>
      <c r="C34" s="1" t="s">
        <v>6</v>
      </c>
      <c r="D34" s="5" t="s">
        <v>7</v>
      </c>
      <c r="E34" s="5" t="s">
        <v>463</v>
      </c>
      <c r="F34" s="4" t="s">
        <v>465</v>
      </c>
      <c r="G34" s="4" t="s">
        <v>465</v>
      </c>
      <c r="I34" s="1" t="s">
        <v>16</v>
      </c>
      <c r="J34" s="1" t="s">
        <v>10</v>
      </c>
      <c r="K34" s="4" t="s">
        <v>464</v>
      </c>
      <c r="L34" s="1" t="s">
        <v>25</v>
      </c>
      <c r="M34" s="1"/>
      <c r="O34" s="1"/>
      <c r="P34" s="1"/>
      <c r="Q34" s="1"/>
      <c r="S34" s="1"/>
      <c r="T34" s="1"/>
      <c r="U34" s="2"/>
      <c r="V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 t="s">
        <v>12</v>
      </c>
      <c r="AN34" s="1" t="s">
        <v>18</v>
      </c>
      <c r="AO34" s="1">
        <v>306</v>
      </c>
      <c r="AP34" s="3">
        <v>0.51</v>
      </c>
      <c r="AQ34" s="1"/>
    </row>
    <row r="35" spans="1:43" ht="12.3" x14ac:dyDescent="0.4">
      <c r="A35" s="1" t="s">
        <v>107</v>
      </c>
      <c r="B35" s="1"/>
      <c r="C35" s="1" t="s">
        <v>6</v>
      </c>
      <c r="D35" s="5" t="s">
        <v>7</v>
      </c>
      <c r="E35" s="5" t="s">
        <v>463</v>
      </c>
      <c r="F35" s="4" t="s">
        <v>465</v>
      </c>
      <c r="G35" s="4" t="s">
        <v>465</v>
      </c>
      <c r="I35" s="1" t="s">
        <v>8</v>
      </c>
      <c r="J35" s="1" t="s">
        <v>9</v>
      </c>
      <c r="K35" s="4" t="s">
        <v>464</v>
      </c>
      <c r="L35" s="1" t="s">
        <v>23</v>
      </c>
      <c r="M35" s="1"/>
      <c r="O35" s="1"/>
      <c r="P35" s="1"/>
      <c r="Q35" s="1"/>
      <c r="S35" s="2"/>
      <c r="T35" s="1"/>
      <c r="U35" s="2"/>
      <c r="V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 t="s">
        <v>12</v>
      </c>
      <c r="AN35" s="1" t="s">
        <v>13</v>
      </c>
      <c r="AO35" s="1">
        <v>280</v>
      </c>
      <c r="AP35" s="3">
        <v>0.46666666666666667</v>
      </c>
      <c r="AQ35" s="1"/>
    </row>
    <row r="36" spans="1:43" ht="12.3" x14ac:dyDescent="0.4">
      <c r="A36" s="1" t="s">
        <v>108</v>
      </c>
      <c r="B36" s="1"/>
      <c r="C36" s="1" t="s">
        <v>6</v>
      </c>
      <c r="D36" s="5" t="s">
        <v>7</v>
      </c>
      <c r="E36" s="5" t="s">
        <v>463</v>
      </c>
      <c r="F36" s="4" t="s">
        <v>465</v>
      </c>
      <c r="G36" s="4" t="s">
        <v>465</v>
      </c>
      <c r="I36" s="1" t="s">
        <v>29</v>
      </c>
      <c r="J36" s="1" t="s">
        <v>9</v>
      </c>
      <c r="K36" s="4" t="s">
        <v>464</v>
      </c>
      <c r="L36" s="1" t="s">
        <v>24</v>
      </c>
      <c r="M36" s="1"/>
      <c r="O36" s="1"/>
      <c r="P36" s="1"/>
      <c r="Q36" s="1"/>
      <c r="S36" s="2"/>
      <c r="T36" s="1"/>
      <c r="U36" s="2"/>
      <c r="V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 t="s">
        <v>12</v>
      </c>
      <c r="AN36" s="1" t="s">
        <v>20</v>
      </c>
      <c r="AO36" s="1">
        <v>376</v>
      </c>
      <c r="AP36" s="3">
        <v>0.62666666666666671</v>
      </c>
      <c r="AQ36" s="1"/>
    </row>
    <row r="37" spans="1:43" ht="12.3" x14ac:dyDescent="0.4">
      <c r="A37" s="1" t="s">
        <v>109</v>
      </c>
      <c r="B37" s="1"/>
      <c r="C37" s="1" t="s">
        <v>6</v>
      </c>
      <c r="D37" s="5" t="s">
        <v>7</v>
      </c>
      <c r="E37" s="5" t="s">
        <v>463</v>
      </c>
      <c r="F37" s="4" t="s">
        <v>465</v>
      </c>
      <c r="G37" s="4" t="s">
        <v>465</v>
      </c>
      <c r="I37" s="1" t="s">
        <v>16</v>
      </c>
      <c r="J37" s="1" t="s">
        <v>10</v>
      </c>
      <c r="K37" s="4" t="s">
        <v>464</v>
      </c>
      <c r="L37" s="1" t="s">
        <v>30</v>
      </c>
      <c r="M37" s="1"/>
      <c r="O37" s="1"/>
      <c r="P37" s="1"/>
      <c r="Q37" s="1"/>
      <c r="S37" s="2"/>
      <c r="T37" s="1"/>
      <c r="U37" s="1"/>
      <c r="V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 t="s">
        <v>12</v>
      </c>
      <c r="AN37" s="1" t="s">
        <v>20</v>
      </c>
      <c r="AO37" s="1">
        <v>435</v>
      </c>
      <c r="AP37" s="3">
        <v>0.72499999999999998</v>
      </c>
      <c r="AQ37" s="1"/>
    </row>
    <row r="38" spans="1:43" ht="12.3" x14ac:dyDescent="0.4">
      <c r="A38" s="1" t="s">
        <v>110</v>
      </c>
      <c r="B38" s="1"/>
      <c r="C38" s="1" t="s">
        <v>6</v>
      </c>
      <c r="D38" s="5" t="s">
        <v>7</v>
      </c>
      <c r="E38" s="5" t="s">
        <v>463</v>
      </c>
      <c r="F38" s="4" t="s">
        <v>465</v>
      </c>
      <c r="G38" s="4" t="s">
        <v>465</v>
      </c>
      <c r="I38" s="1" t="s">
        <v>16</v>
      </c>
      <c r="J38" s="1" t="s">
        <v>9</v>
      </c>
      <c r="K38" s="4" t="s">
        <v>464</v>
      </c>
      <c r="L38" s="1" t="s">
        <v>24</v>
      </c>
      <c r="M38" s="1"/>
      <c r="O38" s="1"/>
      <c r="P38" s="1"/>
      <c r="Q38" s="1"/>
      <c r="S38" s="1"/>
      <c r="T38" s="1"/>
      <c r="U38" s="2"/>
      <c r="V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 t="s">
        <v>12</v>
      </c>
      <c r="AN38" s="1" t="s">
        <v>13</v>
      </c>
      <c r="AO38" s="1">
        <v>286</v>
      </c>
      <c r="AP38" s="3">
        <v>0.47666666666666668</v>
      </c>
      <c r="AQ38" s="1"/>
    </row>
    <row r="39" spans="1:43" ht="12.3" x14ac:dyDescent="0.4">
      <c r="A39" s="1" t="s">
        <v>111</v>
      </c>
      <c r="B39" s="1"/>
      <c r="C39" s="1" t="s">
        <v>6</v>
      </c>
      <c r="D39" s="5" t="s">
        <v>7</v>
      </c>
      <c r="E39" s="5" t="s">
        <v>463</v>
      </c>
      <c r="F39" s="4" t="s">
        <v>465</v>
      </c>
      <c r="G39" s="4" t="s">
        <v>465</v>
      </c>
      <c r="I39" s="1" t="s">
        <v>16</v>
      </c>
      <c r="J39" s="1" t="s">
        <v>10</v>
      </c>
      <c r="K39" s="4" t="s">
        <v>464</v>
      </c>
      <c r="L39" s="1" t="s">
        <v>28</v>
      </c>
      <c r="M39" s="1"/>
      <c r="O39" s="1"/>
      <c r="P39" s="1"/>
      <c r="Q39" s="1"/>
      <c r="S39" s="2"/>
      <c r="T39" s="1"/>
      <c r="U39" s="1"/>
      <c r="V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 t="s">
        <v>12</v>
      </c>
      <c r="AN39" s="1" t="s">
        <v>20</v>
      </c>
      <c r="AO39" s="1">
        <v>428</v>
      </c>
      <c r="AP39" s="3">
        <v>0.71333333333333337</v>
      </c>
      <c r="AQ39" s="1"/>
    </row>
    <row r="40" spans="1:43" ht="12.3" x14ac:dyDescent="0.4">
      <c r="A40" s="1" t="s">
        <v>112</v>
      </c>
      <c r="B40" s="1"/>
      <c r="C40" s="1" t="s">
        <v>6</v>
      </c>
      <c r="D40" s="5" t="s">
        <v>7</v>
      </c>
      <c r="E40" s="5" t="s">
        <v>463</v>
      </c>
      <c r="F40" s="4" t="s">
        <v>465</v>
      </c>
      <c r="G40" s="4" t="s">
        <v>465</v>
      </c>
      <c r="I40" s="1" t="s">
        <v>8</v>
      </c>
      <c r="J40" s="1" t="s">
        <v>9</v>
      </c>
      <c r="K40" s="4" t="s">
        <v>464</v>
      </c>
      <c r="L40" s="1" t="s">
        <v>23</v>
      </c>
      <c r="M40" s="1"/>
      <c r="O40" s="1"/>
      <c r="P40" s="1"/>
      <c r="Q40" s="1"/>
      <c r="S40" s="1"/>
      <c r="T40" s="1"/>
      <c r="U40" s="1"/>
      <c r="V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 t="s">
        <v>12</v>
      </c>
      <c r="AN40" s="1" t="s">
        <v>20</v>
      </c>
      <c r="AO40" s="1">
        <v>339</v>
      </c>
      <c r="AP40" s="3">
        <v>0.56499999999999995</v>
      </c>
      <c r="AQ40" s="1"/>
    </row>
    <row r="41" spans="1:43" ht="12.3" x14ac:dyDescent="0.4">
      <c r="A41" s="1" t="s">
        <v>113</v>
      </c>
      <c r="B41" s="1"/>
      <c r="C41" s="1" t="s">
        <v>6</v>
      </c>
      <c r="D41" s="5" t="s">
        <v>7</v>
      </c>
      <c r="E41" s="5" t="s">
        <v>463</v>
      </c>
      <c r="F41" s="4" t="s">
        <v>465</v>
      </c>
      <c r="G41" s="4" t="s">
        <v>465</v>
      </c>
      <c r="I41" s="1" t="s">
        <v>8</v>
      </c>
      <c r="J41" s="1" t="s">
        <v>9</v>
      </c>
      <c r="K41" s="4" t="s">
        <v>464</v>
      </c>
      <c r="L41" s="1" t="s">
        <v>24</v>
      </c>
      <c r="M41" s="1"/>
      <c r="O41" s="1"/>
      <c r="P41" s="1"/>
      <c r="Q41" s="1"/>
      <c r="S41" s="2"/>
      <c r="T41" s="1"/>
      <c r="U41" s="1"/>
      <c r="V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 t="s">
        <v>12</v>
      </c>
      <c r="AN41" s="1" t="s">
        <v>20</v>
      </c>
      <c r="AO41" s="1">
        <v>340</v>
      </c>
      <c r="AP41" s="3">
        <v>0.56666666666666665</v>
      </c>
      <c r="AQ41" s="1"/>
    </row>
    <row r="42" spans="1:43" ht="12.3" x14ac:dyDescent="0.4">
      <c r="A42" s="1" t="s">
        <v>114</v>
      </c>
      <c r="B42" s="1"/>
      <c r="C42" s="1" t="s">
        <v>6</v>
      </c>
      <c r="D42" s="5" t="s">
        <v>7</v>
      </c>
      <c r="E42" s="5" t="s">
        <v>463</v>
      </c>
      <c r="F42" s="4" t="s">
        <v>465</v>
      </c>
      <c r="G42" s="4" t="s">
        <v>465</v>
      </c>
      <c r="I42" s="1" t="s">
        <v>8</v>
      </c>
      <c r="J42" s="1" t="s">
        <v>9</v>
      </c>
      <c r="K42" s="4" t="s">
        <v>464</v>
      </c>
      <c r="L42" s="1" t="s">
        <v>30</v>
      </c>
      <c r="M42" s="1"/>
      <c r="O42" s="1"/>
      <c r="P42" s="1"/>
      <c r="Q42" s="1"/>
      <c r="S42" s="2"/>
      <c r="T42" s="1"/>
      <c r="U42" s="1"/>
      <c r="V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 t="s">
        <v>12</v>
      </c>
      <c r="AN42" s="1" t="s">
        <v>18</v>
      </c>
      <c r="AO42" s="1">
        <v>329</v>
      </c>
      <c r="AP42" s="3">
        <v>0.54833333333333334</v>
      </c>
      <c r="AQ42" s="1"/>
    </row>
    <row r="43" spans="1:43" ht="12.3" x14ac:dyDescent="0.4">
      <c r="A43" s="1" t="s">
        <v>115</v>
      </c>
      <c r="B43" s="1"/>
      <c r="C43" s="1" t="s">
        <v>6</v>
      </c>
      <c r="D43" s="5" t="s">
        <v>7</v>
      </c>
      <c r="E43" s="5" t="s">
        <v>463</v>
      </c>
      <c r="F43" s="4" t="s">
        <v>465</v>
      </c>
      <c r="G43" s="4" t="s">
        <v>465</v>
      </c>
      <c r="I43" s="1" t="s">
        <v>8</v>
      </c>
      <c r="J43" s="1" t="s">
        <v>9</v>
      </c>
      <c r="K43" s="4" t="s">
        <v>464</v>
      </c>
      <c r="L43" s="1" t="s">
        <v>26</v>
      </c>
      <c r="M43" s="1"/>
      <c r="O43" s="1"/>
      <c r="P43" s="1"/>
      <c r="Q43" s="1"/>
      <c r="S43" s="1"/>
      <c r="T43" s="1"/>
      <c r="U43" s="2"/>
      <c r="V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 t="s">
        <v>12</v>
      </c>
      <c r="AN43" s="1" t="s">
        <v>14</v>
      </c>
      <c r="AO43" s="1">
        <v>243</v>
      </c>
      <c r="AP43" s="3">
        <v>0.40500000000000003</v>
      </c>
      <c r="AQ43" s="1"/>
    </row>
    <row r="44" spans="1:43" ht="12.3" x14ac:dyDescent="0.4">
      <c r="A44" s="1" t="s">
        <v>116</v>
      </c>
      <c r="B44" s="1"/>
      <c r="C44" s="1" t="s">
        <v>6</v>
      </c>
      <c r="D44" s="5" t="s">
        <v>7</v>
      </c>
      <c r="E44" s="5" t="s">
        <v>463</v>
      </c>
      <c r="F44" s="4" t="s">
        <v>465</v>
      </c>
      <c r="G44" s="4" t="s">
        <v>465</v>
      </c>
      <c r="I44" s="1" t="s">
        <v>16</v>
      </c>
      <c r="J44" s="1" t="s">
        <v>10</v>
      </c>
      <c r="K44" s="4" t="s">
        <v>464</v>
      </c>
      <c r="L44" s="1" t="s">
        <v>23</v>
      </c>
      <c r="M44" s="1"/>
      <c r="O44" s="1"/>
      <c r="P44" s="1"/>
      <c r="Q44" s="1"/>
      <c r="S44" s="1"/>
      <c r="T44" s="1"/>
      <c r="U44" s="1"/>
      <c r="V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 t="s">
        <v>12</v>
      </c>
      <c r="AN44" s="1" t="s">
        <v>14</v>
      </c>
      <c r="AO44" s="1">
        <v>272</v>
      </c>
      <c r="AP44" s="3">
        <v>0.45333333333333331</v>
      </c>
      <c r="AQ44" s="1"/>
    </row>
    <row r="45" spans="1:43" ht="12.3" x14ac:dyDescent="0.4">
      <c r="A45" s="1" t="s">
        <v>117</v>
      </c>
      <c r="B45" s="1"/>
      <c r="C45" s="1" t="s">
        <v>6</v>
      </c>
      <c r="D45" s="5" t="s">
        <v>7</v>
      </c>
      <c r="E45" s="5" t="s">
        <v>463</v>
      </c>
      <c r="F45" s="4" t="s">
        <v>465</v>
      </c>
      <c r="G45" s="4" t="s">
        <v>465</v>
      </c>
      <c r="I45" s="1" t="s">
        <v>16</v>
      </c>
      <c r="J45" s="1" t="s">
        <v>10</v>
      </c>
      <c r="K45" s="4" t="s">
        <v>464</v>
      </c>
      <c r="L45" s="1" t="s">
        <v>11</v>
      </c>
      <c r="M45" s="1"/>
      <c r="O45" s="1"/>
      <c r="P45" s="1"/>
      <c r="Q45" s="1"/>
      <c r="S45" s="2"/>
      <c r="T45" s="1"/>
      <c r="U45" s="1"/>
      <c r="V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 t="s">
        <v>12</v>
      </c>
      <c r="AN45" s="1" t="s">
        <v>13</v>
      </c>
      <c r="AO45" s="1">
        <v>290</v>
      </c>
      <c r="AP45" s="3">
        <v>0.48333333333333334</v>
      </c>
      <c r="AQ45" s="1"/>
    </row>
    <row r="46" spans="1:43" ht="12.3" x14ac:dyDescent="0.4">
      <c r="A46" s="1" t="s">
        <v>118</v>
      </c>
      <c r="B46" s="1"/>
      <c r="C46" s="1" t="s">
        <v>6</v>
      </c>
      <c r="D46" s="5" t="s">
        <v>7</v>
      </c>
      <c r="E46" s="5" t="s">
        <v>463</v>
      </c>
      <c r="F46" s="4" t="s">
        <v>465</v>
      </c>
      <c r="G46" s="4" t="s">
        <v>465</v>
      </c>
      <c r="I46" s="1" t="s">
        <v>16</v>
      </c>
      <c r="J46" s="1" t="s">
        <v>10</v>
      </c>
      <c r="K46" s="4" t="s">
        <v>464</v>
      </c>
      <c r="L46" s="1" t="s">
        <v>24</v>
      </c>
      <c r="M46" s="1"/>
      <c r="O46" s="1"/>
      <c r="P46" s="1"/>
      <c r="Q46" s="1"/>
      <c r="S46" s="2"/>
      <c r="T46" s="1"/>
      <c r="U46" s="1"/>
      <c r="V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 t="s">
        <v>12</v>
      </c>
      <c r="AN46" s="1" t="s">
        <v>13</v>
      </c>
      <c r="AO46" s="1">
        <v>295</v>
      </c>
      <c r="AP46" s="3">
        <v>0.49166666666666664</v>
      </c>
      <c r="AQ46" s="1"/>
    </row>
    <row r="47" spans="1:43" ht="12.3" x14ac:dyDescent="0.4">
      <c r="A47" s="1" t="s">
        <v>119</v>
      </c>
      <c r="B47" s="1"/>
      <c r="C47" s="1" t="s">
        <v>6</v>
      </c>
      <c r="D47" s="5" t="s">
        <v>7</v>
      </c>
      <c r="E47" s="5" t="s">
        <v>463</v>
      </c>
      <c r="F47" s="4" t="s">
        <v>465</v>
      </c>
      <c r="G47" s="4" t="s">
        <v>465</v>
      </c>
      <c r="I47" s="1" t="s">
        <v>16</v>
      </c>
      <c r="J47" s="1" t="s">
        <v>10</v>
      </c>
      <c r="K47" s="4" t="s">
        <v>464</v>
      </c>
      <c r="L47" s="1" t="s">
        <v>30</v>
      </c>
      <c r="M47" s="1"/>
      <c r="O47" s="1"/>
      <c r="P47" s="1"/>
      <c r="Q47" s="1"/>
      <c r="S47" s="2"/>
      <c r="T47" s="1"/>
      <c r="U47" s="1"/>
      <c r="V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 t="s">
        <v>12</v>
      </c>
      <c r="AN47" s="1" t="s">
        <v>13</v>
      </c>
      <c r="AO47" s="1">
        <v>293</v>
      </c>
      <c r="AP47" s="3">
        <v>0.48833333333333334</v>
      </c>
      <c r="AQ47" s="1"/>
    </row>
    <row r="48" spans="1:43" ht="12.3" x14ac:dyDescent="0.4">
      <c r="A48" s="1" t="s">
        <v>121</v>
      </c>
      <c r="B48" s="1"/>
      <c r="C48" s="1" t="s">
        <v>6</v>
      </c>
      <c r="D48" s="5" t="s">
        <v>7</v>
      </c>
      <c r="E48" s="5" t="s">
        <v>463</v>
      </c>
      <c r="F48" s="4" t="s">
        <v>465</v>
      </c>
      <c r="G48" s="4" t="s">
        <v>465</v>
      </c>
      <c r="I48" s="1" t="s">
        <v>16</v>
      </c>
      <c r="J48" s="1" t="s">
        <v>10</v>
      </c>
      <c r="K48" s="4" t="s">
        <v>464</v>
      </c>
      <c r="L48" s="1" t="s">
        <v>30</v>
      </c>
      <c r="M48" s="1"/>
      <c r="O48" s="1"/>
      <c r="P48" s="1"/>
      <c r="Q48" s="1"/>
      <c r="S48" s="1"/>
      <c r="T48" s="1"/>
      <c r="U48" s="1"/>
      <c r="V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 t="s">
        <v>12</v>
      </c>
      <c r="AN48" s="1" t="s">
        <v>14</v>
      </c>
      <c r="AO48" s="1">
        <v>243</v>
      </c>
      <c r="AP48" s="3">
        <v>0.40500000000000003</v>
      </c>
      <c r="AQ48" s="1"/>
    </row>
    <row r="49" spans="1:43" ht="12.3" x14ac:dyDescent="0.4">
      <c r="A49" s="1" t="s">
        <v>122</v>
      </c>
      <c r="B49" s="1"/>
      <c r="C49" s="1" t="s">
        <v>6</v>
      </c>
      <c r="D49" s="5" t="s">
        <v>7</v>
      </c>
      <c r="E49" s="5" t="s">
        <v>463</v>
      </c>
      <c r="F49" s="4" t="s">
        <v>465</v>
      </c>
      <c r="G49" s="4" t="s">
        <v>465</v>
      </c>
      <c r="I49" s="1" t="s">
        <v>16</v>
      </c>
      <c r="J49" s="1" t="s">
        <v>10</v>
      </c>
      <c r="K49" s="4" t="s">
        <v>464</v>
      </c>
      <c r="L49" s="1" t="s">
        <v>25</v>
      </c>
      <c r="M49" s="1"/>
      <c r="O49" s="1"/>
      <c r="P49" s="1"/>
      <c r="Q49" s="1"/>
      <c r="S49" s="2"/>
      <c r="T49" s="1"/>
      <c r="U49" s="2"/>
      <c r="V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 t="s">
        <v>12</v>
      </c>
      <c r="AN49" s="1" t="s">
        <v>20</v>
      </c>
      <c r="AO49" s="1">
        <v>340</v>
      </c>
      <c r="AP49" s="3">
        <v>0.56666666666666665</v>
      </c>
      <c r="AQ49" s="1"/>
    </row>
    <row r="50" spans="1:43" ht="12.3" x14ac:dyDescent="0.4">
      <c r="A50" s="1" t="s">
        <v>123</v>
      </c>
      <c r="B50" s="1"/>
      <c r="C50" s="1" t="s">
        <v>6</v>
      </c>
      <c r="D50" s="5" t="s">
        <v>7</v>
      </c>
      <c r="E50" s="5" t="s">
        <v>463</v>
      </c>
      <c r="F50" s="4" t="s">
        <v>465</v>
      </c>
      <c r="G50" s="4" t="s">
        <v>465</v>
      </c>
      <c r="I50" s="1" t="s">
        <v>27</v>
      </c>
      <c r="J50" s="1" t="s">
        <v>9</v>
      </c>
      <c r="K50" s="4" t="s">
        <v>464</v>
      </c>
      <c r="L50" s="1" t="s">
        <v>25</v>
      </c>
      <c r="M50" s="1"/>
      <c r="O50" s="1"/>
      <c r="P50" s="1"/>
      <c r="Q50" s="1"/>
      <c r="S50" s="2"/>
      <c r="T50" s="1"/>
      <c r="U50" s="1"/>
      <c r="V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 t="s">
        <v>12</v>
      </c>
      <c r="AN50" s="1" t="s">
        <v>20</v>
      </c>
      <c r="AO50" s="1">
        <v>375</v>
      </c>
      <c r="AP50" s="3">
        <v>0.625</v>
      </c>
      <c r="AQ50" s="1"/>
    </row>
    <row r="51" spans="1:43" ht="12.3" x14ac:dyDescent="0.4">
      <c r="A51" s="1" t="s">
        <v>124</v>
      </c>
      <c r="B51" s="1"/>
      <c r="C51" s="1" t="s">
        <v>6</v>
      </c>
      <c r="D51" s="5" t="s">
        <v>7</v>
      </c>
      <c r="E51" s="5" t="s">
        <v>463</v>
      </c>
      <c r="F51" s="4" t="s">
        <v>465</v>
      </c>
      <c r="G51" s="4" t="s">
        <v>465</v>
      </c>
      <c r="I51" s="1" t="s">
        <v>27</v>
      </c>
      <c r="J51" s="1" t="s">
        <v>9</v>
      </c>
      <c r="K51" s="4" t="s">
        <v>464</v>
      </c>
      <c r="L51" s="1" t="s">
        <v>19</v>
      </c>
      <c r="M51" s="1"/>
      <c r="O51" s="1"/>
      <c r="P51" s="1"/>
      <c r="Q51" s="1"/>
      <c r="S51" s="2"/>
      <c r="T51" s="1"/>
      <c r="U51" s="1"/>
      <c r="V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 t="s">
        <v>12</v>
      </c>
      <c r="AN51" s="1" t="s">
        <v>20</v>
      </c>
      <c r="AO51" s="1">
        <v>353</v>
      </c>
      <c r="AP51" s="3">
        <v>0.58833333333333337</v>
      </c>
      <c r="AQ51" s="1"/>
    </row>
    <row r="52" spans="1:43" ht="12.3" x14ac:dyDescent="0.4">
      <c r="A52" s="1" t="s">
        <v>125</v>
      </c>
      <c r="B52" s="1"/>
      <c r="C52" s="1" t="s">
        <v>6</v>
      </c>
      <c r="D52" s="5" t="s">
        <v>7</v>
      </c>
      <c r="E52" s="5" t="s">
        <v>463</v>
      </c>
      <c r="F52" s="4" t="s">
        <v>465</v>
      </c>
      <c r="G52" s="4" t="s">
        <v>465</v>
      </c>
      <c r="I52" s="1" t="s">
        <v>16</v>
      </c>
      <c r="J52" s="1" t="s">
        <v>10</v>
      </c>
      <c r="K52" s="4" t="s">
        <v>464</v>
      </c>
      <c r="L52" s="1" t="s">
        <v>25</v>
      </c>
      <c r="M52" s="1"/>
      <c r="O52" s="1"/>
      <c r="P52" s="1"/>
      <c r="Q52" s="1"/>
      <c r="S52" s="2"/>
      <c r="T52" s="1"/>
      <c r="U52" s="2"/>
      <c r="V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 t="s">
        <v>12</v>
      </c>
      <c r="AN52" s="1" t="s">
        <v>14</v>
      </c>
      <c r="AO52" s="1">
        <v>253</v>
      </c>
      <c r="AP52" s="3">
        <v>0.42166666666666669</v>
      </c>
      <c r="AQ52" s="1"/>
    </row>
    <row r="53" spans="1:43" ht="12.3" x14ac:dyDescent="0.4">
      <c r="A53" s="1" t="s">
        <v>126</v>
      </c>
      <c r="B53" s="1"/>
      <c r="C53" s="1" t="s">
        <v>6</v>
      </c>
      <c r="D53" s="5" t="s">
        <v>7</v>
      </c>
      <c r="E53" s="5" t="s">
        <v>463</v>
      </c>
      <c r="F53" s="4" t="s">
        <v>465</v>
      </c>
      <c r="G53" s="4" t="s">
        <v>465</v>
      </c>
      <c r="I53" s="1" t="s">
        <v>16</v>
      </c>
      <c r="J53" s="1" t="s">
        <v>10</v>
      </c>
      <c r="K53" s="4" t="s">
        <v>464</v>
      </c>
      <c r="L53" s="1" t="s">
        <v>26</v>
      </c>
      <c r="M53" s="1"/>
      <c r="O53" s="1"/>
      <c r="P53" s="1"/>
      <c r="Q53" s="1"/>
      <c r="S53" s="1"/>
      <c r="T53" s="1"/>
      <c r="U53" s="1"/>
      <c r="V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 t="s">
        <v>12</v>
      </c>
      <c r="AN53" s="1" t="s">
        <v>14</v>
      </c>
      <c r="AO53" s="1">
        <v>253</v>
      </c>
      <c r="AP53" s="3">
        <v>0.42166666666666669</v>
      </c>
      <c r="AQ53" s="1"/>
    </row>
    <row r="54" spans="1:43" ht="12.3" x14ac:dyDescent="0.4">
      <c r="A54" s="1" t="s">
        <v>127</v>
      </c>
      <c r="B54" s="1"/>
      <c r="C54" s="1" t="s">
        <v>6</v>
      </c>
      <c r="D54" s="5" t="s">
        <v>7</v>
      </c>
      <c r="E54" s="5" t="s">
        <v>463</v>
      </c>
      <c r="F54" s="4" t="s">
        <v>465</v>
      </c>
      <c r="G54" s="4" t="s">
        <v>465</v>
      </c>
      <c r="I54" s="1" t="s">
        <v>16</v>
      </c>
      <c r="J54" s="1" t="s">
        <v>10</v>
      </c>
      <c r="K54" s="4" t="s">
        <v>464</v>
      </c>
      <c r="L54" s="1" t="s">
        <v>23</v>
      </c>
      <c r="M54" s="1"/>
      <c r="O54" s="1"/>
      <c r="P54" s="1"/>
      <c r="Q54" s="1"/>
      <c r="S54" s="1"/>
      <c r="T54" s="1"/>
      <c r="U54" s="1"/>
      <c r="V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 t="s">
        <v>12</v>
      </c>
      <c r="AN54" s="1" t="s">
        <v>20</v>
      </c>
      <c r="AO54" s="1">
        <v>345</v>
      </c>
      <c r="AP54" s="3">
        <v>0.57499999999999996</v>
      </c>
      <c r="AQ54" s="1"/>
    </row>
    <row r="55" spans="1:43" ht="12.3" x14ac:dyDescent="0.4">
      <c r="A55" s="1" t="s">
        <v>128</v>
      </c>
      <c r="B55" s="1"/>
      <c r="C55" s="1" t="s">
        <v>6</v>
      </c>
      <c r="D55" s="5" t="s">
        <v>7</v>
      </c>
      <c r="E55" s="5" t="s">
        <v>463</v>
      </c>
      <c r="F55" s="4" t="s">
        <v>465</v>
      </c>
      <c r="G55" s="4" t="s">
        <v>465</v>
      </c>
      <c r="I55" s="1" t="s">
        <v>8</v>
      </c>
      <c r="J55" s="1" t="s">
        <v>9</v>
      </c>
      <c r="K55" s="4" t="s">
        <v>464</v>
      </c>
      <c r="L55" s="1" t="s">
        <v>30</v>
      </c>
      <c r="M55" s="1"/>
      <c r="O55" s="1"/>
      <c r="P55" s="1"/>
      <c r="Q55" s="1"/>
      <c r="S55" s="1"/>
      <c r="T55" s="1"/>
      <c r="U55" s="2"/>
      <c r="V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 t="s">
        <v>12</v>
      </c>
      <c r="AN55" s="1" t="s">
        <v>18</v>
      </c>
      <c r="AO55" s="1">
        <v>328</v>
      </c>
      <c r="AP55" s="3">
        <v>0.54666666666666663</v>
      </c>
      <c r="AQ55" s="1"/>
    </row>
    <row r="56" spans="1:43" ht="12.3" x14ac:dyDescent="0.4">
      <c r="A56" s="1" t="s">
        <v>129</v>
      </c>
      <c r="B56" s="1"/>
      <c r="C56" s="1" t="s">
        <v>6</v>
      </c>
      <c r="D56" s="5" t="s">
        <v>7</v>
      </c>
      <c r="E56" s="5" t="s">
        <v>463</v>
      </c>
      <c r="F56" s="4" t="s">
        <v>465</v>
      </c>
      <c r="G56" s="4" t="s">
        <v>465</v>
      </c>
      <c r="I56" s="1" t="s">
        <v>8</v>
      </c>
      <c r="J56" s="1" t="s">
        <v>9</v>
      </c>
      <c r="K56" s="4" t="s">
        <v>464</v>
      </c>
      <c r="L56" s="1" t="s">
        <v>19</v>
      </c>
      <c r="M56" s="1"/>
      <c r="O56" s="1"/>
      <c r="P56" s="1"/>
      <c r="Q56" s="1"/>
      <c r="S56" s="2"/>
      <c r="T56" s="1"/>
      <c r="U56" s="2"/>
      <c r="V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 t="s">
        <v>12</v>
      </c>
      <c r="AN56" s="1" t="s">
        <v>20</v>
      </c>
      <c r="AO56" s="1">
        <v>375</v>
      </c>
      <c r="AP56" s="3">
        <v>0.625</v>
      </c>
      <c r="AQ56" s="1"/>
    </row>
    <row r="57" spans="1:43" ht="12.3" x14ac:dyDescent="0.4">
      <c r="A57" s="1" t="s">
        <v>130</v>
      </c>
      <c r="B57" s="1"/>
      <c r="C57" s="1" t="s">
        <v>6</v>
      </c>
      <c r="D57" s="5" t="s">
        <v>7</v>
      </c>
      <c r="E57" s="5" t="s">
        <v>463</v>
      </c>
      <c r="F57" s="4" t="s">
        <v>465</v>
      </c>
      <c r="G57" s="4" t="s">
        <v>465</v>
      </c>
      <c r="I57" s="1" t="s">
        <v>8</v>
      </c>
      <c r="J57" s="1" t="s">
        <v>9</v>
      </c>
      <c r="K57" s="4" t="s">
        <v>464</v>
      </c>
      <c r="L57" s="1" t="s">
        <v>21</v>
      </c>
      <c r="M57" s="1"/>
      <c r="O57" s="1"/>
      <c r="P57" s="1"/>
      <c r="Q57" s="1"/>
      <c r="S57" s="2"/>
      <c r="T57" s="1"/>
      <c r="U57" s="1"/>
      <c r="V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 t="s">
        <v>12</v>
      </c>
      <c r="AN57" s="1" t="s">
        <v>20</v>
      </c>
      <c r="AO57" s="1">
        <v>398</v>
      </c>
      <c r="AP57" s="3">
        <v>0.66333333333333333</v>
      </c>
      <c r="AQ57" s="1"/>
    </row>
    <row r="58" spans="1:43" ht="12.3" x14ac:dyDescent="0.4">
      <c r="A58" s="1" t="s">
        <v>131</v>
      </c>
      <c r="B58" s="1"/>
      <c r="C58" s="1" t="s">
        <v>6</v>
      </c>
      <c r="D58" s="5" t="s">
        <v>7</v>
      </c>
      <c r="E58" s="5" t="s">
        <v>463</v>
      </c>
      <c r="F58" s="4" t="s">
        <v>465</v>
      </c>
      <c r="G58" s="4" t="s">
        <v>465</v>
      </c>
      <c r="I58" s="1" t="s">
        <v>29</v>
      </c>
      <c r="J58" s="1" t="s">
        <v>9</v>
      </c>
      <c r="K58" s="4" t="s">
        <v>464</v>
      </c>
      <c r="L58" s="1" t="s">
        <v>28</v>
      </c>
      <c r="M58" s="1"/>
      <c r="O58" s="1"/>
      <c r="P58" s="1"/>
      <c r="Q58" s="1"/>
      <c r="S58" s="2"/>
      <c r="T58" s="1"/>
      <c r="U58" s="1"/>
      <c r="V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 t="s">
        <v>12</v>
      </c>
      <c r="AN58" s="1" t="s">
        <v>13</v>
      </c>
      <c r="AO58" s="1">
        <v>300</v>
      </c>
      <c r="AP58" s="3">
        <v>0.5</v>
      </c>
      <c r="AQ58" s="1"/>
    </row>
    <row r="59" spans="1:43" ht="12.3" x14ac:dyDescent="0.4">
      <c r="A59" s="1" t="s">
        <v>132</v>
      </c>
      <c r="B59" s="1"/>
      <c r="C59" s="1" t="s">
        <v>6</v>
      </c>
      <c r="D59" s="5" t="s">
        <v>7</v>
      </c>
      <c r="E59" s="5" t="s">
        <v>463</v>
      </c>
      <c r="F59" s="4" t="s">
        <v>465</v>
      </c>
      <c r="G59" s="4" t="s">
        <v>465</v>
      </c>
      <c r="I59" s="1" t="s">
        <v>16</v>
      </c>
      <c r="J59" s="1" t="s">
        <v>10</v>
      </c>
      <c r="K59" s="4" t="s">
        <v>464</v>
      </c>
      <c r="L59" s="1" t="s">
        <v>26</v>
      </c>
      <c r="M59" s="1"/>
      <c r="O59" s="1"/>
      <c r="P59" s="1"/>
      <c r="Q59" s="1"/>
      <c r="S59" s="2"/>
      <c r="T59" s="1"/>
      <c r="U59" s="2"/>
      <c r="V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 t="s">
        <v>12</v>
      </c>
      <c r="AN59" s="1" t="s">
        <v>14</v>
      </c>
      <c r="AO59" s="1">
        <v>247</v>
      </c>
      <c r="AP59" s="3">
        <v>0.41166666666666668</v>
      </c>
      <c r="AQ59" s="1"/>
    </row>
    <row r="60" spans="1:43" ht="12.3" x14ac:dyDescent="0.4">
      <c r="A60" s="1" t="s">
        <v>133</v>
      </c>
      <c r="B60" s="1"/>
      <c r="C60" s="1" t="s">
        <v>6</v>
      </c>
      <c r="D60" s="5" t="s">
        <v>7</v>
      </c>
      <c r="E60" s="5" t="s">
        <v>463</v>
      </c>
      <c r="F60" s="4" t="s">
        <v>465</v>
      </c>
      <c r="G60" s="4" t="s">
        <v>465</v>
      </c>
      <c r="I60" s="1" t="s">
        <v>16</v>
      </c>
      <c r="J60" s="1" t="s">
        <v>10</v>
      </c>
      <c r="K60" s="4" t="s">
        <v>464</v>
      </c>
      <c r="L60" s="1" t="s">
        <v>24</v>
      </c>
      <c r="M60" s="1"/>
      <c r="O60" s="1"/>
      <c r="P60" s="1"/>
      <c r="Q60" s="1"/>
      <c r="S60" s="2"/>
      <c r="T60" s="1"/>
      <c r="U60" s="1"/>
      <c r="V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 t="s">
        <v>12</v>
      </c>
      <c r="AN60" s="1" t="s">
        <v>14</v>
      </c>
      <c r="AO60" s="1">
        <v>258</v>
      </c>
      <c r="AP60" s="3">
        <v>0.43</v>
      </c>
      <c r="AQ60" s="1"/>
    </row>
    <row r="61" spans="1:43" ht="12.3" x14ac:dyDescent="0.4">
      <c r="A61" s="1" t="s">
        <v>134</v>
      </c>
      <c r="B61" s="1"/>
      <c r="C61" s="1" t="s">
        <v>6</v>
      </c>
      <c r="D61" s="5" t="s">
        <v>7</v>
      </c>
      <c r="E61" s="5" t="s">
        <v>463</v>
      </c>
      <c r="F61" s="4" t="s">
        <v>465</v>
      </c>
      <c r="G61" s="4" t="s">
        <v>465</v>
      </c>
      <c r="I61" s="1" t="s">
        <v>16</v>
      </c>
      <c r="J61" s="1" t="s">
        <v>10</v>
      </c>
      <c r="K61" s="4" t="s">
        <v>464</v>
      </c>
      <c r="L61" s="1" t="s">
        <v>28</v>
      </c>
      <c r="M61" s="1"/>
      <c r="O61" s="1"/>
      <c r="P61" s="1"/>
      <c r="Q61" s="1"/>
      <c r="S61" s="1"/>
      <c r="T61" s="1"/>
      <c r="U61" s="1"/>
      <c r="V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 t="s">
        <v>12</v>
      </c>
      <c r="AN61" s="1" t="s">
        <v>18</v>
      </c>
      <c r="AO61" s="1">
        <v>323</v>
      </c>
      <c r="AP61" s="3">
        <v>0.53833333333333333</v>
      </c>
      <c r="AQ61" s="1"/>
    </row>
    <row r="62" spans="1:43" ht="12.3" x14ac:dyDescent="0.4">
      <c r="A62" s="1" t="s">
        <v>135</v>
      </c>
      <c r="B62" s="1"/>
      <c r="C62" s="1" t="s">
        <v>6</v>
      </c>
      <c r="D62" s="5" t="s">
        <v>7</v>
      </c>
      <c r="E62" s="5" t="s">
        <v>463</v>
      </c>
      <c r="F62" s="4" t="s">
        <v>465</v>
      </c>
      <c r="G62" s="4" t="s">
        <v>465</v>
      </c>
      <c r="I62" s="1" t="s">
        <v>16</v>
      </c>
      <c r="J62" s="1" t="s">
        <v>10</v>
      </c>
      <c r="K62" s="4" t="s">
        <v>464</v>
      </c>
      <c r="L62" s="1" t="s">
        <v>17</v>
      </c>
      <c r="M62" s="1"/>
      <c r="O62" s="1"/>
      <c r="P62" s="1"/>
      <c r="Q62" s="1"/>
      <c r="S62" s="2"/>
      <c r="T62" s="1"/>
      <c r="U62" s="2"/>
      <c r="V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 t="s">
        <v>12</v>
      </c>
      <c r="AN62" s="1" t="s">
        <v>18</v>
      </c>
      <c r="AO62" s="1">
        <v>331</v>
      </c>
      <c r="AP62" s="3">
        <v>0.55166666666666664</v>
      </c>
      <c r="AQ62" s="1"/>
    </row>
    <row r="63" spans="1:43" ht="12.3" x14ac:dyDescent="0.4">
      <c r="A63" s="1" t="s">
        <v>136</v>
      </c>
      <c r="B63" s="1"/>
      <c r="C63" s="1" t="s">
        <v>6</v>
      </c>
      <c r="D63" s="5" t="s">
        <v>7</v>
      </c>
      <c r="E63" s="5" t="s">
        <v>463</v>
      </c>
      <c r="F63" s="4" t="s">
        <v>465</v>
      </c>
      <c r="G63" s="4" t="s">
        <v>465</v>
      </c>
      <c r="I63" s="1" t="s">
        <v>16</v>
      </c>
      <c r="J63" s="1" t="s">
        <v>10</v>
      </c>
      <c r="K63" s="4" t="s">
        <v>464</v>
      </c>
      <c r="L63" s="1" t="s">
        <v>22</v>
      </c>
      <c r="M63" s="1"/>
      <c r="O63" s="1"/>
      <c r="P63" s="1"/>
      <c r="Q63" s="1"/>
      <c r="S63" s="2"/>
      <c r="T63" s="1"/>
      <c r="U63" s="2"/>
      <c r="V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 t="s">
        <v>12</v>
      </c>
      <c r="AN63" s="1" t="s">
        <v>13</v>
      </c>
      <c r="AO63" s="1">
        <v>291</v>
      </c>
      <c r="AP63" s="3">
        <v>0.48499999999999999</v>
      </c>
      <c r="AQ63" s="1"/>
    </row>
    <row r="64" spans="1:43" ht="12.3" x14ac:dyDescent="0.4">
      <c r="A64" s="1" t="s">
        <v>137</v>
      </c>
      <c r="B64" s="1"/>
      <c r="C64" s="1" t="s">
        <v>6</v>
      </c>
      <c r="D64" s="5" t="s">
        <v>7</v>
      </c>
      <c r="E64" s="5" t="s">
        <v>463</v>
      </c>
      <c r="F64" s="4" t="s">
        <v>465</v>
      </c>
      <c r="G64" s="4" t="s">
        <v>465</v>
      </c>
      <c r="I64" s="1" t="s">
        <v>16</v>
      </c>
      <c r="J64" s="1" t="s">
        <v>10</v>
      </c>
      <c r="K64" s="4" t="s">
        <v>464</v>
      </c>
      <c r="L64" s="1" t="s">
        <v>11</v>
      </c>
      <c r="M64" s="1"/>
      <c r="O64" s="1"/>
      <c r="P64" s="1"/>
      <c r="Q64" s="1"/>
      <c r="S64" s="2"/>
      <c r="T64" s="1"/>
      <c r="U64" s="1"/>
      <c r="V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 t="s">
        <v>12</v>
      </c>
      <c r="AN64" s="1" t="s">
        <v>18</v>
      </c>
      <c r="AO64" s="1">
        <v>331</v>
      </c>
      <c r="AP64" s="3">
        <v>0.55166666666666664</v>
      </c>
      <c r="AQ64" s="1"/>
    </row>
    <row r="65" spans="1:43" ht="12.3" x14ac:dyDescent="0.4">
      <c r="A65" s="1" t="s">
        <v>138</v>
      </c>
      <c r="B65" s="1"/>
      <c r="C65" s="1" t="s">
        <v>6</v>
      </c>
      <c r="D65" s="5" t="s">
        <v>7</v>
      </c>
      <c r="E65" s="5" t="s">
        <v>463</v>
      </c>
      <c r="F65" s="4" t="s">
        <v>465</v>
      </c>
      <c r="G65" s="4" t="s">
        <v>465</v>
      </c>
      <c r="I65" s="1" t="s">
        <v>16</v>
      </c>
      <c r="J65" s="1" t="s">
        <v>10</v>
      </c>
      <c r="K65" s="4" t="s">
        <v>464</v>
      </c>
      <c r="L65" s="1" t="s">
        <v>19</v>
      </c>
      <c r="M65" s="1"/>
      <c r="O65" s="1"/>
      <c r="P65" s="1"/>
      <c r="Q65" s="1"/>
      <c r="S65" s="2"/>
      <c r="T65" s="1"/>
      <c r="U65" s="2"/>
      <c r="V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 t="s">
        <v>12</v>
      </c>
      <c r="AN65" s="1" t="s">
        <v>13</v>
      </c>
      <c r="AO65" s="1">
        <v>282</v>
      </c>
      <c r="AP65" s="3">
        <v>0.47</v>
      </c>
      <c r="AQ65" s="1"/>
    </row>
    <row r="66" spans="1:43" ht="12.3" x14ac:dyDescent="0.4">
      <c r="A66" s="1" t="s">
        <v>139</v>
      </c>
      <c r="B66" s="1"/>
      <c r="C66" s="1" t="s">
        <v>6</v>
      </c>
      <c r="D66" s="5" t="s">
        <v>7</v>
      </c>
      <c r="E66" s="5" t="s">
        <v>463</v>
      </c>
      <c r="F66" s="4" t="s">
        <v>465</v>
      </c>
      <c r="G66" s="4" t="s">
        <v>465</v>
      </c>
      <c r="I66" s="1" t="s">
        <v>8</v>
      </c>
      <c r="J66" s="1" t="s">
        <v>9</v>
      </c>
      <c r="K66" s="4" t="s">
        <v>464</v>
      </c>
      <c r="L66" s="1" t="s">
        <v>25</v>
      </c>
      <c r="M66" s="1"/>
      <c r="O66" s="1"/>
      <c r="P66" s="1"/>
      <c r="Q66" s="1"/>
      <c r="S66" s="1"/>
      <c r="T66" s="1"/>
      <c r="U66" s="1"/>
      <c r="V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 t="s">
        <v>12</v>
      </c>
      <c r="AN66" s="1" t="s">
        <v>14</v>
      </c>
      <c r="AO66" s="1">
        <v>266</v>
      </c>
      <c r="AP66" s="3">
        <v>0.44333333333333336</v>
      </c>
      <c r="AQ66" s="1"/>
    </row>
    <row r="67" spans="1:43" ht="12.3" x14ac:dyDescent="0.4">
      <c r="A67" s="1" t="s">
        <v>140</v>
      </c>
      <c r="B67" s="1"/>
      <c r="C67" s="1" t="s">
        <v>6</v>
      </c>
      <c r="D67" s="5" t="s">
        <v>7</v>
      </c>
      <c r="E67" s="5" t="s">
        <v>463</v>
      </c>
      <c r="F67" s="4" t="s">
        <v>465</v>
      </c>
      <c r="G67" s="4" t="s">
        <v>465</v>
      </c>
      <c r="I67" s="1" t="s">
        <v>16</v>
      </c>
      <c r="J67" s="1" t="s">
        <v>10</v>
      </c>
      <c r="K67" s="4" t="s">
        <v>464</v>
      </c>
      <c r="L67" s="1" t="s">
        <v>23</v>
      </c>
      <c r="M67" s="1"/>
      <c r="O67" s="1"/>
      <c r="P67" s="1"/>
      <c r="Q67" s="1"/>
      <c r="S67" s="2"/>
      <c r="T67" s="1"/>
      <c r="U67" s="1"/>
      <c r="V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 t="s">
        <v>12</v>
      </c>
      <c r="AN67" s="1" t="s">
        <v>20</v>
      </c>
      <c r="AO67" s="1">
        <v>338</v>
      </c>
      <c r="AP67" s="3">
        <v>0.56333333333333335</v>
      </c>
      <c r="AQ67" s="1"/>
    </row>
    <row r="68" spans="1:43" ht="12.3" x14ac:dyDescent="0.4">
      <c r="A68" s="1" t="s">
        <v>141</v>
      </c>
      <c r="B68" s="1"/>
      <c r="C68" s="1" t="s">
        <v>6</v>
      </c>
      <c r="D68" s="5" t="s">
        <v>7</v>
      </c>
      <c r="E68" s="5" t="s">
        <v>463</v>
      </c>
      <c r="F68" s="4" t="s">
        <v>465</v>
      </c>
      <c r="G68" s="4" t="s">
        <v>465</v>
      </c>
      <c r="I68" s="1" t="s">
        <v>16</v>
      </c>
      <c r="J68" s="1" t="s">
        <v>10</v>
      </c>
      <c r="K68" s="4" t="s">
        <v>464</v>
      </c>
      <c r="L68" s="1" t="s">
        <v>11</v>
      </c>
      <c r="M68" s="1"/>
      <c r="O68" s="1"/>
      <c r="P68" s="1"/>
      <c r="Q68" s="1"/>
      <c r="S68" s="2"/>
      <c r="T68" s="1"/>
      <c r="U68" s="2"/>
      <c r="V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 t="s">
        <v>12</v>
      </c>
      <c r="AN68" s="1" t="s">
        <v>14</v>
      </c>
      <c r="AO68" s="1">
        <v>252</v>
      </c>
      <c r="AP68" s="3">
        <v>0.42</v>
      </c>
      <c r="AQ68" s="1"/>
    </row>
    <row r="69" spans="1:43" ht="12.3" x14ac:dyDescent="0.4">
      <c r="A69" s="1" t="s">
        <v>142</v>
      </c>
      <c r="B69" s="1"/>
      <c r="C69" s="1" t="s">
        <v>6</v>
      </c>
      <c r="D69" s="5" t="s">
        <v>7</v>
      </c>
      <c r="E69" s="5" t="s">
        <v>463</v>
      </c>
      <c r="F69" s="4" t="s">
        <v>465</v>
      </c>
      <c r="G69" s="4" t="s">
        <v>465</v>
      </c>
      <c r="I69" s="1" t="s">
        <v>16</v>
      </c>
      <c r="J69" s="1" t="s">
        <v>10</v>
      </c>
      <c r="K69" s="4" t="s">
        <v>464</v>
      </c>
      <c r="L69" s="1" t="s">
        <v>28</v>
      </c>
      <c r="M69" s="1"/>
      <c r="O69" s="1"/>
      <c r="P69" s="1"/>
      <c r="Q69" s="1"/>
      <c r="S69" s="2"/>
      <c r="T69" s="1"/>
      <c r="U69" s="1"/>
      <c r="V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 t="s">
        <v>12</v>
      </c>
      <c r="AN69" s="1" t="s">
        <v>14</v>
      </c>
      <c r="AO69" s="1">
        <v>279</v>
      </c>
      <c r="AP69" s="3">
        <v>0.46500000000000002</v>
      </c>
      <c r="AQ69" s="1"/>
    </row>
    <row r="70" spans="1:43" ht="12.3" x14ac:dyDescent="0.4">
      <c r="A70" s="1" t="s">
        <v>145</v>
      </c>
      <c r="B70" s="1"/>
      <c r="C70" s="1" t="s">
        <v>6</v>
      </c>
      <c r="D70" s="5" t="s">
        <v>7</v>
      </c>
      <c r="E70" s="5" t="s">
        <v>463</v>
      </c>
      <c r="F70" s="4" t="s">
        <v>465</v>
      </c>
      <c r="G70" s="4" t="s">
        <v>465</v>
      </c>
      <c r="I70" s="1" t="s">
        <v>16</v>
      </c>
      <c r="J70" s="1" t="s">
        <v>10</v>
      </c>
      <c r="K70" s="4" t="s">
        <v>464</v>
      </c>
      <c r="L70" s="1" t="s">
        <v>26</v>
      </c>
      <c r="M70" s="1"/>
      <c r="O70" s="1"/>
      <c r="P70" s="1"/>
      <c r="Q70" s="1"/>
      <c r="S70" s="2"/>
      <c r="T70" s="1"/>
      <c r="U70" s="1"/>
      <c r="V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 t="s">
        <v>12</v>
      </c>
      <c r="AN70" s="1" t="s">
        <v>14</v>
      </c>
      <c r="AO70" s="1">
        <v>269</v>
      </c>
      <c r="AP70" s="3">
        <v>0.44833333333333331</v>
      </c>
      <c r="AQ70" s="1"/>
    </row>
    <row r="71" spans="1:43" ht="12.3" x14ac:dyDescent="0.4">
      <c r="A71" s="1" t="s">
        <v>146</v>
      </c>
      <c r="B71" s="1"/>
      <c r="C71" s="1" t="s">
        <v>6</v>
      </c>
      <c r="D71" s="5" t="s">
        <v>7</v>
      </c>
      <c r="E71" s="5" t="s">
        <v>463</v>
      </c>
      <c r="F71" s="4" t="s">
        <v>465</v>
      </c>
      <c r="G71" s="4" t="s">
        <v>465</v>
      </c>
      <c r="I71" s="1" t="s">
        <v>29</v>
      </c>
      <c r="J71" s="1" t="s">
        <v>9</v>
      </c>
      <c r="K71" s="4" t="s">
        <v>464</v>
      </c>
      <c r="L71" s="1" t="s">
        <v>19</v>
      </c>
      <c r="M71" s="1"/>
      <c r="O71" s="1"/>
      <c r="P71" s="1"/>
      <c r="Q71" s="1"/>
      <c r="S71" s="2"/>
      <c r="T71" s="1"/>
      <c r="U71" s="2"/>
      <c r="V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 t="s">
        <v>12</v>
      </c>
      <c r="AN71" s="1" t="s">
        <v>14</v>
      </c>
      <c r="AO71" s="1">
        <v>245</v>
      </c>
      <c r="AP71" s="3">
        <v>0.40833333333333333</v>
      </c>
      <c r="AQ71" s="1"/>
    </row>
    <row r="72" spans="1:43" ht="12.3" x14ac:dyDescent="0.4">
      <c r="A72" s="1" t="s">
        <v>147</v>
      </c>
      <c r="B72" s="1"/>
      <c r="C72" s="1" t="s">
        <v>6</v>
      </c>
      <c r="D72" s="5" t="s">
        <v>7</v>
      </c>
      <c r="E72" s="5" t="s">
        <v>463</v>
      </c>
      <c r="F72" s="4" t="s">
        <v>465</v>
      </c>
      <c r="G72" s="4" t="s">
        <v>465</v>
      </c>
      <c r="I72" s="1" t="s">
        <v>16</v>
      </c>
      <c r="J72" s="1" t="s">
        <v>10</v>
      </c>
      <c r="K72" s="4" t="s">
        <v>464</v>
      </c>
      <c r="L72" s="1" t="s">
        <v>26</v>
      </c>
      <c r="M72" s="1"/>
      <c r="O72" s="1"/>
      <c r="P72" s="1"/>
      <c r="Q72" s="1"/>
      <c r="S72" s="1"/>
      <c r="T72" s="1"/>
      <c r="U72" s="1"/>
      <c r="V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 t="s">
        <v>12</v>
      </c>
      <c r="AN72" s="1" t="s">
        <v>18</v>
      </c>
      <c r="AO72" s="1">
        <v>306</v>
      </c>
      <c r="AP72" s="3">
        <v>0.51</v>
      </c>
      <c r="AQ72" s="1"/>
    </row>
    <row r="73" spans="1:43" ht="12.3" x14ac:dyDescent="0.4">
      <c r="A73" s="1" t="s">
        <v>148</v>
      </c>
      <c r="B73" s="1"/>
      <c r="C73" s="1" t="s">
        <v>6</v>
      </c>
      <c r="D73" s="5" t="s">
        <v>7</v>
      </c>
      <c r="E73" s="5" t="s">
        <v>463</v>
      </c>
      <c r="F73" s="4" t="s">
        <v>465</v>
      </c>
      <c r="G73" s="4" t="s">
        <v>465</v>
      </c>
      <c r="I73" s="1" t="s">
        <v>16</v>
      </c>
      <c r="J73" s="1" t="s">
        <v>10</v>
      </c>
      <c r="K73" s="4" t="s">
        <v>464</v>
      </c>
      <c r="L73" s="1" t="s">
        <v>11</v>
      </c>
      <c r="M73" s="1"/>
      <c r="O73" s="1"/>
      <c r="P73" s="1"/>
      <c r="Q73" s="1"/>
      <c r="S73" s="2"/>
      <c r="T73" s="1"/>
      <c r="U73" s="1"/>
      <c r="V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 t="s">
        <v>12</v>
      </c>
      <c r="AN73" s="1" t="s">
        <v>14</v>
      </c>
      <c r="AO73" s="1">
        <v>260</v>
      </c>
      <c r="AP73" s="3">
        <v>0.43333333333333335</v>
      </c>
      <c r="AQ73" s="1"/>
    </row>
    <row r="74" spans="1:43" ht="12.3" x14ac:dyDescent="0.4">
      <c r="A74" s="1" t="s">
        <v>150</v>
      </c>
      <c r="B74" s="1"/>
      <c r="C74" s="1" t="s">
        <v>6</v>
      </c>
      <c r="D74" s="5" t="s">
        <v>7</v>
      </c>
      <c r="E74" s="5" t="s">
        <v>463</v>
      </c>
      <c r="F74" s="4" t="s">
        <v>465</v>
      </c>
      <c r="G74" s="4" t="s">
        <v>465</v>
      </c>
      <c r="I74" s="1" t="s">
        <v>8</v>
      </c>
      <c r="J74" s="1" t="s">
        <v>9</v>
      </c>
      <c r="K74" s="4" t="s">
        <v>464</v>
      </c>
      <c r="L74" s="1" t="s">
        <v>11</v>
      </c>
      <c r="M74" s="1"/>
      <c r="O74" s="1"/>
      <c r="P74" s="1"/>
      <c r="Q74" s="1"/>
      <c r="S74" s="2"/>
      <c r="T74" s="1"/>
      <c r="U74" s="1"/>
      <c r="V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 t="s">
        <v>12</v>
      </c>
      <c r="AN74" s="1" t="s">
        <v>20</v>
      </c>
      <c r="AO74" s="1">
        <v>336</v>
      </c>
      <c r="AP74" s="3">
        <v>0.56000000000000005</v>
      </c>
      <c r="AQ74" s="1"/>
    </row>
    <row r="75" spans="1:43" ht="12.3" x14ac:dyDescent="0.4">
      <c r="A75" s="1" t="s">
        <v>152</v>
      </c>
      <c r="B75" s="1"/>
      <c r="C75" s="1" t="s">
        <v>6</v>
      </c>
      <c r="D75" s="5" t="s">
        <v>7</v>
      </c>
      <c r="E75" s="5" t="s">
        <v>463</v>
      </c>
      <c r="F75" s="4" t="s">
        <v>465</v>
      </c>
      <c r="G75" s="4" t="s">
        <v>465</v>
      </c>
      <c r="I75" s="1" t="s">
        <v>8</v>
      </c>
      <c r="J75" s="1" t="s">
        <v>9</v>
      </c>
      <c r="K75" s="4" t="s">
        <v>464</v>
      </c>
      <c r="L75" s="1" t="s">
        <v>24</v>
      </c>
      <c r="M75" s="1"/>
      <c r="O75" s="1"/>
      <c r="P75" s="1"/>
      <c r="Q75" s="1"/>
      <c r="S75" s="1"/>
      <c r="T75" s="1"/>
      <c r="U75" s="1"/>
      <c r="V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 t="s">
        <v>12</v>
      </c>
      <c r="AN75" s="1" t="s">
        <v>18</v>
      </c>
      <c r="AO75" s="1">
        <v>306</v>
      </c>
      <c r="AP75" s="3">
        <v>0.51</v>
      </c>
      <c r="AQ75" s="1"/>
    </row>
    <row r="76" spans="1:43" ht="12.3" x14ac:dyDescent="0.4">
      <c r="A76" s="1" t="s">
        <v>153</v>
      </c>
      <c r="B76" s="1"/>
      <c r="C76" s="1" t="s">
        <v>6</v>
      </c>
      <c r="D76" s="5" t="s">
        <v>7</v>
      </c>
      <c r="E76" s="5" t="s">
        <v>463</v>
      </c>
      <c r="F76" s="4" t="s">
        <v>465</v>
      </c>
      <c r="G76" s="4" t="s">
        <v>465</v>
      </c>
      <c r="I76" s="1" t="s">
        <v>16</v>
      </c>
      <c r="J76" s="1" t="s">
        <v>9</v>
      </c>
      <c r="K76" s="4" t="s">
        <v>464</v>
      </c>
      <c r="L76" s="1" t="s">
        <v>21</v>
      </c>
      <c r="M76" s="1"/>
      <c r="O76" s="1"/>
      <c r="P76" s="1"/>
      <c r="Q76" s="1"/>
      <c r="S76" s="2"/>
      <c r="T76" s="1"/>
      <c r="U76" s="1"/>
      <c r="V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 t="s">
        <v>12</v>
      </c>
      <c r="AN76" s="1" t="s">
        <v>20</v>
      </c>
      <c r="AO76" s="1">
        <v>563</v>
      </c>
      <c r="AP76" s="3">
        <v>0.93833333333333335</v>
      </c>
      <c r="AQ76" s="1"/>
    </row>
    <row r="77" spans="1:43" ht="12.3" x14ac:dyDescent="0.4">
      <c r="A77" s="1" t="s">
        <v>154</v>
      </c>
      <c r="B77" s="1"/>
      <c r="C77" s="1" t="s">
        <v>6</v>
      </c>
      <c r="D77" s="5" t="s">
        <v>7</v>
      </c>
      <c r="E77" s="5" t="s">
        <v>463</v>
      </c>
      <c r="F77" s="4" t="s">
        <v>465</v>
      </c>
      <c r="G77" s="4" t="s">
        <v>465</v>
      </c>
      <c r="I77" s="1" t="s">
        <v>8</v>
      </c>
      <c r="J77" s="1" t="s">
        <v>9</v>
      </c>
      <c r="K77" s="4" t="s">
        <v>464</v>
      </c>
      <c r="L77" s="1" t="s">
        <v>17</v>
      </c>
      <c r="M77" s="1"/>
      <c r="O77" s="1"/>
      <c r="P77" s="1"/>
      <c r="Q77" s="1"/>
      <c r="S77" s="2"/>
      <c r="T77" s="1"/>
      <c r="U77" s="1"/>
      <c r="V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 t="s">
        <v>12</v>
      </c>
      <c r="AN77" s="1" t="s">
        <v>20</v>
      </c>
      <c r="AO77" s="1">
        <v>373</v>
      </c>
      <c r="AP77" s="3">
        <v>0.6216666666666667</v>
      </c>
      <c r="AQ77" s="1"/>
    </row>
    <row r="78" spans="1:43" ht="12.3" x14ac:dyDescent="0.4">
      <c r="A78" s="1" t="s">
        <v>155</v>
      </c>
      <c r="B78" s="1"/>
      <c r="C78" s="1" t="s">
        <v>6</v>
      </c>
      <c r="D78" s="5" t="s">
        <v>7</v>
      </c>
      <c r="E78" s="5" t="s">
        <v>463</v>
      </c>
      <c r="F78" s="4" t="s">
        <v>465</v>
      </c>
      <c r="G78" s="4" t="s">
        <v>465</v>
      </c>
      <c r="I78" s="1" t="s">
        <v>16</v>
      </c>
      <c r="J78" s="1" t="s">
        <v>10</v>
      </c>
      <c r="K78" s="4" t="s">
        <v>464</v>
      </c>
      <c r="L78" s="1" t="s">
        <v>28</v>
      </c>
      <c r="M78" s="1"/>
      <c r="O78" s="1"/>
      <c r="P78" s="1"/>
      <c r="Q78" s="1"/>
      <c r="S78" s="2"/>
      <c r="T78" s="1"/>
      <c r="U78" s="2"/>
      <c r="V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 t="s">
        <v>12</v>
      </c>
      <c r="AN78" s="1" t="s">
        <v>14</v>
      </c>
      <c r="AO78" s="1">
        <v>249</v>
      </c>
      <c r="AP78" s="3">
        <v>0.41499999999999998</v>
      </c>
      <c r="AQ78" s="1"/>
    </row>
    <row r="79" spans="1:43" ht="12.3" x14ac:dyDescent="0.4">
      <c r="A79" s="1" t="s">
        <v>156</v>
      </c>
      <c r="B79" s="1"/>
      <c r="C79" s="1" t="s">
        <v>6</v>
      </c>
      <c r="D79" s="5" t="s">
        <v>7</v>
      </c>
      <c r="E79" s="5" t="s">
        <v>463</v>
      </c>
      <c r="F79" s="4" t="s">
        <v>465</v>
      </c>
      <c r="G79" s="4" t="s">
        <v>465</v>
      </c>
      <c r="I79" s="1" t="s">
        <v>16</v>
      </c>
      <c r="J79" s="1" t="s">
        <v>10</v>
      </c>
      <c r="K79" s="4" t="s">
        <v>464</v>
      </c>
      <c r="L79" s="1" t="s">
        <v>23</v>
      </c>
      <c r="M79" s="1"/>
      <c r="O79" s="1"/>
      <c r="P79" s="1"/>
      <c r="Q79" s="1"/>
      <c r="S79" s="1"/>
      <c r="T79" s="1"/>
      <c r="U79" s="2"/>
      <c r="V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 t="s">
        <v>12</v>
      </c>
      <c r="AN79" s="1" t="s">
        <v>13</v>
      </c>
      <c r="AO79" s="1">
        <v>285</v>
      </c>
      <c r="AP79" s="3">
        <v>0.47499999999999998</v>
      </c>
      <c r="AQ79" s="1"/>
    </row>
    <row r="80" spans="1:43" ht="12.3" x14ac:dyDescent="0.4">
      <c r="A80" s="1" t="s">
        <v>157</v>
      </c>
      <c r="B80" s="1"/>
      <c r="C80" s="1" t="s">
        <v>6</v>
      </c>
      <c r="D80" s="5" t="s">
        <v>7</v>
      </c>
      <c r="E80" s="5" t="s">
        <v>463</v>
      </c>
      <c r="F80" s="4" t="s">
        <v>465</v>
      </c>
      <c r="G80" s="4" t="s">
        <v>465</v>
      </c>
      <c r="I80" s="1" t="s">
        <v>16</v>
      </c>
      <c r="J80" s="1" t="s">
        <v>10</v>
      </c>
      <c r="K80" s="4" t="s">
        <v>464</v>
      </c>
      <c r="L80" s="1" t="s">
        <v>23</v>
      </c>
      <c r="M80" s="1"/>
      <c r="O80" s="1"/>
      <c r="P80" s="1"/>
      <c r="Q80" s="1"/>
      <c r="S80" s="2"/>
      <c r="T80" s="1"/>
      <c r="U80" s="1"/>
      <c r="V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 t="s">
        <v>12</v>
      </c>
      <c r="AN80" s="1" t="s">
        <v>14</v>
      </c>
      <c r="AO80" s="1">
        <v>273</v>
      </c>
      <c r="AP80" s="3">
        <v>0.45500000000000002</v>
      </c>
      <c r="AQ80" s="1"/>
    </row>
    <row r="81" spans="1:43" ht="12.3" x14ac:dyDescent="0.4">
      <c r="A81" s="1" t="s">
        <v>158</v>
      </c>
      <c r="B81" s="1"/>
      <c r="C81" s="1" t="s">
        <v>6</v>
      </c>
      <c r="D81" s="5" t="s">
        <v>7</v>
      </c>
      <c r="E81" s="5" t="s">
        <v>463</v>
      </c>
      <c r="F81" s="4" t="s">
        <v>465</v>
      </c>
      <c r="G81" s="4" t="s">
        <v>465</v>
      </c>
      <c r="I81" s="1" t="s">
        <v>8</v>
      </c>
      <c r="J81" s="1" t="s">
        <v>9</v>
      </c>
      <c r="K81" s="4" t="s">
        <v>464</v>
      </c>
      <c r="L81" s="1" t="s">
        <v>31</v>
      </c>
      <c r="M81" s="1"/>
      <c r="O81" s="1"/>
      <c r="P81" s="1"/>
      <c r="Q81" s="1"/>
      <c r="S81" s="2"/>
      <c r="T81" s="1"/>
      <c r="U81" s="1"/>
      <c r="V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 t="s">
        <v>12</v>
      </c>
      <c r="AN81" s="1" t="s">
        <v>14</v>
      </c>
      <c r="AO81" s="1">
        <v>243</v>
      </c>
      <c r="AP81" s="3">
        <v>0.40500000000000003</v>
      </c>
      <c r="AQ81" s="1"/>
    </row>
    <row r="82" spans="1:43" ht="12.3" x14ac:dyDescent="0.4">
      <c r="A82" s="1" t="s">
        <v>159</v>
      </c>
      <c r="B82" s="1"/>
      <c r="C82" s="1" t="s">
        <v>6</v>
      </c>
      <c r="D82" s="5" t="s">
        <v>7</v>
      </c>
      <c r="E82" s="5" t="s">
        <v>463</v>
      </c>
      <c r="F82" s="4" t="s">
        <v>465</v>
      </c>
      <c r="G82" s="4" t="s">
        <v>465</v>
      </c>
      <c r="I82" s="1" t="s">
        <v>16</v>
      </c>
      <c r="J82" s="1" t="s">
        <v>10</v>
      </c>
      <c r="K82" s="4" t="s">
        <v>464</v>
      </c>
      <c r="O82" s="1"/>
      <c r="P82" s="1"/>
      <c r="Q82" s="1"/>
      <c r="S82" s="1"/>
      <c r="T82" s="1"/>
      <c r="U82" s="2"/>
      <c r="V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 t="s">
        <v>12</v>
      </c>
      <c r="AN82" s="1" t="s">
        <v>14</v>
      </c>
      <c r="AO82" s="1">
        <v>254</v>
      </c>
      <c r="AP82" s="3">
        <v>0.42333333333333334</v>
      </c>
      <c r="AQ82" s="1"/>
    </row>
    <row r="83" spans="1:43" ht="12.3" x14ac:dyDescent="0.4">
      <c r="A83" s="1" t="s">
        <v>160</v>
      </c>
      <c r="B83" s="1"/>
      <c r="C83" s="1" t="s">
        <v>6</v>
      </c>
      <c r="D83" s="5" t="s">
        <v>7</v>
      </c>
      <c r="E83" s="5" t="s">
        <v>463</v>
      </c>
      <c r="F83" s="4" t="s">
        <v>465</v>
      </c>
      <c r="G83" s="4" t="s">
        <v>465</v>
      </c>
      <c r="I83" s="1" t="s">
        <v>16</v>
      </c>
      <c r="J83" s="1" t="s">
        <v>10</v>
      </c>
      <c r="K83" s="4" t="s">
        <v>464</v>
      </c>
      <c r="L83" s="1" t="s">
        <v>23</v>
      </c>
      <c r="M83" s="1"/>
      <c r="O83" s="1"/>
      <c r="P83" s="1"/>
      <c r="Q83" s="1"/>
      <c r="S83" s="2"/>
      <c r="T83" s="1"/>
      <c r="U83" s="1"/>
      <c r="V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 t="s">
        <v>12</v>
      </c>
      <c r="AN83" s="1" t="s">
        <v>20</v>
      </c>
      <c r="AO83" s="1">
        <v>387</v>
      </c>
      <c r="AP83" s="3">
        <v>0.64500000000000002</v>
      </c>
      <c r="AQ83" s="1"/>
    </row>
    <row r="84" spans="1:43" ht="12.3" x14ac:dyDescent="0.4">
      <c r="A84" s="1" t="s">
        <v>161</v>
      </c>
      <c r="B84" s="1"/>
      <c r="C84" s="1" t="s">
        <v>6</v>
      </c>
      <c r="D84" s="5" t="s">
        <v>7</v>
      </c>
      <c r="E84" s="5" t="s">
        <v>463</v>
      </c>
      <c r="F84" s="4" t="s">
        <v>465</v>
      </c>
      <c r="G84" s="4" t="s">
        <v>465</v>
      </c>
      <c r="I84" s="1" t="s">
        <v>8</v>
      </c>
      <c r="J84" s="1" t="s">
        <v>9</v>
      </c>
      <c r="K84" s="4" t="s">
        <v>464</v>
      </c>
      <c r="L84" s="1" t="s">
        <v>22</v>
      </c>
      <c r="M84" s="1"/>
      <c r="O84" s="1"/>
      <c r="P84" s="1"/>
      <c r="Q84" s="1"/>
      <c r="S84" s="2"/>
      <c r="T84" s="1"/>
      <c r="U84" s="1"/>
      <c r="V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 t="s">
        <v>12</v>
      </c>
      <c r="AN84" s="1" t="s">
        <v>20</v>
      </c>
      <c r="AO84" s="1">
        <v>339</v>
      </c>
      <c r="AP84" s="3">
        <v>0.56499999999999995</v>
      </c>
      <c r="AQ84" s="1"/>
    </row>
    <row r="85" spans="1:43" ht="12.3" x14ac:dyDescent="0.4">
      <c r="A85" s="1" t="s">
        <v>162</v>
      </c>
      <c r="B85" s="1"/>
      <c r="C85" s="1" t="s">
        <v>6</v>
      </c>
      <c r="D85" s="5" t="s">
        <v>7</v>
      </c>
      <c r="E85" s="5" t="s">
        <v>463</v>
      </c>
      <c r="F85" s="4" t="s">
        <v>465</v>
      </c>
      <c r="G85" s="4" t="s">
        <v>465</v>
      </c>
      <c r="I85" s="1" t="s">
        <v>8</v>
      </c>
      <c r="J85" s="1" t="s">
        <v>9</v>
      </c>
      <c r="K85" s="4" t="s">
        <v>464</v>
      </c>
      <c r="L85" s="1" t="s">
        <v>21</v>
      </c>
      <c r="M85" s="1"/>
      <c r="O85" s="1"/>
      <c r="P85" s="1"/>
      <c r="Q85" s="1"/>
      <c r="S85" s="2"/>
      <c r="T85" s="1"/>
      <c r="U85" s="1"/>
      <c r="V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 t="s">
        <v>12</v>
      </c>
      <c r="AN85" s="1" t="s">
        <v>18</v>
      </c>
      <c r="AO85" s="1">
        <v>313</v>
      </c>
      <c r="AP85" s="3">
        <v>0.52166666666666661</v>
      </c>
      <c r="AQ85" s="1"/>
    </row>
    <row r="86" spans="1:43" ht="12.3" x14ac:dyDescent="0.4">
      <c r="A86" s="1" t="s">
        <v>163</v>
      </c>
      <c r="B86" s="1"/>
      <c r="C86" s="1" t="s">
        <v>6</v>
      </c>
      <c r="D86" s="5" t="s">
        <v>7</v>
      </c>
      <c r="E86" s="5" t="s">
        <v>463</v>
      </c>
      <c r="F86" s="4" t="s">
        <v>465</v>
      </c>
      <c r="G86" s="4" t="s">
        <v>465</v>
      </c>
      <c r="I86" s="1" t="s">
        <v>8</v>
      </c>
      <c r="J86" s="1" t="s">
        <v>9</v>
      </c>
      <c r="K86" s="4" t="s">
        <v>464</v>
      </c>
      <c r="L86" s="1" t="s">
        <v>17</v>
      </c>
      <c r="M86" s="1"/>
      <c r="O86" s="1"/>
      <c r="P86" s="1"/>
      <c r="Q86" s="1"/>
      <c r="S86" s="2"/>
      <c r="T86" s="1"/>
      <c r="U86" s="1"/>
      <c r="V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 t="s">
        <v>12</v>
      </c>
      <c r="AN86" s="1" t="s">
        <v>14</v>
      </c>
      <c r="AO86" s="1">
        <v>262</v>
      </c>
      <c r="AP86" s="3">
        <v>0.43666666666666665</v>
      </c>
      <c r="AQ86" s="1"/>
    </row>
    <row r="87" spans="1:43" ht="12.3" x14ac:dyDescent="0.4">
      <c r="A87" s="1" t="s">
        <v>164</v>
      </c>
      <c r="B87" s="1"/>
      <c r="C87" s="1" t="s">
        <v>6</v>
      </c>
      <c r="D87" s="5" t="s">
        <v>7</v>
      </c>
      <c r="E87" s="5" t="s">
        <v>463</v>
      </c>
      <c r="F87" s="4" t="s">
        <v>465</v>
      </c>
      <c r="G87" s="4" t="s">
        <v>465</v>
      </c>
      <c r="I87" s="1" t="s">
        <v>8</v>
      </c>
      <c r="J87" s="1" t="s">
        <v>9</v>
      </c>
      <c r="K87" s="4" t="s">
        <v>464</v>
      </c>
      <c r="L87" s="1" t="s">
        <v>21</v>
      </c>
      <c r="M87" s="1"/>
      <c r="O87" s="1"/>
      <c r="P87" s="1"/>
      <c r="Q87" s="1"/>
      <c r="S87" s="2"/>
      <c r="T87" s="1"/>
      <c r="U87" s="1"/>
      <c r="V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 t="s">
        <v>12</v>
      </c>
      <c r="AN87" s="1" t="s">
        <v>20</v>
      </c>
      <c r="AO87" s="1">
        <v>418</v>
      </c>
      <c r="AP87" s="3">
        <v>0.69666666666666666</v>
      </c>
      <c r="AQ87" s="1"/>
    </row>
    <row r="88" spans="1:43" ht="12.3" x14ac:dyDescent="0.4">
      <c r="A88" s="1" t="s">
        <v>165</v>
      </c>
      <c r="B88" s="1"/>
      <c r="C88" s="1" t="s">
        <v>6</v>
      </c>
      <c r="D88" s="5" t="s">
        <v>7</v>
      </c>
      <c r="E88" s="5" t="s">
        <v>463</v>
      </c>
      <c r="F88" s="4" t="s">
        <v>465</v>
      </c>
      <c r="G88" s="4" t="s">
        <v>465</v>
      </c>
      <c r="I88" s="1" t="s">
        <v>16</v>
      </c>
      <c r="J88" s="1" t="s">
        <v>10</v>
      </c>
      <c r="K88" s="4" t="s">
        <v>464</v>
      </c>
      <c r="L88" s="1" t="s">
        <v>25</v>
      </c>
      <c r="M88" s="1"/>
      <c r="O88" s="1"/>
      <c r="P88" s="1"/>
      <c r="Q88" s="1"/>
      <c r="S88" s="2"/>
      <c r="T88" s="1"/>
      <c r="U88" s="1"/>
      <c r="V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 t="s">
        <v>12</v>
      </c>
      <c r="AN88" s="1" t="s">
        <v>14</v>
      </c>
      <c r="AO88" s="1">
        <v>270</v>
      </c>
      <c r="AP88" s="3">
        <v>0.45</v>
      </c>
      <c r="AQ88" s="1"/>
    </row>
    <row r="89" spans="1:43" ht="12.3" x14ac:dyDescent="0.4">
      <c r="A89" s="1" t="s">
        <v>166</v>
      </c>
      <c r="B89" s="1"/>
      <c r="C89" s="1" t="s">
        <v>6</v>
      </c>
      <c r="D89" s="5" t="s">
        <v>7</v>
      </c>
      <c r="E89" s="5" t="s">
        <v>463</v>
      </c>
      <c r="F89" s="4" t="s">
        <v>465</v>
      </c>
      <c r="G89" s="4" t="s">
        <v>465</v>
      </c>
      <c r="I89" s="1" t="s">
        <v>29</v>
      </c>
      <c r="J89" s="1" t="s">
        <v>9</v>
      </c>
      <c r="K89" s="4" t="s">
        <v>464</v>
      </c>
      <c r="L89" s="1" t="s">
        <v>30</v>
      </c>
      <c r="M89" s="1"/>
      <c r="O89" s="1"/>
      <c r="P89" s="1"/>
      <c r="Q89" s="1"/>
      <c r="S89" s="1"/>
      <c r="T89" s="1"/>
      <c r="U89" s="2"/>
      <c r="V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 t="s">
        <v>12</v>
      </c>
      <c r="AN89" s="1" t="s">
        <v>18</v>
      </c>
      <c r="AO89" s="1">
        <v>327</v>
      </c>
      <c r="AP89" s="3">
        <v>0.54500000000000004</v>
      </c>
      <c r="AQ89" s="1"/>
    </row>
    <row r="90" spans="1:43" ht="12.3" x14ac:dyDescent="0.4">
      <c r="A90" s="1" t="s">
        <v>167</v>
      </c>
      <c r="B90" s="1"/>
      <c r="C90" s="1" t="s">
        <v>6</v>
      </c>
      <c r="D90" s="5" t="s">
        <v>7</v>
      </c>
      <c r="E90" s="5" t="s">
        <v>463</v>
      </c>
      <c r="F90" s="4" t="s">
        <v>465</v>
      </c>
      <c r="G90" s="4" t="s">
        <v>465</v>
      </c>
      <c r="I90" s="1" t="s">
        <v>29</v>
      </c>
      <c r="J90" s="1" t="s">
        <v>9</v>
      </c>
      <c r="K90" s="4" t="s">
        <v>464</v>
      </c>
      <c r="L90" s="1" t="s">
        <v>24</v>
      </c>
      <c r="M90" s="1"/>
      <c r="O90" s="1"/>
      <c r="P90" s="1"/>
      <c r="Q90" s="1"/>
      <c r="S90" s="2"/>
      <c r="T90" s="1"/>
      <c r="U90" s="1"/>
      <c r="V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 t="s">
        <v>12</v>
      </c>
      <c r="AN90" s="1" t="s">
        <v>20</v>
      </c>
      <c r="AO90" s="1">
        <v>346</v>
      </c>
      <c r="AP90" s="3">
        <v>0.57666666666666666</v>
      </c>
      <c r="AQ90" s="1"/>
    </row>
    <row r="91" spans="1:43" ht="12.3" x14ac:dyDescent="0.4">
      <c r="A91" s="1" t="s">
        <v>168</v>
      </c>
      <c r="B91" s="1"/>
      <c r="C91" s="1" t="s">
        <v>6</v>
      </c>
      <c r="D91" s="5" t="s">
        <v>7</v>
      </c>
      <c r="E91" s="5" t="s">
        <v>463</v>
      </c>
      <c r="F91" s="4" t="s">
        <v>465</v>
      </c>
      <c r="G91" s="4" t="s">
        <v>465</v>
      </c>
      <c r="I91" s="1" t="s">
        <v>8</v>
      </c>
      <c r="J91" s="1" t="s">
        <v>9</v>
      </c>
      <c r="K91" s="4" t="s">
        <v>464</v>
      </c>
      <c r="L91" s="1" t="s">
        <v>28</v>
      </c>
      <c r="M91" s="1"/>
      <c r="O91" s="1"/>
      <c r="P91" s="1"/>
      <c r="Q91" s="1"/>
      <c r="S91" s="2"/>
      <c r="T91" s="1"/>
      <c r="U91" s="1"/>
      <c r="V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 t="s">
        <v>12</v>
      </c>
      <c r="AN91" s="1" t="s">
        <v>13</v>
      </c>
      <c r="AO91" s="1">
        <v>302</v>
      </c>
      <c r="AP91" s="3">
        <v>0.5033333333333333</v>
      </c>
      <c r="AQ91" s="1"/>
    </row>
    <row r="92" spans="1:43" ht="12.3" x14ac:dyDescent="0.4">
      <c r="A92" s="1" t="s">
        <v>169</v>
      </c>
      <c r="B92" s="1"/>
      <c r="C92" s="1" t="s">
        <v>6</v>
      </c>
      <c r="D92" s="5" t="s">
        <v>7</v>
      </c>
      <c r="E92" s="5" t="s">
        <v>463</v>
      </c>
      <c r="F92" s="4" t="s">
        <v>465</v>
      </c>
      <c r="G92" s="4" t="s">
        <v>465</v>
      </c>
      <c r="I92" s="1" t="s">
        <v>16</v>
      </c>
      <c r="J92" s="1" t="s">
        <v>10</v>
      </c>
      <c r="K92" s="4" t="s">
        <v>464</v>
      </c>
      <c r="L92" s="1" t="s">
        <v>26</v>
      </c>
      <c r="M92" s="1"/>
      <c r="O92" s="1"/>
      <c r="P92" s="1"/>
      <c r="Q92" s="1"/>
      <c r="S92" s="2"/>
      <c r="T92" s="1"/>
      <c r="U92" s="1"/>
      <c r="V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 t="s">
        <v>12</v>
      </c>
      <c r="AN92" s="1" t="s">
        <v>18</v>
      </c>
      <c r="AO92" s="1">
        <v>308</v>
      </c>
      <c r="AP92" s="3">
        <v>0.51333333333333331</v>
      </c>
      <c r="AQ92" s="1"/>
    </row>
    <row r="93" spans="1:43" ht="12.3" x14ac:dyDescent="0.4">
      <c r="A93" s="1" t="s">
        <v>170</v>
      </c>
      <c r="B93" s="1"/>
      <c r="C93" s="1" t="s">
        <v>6</v>
      </c>
      <c r="D93" s="5" t="s">
        <v>7</v>
      </c>
      <c r="E93" s="5" t="s">
        <v>463</v>
      </c>
      <c r="F93" s="4" t="s">
        <v>465</v>
      </c>
      <c r="G93" s="4" t="s">
        <v>465</v>
      </c>
      <c r="I93" s="1" t="s">
        <v>8</v>
      </c>
      <c r="J93" s="1" t="s">
        <v>9</v>
      </c>
      <c r="K93" s="4" t="s">
        <v>464</v>
      </c>
      <c r="L93" s="1" t="s">
        <v>23</v>
      </c>
      <c r="M93" s="1"/>
      <c r="O93" s="1"/>
      <c r="P93" s="1"/>
      <c r="Q93" s="1"/>
      <c r="S93" s="1"/>
      <c r="T93" s="1"/>
      <c r="U93" s="2"/>
      <c r="V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 t="s">
        <v>12</v>
      </c>
      <c r="AN93" s="1" t="s">
        <v>18</v>
      </c>
      <c r="AO93" s="1">
        <v>327</v>
      </c>
      <c r="AP93" s="3">
        <v>0.54500000000000004</v>
      </c>
      <c r="AQ93" s="1"/>
    </row>
    <row r="94" spans="1:43" ht="12.3" x14ac:dyDescent="0.4">
      <c r="A94" s="1" t="s">
        <v>171</v>
      </c>
      <c r="B94" s="1"/>
      <c r="C94" s="1" t="s">
        <v>6</v>
      </c>
      <c r="D94" s="5" t="s">
        <v>7</v>
      </c>
      <c r="E94" s="5" t="s">
        <v>463</v>
      </c>
      <c r="F94" s="4" t="s">
        <v>465</v>
      </c>
      <c r="G94" s="4" t="s">
        <v>465</v>
      </c>
      <c r="I94" s="1" t="s">
        <v>16</v>
      </c>
      <c r="J94" s="1" t="s">
        <v>10</v>
      </c>
      <c r="K94" s="4" t="s">
        <v>464</v>
      </c>
      <c r="L94" s="1" t="s">
        <v>17</v>
      </c>
      <c r="M94" s="1"/>
      <c r="O94" s="1"/>
      <c r="P94" s="1"/>
      <c r="Q94" s="1"/>
      <c r="S94" s="2"/>
      <c r="T94" s="1"/>
      <c r="U94" s="2"/>
      <c r="V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 t="s">
        <v>12</v>
      </c>
      <c r="AN94" s="1" t="s">
        <v>20</v>
      </c>
      <c r="AO94" s="1">
        <v>402</v>
      </c>
      <c r="AP94" s="3">
        <v>0.67</v>
      </c>
      <c r="AQ94" s="1"/>
    </row>
    <row r="95" spans="1:43" ht="12.3" x14ac:dyDescent="0.4">
      <c r="A95" s="1" t="s">
        <v>172</v>
      </c>
      <c r="B95" s="1"/>
      <c r="C95" s="1" t="s">
        <v>6</v>
      </c>
      <c r="D95" s="5" t="s">
        <v>7</v>
      </c>
      <c r="E95" s="5" t="s">
        <v>463</v>
      </c>
      <c r="F95" s="4" t="s">
        <v>465</v>
      </c>
      <c r="G95" s="4" t="s">
        <v>465</v>
      </c>
      <c r="I95" s="1" t="s">
        <v>29</v>
      </c>
      <c r="J95" s="1" t="s">
        <v>9</v>
      </c>
      <c r="K95" s="4" t="s">
        <v>464</v>
      </c>
      <c r="L95" s="1" t="s">
        <v>11</v>
      </c>
      <c r="M95" s="1"/>
      <c r="O95" s="1"/>
      <c r="P95" s="1"/>
      <c r="Q95" s="1"/>
      <c r="S95" s="2"/>
      <c r="T95" s="1"/>
      <c r="U95" s="1"/>
      <c r="V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 t="s">
        <v>12</v>
      </c>
      <c r="AN95" s="1" t="s">
        <v>18</v>
      </c>
      <c r="AO95" s="1">
        <v>317</v>
      </c>
      <c r="AP95" s="3">
        <v>0.52833333333333332</v>
      </c>
      <c r="AQ95" s="1"/>
    </row>
    <row r="96" spans="1:43" ht="12.3" x14ac:dyDescent="0.4">
      <c r="A96" s="1" t="s">
        <v>174</v>
      </c>
      <c r="B96" s="1"/>
      <c r="C96" s="1" t="s">
        <v>6</v>
      </c>
      <c r="D96" s="5" t="s">
        <v>7</v>
      </c>
      <c r="E96" s="5" t="s">
        <v>463</v>
      </c>
      <c r="F96" s="4" t="s">
        <v>465</v>
      </c>
      <c r="G96" s="4" t="s">
        <v>465</v>
      </c>
      <c r="I96" s="1" t="s">
        <v>8</v>
      </c>
      <c r="J96" s="1" t="s">
        <v>9</v>
      </c>
      <c r="K96" s="4" t="s">
        <v>464</v>
      </c>
      <c r="L96" s="1" t="s">
        <v>21</v>
      </c>
      <c r="M96" s="1"/>
      <c r="O96" s="1"/>
      <c r="P96" s="1"/>
      <c r="Q96" s="1"/>
      <c r="S96" s="1"/>
      <c r="T96" s="1"/>
      <c r="U96" s="1"/>
      <c r="V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 t="s">
        <v>12</v>
      </c>
      <c r="AN96" s="1" t="s">
        <v>20</v>
      </c>
      <c r="AO96" s="1">
        <v>377</v>
      </c>
      <c r="AP96" s="3">
        <v>0.6283333333333333</v>
      </c>
      <c r="AQ96" s="1"/>
    </row>
    <row r="97" spans="1:43" ht="12.3" x14ac:dyDescent="0.4">
      <c r="A97" s="1" t="s">
        <v>175</v>
      </c>
      <c r="B97" s="1"/>
      <c r="C97" s="1" t="s">
        <v>6</v>
      </c>
      <c r="D97" s="5" t="s">
        <v>7</v>
      </c>
      <c r="E97" s="5" t="s">
        <v>463</v>
      </c>
      <c r="F97" s="4" t="s">
        <v>465</v>
      </c>
      <c r="G97" s="4" t="s">
        <v>465</v>
      </c>
      <c r="I97" s="1" t="s">
        <v>16</v>
      </c>
      <c r="J97" s="1" t="s">
        <v>10</v>
      </c>
      <c r="K97" s="4" t="s">
        <v>464</v>
      </c>
      <c r="L97" s="1" t="s">
        <v>19</v>
      </c>
      <c r="M97" s="1"/>
      <c r="O97" s="1"/>
      <c r="P97" s="1"/>
      <c r="Q97" s="1"/>
      <c r="S97" s="2"/>
      <c r="T97" s="1"/>
      <c r="U97" s="1"/>
      <c r="V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 t="s">
        <v>12</v>
      </c>
      <c r="AN97" s="1" t="s">
        <v>14</v>
      </c>
      <c r="AO97" s="1">
        <v>245</v>
      </c>
      <c r="AP97" s="3">
        <v>0.40833333333333333</v>
      </c>
      <c r="AQ97" s="1"/>
    </row>
    <row r="98" spans="1:43" ht="12.3" x14ac:dyDescent="0.4">
      <c r="A98" s="1" t="s">
        <v>176</v>
      </c>
      <c r="B98" s="1"/>
      <c r="C98" s="1" t="s">
        <v>6</v>
      </c>
      <c r="D98" s="5" t="s">
        <v>7</v>
      </c>
      <c r="E98" s="5" t="s">
        <v>463</v>
      </c>
      <c r="F98" s="4" t="s">
        <v>465</v>
      </c>
      <c r="G98" s="4" t="s">
        <v>465</v>
      </c>
      <c r="I98" s="1" t="s">
        <v>16</v>
      </c>
      <c r="J98" s="1" t="s">
        <v>9</v>
      </c>
      <c r="K98" s="4" t="s">
        <v>464</v>
      </c>
      <c r="L98" s="1" t="s">
        <v>26</v>
      </c>
      <c r="M98" s="1"/>
      <c r="O98" s="1"/>
      <c r="P98" s="1"/>
      <c r="Q98" s="1"/>
      <c r="S98" s="1"/>
      <c r="T98" s="1"/>
      <c r="U98" s="2"/>
      <c r="V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 t="s">
        <v>12</v>
      </c>
      <c r="AN98" s="1" t="s">
        <v>18</v>
      </c>
      <c r="AO98" s="1">
        <v>321</v>
      </c>
      <c r="AP98" s="3">
        <v>0.53500000000000003</v>
      </c>
      <c r="AQ98" s="1"/>
    </row>
    <row r="99" spans="1:43" ht="12.3" x14ac:dyDescent="0.4">
      <c r="A99" s="1" t="s">
        <v>177</v>
      </c>
      <c r="B99" s="1"/>
      <c r="C99" s="1" t="s">
        <v>6</v>
      </c>
      <c r="D99" s="5" t="s">
        <v>7</v>
      </c>
      <c r="E99" s="5" t="s">
        <v>463</v>
      </c>
      <c r="F99" s="4" t="s">
        <v>465</v>
      </c>
      <c r="G99" s="4" t="s">
        <v>465</v>
      </c>
      <c r="I99" s="1" t="s">
        <v>16</v>
      </c>
      <c r="J99" s="1" t="s">
        <v>10</v>
      </c>
      <c r="K99" s="4" t="s">
        <v>464</v>
      </c>
      <c r="L99" s="1" t="s">
        <v>26</v>
      </c>
      <c r="M99" s="1"/>
      <c r="O99" s="1"/>
      <c r="P99" s="1"/>
      <c r="Q99" s="1"/>
      <c r="S99" s="2"/>
      <c r="T99" s="1"/>
      <c r="U99" s="1"/>
      <c r="V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 t="s">
        <v>12</v>
      </c>
      <c r="AN99" s="1" t="s">
        <v>14</v>
      </c>
      <c r="AO99" s="1">
        <v>254</v>
      </c>
      <c r="AP99" s="3">
        <v>0.42333333333333334</v>
      </c>
      <c r="AQ99" s="1"/>
    </row>
    <row r="100" spans="1:43" ht="12.3" x14ac:dyDescent="0.4">
      <c r="A100" s="1" t="s">
        <v>178</v>
      </c>
      <c r="B100" s="1"/>
      <c r="C100" s="1" t="s">
        <v>6</v>
      </c>
      <c r="D100" s="5" t="s">
        <v>7</v>
      </c>
      <c r="E100" s="5" t="s">
        <v>463</v>
      </c>
      <c r="F100" s="4" t="s">
        <v>465</v>
      </c>
      <c r="G100" s="4" t="s">
        <v>465</v>
      </c>
      <c r="I100" s="1" t="s">
        <v>8</v>
      </c>
      <c r="J100" s="1" t="s">
        <v>9</v>
      </c>
      <c r="K100" s="4" t="s">
        <v>464</v>
      </c>
      <c r="L100" s="1" t="s">
        <v>11</v>
      </c>
      <c r="M100" s="1"/>
      <c r="O100" s="1"/>
      <c r="P100" s="1"/>
      <c r="Q100" s="1"/>
      <c r="S100" s="1"/>
      <c r="T100" s="1"/>
      <c r="U100" s="2"/>
      <c r="V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 t="s">
        <v>12</v>
      </c>
      <c r="AN100" s="1" t="s">
        <v>20</v>
      </c>
      <c r="AO100" s="1">
        <v>335</v>
      </c>
      <c r="AP100" s="3">
        <v>0.55833333333333335</v>
      </c>
      <c r="AQ100" s="1"/>
    </row>
    <row r="101" spans="1:43" ht="12.3" x14ac:dyDescent="0.4">
      <c r="A101" s="1" t="s">
        <v>179</v>
      </c>
      <c r="B101" s="1"/>
      <c r="C101" s="1" t="s">
        <v>6</v>
      </c>
      <c r="D101" s="5" t="s">
        <v>7</v>
      </c>
      <c r="E101" s="5" t="s">
        <v>463</v>
      </c>
      <c r="F101" s="4" t="s">
        <v>465</v>
      </c>
      <c r="G101" s="4" t="s">
        <v>465</v>
      </c>
      <c r="I101" s="1" t="s">
        <v>8</v>
      </c>
      <c r="J101" s="1" t="s">
        <v>9</v>
      </c>
      <c r="K101" s="4" t="s">
        <v>464</v>
      </c>
      <c r="L101" s="1" t="s">
        <v>21</v>
      </c>
      <c r="M101" s="1"/>
      <c r="O101" s="1"/>
      <c r="P101" s="1"/>
      <c r="Q101" s="1"/>
      <c r="S101" s="2"/>
      <c r="T101" s="1"/>
      <c r="U101" s="1"/>
      <c r="V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 t="s">
        <v>12</v>
      </c>
      <c r="AN101" s="1" t="s">
        <v>20</v>
      </c>
      <c r="AO101" s="1">
        <v>359</v>
      </c>
      <c r="AP101" s="3">
        <v>0.59833333333333338</v>
      </c>
      <c r="AQ101" s="1"/>
    </row>
    <row r="102" spans="1:43" ht="12.3" x14ac:dyDescent="0.4">
      <c r="A102" s="1" t="s">
        <v>180</v>
      </c>
      <c r="B102" s="1"/>
      <c r="C102" s="1" t="s">
        <v>6</v>
      </c>
      <c r="D102" s="5" t="s">
        <v>7</v>
      </c>
      <c r="E102" s="5" t="s">
        <v>463</v>
      </c>
      <c r="F102" s="4" t="s">
        <v>465</v>
      </c>
      <c r="G102" s="4" t="s">
        <v>465</v>
      </c>
      <c r="I102" s="1" t="s">
        <v>16</v>
      </c>
      <c r="J102" s="1" t="s">
        <v>10</v>
      </c>
      <c r="K102" s="4" t="s">
        <v>464</v>
      </c>
      <c r="L102" s="1" t="s">
        <v>30</v>
      </c>
      <c r="M102" s="1"/>
      <c r="O102" s="1"/>
      <c r="P102" s="1"/>
      <c r="Q102" s="1"/>
      <c r="S102" s="2"/>
      <c r="T102" s="1"/>
      <c r="U102" s="1"/>
      <c r="V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 t="s">
        <v>12</v>
      </c>
      <c r="AN102" s="1" t="s">
        <v>13</v>
      </c>
      <c r="AO102" s="1">
        <v>298</v>
      </c>
      <c r="AP102" s="3">
        <v>0.49666666666666665</v>
      </c>
      <c r="AQ102" s="1"/>
    </row>
    <row r="103" spans="1:43" ht="12.3" x14ac:dyDescent="0.4">
      <c r="A103" s="1" t="s">
        <v>181</v>
      </c>
      <c r="B103" s="1"/>
      <c r="C103" s="1" t="s">
        <v>6</v>
      </c>
      <c r="D103" s="5" t="s">
        <v>7</v>
      </c>
      <c r="E103" s="5" t="s">
        <v>463</v>
      </c>
      <c r="F103" s="4" t="s">
        <v>465</v>
      </c>
      <c r="G103" s="4" t="s">
        <v>465</v>
      </c>
      <c r="I103" s="1" t="s">
        <v>16</v>
      </c>
      <c r="J103" s="1" t="s">
        <v>10</v>
      </c>
      <c r="K103" s="4" t="s">
        <v>464</v>
      </c>
      <c r="L103" s="1" t="s">
        <v>23</v>
      </c>
      <c r="M103" s="1"/>
      <c r="O103" s="1"/>
      <c r="P103" s="1"/>
      <c r="Q103" s="1"/>
      <c r="S103" s="2"/>
      <c r="T103" s="1"/>
      <c r="U103" s="2"/>
      <c r="V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 t="s">
        <v>12</v>
      </c>
      <c r="AN103" s="1" t="s">
        <v>20</v>
      </c>
      <c r="AO103" s="1">
        <v>390</v>
      </c>
      <c r="AP103" s="3">
        <v>0.65</v>
      </c>
      <c r="AQ103" s="1"/>
    </row>
    <row r="104" spans="1:43" ht="12.3" x14ac:dyDescent="0.4">
      <c r="A104" s="1" t="s">
        <v>182</v>
      </c>
      <c r="B104" s="1"/>
      <c r="C104" s="1" t="s">
        <v>6</v>
      </c>
      <c r="D104" s="5" t="s">
        <v>7</v>
      </c>
      <c r="E104" s="5" t="s">
        <v>463</v>
      </c>
      <c r="F104" s="4" t="s">
        <v>465</v>
      </c>
      <c r="G104" s="4" t="s">
        <v>465</v>
      </c>
      <c r="I104" s="1" t="s">
        <v>16</v>
      </c>
      <c r="J104" s="1" t="s">
        <v>10</v>
      </c>
      <c r="K104" s="4" t="s">
        <v>464</v>
      </c>
      <c r="L104" s="1" t="s">
        <v>25</v>
      </c>
      <c r="M104" s="1"/>
      <c r="O104" s="1"/>
      <c r="P104" s="1"/>
      <c r="Q104" s="1"/>
      <c r="S104" s="2"/>
      <c r="T104" s="1"/>
      <c r="U104" s="2"/>
      <c r="V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 t="s">
        <v>12</v>
      </c>
      <c r="AN104" s="1" t="s">
        <v>20</v>
      </c>
      <c r="AO104" s="1">
        <v>337</v>
      </c>
      <c r="AP104" s="3">
        <v>0.56166666666666665</v>
      </c>
      <c r="AQ104" s="1"/>
    </row>
    <row r="105" spans="1:43" ht="12.3" x14ac:dyDescent="0.4">
      <c r="A105" s="1" t="s">
        <v>183</v>
      </c>
      <c r="B105" s="1"/>
      <c r="C105" s="1" t="s">
        <v>6</v>
      </c>
      <c r="D105" s="5" t="s">
        <v>7</v>
      </c>
      <c r="E105" s="5" t="s">
        <v>463</v>
      </c>
      <c r="F105" s="4" t="s">
        <v>465</v>
      </c>
      <c r="G105" s="4" t="s">
        <v>465</v>
      </c>
      <c r="I105" s="1" t="s">
        <v>16</v>
      </c>
      <c r="J105" s="1" t="s">
        <v>10</v>
      </c>
      <c r="K105" s="4" t="s">
        <v>464</v>
      </c>
      <c r="L105" s="1" t="s">
        <v>24</v>
      </c>
      <c r="M105" s="1"/>
      <c r="O105" s="1"/>
      <c r="P105" s="1"/>
      <c r="Q105" s="1"/>
      <c r="S105" s="2"/>
      <c r="T105" s="1"/>
      <c r="U105" s="1"/>
      <c r="V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 t="s">
        <v>12</v>
      </c>
      <c r="AN105" s="1" t="s">
        <v>20</v>
      </c>
      <c r="AO105" s="1">
        <v>374</v>
      </c>
      <c r="AP105" s="3">
        <v>0.62333333333333329</v>
      </c>
      <c r="AQ105" s="1"/>
    </row>
    <row r="106" spans="1:43" ht="12.3" x14ac:dyDescent="0.4">
      <c r="A106" s="1" t="s">
        <v>184</v>
      </c>
      <c r="B106" s="1"/>
      <c r="C106" s="1" t="s">
        <v>6</v>
      </c>
      <c r="D106" s="5" t="s">
        <v>7</v>
      </c>
      <c r="E106" s="5" t="s">
        <v>463</v>
      </c>
      <c r="F106" s="4" t="s">
        <v>465</v>
      </c>
      <c r="G106" s="4" t="s">
        <v>465</v>
      </c>
      <c r="I106" s="1" t="s">
        <v>16</v>
      </c>
      <c r="J106" s="1" t="s">
        <v>10</v>
      </c>
      <c r="K106" s="4" t="s">
        <v>464</v>
      </c>
      <c r="L106" s="1" t="s">
        <v>17</v>
      </c>
      <c r="M106" s="1"/>
      <c r="O106" s="1"/>
      <c r="P106" s="1"/>
      <c r="Q106" s="1"/>
      <c r="S106" s="2"/>
      <c r="T106" s="1"/>
      <c r="U106" s="1"/>
      <c r="V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 t="s">
        <v>12</v>
      </c>
      <c r="AN106" s="1" t="s">
        <v>18</v>
      </c>
      <c r="AO106" s="1">
        <v>321</v>
      </c>
      <c r="AP106" s="3">
        <v>0.53500000000000003</v>
      </c>
      <c r="AQ106" s="1"/>
    </row>
    <row r="107" spans="1:43" ht="12.3" x14ac:dyDescent="0.4">
      <c r="A107" s="1" t="s">
        <v>185</v>
      </c>
      <c r="B107" s="1"/>
      <c r="C107" s="1" t="s">
        <v>6</v>
      </c>
      <c r="D107" s="5" t="s">
        <v>7</v>
      </c>
      <c r="E107" s="5" t="s">
        <v>463</v>
      </c>
      <c r="F107" s="4" t="s">
        <v>465</v>
      </c>
      <c r="G107" s="4" t="s">
        <v>465</v>
      </c>
      <c r="I107" s="1" t="s">
        <v>16</v>
      </c>
      <c r="J107" s="1" t="s">
        <v>10</v>
      </c>
      <c r="K107" s="4" t="s">
        <v>464</v>
      </c>
      <c r="L107" s="1" t="s">
        <v>19</v>
      </c>
      <c r="M107" s="1"/>
      <c r="O107" s="1"/>
      <c r="P107" s="1"/>
      <c r="Q107" s="1"/>
      <c r="S107" s="2"/>
      <c r="T107" s="1"/>
      <c r="U107" s="2"/>
      <c r="V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 t="s">
        <v>12</v>
      </c>
      <c r="AN107" s="1" t="s">
        <v>14</v>
      </c>
      <c r="AO107" s="1">
        <v>277</v>
      </c>
      <c r="AP107" s="3">
        <v>0.46166666666666667</v>
      </c>
      <c r="AQ107" s="1"/>
    </row>
    <row r="108" spans="1:43" ht="12.3" x14ac:dyDescent="0.4">
      <c r="A108" s="1" t="s">
        <v>186</v>
      </c>
      <c r="B108" s="1"/>
      <c r="C108" s="1" t="s">
        <v>6</v>
      </c>
      <c r="D108" s="5" t="s">
        <v>7</v>
      </c>
      <c r="E108" s="5" t="s">
        <v>463</v>
      </c>
      <c r="F108" s="4" t="s">
        <v>465</v>
      </c>
      <c r="G108" s="4" t="s">
        <v>465</v>
      </c>
      <c r="I108" s="1" t="s">
        <v>16</v>
      </c>
      <c r="J108" s="1" t="s">
        <v>10</v>
      </c>
      <c r="K108" s="4" t="s">
        <v>464</v>
      </c>
      <c r="L108" s="1" t="s">
        <v>26</v>
      </c>
      <c r="M108" s="1"/>
      <c r="O108" s="1"/>
      <c r="P108" s="1"/>
      <c r="Q108" s="1"/>
      <c r="S108" s="1"/>
      <c r="T108" s="1"/>
      <c r="U108" s="2"/>
      <c r="V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 t="s">
        <v>12</v>
      </c>
      <c r="AN108" s="1" t="s">
        <v>14</v>
      </c>
      <c r="AO108" s="1">
        <v>258</v>
      </c>
      <c r="AP108" s="3">
        <v>0.43</v>
      </c>
      <c r="AQ108" s="1"/>
    </row>
    <row r="109" spans="1:43" ht="12.3" x14ac:dyDescent="0.4">
      <c r="A109" s="1" t="s">
        <v>187</v>
      </c>
      <c r="B109" s="1"/>
      <c r="C109" s="1" t="s">
        <v>6</v>
      </c>
      <c r="D109" s="5" t="s">
        <v>7</v>
      </c>
      <c r="E109" s="5" t="s">
        <v>463</v>
      </c>
      <c r="F109" s="4" t="s">
        <v>465</v>
      </c>
      <c r="G109" s="4" t="s">
        <v>465</v>
      </c>
      <c r="I109" s="1" t="s">
        <v>8</v>
      </c>
      <c r="J109" s="1" t="s">
        <v>9</v>
      </c>
      <c r="K109" s="4" t="s">
        <v>464</v>
      </c>
      <c r="L109" s="1" t="s">
        <v>19</v>
      </c>
      <c r="M109" s="1"/>
      <c r="O109" s="1"/>
      <c r="P109" s="1"/>
      <c r="Q109" s="1"/>
      <c r="S109" s="1"/>
      <c r="T109" s="1"/>
      <c r="U109" s="1"/>
      <c r="V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 t="s">
        <v>12</v>
      </c>
      <c r="AN109" s="1" t="s">
        <v>13</v>
      </c>
      <c r="AO109" s="1">
        <v>280</v>
      </c>
      <c r="AP109" s="3">
        <v>0.46666666666666667</v>
      </c>
      <c r="AQ109" s="1"/>
    </row>
    <row r="110" spans="1:43" ht="12.3" x14ac:dyDescent="0.4">
      <c r="A110" s="1" t="s">
        <v>188</v>
      </c>
      <c r="B110" s="1"/>
      <c r="C110" s="1" t="s">
        <v>6</v>
      </c>
      <c r="D110" s="5" t="s">
        <v>7</v>
      </c>
      <c r="E110" s="5" t="s">
        <v>463</v>
      </c>
      <c r="F110" s="4" t="s">
        <v>465</v>
      </c>
      <c r="G110" s="4" t="s">
        <v>465</v>
      </c>
      <c r="I110" s="1" t="s">
        <v>8</v>
      </c>
      <c r="J110" s="1" t="s">
        <v>9</v>
      </c>
      <c r="K110" s="4" t="s">
        <v>464</v>
      </c>
      <c r="L110" s="1" t="s">
        <v>24</v>
      </c>
      <c r="M110" s="1"/>
      <c r="O110" s="1"/>
      <c r="P110" s="1"/>
      <c r="Q110" s="1"/>
      <c r="S110" s="1"/>
      <c r="T110" s="1"/>
      <c r="U110" s="1"/>
      <c r="V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 t="s">
        <v>12</v>
      </c>
      <c r="AN110" s="1" t="s">
        <v>13</v>
      </c>
      <c r="AO110" s="1">
        <v>288</v>
      </c>
      <c r="AP110" s="3">
        <v>0.48</v>
      </c>
      <c r="AQ110" s="1"/>
    </row>
    <row r="111" spans="1:43" ht="12.3" x14ac:dyDescent="0.4">
      <c r="A111" s="1" t="s">
        <v>189</v>
      </c>
      <c r="B111" s="1"/>
      <c r="C111" s="1" t="s">
        <v>6</v>
      </c>
      <c r="D111" s="5" t="s">
        <v>7</v>
      </c>
      <c r="E111" s="5" t="s">
        <v>463</v>
      </c>
      <c r="F111" s="4" t="s">
        <v>465</v>
      </c>
      <c r="G111" s="4" t="s">
        <v>465</v>
      </c>
      <c r="I111" s="1" t="s">
        <v>16</v>
      </c>
      <c r="J111" s="1" t="s">
        <v>10</v>
      </c>
      <c r="K111" s="4" t="s">
        <v>464</v>
      </c>
      <c r="L111" s="1" t="s">
        <v>26</v>
      </c>
      <c r="M111" s="1"/>
      <c r="O111" s="1"/>
      <c r="P111" s="1"/>
      <c r="Q111" s="1"/>
      <c r="S111" s="2"/>
      <c r="T111" s="1"/>
      <c r="U111" s="1"/>
      <c r="V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 t="s">
        <v>12</v>
      </c>
      <c r="AN111" s="1" t="s">
        <v>13</v>
      </c>
      <c r="AO111" s="1">
        <v>292</v>
      </c>
      <c r="AP111" s="3">
        <v>0.48666666666666669</v>
      </c>
      <c r="AQ111" s="1"/>
    </row>
    <row r="112" spans="1:43" ht="12.3" x14ac:dyDescent="0.4">
      <c r="A112" s="1" t="s">
        <v>190</v>
      </c>
      <c r="B112" s="1"/>
      <c r="C112" s="1" t="s">
        <v>6</v>
      </c>
      <c r="D112" s="5" t="s">
        <v>7</v>
      </c>
      <c r="E112" s="5" t="s">
        <v>463</v>
      </c>
      <c r="F112" s="4" t="s">
        <v>465</v>
      </c>
      <c r="G112" s="4" t="s">
        <v>465</v>
      </c>
      <c r="I112" s="1" t="s">
        <v>16</v>
      </c>
      <c r="J112" s="1" t="s">
        <v>10</v>
      </c>
      <c r="K112" s="4" t="s">
        <v>464</v>
      </c>
      <c r="L112" s="1" t="s">
        <v>28</v>
      </c>
      <c r="M112" s="1"/>
      <c r="O112" s="1"/>
      <c r="P112" s="1"/>
      <c r="Q112" s="1"/>
      <c r="S112" s="1"/>
      <c r="T112" s="1"/>
      <c r="U112" s="2"/>
      <c r="V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 t="s">
        <v>12</v>
      </c>
      <c r="AN112" s="1" t="s">
        <v>13</v>
      </c>
      <c r="AO112" s="1">
        <v>299</v>
      </c>
      <c r="AP112" s="3">
        <v>0.49833333333333335</v>
      </c>
      <c r="AQ112" s="1"/>
    </row>
    <row r="113" spans="1:43" ht="12.3" x14ac:dyDescent="0.4">
      <c r="A113" s="1" t="s">
        <v>191</v>
      </c>
      <c r="B113" s="1"/>
      <c r="C113" s="1" t="s">
        <v>6</v>
      </c>
      <c r="D113" s="5" t="s">
        <v>7</v>
      </c>
      <c r="E113" s="5" t="s">
        <v>463</v>
      </c>
      <c r="F113" s="4" t="s">
        <v>465</v>
      </c>
      <c r="G113" s="4" t="s">
        <v>465</v>
      </c>
      <c r="I113" s="1" t="s">
        <v>16</v>
      </c>
      <c r="J113" s="1" t="s">
        <v>10</v>
      </c>
      <c r="K113" s="4" t="s">
        <v>464</v>
      </c>
      <c r="L113" s="1" t="s">
        <v>26</v>
      </c>
      <c r="M113" s="1"/>
      <c r="O113" s="1"/>
      <c r="P113" s="1"/>
      <c r="Q113" s="1"/>
      <c r="S113" s="2"/>
      <c r="T113" s="1"/>
      <c r="U113" s="1"/>
      <c r="V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 t="s">
        <v>12</v>
      </c>
      <c r="AN113" s="1" t="s">
        <v>20</v>
      </c>
      <c r="AO113" s="1">
        <v>356</v>
      </c>
      <c r="AP113" s="3">
        <v>0.59333333333333338</v>
      </c>
      <c r="AQ113" s="1"/>
    </row>
    <row r="114" spans="1:43" ht="12.3" x14ac:dyDescent="0.4">
      <c r="A114" s="1" t="s">
        <v>193</v>
      </c>
      <c r="B114" s="1"/>
      <c r="C114" s="1" t="s">
        <v>6</v>
      </c>
      <c r="D114" s="5" t="s">
        <v>7</v>
      </c>
      <c r="E114" s="5" t="s">
        <v>463</v>
      </c>
      <c r="F114" s="4" t="s">
        <v>465</v>
      </c>
      <c r="G114" s="4" t="s">
        <v>465</v>
      </c>
      <c r="I114" s="1" t="s">
        <v>16</v>
      </c>
      <c r="J114" s="1" t="s">
        <v>10</v>
      </c>
      <c r="K114" s="4" t="s">
        <v>464</v>
      </c>
      <c r="L114" s="1" t="s">
        <v>24</v>
      </c>
      <c r="M114" s="1"/>
      <c r="O114" s="1"/>
      <c r="P114" s="1"/>
      <c r="Q114" s="1"/>
      <c r="S114" s="1"/>
      <c r="T114" s="1"/>
      <c r="U114" s="1"/>
      <c r="V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 t="s">
        <v>12</v>
      </c>
      <c r="AN114" s="1" t="s">
        <v>13</v>
      </c>
      <c r="AO114" s="1">
        <v>294</v>
      </c>
      <c r="AP114" s="3">
        <v>0.49</v>
      </c>
      <c r="AQ114" s="1"/>
    </row>
    <row r="115" spans="1:43" ht="12.3" x14ac:dyDescent="0.4">
      <c r="A115" s="1" t="s">
        <v>194</v>
      </c>
      <c r="B115" s="1"/>
      <c r="C115" s="1" t="s">
        <v>6</v>
      </c>
      <c r="D115" s="5" t="s">
        <v>7</v>
      </c>
      <c r="E115" s="5" t="s">
        <v>463</v>
      </c>
      <c r="F115" s="4" t="s">
        <v>465</v>
      </c>
      <c r="G115" s="4" t="s">
        <v>465</v>
      </c>
      <c r="I115" s="1" t="s">
        <v>16</v>
      </c>
      <c r="J115" s="1" t="s">
        <v>10</v>
      </c>
      <c r="K115" s="4" t="s">
        <v>464</v>
      </c>
      <c r="L115" s="1" t="s">
        <v>11</v>
      </c>
      <c r="M115" s="1"/>
      <c r="O115" s="1"/>
      <c r="P115" s="1"/>
      <c r="Q115" s="1"/>
      <c r="S115" s="2"/>
      <c r="T115" s="1"/>
      <c r="U115" s="2"/>
      <c r="V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 t="s">
        <v>12</v>
      </c>
      <c r="AN115" s="1" t="s">
        <v>20</v>
      </c>
      <c r="AO115" s="1">
        <v>334</v>
      </c>
      <c r="AP115" s="3">
        <v>0.55666666666666664</v>
      </c>
      <c r="AQ115" s="1"/>
    </row>
    <row r="116" spans="1:43" ht="12.3" x14ac:dyDescent="0.4">
      <c r="A116" s="1" t="s">
        <v>195</v>
      </c>
      <c r="B116" s="1"/>
      <c r="C116" s="1" t="s">
        <v>6</v>
      </c>
      <c r="D116" s="5" t="s">
        <v>7</v>
      </c>
      <c r="E116" s="5" t="s">
        <v>463</v>
      </c>
      <c r="F116" s="4" t="s">
        <v>465</v>
      </c>
      <c r="G116" s="4" t="s">
        <v>465</v>
      </c>
      <c r="I116" s="1" t="s">
        <v>16</v>
      </c>
      <c r="J116" s="1" t="s">
        <v>10</v>
      </c>
      <c r="K116" s="4" t="s">
        <v>464</v>
      </c>
      <c r="L116" s="1" t="s">
        <v>28</v>
      </c>
      <c r="M116" s="1"/>
      <c r="O116" s="1"/>
      <c r="P116" s="1"/>
      <c r="Q116" s="1"/>
      <c r="S116" s="2"/>
      <c r="T116" s="1"/>
      <c r="U116" s="1"/>
      <c r="V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 t="s">
        <v>12</v>
      </c>
      <c r="AN116" s="1" t="s">
        <v>13</v>
      </c>
      <c r="AO116" s="1">
        <v>301</v>
      </c>
      <c r="AP116" s="3">
        <v>0.50166666666666671</v>
      </c>
      <c r="AQ116" s="1"/>
    </row>
    <row r="117" spans="1:43" ht="12.3" x14ac:dyDescent="0.4">
      <c r="A117" s="1" t="s">
        <v>196</v>
      </c>
      <c r="B117" s="1"/>
      <c r="C117" s="1" t="s">
        <v>6</v>
      </c>
      <c r="D117" s="5" t="s">
        <v>7</v>
      </c>
      <c r="E117" s="5" t="s">
        <v>463</v>
      </c>
      <c r="F117" s="4" t="s">
        <v>465</v>
      </c>
      <c r="G117" s="4" t="s">
        <v>465</v>
      </c>
      <c r="I117" s="1" t="s">
        <v>16</v>
      </c>
      <c r="J117" s="1" t="s">
        <v>10</v>
      </c>
      <c r="K117" s="4" t="s">
        <v>464</v>
      </c>
      <c r="L117" s="1" t="s">
        <v>11</v>
      </c>
      <c r="M117" s="1"/>
      <c r="O117" s="1"/>
      <c r="P117" s="1"/>
      <c r="Q117" s="1"/>
      <c r="S117" s="1"/>
      <c r="T117" s="1"/>
      <c r="U117" s="1"/>
      <c r="V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 t="s">
        <v>12</v>
      </c>
      <c r="AN117" s="1" t="s">
        <v>13</v>
      </c>
      <c r="AO117" s="1">
        <v>299</v>
      </c>
      <c r="AP117" s="3">
        <v>0.49833333333333335</v>
      </c>
      <c r="AQ117" s="1"/>
    </row>
    <row r="118" spans="1:43" ht="12.3" x14ac:dyDescent="0.4">
      <c r="A118" s="1" t="s">
        <v>197</v>
      </c>
      <c r="B118" s="1"/>
      <c r="C118" s="1" t="s">
        <v>6</v>
      </c>
      <c r="D118" s="5" t="s">
        <v>7</v>
      </c>
      <c r="E118" s="5" t="s">
        <v>463</v>
      </c>
      <c r="F118" s="4" t="s">
        <v>465</v>
      </c>
      <c r="G118" s="4" t="s">
        <v>465</v>
      </c>
      <c r="I118" s="1" t="s">
        <v>16</v>
      </c>
      <c r="J118" s="1" t="s">
        <v>10</v>
      </c>
      <c r="K118" s="4" t="s">
        <v>464</v>
      </c>
      <c r="L118" s="1" t="s">
        <v>11</v>
      </c>
      <c r="M118" s="1"/>
      <c r="O118" s="1"/>
      <c r="P118" s="1"/>
      <c r="Q118" s="1"/>
      <c r="S118" s="2"/>
      <c r="T118" s="1"/>
      <c r="U118" s="2"/>
      <c r="V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 t="s">
        <v>12</v>
      </c>
      <c r="AN118" s="1" t="s">
        <v>20</v>
      </c>
      <c r="AO118" s="1">
        <v>395</v>
      </c>
      <c r="AP118" s="3">
        <v>0.65833333333333333</v>
      </c>
      <c r="AQ118" s="1"/>
    </row>
    <row r="119" spans="1:43" ht="12.3" x14ac:dyDescent="0.4">
      <c r="A119" s="1" t="s">
        <v>198</v>
      </c>
      <c r="B119" s="1"/>
      <c r="C119" s="1" t="s">
        <v>6</v>
      </c>
      <c r="D119" s="5" t="s">
        <v>7</v>
      </c>
      <c r="E119" s="5" t="s">
        <v>463</v>
      </c>
      <c r="F119" s="4" t="s">
        <v>465</v>
      </c>
      <c r="G119" s="4" t="s">
        <v>465</v>
      </c>
      <c r="I119" s="1" t="s">
        <v>8</v>
      </c>
      <c r="J119" s="1" t="s">
        <v>9</v>
      </c>
      <c r="K119" s="4" t="s">
        <v>464</v>
      </c>
      <c r="L119" s="1" t="s">
        <v>25</v>
      </c>
      <c r="M119" s="1"/>
      <c r="O119" s="1"/>
      <c r="P119" s="1"/>
      <c r="Q119" s="1"/>
      <c r="S119" s="2"/>
      <c r="T119" s="1"/>
      <c r="U119" s="2"/>
      <c r="V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 t="s">
        <v>12</v>
      </c>
      <c r="AN119" s="1" t="s">
        <v>14</v>
      </c>
      <c r="AO119" s="1">
        <v>272</v>
      </c>
      <c r="AP119" s="3">
        <v>0.45333333333333331</v>
      </c>
      <c r="AQ119" s="1"/>
    </row>
    <row r="120" spans="1:43" ht="12.3" x14ac:dyDescent="0.4">
      <c r="A120" s="1" t="s">
        <v>199</v>
      </c>
      <c r="B120" s="1"/>
      <c r="C120" s="1" t="s">
        <v>6</v>
      </c>
      <c r="D120" s="5" t="s">
        <v>7</v>
      </c>
      <c r="E120" s="5" t="s">
        <v>463</v>
      </c>
      <c r="F120" s="4" t="s">
        <v>465</v>
      </c>
      <c r="G120" s="4" t="s">
        <v>465</v>
      </c>
      <c r="I120" s="1" t="s">
        <v>8</v>
      </c>
      <c r="J120" s="1" t="s">
        <v>9</v>
      </c>
      <c r="K120" s="4" t="s">
        <v>464</v>
      </c>
      <c r="L120" s="1" t="s">
        <v>23</v>
      </c>
      <c r="M120" s="1"/>
      <c r="O120" s="1"/>
      <c r="P120" s="1"/>
      <c r="Q120" s="1"/>
      <c r="S120" s="2"/>
      <c r="T120" s="1"/>
      <c r="U120" s="1"/>
      <c r="V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 t="s">
        <v>12</v>
      </c>
      <c r="AN120" s="1" t="s">
        <v>20</v>
      </c>
      <c r="AO120" s="1">
        <v>390</v>
      </c>
      <c r="AP120" s="3">
        <v>0.65</v>
      </c>
      <c r="AQ120" s="1"/>
    </row>
    <row r="121" spans="1:43" ht="12.3" x14ac:dyDescent="0.4">
      <c r="A121" s="1" t="s">
        <v>200</v>
      </c>
      <c r="B121" s="1"/>
      <c r="C121" s="1" t="s">
        <v>6</v>
      </c>
      <c r="D121" s="5" t="s">
        <v>7</v>
      </c>
      <c r="E121" s="5" t="s">
        <v>463</v>
      </c>
      <c r="F121" s="4" t="s">
        <v>465</v>
      </c>
      <c r="G121" s="4" t="s">
        <v>465</v>
      </c>
      <c r="I121" s="1" t="s">
        <v>8</v>
      </c>
      <c r="J121" s="1" t="s">
        <v>9</v>
      </c>
      <c r="K121" s="4" t="s">
        <v>464</v>
      </c>
      <c r="L121" s="1" t="s">
        <v>25</v>
      </c>
      <c r="M121" s="1"/>
      <c r="O121" s="1"/>
      <c r="P121" s="1"/>
      <c r="Q121" s="1"/>
      <c r="S121" s="2"/>
      <c r="T121" s="1"/>
      <c r="U121" s="1"/>
      <c r="V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 t="s">
        <v>12</v>
      </c>
      <c r="AN121" s="1" t="s">
        <v>18</v>
      </c>
      <c r="AO121" s="1">
        <v>330</v>
      </c>
      <c r="AP121" s="3">
        <v>0.55000000000000004</v>
      </c>
      <c r="AQ121" s="1"/>
    </row>
    <row r="122" spans="1:43" ht="12.3" x14ac:dyDescent="0.4">
      <c r="A122" s="1" t="s">
        <v>201</v>
      </c>
      <c r="B122" s="1"/>
      <c r="C122" s="1" t="s">
        <v>6</v>
      </c>
      <c r="D122" s="5" t="s">
        <v>7</v>
      </c>
      <c r="E122" s="5" t="s">
        <v>463</v>
      </c>
      <c r="F122" s="4" t="s">
        <v>465</v>
      </c>
      <c r="G122" s="4" t="s">
        <v>465</v>
      </c>
      <c r="I122" s="1" t="s">
        <v>8</v>
      </c>
      <c r="J122" s="1" t="s">
        <v>9</v>
      </c>
      <c r="K122" s="4" t="s">
        <v>464</v>
      </c>
      <c r="L122" s="1" t="s">
        <v>30</v>
      </c>
      <c r="M122" s="1"/>
      <c r="O122" s="1"/>
      <c r="P122" s="1"/>
      <c r="Q122" s="1"/>
      <c r="S122" s="1"/>
      <c r="T122" s="1"/>
      <c r="U122" s="1"/>
      <c r="V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 t="s">
        <v>12</v>
      </c>
      <c r="AN122" s="1" t="s">
        <v>20</v>
      </c>
      <c r="AO122" s="1">
        <v>360</v>
      </c>
      <c r="AP122" s="3">
        <v>0.6</v>
      </c>
      <c r="AQ122" s="1"/>
    </row>
    <row r="123" spans="1:43" ht="12.3" x14ac:dyDescent="0.4">
      <c r="A123" s="1" t="s">
        <v>202</v>
      </c>
      <c r="B123" s="1"/>
      <c r="C123" s="1" t="s">
        <v>6</v>
      </c>
      <c r="D123" s="5" t="s">
        <v>7</v>
      </c>
      <c r="E123" s="5" t="s">
        <v>463</v>
      </c>
      <c r="F123" s="4" t="s">
        <v>465</v>
      </c>
      <c r="G123" s="4" t="s">
        <v>465</v>
      </c>
      <c r="I123" s="1" t="s">
        <v>16</v>
      </c>
      <c r="J123" s="1" t="s">
        <v>10</v>
      </c>
      <c r="K123" s="4" t="s">
        <v>464</v>
      </c>
      <c r="L123" s="1" t="s">
        <v>22</v>
      </c>
      <c r="M123" s="1"/>
      <c r="O123" s="1"/>
      <c r="P123" s="1"/>
      <c r="Q123" s="1"/>
      <c r="S123" s="2"/>
      <c r="T123" s="1"/>
      <c r="U123" s="2"/>
      <c r="V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 t="s">
        <v>12</v>
      </c>
      <c r="AN123" s="1" t="s">
        <v>18</v>
      </c>
      <c r="AO123" s="1">
        <v>328</v>
      </c>
      <c r="AP123" s="3">
        <v>0.54666666666666663</v>
      </c>
      <c r="AQ123" s="1"/>
    </row>
    <row r="124" spans="1:43" ht="12.3" x14ac:dyDescent="0.4">
      <c r="A124" s="1" t="s">
        <v>203</v>
      </c>
      <c r="B124" s="1"/>
      <c r="C124" s="1" t="s">
        <v>6</v>
      </c>
      <c r="D124" s="5" t="s">
        <v>7</v>
      </c>
      <c r="E124" s="5" t="s">
        <v>463</v>
      </c>
      <c r="F124" s="4" t="s">
        <v>465</v>
      </c>
      <c r="G124" s="4" t="s">
        <v>465</v>
      </c>
      <c r="I124" s="1" t="s">
        <v>16</v>
      </c>
      <c r="J124" s="1" t="s">
        <v>10</v>
      </c>
      <c r="K124" s="4" t="s">
        <v>464</v>
      </c>
      <c r="L124" s="1" t="s">
        <v>19</v>
      </c>
      <c r="M124" s="1"/>
      <c r="O124" s="1"/>
      <c r="P124" s="1"/>
      <c r="Q124" s="1"/>
      <c r="S124" s="1"/>
      <c r="T124" s="1"/>
      <c r="U124" s="1"/>
      <c r="V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 t="s">
        <v>12</v>
      </c>
      <c r="AN124" s="1" t="s">
        <v>20</v>
      </c>
      <c r="AO124" s="1">
        <v>378</v>
      </c>
      <c r="AP124" s="3">
        <v>0.63</v>
      </c>
      <c r="AQ124" s="1"/>
    </row>
    <row r="125" spans="1:43" ht="12.3" x14ac:dyDescent="0.4">
      <c r="A125" s="1" t="s">
        <v>204</v>
      </c>
      <c r="B125" s="1"/>
      <c r="C125" s="1" t="s">
        <v>6</v>
      </c>
      <c r="D125" s="5" t="s">
        <v>7</v>
      </c>
      <c r="E125" s="5" t="s">
        <v>463</v>
      </c>
      <c r="F125" s="4" t="s">
        <v>465</v>
      </c>
      <c r="G125" s="4" t="s">
        <v>465</v>
      </c>
      <c r="I125" s="1" t="s">
        <v>8</v>
      </c>
      <c r="J125" s="1" t="s">
        <v>9</v>
      </c>
      <c r="K125" s="4" t="s">
        <v>464</v>
      </c>
      <c r="L125" s="1" t="s">
        <v>28</v>
      </c>
      <c r="M125" s="1"/>
      <c r="O125" s="1"/>
      <c r="P125" s="1"/>
      <c r="Q125" s="1"/>
      <c r="S125" s="2"/>
      <c r="T125" s="1"/>
      <c r="U125" s="1"/>
      <c r="V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 t="s">
        <v>12</v>
      </c>
      <c r="AN125" s="1" t="s">
        <v>20</v>
      </c>
      <c r="AO125" s="1">
        <v>339</v>
      </c>
      <c r="AP125" s="3">
        <v>0.56499999999999995</v>
      </c>
      <c r="AQ125" s="1"/>
    </row>
    <row r="126" spans="1:43" ht="12.3" x14ac:dyDescent="0.4">
      <c r="A126" s="1" t="s">
        <v>205</v>
      </c>
      <c r="B126" s="1"/>
      <c r="C126" s="1" t="s">
        <v>6</v>
      </c>
      <c r="D126" s="5" t="s">
        <v>7</v>
      </c>
      <c r="E126" s="5" t="s">
        <v>463</v>
      </c>
      <c r="F126" s="4" t="s">
        <v>465</v>
      </c>
      <c r="G126" s="4" t="s">
        <v>465</v>
      </c>
      <c r="I126" s="1" t="s">
        <v>16</v>
      </c>
      <c r="J126" s="1" t="s">
        <v>9</v>
      </c>
      <c r="K126" s="4" t="s">
        <v>464</v>
      </c>
      <c r="L126" s="1" t="s">
        <v>30</v>
      </c>
      <c r="M126" s="1"/>
      <c r="O126" s="1"/>
      <c r="P126" s="1"/>
      <c r="Q126" s="1"/>
      <c r="S126" s="1"/>
      <c r="T126" s="1"/>
      <c r="U126" s="2"/>
      <c r="V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 t="s">
        <v>12</v>
      </c>
      <c r="AN126" s="1" t="s">
        <v>18</v>
      </c>
      <c r="AO126" s="1">
        <v>321</v>
      </c>
      <c r="AP126" s="3">
        <v>0.53500000000000003</v>
      </c>
      <c r="AQ126" s="1"/>
    </row>
    <row r="127" spans="1:43" ht="12.3" x14ac:dyDescent="0.4">
      <c r="A127" s="1" t="s">
        <v>206</v>
      </c>
      <c r="B127" s="1"/>
      <c r="C127" s="1" t="s">
        <v>6</v>
      </c>
      <c r="D127" s="5" t="s">
        <v>7</v>
      </c>
      <c r="E127" s="5" t="s">
        <v>463</v>
      </c>
      <c r="F127" s="4" t="s">
        <v>465</v>
      </c>
      <c r="G127" s="4" t="s">
        <v>465</v>
      </c>
      <c r="I127" s="1" t="s">
        <v>16</v>
      </c>
      <c r="J127" s="1" t="s">
        <v>10</v>
      </c>
      <c r="K127" s="4" t="s">
        <v>464</v>
      </c>
      <c r="L127" s="1" t="s">
        <v>22</v>
      </c>
      <c r="M127" s="1"/>
      <c r="O127" s="1"/>
      <c r="P127" s="1"/>
      <c r="Q127" s="1"/>
      <c r="S127" s="2"/>
      <c r="T127" s="1"/>
      <c r="U127" s="1"/>
      <c r="V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 t="s">
        <v>12</v>
      </c>
      <c r="AN127" s="1" t="s">
        <v>20</v>
      </c>
      <c r="AO127" s="1">
        <v>348</v>
      </c>
      <c r="AP127" s="3">
        <v>0.57999999999999996</v>
      </c>
      <c r="AQ127" s="1"/>
    </row>
    <row r="128" spans="1:43" ht="12.3" x14ac:dyDescent="0.4">
      <c r="A128" s="1" t="s">
        <v>207</v>
      </c>
      <c r="B128" s="1"/>
      <c r="C128" s="1" t="s">
        <v>6</v>
      </c>
      <c r="D128" s="5" t="s">
        <v>7</v>
      </c>
      <c r="E128" s="5" t="s">
        <v>463</v>
      </c>
      <c r="F128" s="4" t="s">
        <v>465</v>
      </c>
      <c r="G128" s="4" t="s">
        <v>465</v>
      </c>
      <c r="I128" s="1" t="s">
        <v>8</v>
      </c>
      <c r="J128" s="1" t="s">
        <v>9</v>
      </c>
      <c r="K128" s="4" t="s">
        <v>464</v>
      </c>
      <c r="L128" s="1" t="s">
        <v>17</v>
      </c>
      <c r="M128" s="1"/>
      <c r="O128" s="1"/>
      <c r="P128" s="1"/>
      <c r="Q128" s="1"/>
      <c r="S128" s="1"/>
      <c r="T128" s="1"/>
      <c r="U128" s="2"/>
      <c r="V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 t="s">
        <v>12</v>
      </c>
      <c r="AN128" s="1" t="s">
        <v>20</v>
      </c>
      <c r="AO128" s="1">
        <v>335</v>
      </c>
      <c r="AP128" s="3">
        <v>0.55833333333333335</v>
      </c>
      <c r="AQ128" s="1"/>
    </row>
    <row r="129" spans="1:43" ht="12.3" x14ac:dyDescent="0.4">
      <c r="A129" s="1" t="s">
        <v>208</v>
      </c>
      <c r="B129" s="1"/>
      <c r="C129" s="1" t="s">
        <v>6</v>
      </c>
      <c r="D129" s="5" t="s">
        <v>7</v>
      </c>
      <c r="E129" s="5" t="s">
        <v>463</v>
      </c>
      <c r="F129" s="4" t="s">
        <v>465</v>
      </c>
      <c r="G129" s="4" t="s">
        <v>465</v>
      </c>
      <c r="I129" s="1" t="s">
        <v>16</v>
      </c>
      <c r="J129" s="1" t="s">
        <v>10</v>
      </c>
      <c r="K129" s="4" t="s">
        <v>464</v>
      </c>
      <c r="L129" s="1" t="s">
        <v>24</v>
      </c>
      <c r="M129" s="1"/>
      <c r="O129" s="1"/>
      <c r="P129" s="1"/>
      <c r="Q129" s="1"/>
      <c r="S129" s="2"/>
      <c r="T129" s="1"/>
      <c r="U129" s="1"/>
      <c r="V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 t="s">
        <v>12</v>
      </c>
      <c r="AN129" s="1" t="s">
        <v>20</v>
      </c>
      <c r="AO129" s="1">
        <v>499</v>
      </c>
      <c r="AP129" s="3">
        <v>0.83166666666666667</v>
      </c>
      <c r="AQ129" s="1"/>
    </row>
    <row r="130" spans="1:43" ht="12.3" x14ac:dyDescent="0.4">
      <c r="A130" s="1" t="s">
        <v>209</v>
      </c>
      <c r="B130" s="1"/>
      <c r="C130" s="1" t="s">
        <v>6</v>
      </c>
      <c r="D130" s="5" t="s">
        <v>7</v>
      </c>
      <c r="E130" s="5" t="s">
        <v>463</v>
      </c>
      <c r="F130" s="4" t="s">
        <v>465</v>
      </c>
      <c r="G130" s="4" t="s">
        <v>465</v>
      </c>
      <c r="I130" s="1" t="s">
        <v>16</v>
      </c>
      <c r="J130" s="1" t="s">
        <v>10</v>
      </c>
      <c r="K130" s="4" t="s">
        <v>464</v>
      </c>
      <c r="L130" s="1" t="s">
        <v>26</v>
      </c>
      <c r="M130" s="1"/>
      <c r="O130" s="1"/>
      <c r="P130" s="1"/>
      <c r="Q130" s="1"/>
      <c r="S130" s="2"/>
      <c r="T130" s="1"/>
      <c r="U130" s="2"/>
      <c r="V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 t="s">
        <v>12</v>
      </c>
      <c r="AN130" s="1" t="s">
        <v>18</v>
      </c>
      <c r="AO130" s="1">
        <v>320</v>
      </c>
      <c r="AP130" s="3">
        <v>0.53333333333333333</v>
      </c>
      <c r="AQ130" s="1"/>
    </row>
    <row r="131" spans="1:43" ht="12.3" x14ac:dyDescent="0.4">
      <c r="A131" s="1" t="s">
        <v>210</v>
      </c>
      <c r="B131" s="1"/>
      <c r="C131" s="1" t="s">
        <v>6</v>
      </c>
      <c r="D131" s="5" t="s">
        <v>7</v>
      </c>
      <c r="E131" s="5" t="s">
        <v>463</v>
      </c>
      <c r="F131" s="4" t="s">
        <v>465</v>
      </c>
      <c r="G131" s="4" t="s">
        <v>465</v>
      </c>
      <c r="I131" s="1" t="s">
        <v>16</v>
      </c>
      <c r="J131" s="1" t="s">
        <v>9</v>
      </c>
      <c r="K131" s="4" t="s">
        <v>464</v>
      </c>
      <c r="L131" s="1" t="s">
        <v>11</v>
      </c>
      <c r="M131" s="1"/>
      <c r="O131" s="1"/>
      <c r="P131" s="1"/>
      <c r="Q131" s="1"/>
      <c r="S131" s="2"/>
      <c r="T131" s="1"/>
      <c r="U131" s="1"/>
      <c r="V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 t="s">
        <v>12</v>
      </c>
      <c r="AN131" s="1" t="s">
        <v>20</v>
      </c>
      <c r="AO131" s="1">
        <v>449</v>
      </c>
      <c r="AP131" s="3">
        <v>0.74833333333333329</v>
      </c>
      <c r="AQ131" s="1"/>
    </row>
    <row r="132" spans="1:43" ht="12.3" x14ac:dyDescent="0.4">
      <c r="A132" s="1" t="s">
        <v>211</v>
      </c>
      <c r="B132" s="1"/>
      <c r="C132" s="1" t="s">
        <v>6</v>
      </c>
      <c r="D132" s="5" t="s">
        <v>7</v>
      </c>
      <c r="E132" s="5" t="s">
        <v>463</v>
      </c>
      <c r="F132" s="4" t="s">
        <v>465</v>
      </c>
      <c r="G132" s="4" t="s">
        <v>465</v>
      </c>
      <c r="I132" s="1" t="s">
        <v>16</v>
      </c>
      <c r="J132" s="1" t="s">
        <v>10</v>
      </c>
      <c r="K132" s="4" t="s">
        <v>464</v>
      </c>
      <c r="L132" s="1" t="s">
        <v>11</v>
      </c>
      <c r="M132" s="1"/>
      <c r="O132" s="1"/>
      <c r="P132" s="1"/>
      <c r="Q132" s="1"/>
      <c r="S132" s="2"/>
      <c r="T132" s="1"/>
      <c r="U132" s="1"/>
      <c r="V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 t="s">
        <v>12</v>
      </c>
      <c r="AN132" s="1" t="s">
        <v>14</v>
      </c>
      <c r="AO132" s="1">
        <v>275</v>
      </c>
      <c r="AP132" s="3">
        <v>0.45833333333333331</v>
      </c>
      <c r="AQ132" s="1"/>
    </row>
    <row r="133" spans="1:43" ht="12.3" x14ac:dyDescent="0.4">
      <c r="A133" s="1" t="s">
        <v>212</v>
      </c>
      <c r="B133" s="1"/>
      <c r="C133" s="1" t="s">
        <v>6</v>
      </c>
      <c r="D133" s="5" t="s">
        <v>7</v>
      </c>
      <c r="E133" s="5" t="s">
        <v>463</v>
      </c>
      <c r="F133" s="4" t="s">
        <v>465</v>
      </c>
      <c r="G133" s="4" t="s">
        <v>465</v>
      </c>
      <c r="I133" s="1" t="s">
        <v>29</v>
      </c>
      <c r="J133" s="1" t="s">
        <v>9</v>
      </c>
      <c r="K133" s="4" t="s">
        <v>464</v>
      </c>
      <c r="O133" s="1"/>
      <c r="P133" s="1"/>
      <c r="Q133" s="1"/>
      <c r="S133" s="1"/>
      <c r="T133" s="1"/>
      <c r="U133" s="1"/>
      <c r="V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 t="s">
        <v>12</v>
      </c>
      <c r="AN133" s="1" t="s">
        <v>14</v>
      </c>
      <c r="AO133" s="1">
        <v>247</v>
      </c>
      <c r="AP133" s="3">
        <v>0.41166666666666668</v>
      </c>
      <c r="AQ133" s="1"/>
    </row>
    <row r="134" spans="1:43" ht="12.3" x14ac:dyDescent="0.4">
      <c r="A134" s="1" t="s">
        <v>213</v>
      </c>
      <c r="B134" s="1"/>
      <c r="C134" s="1" t="s">
        <v>6</v>
      </c>
      <c r="D134" s="5" t="s">
        <v>7</v>
      </c>
      <c r="E134" s="5" t="s">
        <v>463</v>
      </c>
      <c r="F134" s="4" t="s">
        <v>465</v>
      </c>
      <c r="G134" s="4" t="s">
        <v>465</v>
      </c>
      <c r="I134" s="1" t="s">
        <v>8</v>
      </c>
      <c r="J134" s="1" t="s">
        <v>9</v>
      </c>
      <c r="K134" s="4" t="s">
        <v>464</v>
      </c>
      <c r="L134" s="1" t="s">
        <v>26</v>
      </c>
      <c r="M134" s="1"/>
      <c r="O134" s="1"/>
      <c r="P134" s="1"/>
      <c r="Q134" s="1"/>
      <c r="S134" s="1"/>
      <c r="T134" s="1"/>
      <c r="U134" s="1"/>
      <c r="V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 t="s">
        <v>12</v>
      </c>
      <c r="AN134" s="1" t="s">
        <v>14</v>
      </c>
      <c r="AO134" s="1">
        <v>272</v>
      </c>
      <c r="AP134" s="3">
        <v>0.45333333333333331</v>
      </c>
      <c r="AQ134" s="1"/>
    </row>
    <row r="135" spans="1:43" ht="12.3" x14ac:dyDescent="0.4">
      <c r="A135" s="1" t="s">
        <v>214</v>
      </c>
      <c r="B135" s="1"/>
      <c r="C135" s="1" t="s">
        <v>6</v>
      </c>
      <c r="D135" s="5" t="s">
        <v>7</v>
      </c>
      <c r="E135" s="5" t="s">
        <v>463</v>
      </c>
      <c r="F135" s="4" t="s">
        <v>465</v>
      </c>
      <c r="G135" s="4" t="s">
        <v>465</v>
      </c>
      <c r="I135" s="1" t="s">
        <v>16</v>
      </c>
      <c r="J135" s="1" t="s">
        <v>10</v>
      </c>
      <c r="K135" s="4" t="s">
        <v>464</v>
      </c>
      <c r="L135" s="1" t="s">
        <v>19</v>
      </c>
      <c r="M135" s="1"/>
      <c r="O135" s="1"/>
      <c r="P135" s="1"/>
      <c r="Q135" s="1"/>
      <c r="S135" s="1"/>
      <c r="T135" s="1"/>
      <c r="U135" s="1"/>
      <c r="V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 t="s">
        <v>12</v>
      </c>
      <c r="AN135" s="1" t="s">
        <v>13</v>
      </c>
      <c r="AO135" s="1">
        <v>303</v>
      </c>
      <c r="AP135" s="3">
        <v>0.505</v>
      </c>
      <c r="AQ135" s="1"/>
    </row>
    <row r="136" spans="1:43" ht="12.3" x14ac:dyDescent="0.4">
      <c r="A136" s="1" t="s">
        <v>215</v>
      </c>
      <c r="B136" s="1"/>
      <c r="C136" s="1" t="s">
        <v>6</v>
      </c>
      <c r="D136" s="5" t="s">
        <v>7</v>
      </c>
      <c r="E136" s="5" t="s">
        <v>463</v>
      </c>
      <c r="F136" s="4" t="s">
        <v>465</v>
      </c>
      <c r="G136" s="4" t="s">
        <v>465</v>
      </c>
      <c r="I136" s="1" t="s">
        <v>16</v>
      </c>
      <c r="J136" s="1" t="s">
        <v>10</v>
      </c>
      <c r="K136" s="4" t="s">
        <v>464</v>
      </c>
      <c r="L136" s="1" t="s">
        <v>23</v>
      </c>
      <c r="M136" s="1"/>
      <c r="O136" s="1"/>
      <c r="P136" s="1"/>
      <c r="Q136" s="1"/>
      <c r="S136" s="2"/>
      <c r="T136" s="1"/>
      <c r="U136" s="2"/>
      <c r="V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 t="s">
        <v>12</v>
      </c>
      <c r="AN136" s="1" t="s">
        <v>14</v>
      </c>
      <c r="AO136" s="1">
        <v>256</v>
      </c>
      <c r="AP136" s="3">
        <v>0.42666666666666669</v>
      </c>
      <c r="AQ136" s="1"/>
    </row>
    <row r="137" spans="1:43" ht="12.3" x14ac:dyDescent="0.4">
      <c r="A137" s="1" t="s">
        <v>216</v>
      </c>
      <c r="B137" s="1"/>
      <c r="C137" s="1" t="s">
        <v>6</v>
      </c>
      <c r="D137" s="5" t="s">
        <v>7</v>
      </c>
      <c r="E137" s="5" t="s">
        <v>463</v>
      </c>
      <c r="F137" s="4" t="s">
        <v>465</v>
      </c>
      <c r="G137" s="4" t="s">
        <v>465</v>
      </c>
      <c r="I137" s="1" t="s">
        <v>16</v>
      </c>
      <c r="J137" s="1" t="s">
        <v>10</v>
      </c>
      <c r="K137" s="4" t="s">
        <v>464</v>
      </c>
      <c r="L137" s="1" t="s">
        <v>28</v>
      </c>
      <c r="M137" s="1"/>
      <c r="O137" s="1"/>
      <c r="P137" s="1"/>
      <c r="Q137" s="1"/>
      <c r="S137" s="2"/>
      <c r="T137" s="1"/>
      <c r="U137" s="2"/>
      <c r="V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 t="s">
        <v>12</v>
      </c>
      <c r="AN137" s="1" t="s">
        <v>18</v>
      </c>
      <c r="AO137" s="1">
        <v>326</v>
      </c>
      <c r="AP137" s="3">
        <v>0.54333333333333333</v>
      </c>
      <c r="AQ137" s="1"/>
    </row>
    <row r="138" spans="1:43" ht="12.3" x14ac:dyDescent="0.4">
      <c r="A138" s="1" t="s">
        <v>217</v>
      </c>
      <c r="B138" s="1"/>
      <c r="C138" s="1" t="s">
        <v>6</v>
      </c>
      <c r="D138" s="5" t="s">
        <v>7</v>
      </c>
      <c r="E138" s="5" t="s">
        <v>463</v>
      </c>
      <c r="F138" s="4" t="s">
        <v>465</v>
      </c>
      <c r="G138" s="4" t="s">
        <v>465</v>
      </c>
      <c r="I138" s="1" t="s">
        <v>8</v>
      </c>
      <c r="J138" s="1" t="s">
        <v>9</v>
      </c>
      <c r="K138" s="4" t="s">
        <v>464</v>
      </c>
      <c r="L138" s="1" t="s">
        <v>22</v>
      </c>
      <c r="M138" s="1"/>
      <c r="O138" s="1"/>
      <c r="P138" s="1"/>
      <c r="Q138" s="1"/>
      <c r="S138" s="2"/>
      <c r="T138" s="1"/>
      <c r="U138" s="2"/>
      <c r="V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 t="s">
        <v>12</v>
      </c>
      <c r="AN138" s="1" t="s">
        <v>13</v>
      </c>
      <c r="AO138" s="1">
        <v>299</v>
      </c>
      <c r="AP138" s="3">
        <v>0.49833333333333335</v>
      </c>
      <c r="AQ138" s="1"/>
    </row>
    <row r="139" spans="1:43" ht="12.3" x14ac:dyDescent="0.4">
      <c r="A139" s="1" t="s">
        <v>218</v>
      </c>
      <c r="B139" s="1"/>
      <c r="C139" s="1" t="s">
        <v>6</v>
      </c>
      <c r="D139" s="5" t="s">
        <v>7</v>
      </c>
      <c r="E139" s="5" t="s">
        <v>463</v>
      </c>
      <c r="F139" s="4" t="s">
        <v>465</v>
      </c>
      <c r="G139" s="4" t="s">
        <v>465</v>
      </c>
      <c r="I139" s="1" t="s">
        <v>8</v>
      </c>
      <c r="J139" s="1" t="s">
        <v>9</v>
      </c>
      <c r="K139" s="4" t="s">
        <v>464</v>
      </c>
      <c r="L139" s="1" t="s">
        <v>21</v>
      </c>
      <c r="M139" s="1"/>
      <c r="O139" s="1"/>
      <c r="P139" s="1"/>
      <c r="Q139" s="1"/>
      <c r="S139" s="1"/>
      <c r="T139" s="1"/>
      <c r="U139" s="2"/>
      <c r="V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 t="s">
        <v>12</v>
      </c>
      <c r="AN139" s="1" t="s">
        <v>20</v>
      </c>
      <c r="AO139" s="1">
        <v>356</v>
      </c>
      <c r="AP139" s="3">
        <v>0.59333333333333338</v>
      </c>
      <c r="AQ139" s="1"/>
    </row>
    <row r="140" spans="1:43" ht="12.3" x14ac:dyDescent="0.4">
      <c r="A140" s="1" t="s">
        <v>219</v>
      </c>
      <c r="B140" s="1"/>
      <c r="C140" s="1" t="s">
        <v>6</v>
      </c>
      <c r="D140" s="5" t="s">
        <v>7</v>
      </c>
      <c r="E140" s="5" t="s">
        <v>463</v>
      </c>
      <c r="F140" s="4" t="s">
        <v>465</v>
      </c>
      <c r="G140" s="4" t="s">
        <v>465</v>
      </c>
      <c r="I140" s="1" t="s">
        <v>29</v>
      </c>
      <c r="J140" s="1" t="s">
        <v>9</v>
      </c>
      <c r="K140" s="4" t="s">
        <v>464</v>
      </c>
      <c r="L140" s="1" t="s">
        <v>23</v>
      </c>
      <c r="M140" s="1"/>
      <c r="O140" s="1"/>
      <c r="P140" s="1"/>
      <c r="Q140" s="1"/>
      <c r="S140" s="2"/>
      <c r="T140" s="1"/>
      <c r="U140" s="1"/>
      <c r="V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 t="s">
        <v>12</v>
      </c>
      <c r="AN140" s="1" t="s">
        <v>13</v>
      </c>
      <c r="AO140" s="1">
        <v>299</v>
      </c>
      <c r="AP140" s="3">
        <v>0.49833333333333335</v>
      </c>
      <c r="AQ140" s="1"/>
    </row>
    <row r="141" spans="1:43" ht="12.3" x14ac:dyDescent="0.4">
      <c r="A141" s="1" t="s">
        <v>220</v>
      </c>
      <c r="B141" s="1"/>
      <c r="C141" s="1" t="s">
        <v>6</v>
      </c>
      <c r="D141" s="5" t="s">
        <v>7</v>
      </c>
      <c r="E141" s="5" t="s">
        <v>463</v>
      </c>
      <c r="F141" s="4" t="s">
        <v>465</v>
      </c>
      <c r="G141" s="4" t="s">
        <v>465</v>
      </c>
      <c r="I141" s="1" t="s">
        <v>8</v>
      </c>
      <c r="J141" s="1" t="s">
        <v>9</v>
      </c>
      <c r="K141" s="4" t="s">
        <v>464</v>
      </c>
      <c r="L141" s="1" t="s">
        <v>26</v>
      </c>
      <c r="M141" s="1"/>
      <c r="O141" s="1"/>
      <c r="P141" s="1"/>
      <c r="Q141" s="1"/>
      <c r="S141" s="2"/>
      <c r="T141" s="1"/>
      <c r="U141" s="1"/>
      <c r="V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 t="s">
        <v>12</v>
      </c>
      <c r="AN141" s="1" t="s">
        <v>13</v>
      </c>
      <c r="AO141" s="1">
        <v>298</v>
      </c>
      <c r="AP141" s="3">
        <v>0.49666666666666665</v>
      </c>
      <c r="AQ141" s="1"/>
    </row>
    <row r="142" spans="1:43" ht="12.3" x14ac:dyDescent="0.4">
      <c r="A142" s="1" t="s">
        <v>221</v>
      </c>
      <c r="B142" s="1"/>
      <c r="C142" s="1" t="s">
        <v>6</v>
      </c>
      <c r="D142" s="5" t="s">
        <v>7</v>
      </c>
      <c r="E142" s="5" t="s">
        <v>463</v>
      </c>
      <c r="F142" s="4" t="s">
        <v>465</v>
      </c>
      <c r="G142" s="4" t="s">
        <v>465</v>
      </c>
      <c r="I142" s="1" t="s">
        <v>16</v>
      </c>
      <c r="J142" s="1" t="s">
        <v>10</v>
      </c>
      <c r="K142" s="4" t="s">
        <v>464</v>
      </c>
      <c r="L142" s="1" t="s">
        <v>22</v>
      </c>
      <c r="M142" s="1"/>
      <c r="O142" s="1"/>
      <c r="P142" s="1"/>
      <c r="Q142" s="1"/>
      <c r="S142" s="2"/>
      <c r="T142" s="1"/>
      <c r="U142" s="1"/>
      <c r="V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 t="s">
        <v>12</v>
      </c>
      <c r="AN142" s="1" t="s">
        <v>14</v>
      </c>
      <c r="AO142" s="1">
        <v>258</v>
      </c>
      <c r="AP142" s="3">
        <v>0.43</v>
      </c>
      <c r="AQ142" s="1"/>
    </row>
    <row r="143" spans="1:43" ht="12.3" x14ac:dyDescent="0.4">
      <c r="A143" s="1" t="s">
        <v>222</v>
      </c>
      <c r="B143" s="1"/>
      <c r="C143" s="1" t="s">
        <v>6</v>
      </c>
      <c r="D143" s="5" t="s">
        <v>7</v>
      </c>
      <c r="E143" s="5" t="s">
        <v>463</v>
      </c>
      <c r="F143" s="4" t="s">
        <v>465</v>
      </c>
      <c r="G143" s="4" t="s">
        <v>465</v>
      </c>
      <c r="I143" s="1" t="s">
        <v>16</v>
      </c>
      <c r="J143" s="1" t="s">
        <v>10</v>
      </c>
      <c r="K143" s="4" t="s">
        <v>464</v>
      </c>
      <c r="L143" s="1" t="s">
        <v>22</v>
      </c>
      <c r="M143" s="1"/>
      <c r="O143" s="1"/>
      <c r="P143" s="1"/>
      <c r="Q143" s="1"/>
      <c r="S143" s="2"/>
      <c r="T143" s="1"/>
      <c r="U143" s="1"/>
      <c r="V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 t="s">
        <v>12</v>
      </c>
      <c r="AN143" s="1" t="s">
        <v>14</v>
      </c>
      <c r="AO143" s="1">
        <v>251</v>
      </c>
      <c r="AP143" s="3">
        <v>0.41833333333333333</v>
      </c>
      <c r="AQ143" s="1"/>
    </row>
    <row r="144" spans="1:43" ht="12.3" x14ac:dyDescent="0.4">
      <c r="A144" s="1" t="s">
        <v>223</v>
      </c>
      <c r="B144" s="1"/>
      <c r="C144" s="1" t="s">
        <v>6</v>
      </c>
      <c r="D144" s="5" t="s">
        <v>7</v>
      </c>
      <c r="E144" s="5" t="s">
        <v>463</v>
      </c>
      <c r="F144" s="4" t="s">
        <v>465</v>
      </c>
      <c r="G144" s="4" t="s">
        <v>465</v>
      </c>
      <c r="I144" s="1" t="s">
        <v>16</v>
      </c>
      <c r="J144" s="1" t="s">
        <v>10</v>
      </c>
      <c r="K144" s="4" t="s">
        <v>464</v>
      </c>
      <c r="L144" s="1" t="s">
        <v>17</v>
      </c>
      <c r="M144" s="1"/>
      <c r="O144" s="1"/>
      <c r="P144" s="1"/>
      <c r="Q144" s="1"/>
      <c r="S144" s="2"/>
      <c r="T144" s="1"/>
      <c r="U144" s="1"/>
      <c r="V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 t="s">
        <v>12</v>
      </c>
      <c r="AN144" s="1" t="s">
        <v>20</v>
      </c>
      <c r="AO144" s="1">
        <v>384</v>
      </c>
      <c r="AP144" s="3">
        <v>0.64</v>
      </c>
      <c r="AQ144" s="1"/>
    </row>
    <row r="145" spans="1:43" ht="12.3" x14ac:dyDescent="0.4">
      <c r="A145" s="1" t="s">
        <v>224</v>
      </c>
      <c r="B145" s="1"/>
      <c r="C145" s="1" t="s">
        <v>6</v>
      </c>
      <c r="D145" s="5" t="s">
        <v>7</v>
      </c>
      <c r="E145" s="5" t="s">
        <v>463</v>
      </c>
      <c r="F145" s="4" t="s">
        <v>465</v>
      </c>
      <c r="G145" s="4" t="s">
        <v>465</v>
      </c>
      <c r="I145" s="1" t="s">
        <v>16</v>
      </c>
      <c r="J145" s="1" t="s">
        <v>10</v>
      </c>
      <c r="K145" s="4" t="s">
        <v>464</v>
      </c>
      <c r="L145" s="1" t="s">
        <v>24</v>
      </c>
      <c r="M145" s="1"/>
      <c r="O145" s="1"/>
      <c r="P145" s="1"/>
      <c r="Q145" s="1"/>
      <c r="S145" s="2"/>
      <c r="T145" s="1"/>
      <c r="U145" s="1"/>
      <c r="V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 t="s">
        <v>12</v>
      </c>
      <c r="AN145" s="1" t="s">
        <v>14</v>
      </c>
      <c r="AO145" s="1">
        <v>260</v>
      </c>
      <c r="AP145" s="3">
        <v>0.43333333333333335</v>
      </c>
      <c r="AQ145" s="1"/>
    </row>
    <row r="146" spans="1:43" ht="12.3" x14ac:dyDescent="0.4">
      <c r="A146" s="1" t="s">
        <v>225</v>
      </c>
      <c r="B146" s="1"/>
      <c r="C146" s="1" t="s">
        <v>6</v>
      </c>
      <c r="D146" s="5" t="s">
        <v>7</v>
      </c>
      <c r="E146" s="5" t="s">
        <v>463</v>
      </c>
      <c r="F146" s="4" t="s">
        <v>465</v>
      </c>
      <c r="G146" s="4" t="s">
        <v>465</v>
      </c>
      <c r="I146" s="1" t="s">
        <v>16</v>
      </c>
      <c r="J146" s="1" t="s">
        <v>10</v>
      </c>
      <c r="K146" s="4" t="s">
        <v>464</v>
      </c>
      <c r="L146" s="1" t="s">
        <v>24</v>
      </c>
      <c r="M146" s="1"/>
      <c r="O146" s="1"/>
      <c r="P146" s="1"/>
      <c r="Q146" s="1"/>
      <c r="S146" s="2"/>
      <c r="T146" s="1"/>
      <c r="U146" s="2"/>
      <c r="V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 t="s">
        <v>12</v>
      </c>
      <c r="AN146" s="1" t="s">
        <v>20</v>
      </c>
      <c r="AO146" s="1">
        <v>333</v>
      </c>
      <c r="AP146" s="3">
        <v>0.55500000000000005</v>
      </c>
      <c r="AQ146" s="1"/>
    </row>
    <row r="147" spans="1:43" ht="12.3" x14ac:dyDescent="0.4">
      <c r="A147" s="1" t="s">
        <v>226</v>
      </c>
      <c r="B147" s="1"/>
      <c r="C147" s="1" t="s">
        <v>6</v>
      </c>
      <c r="D147" s="5" t="s">
        <v>7</v>
      </c>
      <c r="E147" s="5" t="s">
        <v>463</v>
      </c>
      <c r="F147" s="4" t="s">
        <v>465</v>
      </c>
      <c r="G147" s="4" t="s">
        <v>465</v>
      </c>
      <c r="I147" s="1" t="s">
        <v>8</v>
      </c>
      <c r="J147" s="1" t="s">
        <v>9</v>
      </c>
      <c r="K147" s="4" t="s">
        <v>464</v>
      </c>
      <c r="L147" s="1" t="s">
        <v>24</v>
      </c>
      <c r="M147" s="1"/>
      <c r="O147" s="1"/>
      <c r="P147" s="1"/>
      <c r="Q147" s="1"/>
      <c r="S147" s="2"/>
      <c r="T147" s="1"/>
      <c r="U147" s="2"/>
      <c r="V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 t="s">
        <v>12</v>
      </c>
      <c r="AN147" s="1" t="s">
        <v>14</v>
      </c>
      <c r="AO147" s="1">
        <v>243</v>
      </c>
      <c r="AP147" s="3">
        <v>0.40500000000000003</v>
      </c>
      <c r="AQ147" s="1"/>
    </row>
    <row r="148" spans="1:43" ht="12.3" x14ac:dyDescent="0.4">
      <c r="A148" s="1" t="s">
        <v>227</v>
      </c>
      <c r="B148" s="1"/>
      <c r="C148" s="1" t="s">
        <v>6</v>
      </c>
      <c r="D148" s="5" t="s">
        <v>7</v>
      </c>
      <c r="E148" s="5" t="s">
        <v>463</v>
      </c>
      <c r="F148" s="4" t="s">
        <v>465</v>
      </c>
      <c r="G148" s="4" t="s">
        <v>465</v>
      </c>
      <c r="I148" s="1" t="s">
        <v>16</v>
      </c>
      <c r="J148" s="1" t="s">
        <v>10</v>
      </c>
      <c r="K148" s="4" t="s">
        <v>464</v>
      </c>
      <c r="L148" s="1" t="s">
        <v>22</v>
      </c>
      <c r="M148" s="1"/>
      <c r="O148" s="1"/>
      <c r="P148" s="1"/>
      <c r="Q148" s="1"/>
      <c r="S148" s="1"/>
      <c r="T148" s="1"/>
      <c r="U148" s="1"/>
      <c r="V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 t="s">
        <v>12</v>
      </c>
      <c r="AN148" s="1" t="s">
        <v>18</v>
      </c>
      <c r="AO148" s="1">
        <v>306</v>
      </c>
      <c r="AP148" s="3">
        <v>0.51</v>
      </c>
      <c r="AQ148" s="1"/>
    </row>
    <row r="149" spans="1:43" ht="12.3" x14ac:dyDescent="0.4">
      <c r="A149" s="1" t="s">
        <v>228</v>
      </c>
      <c r="B149" s="1"/>
      <c r="C149" s="1" t="s">
        <v>6</v>
      </c>
      <c r="D149" s="5" t="s">
        <v>7</v>
      </c>
      <c r="E149" s="5" t="s">
        <v>463</v>
      </c>
      <c r="F149" s="4" t="s">
        <v>465</v>
      </c>
      <c r="G149" s="4" t="s">
        <v>465</v>
      </c>
      <c r="I149" s="1" t="s">
        <v>8</v>
      </c>
      <c r="J149" s="1" t="s">
        <v>9</v>
      </c>
      <c r="K149" s="4" t="s">
        <v>464</v>
      </c>
      <c r="L149" s="1" t="s">
        <v>32</v>
      </c>
      <c r="M149" s="1"/>
      <c r="O149" s="1"/>
      <c r="P149" s="1"/>
      <c r="Q149" s="1"/>
      <c r="S149" s="1"/>
      <c r="T149" s="1"/>
      <c r="U149" s="1"/>
      <c r="V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 t="s">
        <v>12</v>
      </c>
      <c r="AN149" s="1" t="s">
        <v>14</v>
      </c>
      <c r="AO149" s="1">
        <v>243</v>
      </c>
      <c r="AP149" s="3">
        <v>0.40500000000000003</v>
      </c>
      <c r="AQ149" s="1"/>
    </row>
    <row r="150" spans="1:43" ht="12.3" x14ac:dyDescent="0.4">
      <c r="A150" s="1" t="s">
        <v>229</v>
      </c>
      <c r="B150" s="1"/>
      <c r="C150" s="1" t="s">
        <v>6</v>
      </c>
      <c r="D150" s="5" t="s">
        <v>7</v>
      </c>
      <c r="E150" s="5" t="s">
        <v>463</v>
      </c>
      <c r="F150" s="4" t="s">
        <v>465</v>
      </c>
      <c r="G150" s="4" t="s">
        <v>465</v>
      </c>
      <c r="I150" s="1" t="s">
        <v>8</v>
      </c>
      <c r="J150" s="1" t="s">
        <v>9</v>
      </c>
      <c r="K150" s="4" t="s">
        <v>464</v>
      </c>
      <c r="L150" s="1" t="s">
        <v>21</v>
      </c>
      <c r="M150" s="1"/>
      <c r="O150" s="1"/>
      <c r="P150" s="1"/>
      <c r="Q150" s="1"/>
      <c r="S150" s="1"/>
      <c r="T150" s="1"/>
      <c r="U150" s="1"/>
      <c r="V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 t="s">
        <v>12</v>
      </c>
      <c r="AN150" s="1" t="s">
        <v>13</v>
      </c>
      <c r="AO150" s="1">
        <v>292</v>
      </c>
      <c r="AP150" s="3">
        <v>0.48666666666666669</v>
      </c>
      <c r="AQ150" s="1"/>
    </row>
    <row r="151" spans="1:43" ht="12.3" x14ac:dyDescent="0.4">
      <c r="A151" s="1" t="s">
        <v>230</v>
      </c>
      <c r="B151" s="1"/>
      <c r="C151" s="1" t="s">
        <v>6</v>
      </c>
      <c r="D151" s="5" t="s">
        <v>7</v>
      </c>
      <c r="E151" s="5" t="s">
        <v>463</v>
      </c>
      <c r="F151" s="4" t="s">
        <v>465</v>
      </c>
      <c r="G151" s="4" t="s">
        <v>465</v>
      </c>
      <c r="I151" s="1" t="s">
        <v>16</v>
      </c>
      <c r="J151" s="1" t="s">
        <v>10</v>
      </c>
      <c r="K151" s="4" t="s">
        <v>464</v>
      </c>
      <c r="L151" s="1" t="s">
        <v>23</v>
      </c>
      <c r="M151" s="1"/>
      <c r="O151" s="1"/>
      <c r="P151" s="1"/>
      <c r="Q151" s="1"/>
      <c r="S151" s="2"/>
      <c r="T151" s="1"/>
      <c r="U151" s="1"/>
      <c r="V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 t="s">
        <v>12</v>
      </c>
      <c r="AN151" s="1" t="s">
        <v>14</v>
      </c>
      <c r="AO151" s="1">
        <v>259</v>
      </c>
      <c r="AP151" s="3">
        <v>0.43166666666666664</v>
      </c>
      <c r="AQ151" s="1"/>
    </row>
    <row r="152" spans="1:43" ht="12.3" x14ac:dyDescent="0.4">
      <c r="A152" s="1" t="s">
        <v>231</v>
      </c>
      <c r="B152" s="1"/>
      <c r="C152" s="1" t="s">
        <v>6</v>
      </c>
      <c r="D152" s="5" t="s">
        <v>7</v>
      </c>
      <c r="E152" s="5" t="s">
        <v>463</v>
      </c>
      <c r="F152" s="4" t="s">
        <v>465</v>
      </c>
      <c r="G152" s="4" t="s">
        <v>465</v>
      </c>
      <c r="I152" s="1" t="s">
        <v>16</v>
      </c>
      <c r="J152" s="1" t="s">
        <v>10</v>
      </c>
      <c r="K152" s="4" t="s">
        <v>464</v>
      </c>
      <c r="L152" s="1" t="s">
        <v>17</v>
      </c>
      <c r="M152" s="1"/>
      <c r="O152" s="1"/>
      <c r="P152" s="1"/>
      <c r="Q152" s="1"/>
      <c r="S152" s="1"/>
      <c r="T152" s="1"/>
      <c r="U152" s="2"/>
      <c r="V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 t="s">
        <v>12</v>
      </c>
      <c r="AN152" s="1" t="s">
        <v>20</v>
      </c>
      <c r="AO152" s="1">
        <v>348</v>
      </c>
      <c r="AP152" s="3">
        <v>0.57999999999999996</v>
      </c>
      <c r="AQ152" s="1"/>
    </row>
    <row r="153" spans="1:43" ht="12.3" x14ac:dyDescent="0.4">
      <c r="A153" s="1" t="s">
        <v>232</v>
      </c>
      <c r="B153" s="1"/>
      <c r="C153" s="1" t="s">
        <v>6</v>
      </c>
      <c r="D153" s="5" t="s">
        <v>7</v>
      </c>
      <c r="E153" s="5" t="s">
        <v>463</v>
      </c>
      <c r="F153" s="4" t="s">
        <v>465</v>
      </c>
      <c r="G153" s="4" t="s">
        <v>465</v>
      </c>
      <c r="I153" s="1" t="s">
        <v>16</v>
      </c>
      <c r="J153" s="1" t="s">
        <v>10</v>
      </c>
      <c r="K153" s="4" t="s">
        <v>464</v>
      </c>
      <c r="L153" s="1" t="s">
        <v>22</v>
      </c>
      <c r="M153" s="1"/>
      <c r="O153" s="1"/>
      <c r="P153" s="1"/>
      <c r="Q153" s="1"/>
      <c r="S153" s="2"/>
      <c r="T153" s="1"/>
      <c r="U153" s="2"/>
      <c r="V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 t="s">
        <v>12</v>
      </c>
      <c r="AN153" s="1" t="s">
        <v>14</v>
      </c>
      <c r="AO153" s="1">
        <v>253</v>
      </c>
      <c r="AP153" s="3">
        <v>0.42166666666666669</v>
      </c>
      <c r="AQ153" s="1"/>
    </row>
    <row r="154" spans="1:43" ht="12.3" x14ac:dyDescent="0.4">
      <c r="A154" s="1" t="s">
        <v>233</v>
      </c>
      <c r="B154" s="1"/>
      <c r="C154" s="1" t="s">
        <v>6</v>
      </c>
      <c r="D154" s="5" t="s">
        <v>7</v>
      </c>
      <c r="E154" s="5" t="s">
        <v>463</v>
      </c>
      <c r="F154" s="4" t="s">
        <v>465</v>
      </c>
      <c r="G154" s="4" t="s">
        <v>465</v>
      </c>
      <c r="I154" s="1" t="s">
        <v>16</v>
      </c>
      <c r="J154" s="1" t="s">
        <v>10</v>
      </c>
      <c r="K154" s="4" t="s">
        <v>464</v>
      </c>
      <c r="O154" s="1"/>
      <c r="P154" s="1"/>
      <c r="Q154" s="1"/>
      <c r="S154" s="1"/>
      <c r="T154" s="1"/>
      <c r="U154" s="1"/>
      <c r="V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 t="s">
        <v>12</v>
      </c>
      <c r="AN154" s="1" t="s">
        <v>14</v>
      </c>
      <c r="AO154" s="1">
        <v>272</v>
      </c>
      <c r="AP154" s="3">
        <v>0.45333333333333331</v>
      </c>
      <c r="AQ154" s="1"/>
    </row>
    <row r="155" spans="1:43" ht="12.3" x14ac:dyDescent="0.4">
      <c r="A155" s="1" t="s">
        <v>234</v>
      </c>
      <c r="B155" s="1"/>
      <c r="C155" s="1" t="s">
        <v>6</v>
      </c>
      <c r="D155" s="5" t="s">
        <v>7</v>
      </c>
      <c r="E155" s="5" t="s">
        <v>463</v>
      </c>
      <c r="F155" s="4" t="s">
        <v>465</v>
      </c>
      <c r="G155" s="4" t="s">
        <v>465</v>
      </c>
      <c r="I155" s="1" t="s">
        <v>16</v>
      </c>
      <c r="J155" s="1" t="s">
        <v>10</v>
      </c>
      <c r="K155" s="4" t="s">
        <v>464</v>
      </c>
      <c r="L155" s="1" t="s">
        <v>25</v>
      </c>
      <c r="M155" s="1"/>
      <c r="O155" s="1"/>
      <c r="P155" s="1"/>
      <c r="Q155" s="1"/>
      <c r="S155" s="2"/>
      <c r="T155" s="1"/>
      <c r="U155" s="2"/>
      <c r="V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 t="s">
        <v>12</v>
      </c>
      <c r="AN155" s="1" t="s">
        <v>13</v>
      </c>
      <c r="AO155" s="1">
        <v>298</v>
      </c>
      <c r="AP155" s="3">
        <v>0.49666666666666665</v>
      </c>
      <c r="AQ155" s="1"/>
    </row>
    <row r="156" spans="1:43" ht="12.3" x14ac:dyDescent="0.4">
      <c r="A156" s="1" t="s">
        <v>235</v>
      </c>
      <c r="B156" s="1"/>
      <c r="C156" s="1" t="s">
        <v>6</v>
      </c>
      <c r="D156" s="5" t="s">
        <v>7</v>
      </c>
      <c r="E156" s="5" t="s">
        <v>463</v>
      </c>
      <c r="F156" s="4" t="s">
        <v>465</v>
      </c>
      <c r="G156" s="4" t="s">
        <v>465</v>
      </c>
      <c r="I156" s="1" t="s">
        <v>16</v>
      </c>
      <c r="J156" s="1" t="s">
        <v>10</v>
      </c>
      <c r="K156" s="4" t="s">
        <v>464</v>
      </c>
      <c r="L156" s="1" t="s">
        <v>25</v>
      </c>
      <c r="M156" s="1"/>
      <c r="O156" s="1"/>
      <c r="P156" s="1"/>
      <c r="Q156" s="1"/>
      <c r="S156" s="2"/>
      <c r="T156" s="1"/>
      <c r="U156" s="1"/>
      <c r="V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 t="s">
        <v>12</v>
      </c>
      <c r="AN156" s="1" t="s">
        <v>18</v>
      </c>
      <c r="AO156" s="1">
        <v>320</v>
      </c>
      <c r="AP156" s="3">
        <v>0.53333333333333333</v>
      </c>
      <c r="AQ156" s="1"/>
    </row>
    <row r="157" spans="1:43" ht="12.3" x14ac:dyDescent="0.4">
      <c r="A157" s="1" t="s">
        <v>236</v>
      </c>
      <c r="B157" s="1"/>
      <c r="C157" s="1" t="s">
        <v>6</v>
      </c>
      <c r="D157" s="5" t="s">
        <v>7</v>
      </c>
      <c r="E157" s="5" t="s">
        <v>463</v>
      </c>
      <c r="F157" s="4" t="s">
        <v>465</v>
      </c>
      <c r="G157" s="4" t="s">
        <v>465</v>
      </c>
      <c r="I157" s="1" t="s">
        <v>16</v>
      </c>
      <c r="J157" s="1" t="s">
        <v>10</v>
      </c>
      <c r="K157" s="4" t="s">
        <v>464</v>
      </c>
      <c r="L157" s="1" t="s">
        <v>24</v>
      </c>
      <c r="M157" s="1"/>
      <c r="O157" s="1"/>
      <c r="P157" s="1"/>
      <c r="Q157" s="1"/>
      <c r="S157" s="2"/>
      <c r="T157" s="1"/>
      <c r="U157" s="2"/>
      <c r="V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 t="s">
        <v>12</v>
      </c>
      <c r="AN157" s="1" t="s">
        <v>13</v>
      </c>
      <c r="AO157" s="1">
        <v>298</v>
      </c>
      <c r="AP157" s="3">
        <v>0.49666666666666665</v>
      </c>
      <c r="AQ157" s="1"/>
    </row>
    <row r="158" spans="1:43" ht="12.3" x14ac:dyDescent="0.4">
      <c r="A158" s="1" t="s">
        <v>237</v>
      </c>
      <c r="B158" s="1"/>
      <c r="C158" s="1" t="s">
        <v>6</v>
      </c>
      <c r="D158" s="5" t="s">
        <v>7</v>
      </c>
      <c r="E158" s="5" t="s">
        <v>463</v>
      </c>
      <c r="F158" s="4" t="s">
        <v>465</v>
      </c>
      <c r="G158" s="4" t="s">
        <v>465</v>
      </c>
      <c r="I158" s="1" t="s">
        <v>16</v>
      </c>
      <c r="J158" s="1" t="s">
        <v>10</v>
      </c>
      <c r="K158" s="4" t="s">
        <v>464</v>
      </c>
      <c r="L158" s="1" t="s">
        <v>28</v>
      </c>
      <c r="M158" s="1"/>
      <c r="O158" s="1"/>
      <c r="P158" s="1"/>
      <c r="Q158" s="1"/>
      <c r="S158" s="1"/>
      <c r="T158" s="1"/>
      <c r="U158" s="1"/>
      <c r="V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 t="s">
        <v>12</v>
      </c>
      <c r="AN158" s="1" t="s">
        <v>18</v>
      </c>
      <c r="AO158" s="1">
        <v>326</v>
      </c>
      <c r="AP158" s="3">
        <v>0.54333333333333333</v>
      </c>
      <c r="AQ158" s="1"/>
    </row>
    <row r="159" spans="1:43" ht="12.3" x14ac:dyDescent="0.4">
      <c r="A159" s="1" t="s">
        <v>238</v>
      </c>
      <c r="B159" s="1"/>
      <c r="C159" s="1" t="s">
        <v>6</v>
      </c>
      <c r="D159" s="5" t="s">
        <v>7</v>
      </c>
      <c r="E159" s="5" t="s">
        <v>463</v>
      </c>
      <c r="F159" s="4" t="s">
        <v>465</v>
      </c>
      <c r="G159" s="4" t="s">
        <v>465</v>
      </c>
      <c r="I159" s="1" t="s">
        <v>16</v>
      </c>
      <c r="J159" s="1" t="s">
        <v>10</v>
      </c>
      <c r="K159" s="4" t="s">
        <v>464</v>
      </c>
      <c r="L159" s="1" t="s">
        <v>26</v>
      </c>
      <c r="M159" s="1"/>
      <c r="O159" s="1"/>
      <c r="P159" s="1"/>
      <c r="Q159" s="1"/>
      <c r="S159" s="2"/>
      <c r="T159" s="1"/>
      <c r="U159" s="2"/>
      <c r="V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 t="s">
        <v>12</v>
      </c>
      <c r="AN159" s="1" t="s">
        <v>13</v>
      </c>
      <c r="AO159" s="1">
        <v>292</v>
      </c>
      <c r="AP159" s="3">
        <v>0.48666666666666669</v>
      </c>
      <c r="AQ159" s="1"/>
    </row>
    <row r="160" spans="1:43" ht="12.3" x14ac:dyDescent="0.4">
      <c r="A160" s="1" t="s">
        <v>239</v>
      </c>
      <c r="B160" s="1"/>
      <c r="C160" s="1" t="s">
        <v>6</v>
      </c>
      <c r="D160" s="5" t="s">
        <v>7</v>
      </c>
      <c r="E160" s="5" t="s">
        <v>463</v>
      </c>
      <c r="F160" s="4" t="s">
        <v>465</v>
      </c>
      <c r="G160" s="4" t="s">
        <v>465</v>
      </c>
      <c r="I160" s="1" t="s">
        <v>16</v>
      </c>
      <c r="J160" s="1" t="s">
        <v>9</v>
      </c>
      <c r="K160" s="4" t="s">
        <v>464</v>
      </c>
      <c r="L160" s="1" t="s">
        <v>26</v>
      </c>
      <c r="M160" s="1"/>
      <c r="O160" s="1"/>
      <c r="P160" s="1"/>
      <c r="Q160" s="1"/>
      <c r="S160" s="2"/>
      <c r="T160" s="1"/>
      <c r="U160" s="1"/>
      <c r="V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 t="s">
        <v>12</v>
      </c>
      <c r="AN160" s="1" t="s">
        <v>13</v>
      </c>
      <c r="AO160" s="1">
        <v>301</v>
      </c>
      <c r="AP160" s="3">
        <v>0.50166666666666671</v>
      </c>
      <c r="AQ160" s="1"/>
    </row>
    <row r="161" spans="1:43" ht="12.3" x14ac:dyDescent="0.4">
      <c r="A161" s="1" t="s">
        <v>240</v>
      </c>
      <c r="B161" s="1"/>
      <c r="C161" s="1" t="s">
        <v>6</v>
      </c>
      <c r="D161" s="5" t="s">
        <v>7</v>
      </c>
      <c r="E161" s="5" t="s">
        <v>463</v>
      </c>
      <c r="F161" s="4" t="s">
        <v>465</v>
      </c>
      <c r="G161" s="4" t="s">
        <v>465</v>
      </c>
      <c r="I161" s="1" t="s">
        <v>16</v>
      </c>
      <c r="J161" s="1" t="s">
        <v>10</v>
      </c>
      <c r="K161" s="4" t="s">
        <v>464</v>
      </c>
      <c r="L161" s="1" t="s">
        <v>30</v>
      </c>
      <c r="M161" s="1"/>
      <c r="O161" s="1"/>
      <c r="P161" s="1"/>
      <c r="Q161" s="1"/>
      <c r="S161" s="2"/>
      <c r="T161" s="1"/>
      <c r="U161" s="1"/>
      <c r="V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 t="s">
        <v>12</v>
      </c>
      <c r="AN161" s="1" t="s">
        <v>20</v>
      </c>
      <c r="AO161" s="1">
        <v>372</v>
      </c>
      <c r="AP161" s="3">
        <v>0.62</v>
      </c>
      <c r="AQ161" s="1"/>
    </row>
    <row r="162" spans="1:43" ht="12.3" x14ac:dyDescent="0.4">
      <c r="A162" s="1" t="s">
        <v>241</v>
      </c>
      <c r="B162" s="1"/>
      <c r="C162" s="1" t="s">
        <v>6</v>
      </c>
      <c r="D162" s="5" t="s">
        <v>7</v>
      </c>
      <c r="E162" s="5" t="s">
        <v>463</v>
      </c>
      <c r="F162" s="4" t="s">
        <v>465</v>
      </c>
      <c r="G162" s="4" t="s">
        <v>465</v>
      </c>
      <c r="I162" s="1" t="s">
        <v>16</v>
      </c>
      <c r="J162" s="1" t="s">
        <v>10</v>
      </c>
      <c r="K162" s="4" t="s">
        <v>464</v>
      </c>
      <c r="L162" s="1" t="s">
        <v>21</v>
      </c>
      <c r="M162" s="1"/>
      <c r="O162" s="1"/>
      <c r="P162" s="1"/>
      <c r="Q162" s="1"/>
      <c r="S162" s="2"/>
      <c r="T162" s="1"/>
      <c r="U162" s="1"/>
      <c r="V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 t="s">
        <v>12</v>
      </c>
      <c r="AN162" s="1" t="s">
        <v>14</v>
      </c>
      <c r="AO162" s="1">
        <v>243</v>
      </c>
      <c r="AP162" s="3">
        <v>0.40500000000000003</v>
      </c>
      <c r="AQ162" s="1"/>
    </row>
    <row r="163" spans="1:43" ht="12.3" x14ac:dyDescent="0.4">
      <c r="A163" s="1" t="s">
        <v>242</v>
      </c>
      <c r="B163" s="1"/>
      <c r="C163" s="1" t="s">
        <v>6</v>
      </c>
      <c r="D163" s="5" t="s">
        <v>7</v>
      </c>
      <c r="E163" s="5" t="s">
        <v>463</v>
      </c>
      <c r="F163" s="4" t="s">
        <v>465</v>
      </c>
      <c r="G163" s="4" t="s">
        <v>465</v>
      </c>
      <c r="I163" s="1" t="s">
        <v>16</v>
      </c>
      <c r="J163" s="1" t="s">
        <v>10</v>
      </c>
      <c r="K163" s="4" t="s">
        <v>464</v>
      </c>
      <c r="L163" s="1" t="s">
        <v>25</v>
      </c>
      <c r="M163" s="1"/>
      <c r="O163" s="1"/>
      <c r="P163" s="1"/>
      <c r="Q163" s="1"/>
      <c r="S163" s="1"/>
      <c r="T163" s="1"/>
      <c r="U163" s="2"/>
      <c r="V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 t="s">
        <v>12</v>
      </c>
      <c r="AN163" s="1" t="s">
        <v>14</v>
      </c>
      <c r="AO163" s="1">
        <v>258</v>
      </c>
      <c r="AP163" s="3">
        <v>0.43</v>
      </c>
      <c r="AQ163" s="1"/>
    </row>
    <row r="164" spans="1:43" ht="12.3" x14ac:dyDescent="0.4">
      <c r="A164" s="1" t="s">
        <v>243</v>
      </c>
      <c r="B164" s="1"/>
      <c r="C164" s="1" t="s">
        <v>6</v>
      </c>
      <c r="D164" s="5" t="s">
        <v>7</v>
      </c>
      <c r="E164" s="5" t="s">
        <v>463</v>
      </c>
      <c r="F164" s="4" t="s">
        <v>465</v>
      </c>
      <c r="G164" s="4" t="s">
        <v>465</v>
      </c>
      <c r="I164" s="1" t="s">
        <v>16</v>
      </c>
      <c r="J164" s="1" t="s">
        <v>10</v>
      </c>
      <c r="K164" s="4" t="s">
        <v>464</v>
      </c>
      <c r="L164" s="1" t="s">
        <v>32</v>
      </c>
      <c r="M164" s="1"/>
      <c r="O164" s="1"/>
      <c r="P164" s="1"/>
      <c r="Q164" s="1"/>
      <c r="S164" s="2"/>
      <c r="T164" s="1"/>
      <c r="U164" s="1"/>
      <c r="V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 t="s">
        <v>12</v>
      </c>
      <c r="AN164" s="1" t="s">
        <v>14</v>
      </c>
      <c r="AO164" s="1">
        <v>243</v>
      </c>
      <c r="AP164" s="3">
        <v>0.40500000000000003</v>
      </c>
      <c r="AQ164" s="1"/>
    </row>
    <row r="165" spans="1:43" ht="12.3" x14ac:dyDescent="0.4">
      <c r="A165" s="1" t="s">
        <v>244</v>
      </c>
      <c r="B165" s="1"/>
      <c r="C165" s="1" t="s">
        <v>6</v>
      </c>
      <c r="D165" s="5" t="s">
        <v>7</v>
      </c>
      <c r="E165" s="5" t="s">
        <v>463</v>
      </c>
      <c r="F165" s="4" t="s">
        <v>465</v>
      </c>
      <c r="G165" s="4" t="s">
        <v>465</v>
      </c>
      <c r="I165" s="1" t="s">
        <v>16</v>
      </c>
      <c r="J165" s="1" t="s">
        <v>10</v>
      </c>
      <c r="K165" s="4" t="s">
        <v>464</v>
      </c>
      <c r="L165" s="1" t="s">
        <v>25</v>
      </c>
      <c r="M165" s="1"/>
      <c r="O165" s="1"/>
      <c r="P165" s="1"/>
      <c r="Q165" s="1"/>
      <c r="S165" s="1"/>
      <c r="T165" s="1"/>
      <c r="U165" s="1"/>
      <c r="V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 t="s">
        <v>12</v>
      </c>
      <c r="AN165" s="1" t="s">
        <v>20</v>
      </c>
      <c r="AO165" s="1">
        <v>348</v>
      </c>
      <c r="AP165" s="3">
        <v>0.57999999999999996</v>
      </c>
      <c r="AQ165" s="1"/>
    </row>
    <row r="166" spans="1:43" ht="12.3" x14ac:dyDescent="0.4">
      <c r="A166" s="1" t="s">
        <v>246</v>
      </c>
      <c r="B166" s="1"/>
      <c r="C166" s="1" t="s">
        <v>6</v>
      </c>
      <c r="D166" s="5" t="s">
        <v>7</v>
      </c>
      <c r="E166" s="5" t="s">
        <v>463</v>
      </c>
      <c r="F166" s="4" t="s">
        <v>465</v>
      </c>
      <c r="G166" s="4" t="s">
        <v>465</v>
      </c>
      <c r="I166" s="1" t="s">
        <v>8</v>
      </c>
      <c r="J166" s="1" t="s">
        <v>9</v>
      </c>
      <c r="K166" s="4" t="s">
        <v>464</v>
      </c>
      <c r="L166" s="1" t="s">
        <v>22</v>
      </c>
      <c r="M166" s="1"/>
      <c r="O166" s="1"/>
      <c r="P166" s="1"/>
      <c r="Q166" s="1"/>
      <c r="S166" s="2"/>
      <c r="T166" s="1"/>
      <c r="U166" s="1"/>
      <c r="V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 t="s">
        <v>12</v>
      </c>
      <c r="AN166" s="1" t="s">
        <v>18</v>
      </c>
      <c r="AO166" s="1">
        <v>312</v>
      </c>
      <c r="AP166" s="3">
        <v>0.52</v>
      </c>
      <c r="AQ166" s="1"/>
    </row>
    <row r="167" spans="1:43" ht="12.3" x14ac:dyDescent="0.4">
      <c r="A167" s="1" t="s">
        <v>247</v>
      </c>
      <c r="B167" s="1"/>
      <c r="C167" s="1" t="s">
        <v>6</v>
      </c>
      <c r="D167" s="5" t="s">
        <v>7</v>
      </c>
      <c r="E167" s="5" t="s">
        <v>463</v>
      </c>
      <c r="F167" s="4" t="s">
        <v>465</v>
      </c>
      <c r="G167" s="4" t="s">
        <v>465</v>
      </c>
      <c r="I167" s="1" t="s">
        <v>16</v>
      </c>
      <c r="J167" s="1" t="s">
        <v>10</v>
      </c>
      <c r="K167" s="4" t="s">
        <v>464</v>
      </c>
      <c r="L167" s="1" t="s">
        <v>21</v>
      </c>
      <c r="M167" s="1"/>
      <c r="O167" s="1"/>
      <c r="P167" s="1"/>
      <c r="Q167" s="1"/>
      <c r="S167" s="2"/>
      <c r="T167" s="1"/>
      <c r="U167" s="2"/>
      <c r="V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 t="s">
        <v>12</v>
      </c>
      <c r="AN167" s="1" t="s">
        <v>14</v>
      </c>
      <c r="AO167" s="1">
        <v>260</v>
      </c>
      <c r="AP167" s="3">
        <v>0.43333333333333335</v>
      </c>
      <c r="AQ167" s="1"/>
    </row>
    <row r="168" spans="1:43" ht="12.3" x14ac:dyDescent="0.4">
      <c r="A168" s="1" t="s">
        <v>248</v>
      </c>
      <c r="B168" s="1"/>
      <c r="C168" s="1" t="s">
        <v>6</v>
      </c>
      <c r="D168" s="5" t="s">
        <v>7</v>
      </c>
      <c r="E168" s="5" t="s">
        <v>463</v>
      </c>
      <c r="F168" s="4" t="s">
        <v>465</v>
      </c>
      <c r="G168" s="4" t="s">
        <v>465</v>
      </c>
      <c r="I168" s="1" t="s">
        <v>16</v>
      </c>
      <c r="J168" s="1" t="s">
        <v>9</v>
      </c>
      <c r="K168" s="4" t="s">
        <v>464</v>
      </c>
      <c r="L168" s="1" t="s">
        <v>28</v>
      </c>
      <c r="M168" s="1"/>
      <c r="O168" s="1"/>
      <c r="P168" s="1"/>
      <c r="Q168" s="1"/>
      <c r="S168" s="2"/>
      <c r="T168" s="1"/>
      <c r="U168" s="2"/>
      <c r="V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 t="s">
        <v>12</v>
      </c>
      <c r="AN168" s="1" t="s">
        <v>20</v>
      </c>
      <c r="AO168" s="1">
        <v>376</v>
      </c>
      <c r="AP168" s="3">
        <v>0.62666666666666671</v>
      </c>
      <c r="AQ168" s="1"/>
    </row>
    <row r="169" spans="1:43" ht="12.3" x14ac:dyDescent="0.4">
      <c r="A169" s="1" t="s">
        <v>249</v>
      </c>
      <c r="B169" s="1"/>
      <c r="C169" s="1" t="s">
        <v>6</v>
      </c>
      <c r="D169" s="5" t="s">
        <v>7</v>
      </c>
      <c r="E169" s="5" t="s">
        <v>463</v>
      </c>
      <c r="F169" s="4" t="s">
        <v>465</v>
      </c>
      <c r="G169" s="4" t="s">
        <v>465</v>
      </c>
      <c r="I169" s="1" t="s">
        <v>16</v>
      </c>
      <c r="J169" s="1" t="s">
        <v>10</v>
      </c>
      <c r="K169" s="4" t="s">
        <v>464</v>
      </c>
      <c r="L169" s="1" t="s">
        <v>25</v>
      </c>
      <c r="M169" s="1"/>
      <c r="O169" s="1"/>
      <c r="P169" s="1"/>
      <c r="Q169" s="1"/>
      <c r="S169" s="1"/>
      <c r="T169" s="1"/>
      <c r="U169" s="1"/>
      <c r="V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 t="s">
        <v>12</v>
      </c>
      <c r="AN169" s="1" t="s">
        <v>14</v>
      </c>
      <c r="AO169" s="1">
        <v>265</v>
      </c>
      <c r="AP169" s="3">
        <v>0.44166666666666665</v>
      </c>
      <c r="AQ169" s="1"/>
    </row>
    <row r="170" spans="1:43" ht="12.3" x14ac:dyDescent="0.4">
      <c r="A170" s="1" t="s">
        <v>250</v>
      </c>
      <c r="B170" s="1"/>
      <c r="C170" s="1" t="s">
        <v>6</v>
      </c>
      <c r="D170" s="5" t="s">
        <v>7</v>
      </c>
      <c r="E170" s="5" t="s">
        <v>463</v>
      </c>
      <c r="F170" s="4" t="s">
        <v>465</v>
      </c>
      <c r="G170" s="4" t="s">
        <v>465</v>
      </c>
      <c r="I170" s="1" t="s">
        <v>8</v>
      </c>
      <c r="J170" s="1" t="s">
        <v>9</v>
      </c>
      <c r="K170" s="4" t="s">
        <v>464</v>
      </c>
      <c r="L170" s="1" t="s">
        <v>11</v>
      </c>
      <c r="M170" s="1"/>
      <c r="O170" s="1"/>
      <c r="P170" s="1"/>
      <c r="Q170" s="1"/>
      <c r="S170" s="1"/>
      <c r="T170" s="1"/>
      <c r="U170" s="2"/>
      <c r="V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 t="s">
        <v>12</v>
      </c>
      <c r="AN170" s="1" t="s">
        <v>20</v>
      </c>
      <c r="AO170" s="1">
        <v>351</v>
      </c>
      <c r="AP170" s="3">
        <v>0.58499999999999996</v>
      </c>
      <c r="AQ170" s="1"/>
    </row>
    <row r="171" spans="1:43" ht="12.3" x14ac:dyDescent="0.4">
      <c r="A171" s="1" t="s">
        <v>251</v>
      </c>
      <c r="B171" s="1"/>
      <c r="C171" s="1" t="s">
        <v>6</v>
      </c>
      <c r="D171" s="5" t="s">
        <v>7</v>
      </c>
      <c r="E171" s="5" t="s">
        <v>463</v>
      </c>
      <c r="F171" s="4" t="s">
        <v>465</v>
      </c>
      <c r="G171" s="4" t="s">
        <v>465</v>
      </c>
      <c r="I171" s="1" t="s">
        <v>8</v>
      </c>
      <c r="J171" s="1" t="s">
        <v>9</v>
      </c>
      <c r="K171" s="4" t="s">
        <v>464</v>
      </c>
      <c r="L171" s="1" t="s">
        <v>19</v>
      </c>
      <c r="M171" s="1"/>
      <c r="O171" s="1"/>
      <c r="P171" s="1"/>
      <c r="Q171" s="1"/>
      <c r="S171" s="2"/>
      <c r="T171" s="1"/>
      <c r="U171" s="1"/>
      <c r="V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 t="s">
        <v>12</v>
      </c>
      <c r="AN171" s="1" t="s">
        <v>14</v>
      </c>
      <c r="AO171" s="1">
        <v>243</v>
      </c>
      <c r="AP171" s="3">
        <v>0.40500000000000003</v>
      </c>
      <c r="AQ171" s="1"/>
    </row>
    <row r="172" spans="1:43" ht="12.3" x14ac:dyDescent="0.4">
      <c r="A172" s="1" t="s">
        <v>252</v>
      </c>
      <c r="B172" s="1"/>
      <c r="C172" s="1" t="s">
        <v>6</v>
      </c>
      <c r="D172" s="5" t="s">
        <v>7</v>
      </c>
      <c r="E172" s="5" t="s">
        <v>463</v>
      </c>
      <c r="F172" s="4" t="s">
        <v>465</v>
      </c>
      <c r="G172" s="4" t="s">
        <v>465</v>
      </c>
      <c r="I172" s="1" t="s">
        <v>16</v>
      </c>
      <c r="J172" s="1" t="s">
        <v>10</v>
      </c>
      <c r="K172" s="4" t="s">
        <v>464</v>
      </c>
      <c r="L172" s="1" t="s">
        <v>19</v>
      </c>
      <c r="M172" s="1"/>
      <c r="O172" s="1"/>
      <c r="P172" s="1"/>
      <c r="Q172" s="1"/>
      <c r="S172" s="1"/>
      <c r="T172" s="1"/>
      <c r="U172" s="1"/>
      <c r="V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 t="s">
        <v>12</v>
      </c>
      <c r="AN172" s="1" t="s">
        <v>14</v>
      </c>
      <c r="AO172" s="1">
        <v>262</v>
      </c>
      <c r="AP172" s="3">
        <v>0.43666666666666665</v>
      </c>
      <c r="AQ172" s="1"/>
    </row>
    <row r="173" spans="1:43" ht="12.3" x14ac:dyDescent="0.4">
      <c r="A173" s="1" t="s">
        <v>253</v>
      </c>
      <c r="B173" s="1"/>
      <c r="C173" s="1" t="s">
        <v>6</v>
      </c>
      <c r="D173" s="5" t="s">
        <v>7</v>
      </c>
      <c r="E173" s="5" t="s">
        <v>463</v>
      </c>
      <c r="F173" s="4" t="s">
        <v>465</v>
      </c>
      <c r="G173" s="4" t="s">
        <v>465</v>
      </c>
      <c r="I173" s="1" t="s">
        <v>16</v>
      </c>
      <c r="J173" s="1" t="s">
        <v>10</v>
      </c>
      <c r="K173" s="4" t="s">
        <v>464</v>
      </c>
      <c r="L173" s="1" t="s">
        <v>22</v>
      </c>
      <c r="M173" s="1"/>
      <c r="O173" s="1"/>
      <c r="P173" s="1"/>
      <c r="Q173" s="1"/>
      <c r="S173" s="2"/>
      <c r="T173" s="1"/>
      <c r="U173" s="2"/>
      <c r="V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 t="s">
        <v>12</v>
      </c>
      <c r="AN173" s="1" t="s">
        <v>20</v>
      </c>
      <c r="AO173" s="1">
        <v>333</v>
      </c>
      <c r="AP173" s="3">
        <v>0.55500000000000005</v>
      </c>
      <c r="AQ173" s="1"/>
    </row>
    <row r="174" spans="1:43" ht="12.3" x14ac:dyDescent="0.4">
      <c r="A174" s="1" t="s">
        <v>254</v>
      </c>
      <c r="B174" s="1"/>
      <c r="C174" s="1" t="s">
        <v>6</v>
      </c>
      <c r="D174" s="5" t="s">
        <v>7</v>
      </c>
      <c r="E174" s="5" t="s">
        <v>463</v>
      </c>
      <c r="F174" s="4" t="s">
        <v>465</v>
      </c>
      <c r="G174" s="4" t="s">
        <v>465</v>
      </c>
      <c r="I174" s="1" t="s">
        <v>16</v>
      </c>
      <c r="J174" s="1" t="s">
        <v>10</v>
      </c>
      <c r="K174" s="4" t="s">
        <v>464</v>
      </c>
      <c r="L174" s="1" t="s">
        <v>17</v>
      </c>
      <c r="M174" s="1"/>
      <c r="O174" s="1"/>
      <c r="P174" s="1"/>
      <c r="Q174" s="1"/>
      <c r="S174" s="2"/>
      <c r="T174" s="1"/>
      <c r="U174" s="1"/>
      <c r="V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 t="s">
        <v>12</v>
      </c>
      <c r="AN174" s="1" t="s">
        <v>20</v>
      </c>
      <c r="AO174" s="1">
        <v>341</v>
      </c>
      <c r="AP174" s="3">
        <v>0.56833333333333336</v>
      </c>
      <c r="AQ174" s="1"/>
    </row>
    <row r="175" spans="1:43" ht="12.3" x14ac:dyDescent="0.4">
      <c r="A175" s="1" t="s">
        <v>255</v>
      </c>
      <c r="B175" s="1"/>
      <c r="C175" s="1" t="s">
        <v>6</v>
      </c>
      <c r="D175" s="5" t="s">
        <v>7</v>
      </c>
      <c r="E175" s="5" t="s">
        <v>463</v>
      </c>
      <c r="F175" s="4" t="s">
        <v>465</v>
      </c>
      <c r="G175" s="4" t="s">
        <v>465</v>
      </c>
      <c r="I175" s="1" t="s">
        <v>8</v>
      </c>
      <c r="J175" s="1" t="s">
        <v>9</v>
      </c>
      <c r="K175" s="4" t="s">
        <v>464</v>
      </c>
      <c r="L175" s="1" t="s">
        <v>25</v>
      </c>
      <c r="M175" s="1"/>
      <c r="O175" s="1"/>
      <c r="P175" s="1"/>
      <c r="Q175" s="1"/>
      <c r="S175" s="2"/>
      <c r="T175" s="1"/>
      <c r="U175" s="1"/>
      <c r="V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 t="s">
        <v>12</v>
      </c>
      <c r="AN175" s="1" t="s">
        <v>13</v>
      </c>
      <c r="AO175" s="1">
        <v>290</v>
      </c>
      <c r="AP175" s="3">
        <v>0.48333333333333334</v>
      </c>
      <c r="AQ175" s="1"/>
    </row>
    <row r="176" spans="1:43" ht="12.3" x14ac:dyDescent="0.4">
      <c r="A176" s="1" t="s">
        <v>256</v>
      </c>
      <c r="B176" s="1"/>
      <c r="C176" s="1" t="s">
        <v>6</v>
      </c>
      <c r="D176" s="5" t="s">
        <v>7</v>
      </c>
      <c r="E176" s="5" t="s">
        <v>463</v>
      </c>
      <c r="F176" s="4" t="s">
        <v>465</v>
      </c>
      <c r="G176" s="4" t="s">
        <v>465</v>
      </c>
      <c r="I176" s="1" t="s">
        <v>8</v>
      </c>
      <c r="J176" s="1" t="s">
        <v>9</v>
      </c>
      <c r="K176" s="4" t="s">
        <v>464</v>
      </c>
      <c r="L176" s="1" t="s">
        <v>26</v>
      </c>
      <c r="M176" s="1"/>
      <c r="O176" s="1"/>
      <c r="P176" s="1"/>
      <c r="Q176" s="1"/>
      <c r="S176" s="2"/>
      <c r="T176" s="1"/>
      <c r="U176" s="1"/>
      <c r="V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 t="s">
        <v>12</v>
      </c>
      <c r="AN176" s="1" t="s">
        <v>20</v>
      </c>
      <c r="AO176" s="1">
        <v>353</v>
      </c>
      <c r="AP176" s="3">
        <v>0.58833333333333337</v>
      </c>
      <c r="AQ176" s="1"/>
    </row>
    <row r="177" spans="1:43" ht="12.3" x14ac:dyDescent="0.4">
      <c r="A177" s="1" t="s">
        <v>257</v>
      </c>
      <c r="B177" s="1"/>
      <c r="C177" s="1" t="s">
        <v>6</v>
      </c>
      <c r="D177" s="5" t="s">
        <v>7</v>
      </c>
      <c r="E177" s="5" t="s">
        <v>463</v>
      </c>
      <c r="F177" s="4" t="s">
        <v>465</v>
      </c>
      <c r="G177" s="4" t="s">
        <v>465</v>
      </c>
      <c r="I177" s="1" t="s">
        <v>16</v>
      </c>
      <c r="J177" s="1" t="s">
        <v>10</v>
      </c>
      <c r="K177" s="4" t="s">
        <v>464</v>
      </c>
      <c r="L177" s="1" t="s">
        <v>19</v>
      </c>
      <c r="M177" s="1"/>
      <c r="O177" s="1"/>
      <c r="P177" s="1"/>
      <c r="Q177" s="1"/>
      <c r="S177" s="2"/>
      <c r="T177" s="1"/>
      <c r="U177" s="1"/>
      <c r="V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 t="s">
        <v>12</v>
      </c>
      <c r="AN177" s="1" t="s">
        <v>13</v>
      </c>
      <c r="AO177" s="1">
        <v>300</v>
      </c>
      <c r="AP177" s="3">
        <v>0.5</v>
      </c>
      <c r="AQ177" s="1"/>
    </row>
    <row r="178" spans="1:43" ht="12.3" x14ac:dyDescent="0.4">
      <c r="A178" s="1" t="s">
        <v>258</v>
      </c>
      <c r="B178" s="1"/>
      <c r="C178" s="1" t="s">
        <v>6</v>
      </c>
      <c r="D178" s="5" t="s">
        <v>7</v>
      </c>
      <c r="E178" s="5" t="s">
        <v>463</v>
      </c>
      <c r="F178" s="4" t="s">
        <v>465</v>
      </c>
      <c r="G178" s="4" t="s">
        <v>465</v>
      </c>
      <c r="I178" s="1" t="s">
        <v>8</v>
      </c>
      <c r="J178" s="1" t="s">
        <v>9</v>
      </c>
      <c r="K178" s="4" t="s">
        <v>464</v>
      </c>
      <c r="L178" s="1" t="s">
        <v>22</v>
      </c>
      <c r="M178" s="1"/>
      <c r="O178" s="1"/>
      <c r="P178" s="1"/>
      <c r="Q178" s="1"/>
      <c r="S178" s="2"/>
      <c r="T178" s="1"/>
      <c r="U178" s="1"/>
      <c r="V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 t="s">
        <v>12</v>
      </c>
      <c r="AN178" s="1" t="s">
        <v>20</v>
      </c>
      <c r="AO178" s="1">
        <v>378</v>
      </c>
      <c r="AP178" s="3">
        <v>0.63</v>
      </c>
      <c r="AQ178" s="1"/>
    </row>
    <row r="179" spans="1:43" ht="12.3" x14ac:dyDescent="0.4">
      <c r="A179" s="1" t="s">
        <v>259</v>
      </c>
      <c r="B179" s="1"/>
      <c r="C179" s="1" t="s">
        <v>6</v>
      </c>
      <c r="D179" s="5" t="s">
        <v>7</v>
      </c>
      <c r="E179" s="5" t="s">
        <v>463</v>
      </c>
      <c r="F179" s="4" t="s">
        <v>465</v>
      </c>
      <c r="G179" s="4" t="s">
        <v>465</v>
      </c>
      <c r="I179" s="1" t="s">
        <v>27</v>
      </c>
      <c r="J179" s="1" t="s">
        <v>9</v>
      </c>
      <c r="K179" s="4" t="s">
        <v>464</v>
      </c>
      <c r="L179" s="1" t="s">
        <v>11</v>
      </c>
      <c r="M179" s="1"/>
      <c r="O179" s="1"/>
      <c r="P179" s="1"/>
      <c r="Q179" s="1"/>
      <c r="S179" s="2"/>
      <c r="T179" s="1"/>
      <c r="U179" s="2"/>
      <c r="V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 t="s">
        <v>12</v>
      </c>
      <c r="AN179" s="1" t="s">
        <v>14</v>
      </c>
      <c r="AO179" s="1">
        <v>243</v>
      </c>
      <c r="AP179" s="3">
        <v>0.40500000000000003</v>
      </c>
      <c r="AQ179" s="1"/>
    </row>
    <row r="180" spans="1:43" ht="12.3" x14ac:dyDescent="0.4">
      <c r="A180" s="1" t="s">
        <v>260</v>
      </c>
      <c r="B180" s="1"/>
      <c r="C180" s="1" t="s">
        <v>6</v>
      </c>
      <c r="D180" s="5" t="s">
        <v>7</v>
      </c>
      <c r="E180" s="5" t="s">
        <v>463</v>
      </c>
      <c r="F180" s="4" t="s">
        <v>465</v>
      </c>
      <c r="G180" s="4" t="s">
        <v>465</v>
      </c>
      <c r="I180" s="1" t="s">
        <v>16</v>
      </c>
      <c r="J180" s="1" t="s">
        <v>10</v>
      </c>
      <c r="K180" s="4" t="s">
        <v>464</v>
      </c>
      <c r="L180" s="1" t="s">
        <v>23</v>
      </c>
      <c r="M180" s="1"/>
      <c r="O180" s="1"/>
      <c r="P180" s="1"/>
      <c r="Q180" s="1"/>
      <c r="S180" s="1"/>
      <c r="T180" s="1"/>
      <c r="U180" s="1"/>
      <c r="V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 t="s">
        <v>12</v>
      </c>
      <c r="AN180" s="1" t="s">
        <v>13</v>
      </c>
      <c r="AO180" s="1">
        <v>288</v>
      </c>
      <c r="AP180" s="3">
        <v>0.48</v>
      </c>
      <c r="AQ180" s="1"/>
    </row>
    <row r="181" spans="1:43" ht="12.3" x14ac:dyDescent="0.4">
      <c r="A181" s="1" t="s">
        <v>261</v>
      </c>
      <c r="B181" s="1"/>
      <c r="C181" s="1" t="s">
        <v>6</v>
      </c>
      <c r="D181" s="5" t="s">
        <v>7</v>
      </c>
      <c r="E181" s="5" t="s">
        <v>463</v>
      </c>
      <c r="F181" s="4" t="s">
        <v>465</v>
      </c>
      <c r="G181" s="4" t="s">
        <v>465</v>
      </c>
      <c r="I181" s="1" t="s">
        <v>16</v>
      </c>
      <c r="J181" s="1" t="s">
        <v>10</v>
      </c>
      <c r="K181" s="4" t="s">
        <v>464</v>
      </c>
      <c r="L181" s="1" t="s">
        <v>19</v>
      </c>
      <c r="M181" s="1"/>
      <c r="O181" s="1"/>
      <c r="P181" s="1"/>
      <c r="Q181" s="1"/>
      <c r="S181" s="2"/>
      <c r="T181" s="1"/>
      <c r="U181" s="2"/>
      <c r="V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 t="s">
        <v>12</v>
      </c>
      <c r="AN181" s="1" t="s">
        <v>14</v>
      </c>
      <c r="AO181" s="1">
        <v>259</v>
      </c>
      <c r="AP181" s="3">
        <v>0.43166666666666664</v>
      </c>
      <c r="AQ181" s="1"/>
    </row>
    <row r="182" spans="1:43" ht="12.3" x14ac:dyDescent="0.4">
      <c r="A182" s="1" t="s">
        <v>262</v>
      </c>
      <c r="B182" s="1"/>
      <c r="C182" s="1" t="s">
        <v>6</v>
      </c>
      <c r="D182" s="5" t="s">
        <v>7</v>
      </c>
      <c r="E182" s="5" t="s">
        <v>463</v>
      </c>
      <c r="F182" s="4" t="s">
        <v>465</v>
      </c>
      <c r="G182" s="4" t="s">
        <v>465</v>
      </c>
      <c r="I182" s="1" t="s">
        <v>16</v>
      </c>
      <c r="J182" s="1" t="s">
        <v>10</v>
      </c>
      <c r="K182" s="4" t="s">
        <v>464</v>
      </c>
      <c r="L182" s="1" t="s">
        <v>22</v>
      </c>
      <c r="M182" s="1"/>
      <c r="O182" s="1"/>
      <c r="P182" s="1"/>
      <c r="Q182" s="1"/>
      <c r="S182" s="2"/>
      <c r="T182" s="1"/>
      <c r="U182" s="2"/>
      <c r="V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 t="s">
        <v>12</v>
      </c>
      <c r="AN182" s="1" t="s">
        <v>14</v>
      </c>
      <c r="AO182" s="1">
        <v>247</v>
      </c>
      <c r="AP182" s="3">
        <v>0.41166666666666668</v>
      </c>
      <c r="AQ182" s="1"/>
    </row>
    <row r="183" spans="1:43" ht="12.3" x14ac:dyDescent="0.4">
      <c r="A183" s="1" t="s">
        <v>263</v>
      </c>
      <c r="B183" s="1"/>
      <c r="C183" s="1" t="s">
        <v>6</v>
      </c>
      <c r="D183" s="5" t="s">
        <v>7</v>
      </c>
      <c r="E183" s="5" t="s">
        <v>463</v>
      </c>
      <c r="F183" s="4" t="s">
        <v>465</v>
      </c>
      <c r="G183" s="4" t="s">
        <v>465</v>
      </c>
      <c r="I183" s="1" t="s">
        <v>16</v>
      </c>
      <c r="J183" s="1" t="s">
        <v>10</v>
      </c>
      <c r="K183" s="4" t="s">
        <v>464</v>
      </c>
      <c r="L183" s="1" t="s">
        <v>28</v>
      </c>
      <c r="M183" s="1"/>
      <c r="O183" s="1"/>
      <c r="P183" s="1"/>
      <c r="Q183" s="1"/>
      <c r="S183" s="1"/>
      <c r="T183" s="1"/>
      <c r="U183" s="2"/>
      <c r="V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 t="s">
        <v>12</v>
      </c>
      <c r="AN183" s="1" t="s">
        <v>13</v>
      </c>
      <c r="AO183" s="1">
        <v>290</v>
      </c>
      <c r="AP183" s="3">
        <v>0.48333333333333334</v>
      </c>
      <c r="AQ183" s="1"/>
    </row>
    <row r="184" spans="1:43" ht="12.3" x14ac:dyDescent="0.4">
      <c r="A184" s="1" t="s">
        <v>264</v>
      </c>
      <c r="B184" s="1"/>
      <c r="C184" s="1" t="s">
        <v>6</v>
      </c>
      <c r="D184" s="5" t="s">
        <v>7</v>
      </c>
      <c r="E184" s="5" t="s">
        <v>463</v>
      </c>
      <c r="F184" s="4" t="s">
        <v>465</v>
      </c>
      <c r="G184" s="4" t="s">
        <v>465</v>
      </c>
      <c r="I184" s="1" t="s">
        <v>29</v>
      </c>
      <c r="J184" s="1" t="s">
        <v>9</v>
      </c>
      <c r="K184" s="4" t="s">
        <v>464</v>
      </c>
      <c r="L184" s="1" t="s">
        <v>22</v>
      </c>
      <c r="M184" s="1"/>
      <c r="O184" s="1"/>
      <c r="P184" s="1"/>
      <c r="Q184" s="1"/>
      <c r="S184" s="1"/>
      <c r="T184" s="1"/>
      <c r="U184" s="1"/>
      <c r="V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 t="s">
        <v>12</v>
      </c>
      <c r="AN184" s="1" t="s">
        <v>14</v>
      </c>
      <c r="AO184" s="1">
        <v>263</v>
      </c>
      <c r="AP184" s="3">
        <v>0.43833333333333335</v>
      </c>
      <c r="AQ184" s="1"/>
    </row>
    <row r="185" spans="1:43" ht="12.3" x14ac:dyDescent="0.4">
      <c r="A185" s="1" t="s">
        <v>265</v>
      </c>
      <c r="B185" s="1"/>
      <c r="C185" s="1" t="s">
        <v>6</v>
      </c>
      <c r="D185" s="5" t="s">
        <v>7</v>
      </c>
      <c r="E185" s="5" t="s">
        <v>463</v>
      </c>
      <c r="F185" s="4" t="s">
        <v>465</v>
      </c>
      <c r="G185" s="4" t="s">
        <v>465</v>
      </c>
      <c r="I185" s="1" t="s">
        <v>8</v>
      </c>
      <c r="J185" s="1" t="s">
        <v>9</v>
      </c>
      <c r="K185" s="4" t="s">
        <v>464</v>
      </c>
      <c r="L185" s="1" t="s">
        <v>22</v>
      </c>
      <c r="M185" s="1"/>
      <c r="O185" s="1"/>
      <c r="P185" s="1"/>
      <c r="Q185" s="1"/>
      <c r="S185" s="2"/>
      <c r="T185" s="1"/>
      <c r="U185" s="2"/>
      <c r="V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 t="s">
        <v>12</v>
      </c>
      <c r="AN185" s="1" t="s">
        <v>13</v>
      </c>
      <c r="AO185" s="1">
        <v>281</v>
      </c>
      <c r="AP185" s="3">
        <v>0.46833333333333332</v>
      </c>
      <c r="AQ185" s="1"/>
    </row>
    <row r="186" spans="1:43" ht="12.3" x14ac:dyDescent="0.4">
      <c r="A186" s="1" t="s">
        <v>266</v>
      </c>
      <c r="B186" s="1"/>
      <c r="C186" s="1" t="s">
        <v>6</v>
      </c>
      <c r="D186" s="5" t="s">
        <v>7</v>
      </c>
      <c r="E186" s="5" t="s">
        <v>463</v>
      </c>
      <c r="F186" s="4" t="s">
        <v>465</v>
      </c>
      <c r="G186" s="4" t="s">
        <v>465</v>
      </c>
      <c r="I186" s="1" t="s">
        <v>8</v>
      </c>
      <c r="J186" s="1" t="s">
        <v>9</v>
      </c>
      <c r="K186" s="4" t="s">
        <v>464</v>
      </c>
      <c r="L186" s="1" t="s">
        <v>28</v>
      </c>
      <c r="M186" s="1"/>
      <c r="O186" s="1"/>
      <c r="P186" s="1"/>
      <c r="Q186" s="1"/>
      <c r="S186" s="2"/>
      <c r="T186" s="1"/>
      <c r="U186" s="2"/>
      <c r="V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 t="s">
        <v>12</v>
      </c>
      <c r="AN186" s="1" t="s">
        <v>20</v>
      </c>
      <c r="AO186" s="1">
        <v>352</v>
      </c>
      <c r="AP186" s="3">
        <v>0.58666666666666667</v>
      </c>
      <c r="AQ186" s="1"/>
    </row>
    <row r="187" spans="1:43" ht="12.3" x14ac:dyDescent="0.4">
      <c r="A187" s="1" t="s">
        <v>268</v>
      </c>
      <c r="B187" s="1"/>
      <c r="C187" s="1" t="s">
        <v>6</v>
      </c>
      <c r="D187" s="5" t="s">
        <v>7</v>
      </c>
      <c r="E187" s="5" t="s">
        <v>463</v>
      </c>
      <c r="F187" s="4" t="s">
        <v>465</v>
      </c>
      <c r="G187" s="4" t="s">
        <v>465</v>
      </c>
      <c r="I187" s="1" t="s">
        <v>8</v>
      </c>
      <c r="J187" s="1" t="s">
        <v>9</v>
      </c>
      <c r="K187" s="4" t="s">
        <v>464</v>
      </c>
      <c r="L187" s="1" t="s">
        <v>26</v>
      </c>
      <c r="M187" s="1"/>
      <c r="O187" s="1"/>
      <c r="P187" s="1"/>
      <c r="Q187" s="1"/>
      <c r="S187" s="1"/>
      <c r="T187" s="1"/>
      <c r="U187" s="1"/>
      <c r="V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 t="s">
        <v>12</v>
      </c>
      <c r="AN187" s="1" t="s">
        <v>20</v>
      </c>
      <c r="AO187" s="1">
        <v>343</v>
      </c>
      <c r="AP187" s="3">
        <v>0.57166666666666666</v>
      </c>
      <c r="AQ187" s="1"/>
    </row>
    <row r="188" spans="1:43" ht="12.3" x14ac:dyDescent="0.4">
      <c r="A188" s="1" t="s">
        <v>269</v>
      </c>
      <c r="B188" s="1"/>
      <c r="C188" s="1" t="s">
        <v>6</v>
      </c>
      <c r="D188" s="5" t="s">
        <v>7</v>
      </c>
      <c r="E188" s="5" t="s">
        <v>463</v>
      </c>
      <c r="F188" s="4" t="s">
        <v>465</v>
      </c>
      <c r="G188" s="4" t="s">
        <v>465</v>
      </c>
      <c r="I188" s="1" t="s">
        <v>8</v>
      </c>
      <c r="J188" s="1" t="s">
        <v>9</v>
      </c>
      <c r="K188" s="4" t="s">
        <v>464</v>
      </c>
      <c r="L188" s="1" t="s">
        <v>21</v>
      </c>
      <c r="M188" s="1"/>
      <c r="O188" s="1"/>
      <c r="P188" s="1"/>
      <c r="Q188" s="1"/>
      <c r="S188" s="2"/>
      <c r="T188" s="1"/>
      <c r="U188" s="1"/>
      <c r="V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 t="s">
        <v>12</v>
      </c>
      <c r="AN188" s="1" t="s">
        <v>20</v>
      </c>
      <c r="AO188" s="1">
        <v>364</v>
      </c>
      <c r="AP188" s="3">
        <v>0.60666666666666669</v>
      </c>
      <c r="AQ188" s="1"/>
    </row>
    <row r="189" spans="1:43" ht="12.3" x14ac:dyDescent="0.4">
      <c r="A189" s="1" t="s">
        <v>270</v>
      </c>
      <c r="B189" s="1"/>
      <c r="C189" s="1" t="s">
        <v>6</v>
      </c>
      <c r="D189" s="5" t="s">
        <v>7</v>
      </c>
      <c r="E189" s="5" t="s">
        <v>463</v>
      </c>
      <c r="F189" s="4" t="s">
        <v>465</v>
      </c>
      <c r="G189" s="4" t="s">
        <v>465</v>
      </c>
      <c r="I189" s="1" t="s">
        <v>16</v>
      </c>
      <c r="J189" s="1" t="s">
        <v>10</v>
      </c>
      <c r="K189" s="4" t="s">
        <v>464</v>
      </c>
      <c r="L189" s="1" t="s">
        <v>26</v>
      </c>
      <c r="M189" s="1"/>
      <c r="O189" s="1"/>
      <c r="P189" s="1"/>
      <c r="Q189" s="1"/>
      <c r="S189" s="2"/>
      <c r="T189" s="1"/>
      <c r="U189" s="2"/>
      <c r="V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 t="s">
        <v>12</v>
      </c>
      <c r="AN189" s="1" t="s">
        <v>18</v>
      </c>
      <c r="AO189" s="1">
        <v>310</v>
      </c>
      <c r="AP189" s="3">
        <v>0.51666666666666672</v>
      </c>
      <c r="AQ189" s="1"/>
    </row>
    <row r="190" spans="1:43" ht="12.3" x14ac:dyDescent="0.4">
      <c r="A190" s="1" t="s">
        <v>271</v>
      </c>
      <c r="B190" s="1"/>
      <c r="C190" s="1" t="s">
        <v>6</v>
      </c>
      <c r="D190" s="5" t="s">
        <v>7</v>
      </c>
      <c r="E190" s="5" t="s">
        <v>463</v>
      </c>
      <c r="F190" s="4" t="s">
        <v>465</v>
      </c>
      <c r="G190" s="4" t="s">
        <v>465</v>
      </c>
      <c r="I190" s="1" t="s">
        <v>8</v>
      </c>
      <c r="J190" s="1" t="s">
        <v>9</v>
      </c>
      <c r="K190" s="4" t="s">
        <v>464</v>
      </c>
      <c r="L190" s="1" t="s">
        <v>11</v>
      </c>
      <c r="M190" s="1"/>
      <c r="O190" s="1"/>
      <c r="P190" s="1"/>
      <c r="Q190" s="1"/>
      <c r="S190" s="2"/>
      <c r="T190" s="1"/>
      <c r="U190" s="1"/>
      <c r="V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 t="s">
        <v>12</v>
      </c>
      <c r="AN190" s="1" t="s">
        <v>20</v>
      </c>
      <c r="AO190" s="1">
        <v>473</v>
      </c>
      <c r="AP190" s="3">
        <v>0.78833333333333333</v>
      </c>
      <c r="AQ190" s="1"/>
    </row>
    <row r="191" spans="1:43" ht="12.3" x14ac:dyDescent="0.4">
      <c r="A191" s="1" t="s">
        <v>272</v>
      </c>
      <c r="B191" s="1"/>
      <c r="C191" s="1" t="s">
        <v>6</v>
      </c>
      <c r="D191" s="5" t="s">
        <v>7</v>
      </c>
      <c r="E191" s="5" t="s">
        <v>463</v>
      </c>
      <c r="F191" s="4" t="s">
        <v>465</v>
      </c>
      <c r="G191" s="4" t="s">
        <v>465</v>
      </c>
      <c r="I191" s="1" t="s">
        <v>8</v>
      </c>
      <c r="J191" s="1" t="s">
        <v>9</v>
      </c>
      <c r="K191" s="4" t="s">
        <v>464</v>
      </c>
      <c r="L191" s="1" t="s">
        <v>19</v>
      </c>
      <c r="M191" s="1"/>
      <c r="O191" s="1"/>
      <c r="P191" s="1"/>
      <c r="Q191" s="1"/>
      <c r="S191" s="1"/>
      <c r="T191" s="1"/>
      <c r="U191" s="1"/>
      <c r="V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 t="s">
        <v>12</v>
      </c>
      <c r="AN191" s="1" t="s">
        <v>13</v>
      </c>
      <c r="AO191" s="1">
        <v>302</v>
      </c>
      <c r="AP191" s="3">
        <v>0.5033333333333333</v>
      </c>
      <c r="AQ191" s="1"/>
    </row>
    <row r="192" spans="1:43" ht="12.3" x14ac:dyDescent="0.4">
      <c r="A192" s="1" t="s">
        <v>273</v>
      </c>
      <c r="B192" s="1"/>
      <c r="C192" s="1" t="s">
        <v>6</v>
      </c>
      <c r="D192" s="5" t="s">
        <v>7</v>
      </c>
      <c r="E192" s="5" t="s">
        <v>463</v>
      </c>
      <c r="F192" s="4" t="s">
        <v>465</v>
      </c>
      <c r="G192" s="4" t="s">
        <v>465</v>
      </c>
      <c r="I192" s="1" t="s">
        <v>16</v>
      </c>
      <c r="J192" s="1" t="s">
        <v>9</v>
      </c>
      <c r="K192" s="4" t="s">
        <v>464</v>
      </c>
      <c r="L192" s="1" t="s">
        <v>23</v>
      </c>
      <c r="M192" s="1"/>
      <c r="O192" s="1"/>
      <c r="P192" s="1"/>
      <c r="Q192" s="1"/>
      <c r="S192" s="2"/>
      <c r="T192" s="1"/>
      <c r="U192" s="1"/>
      <c r="V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 t="s">
        <v>12</v>
      </c>
      <c r="AN192" s="1" t="s">
        <v>20</v>
      </c>
      <c r="AO192" s="1">
        <v>336</v>
      </c>
      <c r="AP192" s="3">
        <v>0.56000000000000005</v>
      </c>
      <c r="AQ192" s="1"/>
    </row>
    <row r="193" spans="1:43" ht="12.3" x14ac:dyDescent="0.4">
      <c r="A193" s="1" t="s">
        <v>274</v>
      </c>
      <c r="B193" s="1"/>
      <c r="C193" s="1" t="s">
        <v>6</v>
      </c>
      <c r="D193" s="5" t="s">
        <v>7</v>
      </c>
      <c r="E193" s="5" t="s">
        <v>463</v>
      </c>
      <c r="F193" s="4" t="s">
        <v>465</v>
      </c>
      <c r="G193" s="4" t="s">
        <v>465</v>
      </c>
      <c r="I193" s="1" t="s">
        <v>8</v>
      </c>
      <c r="J193" s="1" t="s">
        <v>9</v>
      </c>
      <c r="K193" s="4" t="s">
        <v>464</v>
      </c>
      <c r="L193" s="1" t="s">
        <v>28</v>
      </c>
      <c r="M193" s="1"/>
      <c r="O193" s="1"/>
      <c r="P193" s="1"/>
      <c r="Q193" s="1"/>
      <c r="S193" s="1"/>
      <c r="T193" s="1"/>
      <c r="U193" s="2"/>
      <c r="V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 t="s">
        <v>12</v>
      </c>
      <c r="AN193" s="1" t="s">
        <v>20</v>
      </c>
      <c r="AO193" s="1">
        <v>373</v>
      </c>
      <c r="AP193" s="3">
        <v>0.6216666666666667</v>
      </c>
      <c r="AQ193" s="1"/>
    </row>
    <row r="194" spans="1:43" ht="12.3" x14ac:dyDescent="0.4">
      <c r="A194" s="1" t="s">
        <v>275</v>
      </c>
      <c r="B194" s="1"/>
      <c r="C194" s="1" t="s">
        <v>6</v>
      </c>
      <c r="D194" s="5" t="s">
        <v>7</v>
      </c>
      <c r="E194" s="5" t="s">
        <v>463</v>
      </c>
      <c r="F194" s="4" t="s">
        <v>465</v>
      </c>
      <c r="G194" s="4" t="s">
        <v>465</v>
      </c>
      <c r="I194" s="1" t="s">
        <v>16</v>
      </c>
      <c r="J194" s="1" t="s">
        <v>10</v>
      </c>
      <c r="K194" s="4" t="s">
        <v>464</v>
      </c>
      <c r="L194" s="1" t="s">
        <v>25</v>
      </c>
      <c r="M194" s="1"/>
      <c r="O194" s="1"/>
      <c r="P194" s="1"/>
      <c r="Q194" s="1"/>
      <c r="S194" s="2"/>
      <c r="T194" s="1"/>
      <c r="U194" s="1"/>
      <c r="V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 t="s">
        <v>12</v>
      </c>
      <c r="AN194" s="1" t="s">
        <v>20</v>
      </c>
      <c r="AO194" s="1">
        <v>333</v>
      </c>
      <c r="AP194" s="3">
        <v>0.55500000000000005</v>
      </c>
      <c r="AQ194" s="1"/>
    </row>
    <row r="195" spans="1:43" ht="12.3" x14ac:dyDescent="0.4">
      <c r="A195" s="1" t="s">
        <v>276</v>
      </c>
      <c r="B195" s="1"/>
      <c r="C195" s="1" t="s">
        <v>6</v>
      </c>
      <c r="D195" s="5" t="s">
        <v>7</v>
      </c>
      <c r="E195" s="5" t="s">
        <v>463</v>
      </c>
      <c r="F195" s="4" t="s">
        <v>465</v>
      </c>
      <c r="G195" s="4" t="s">
        <v>465</v>
      </c>
      <c r="I195" s="1" t="s">
        <v>16</v>
      </c>
      <c r="J195" s="1" t="s">
        <v>10</v>
      </c>
      <c r="K195" s="4" t="s">
        <v>464</v>
      </c>
      <c r="L195" s="1" t="s">
        <v>24</v>
      </c>
      <c r="M195" s="1"/>
      <c r="O195" s="1"/>
      <c r="P195" s="1"/>
      <c r="Q195" s="1"/>
      <c r="S195" s="1"/>
      <c r="T195" s="1"/>
      <c r="U195" s="1"/>
      <c r="V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 t="s">
        <v>12</v>
      </c>
      <c r="AN195" s="1" t="s">
        <v>20</v>
      </c>
      <c r="AO195" s="1">
        <v>334</v>
      </c>
      <c r="AP195" s="3">
        <v>0.55666666666666664</v>
      </c>
      <c r="AQ195" s="1"/>
    </row>
    <row r="196" spans="1:43" ht="12.3" x14ac:dyDescent="0.4">
      <c r="A196" s="1" t="s">
        <v>277</v>
      </c>
      <c r="B196" s="1"/>
      <c r="C196" s="1" t="s">
        <v>33</v>
      </c>
      <c r="D196" s="5" t="s">
        <v>7</v>
      </c>
      <c r="E196" s="5" t="s">
        <v>463</v>
      </c>
      <c r="F196" s="4" t="s">
        <v>465</v>
      </c>
      <c r="G196" s="4" t="s">
        <v>465</v>
      </c>
      <c r="I196" s="1" t="s">
        <v>16</v>
      </c>
      <c r="J196" s="1" t="s">
        <v>10</v>
      </c>
      <c r="K196" s="4" t="s">
        <v>464</v>
      </c>
      <c r="L196" s="1" t="s">
        <v>34</v>
      </c>
      <c r="M196" s="1"/>
      <c r="O196" s="1"/>
      <c r="P196" s="1"/>
      <c r="Q196" s="1"/>
      <c r="S196" s="2"/>
      <c r="T196" s="1"/>
      <c r="U196" s="1"/>
      <c r="V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 t="s">
        <v>12</v>
      </c>
      <c r="AN196" s="1" t="s">
        <v>20</v>
      </c>
      <c r="AO196" s="1">
        <v>429</v>
      </c>
      <c r="AP196" s="3">
        <v>0.71499999999999997</v>
      </c>
      <c r="AQ196" s="1"/>
    </row>
    <row r="197" spans="1:43" ht="12.3" x14ac:dyDescent="0.4">
      <c r="A197" s="1" t="s">
        <v>278</v>
      </c>
      <c r="B197" s="1"/>
      <c r="C197" s="1" t="s">
        <v>33</v>
      </c>
      <c r="D197" s="5" t="s">
        <v>7</v>
      </c>
      <c r="E197" s="5" t="s">
        <v>463</v>
      </c>
      <c r="F197" s="4" t="s">
        <v>465</v>
      </c>
      <c r="G197" s="4" t="s">
        <v>465</v>
      </c>
      <c r="I197" s="1" t="s">
        <v>16</v>
      </c>
      <c r="J197" s="1" t="s">
        <v>10</v>
      </c>
      <c r="K197" s="4" t="s">
        <v>464</v>
      </c>
      <c r="L197" s="1" t="s">
        <v>35</v>
      </c>
      <c r="M197" s="1"/>
      <c r="O197" s="1"/>
      <c r="P197" s="1"/>
      <c r="Q197" s="1"/>
      <c r="S197" s="2"/>
      <c r="T197" s="1"/>
      <c r="U197" s="2"/>
      <c r="V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 t="s">
        <v>12</v>
      </c>
      <c r="AN197" s="1" t="s">
        <v>20</v>
      </c>
      <c r="AO197" s="1">
        <v>368</v>
      </c>
      <c r="AP197" s="3">
        <v>0.61333333333333329</v>
      </c>
      <c r="AQ197" s="1"/>
    </row>
    <row r="198" spans="1:43" ht="12.3" x14ac:dyDescent="0.4">
      <c r="A198" s="1" t="s">
        <v>279</v>
      </c>
      <c r="B198" s="1"/>
      <c r="C198" s="1" t="s">
        <v>33</v>
      </c>
      <c r="D198" s="5" t="s">
        <v>7</v>
      </c>
      <c r="E198" s="5" t="s">
        <v>463</v>
      </c>
      <c r="F198" s="4" t="s">
        <v>465</v>
      </c>
      <c r="G198" s="4" t="s">
        <v>465</v>
      </c>
      <c r="I198" s="1" t="s">
        <v>16</v>
      </c>
      <c r="J198" s="1" t="s">
        <v>10</v>
      </c>
      <c r="K198" s="4" t="s">
        <v>464</v>
      </c>
      <c r="L198" s="1" t="s">
        <v>36</v>
      </c>
      <c r="M198" s="1"/>
      <c r="O198" s="1"/>
      <c r="P198" s="1"/>
      <c r="Q198" s="1"/>
      <c r="S198" s="2"/>
      <c r="T198" s="1"/>
      <c r="U198" s="1"/>
      <c r="V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 t="s">
        <v>12</v>
      </c>
      <c r="AN198" s="1" t="s">
        <v>20</v>
      </c>
      <c r="AO198" s="1">
        <v>352</v>
      </c>
      <c r="AP198" s="3">
        <v>0.58666666666666667</v>
      </c>
      <c r="AQ198" s="1"/>
    </row>
    <row r="199" spans="1:43" ht="12.3" x14ac:dyDescent="0.4">
      <c r="A199" s="1" t="s">
        <v>281</v>
      </c>
      <c r="B199" s="1"/>
      <c r="C199" s="1" t="s">
        <v>33</v>
      </c>
      <c r="D199" s="5" t="s">
        <v>7</v>
      </c>
      <c r="E199" s="5" t="s">
        <v>463</v>
      </c>
      <c r="F199" s="4" t="s">
        <v>465</v>
      </c>
      <c r="G199" s="4" t="s">
        <v>465</v>
      </c>
      <c r="I199" s="1" t="s">
        <v>8</v>
      </c>
      <c r="J199" s="1" t="s">
        <v>9</v>
      </c>
      <c r="K199" s="4" t="s">
        <v>464</v>
      </c>
      <c r="L199" s="1" t="s">
        <v>38</v>
      </c>
      <c r="M199" s="1"/>
      <c r="O199" s="1"/>
      <c r="P199" s="1"/>
      <c r="Q199" s="1"/>
      <c r="S199" s="2"/>
      <c r="T199" s="1"/>
      <c r="U199" s="1"/>
      <c r="V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 t="s">
        <v>12</v>
      </c>
      <c r="AN199" s="1" t="s">
        <v>18</v>
      </c>
      <c r="AO199" s="1">
        <v>306</v>
      </c>
      <c r="AP199" s="3">
        <v>0.51</v>
      </c>
      <c r="AQ199" s="1"/>
    </row>
    <row r="200" spans="1:43" ht="12.3" x14ac:dyDescent="0.4">
      <c r="A200" s="1" t="s">
        <v>282</v>
      </c>
      <c r="B200" s="1"/>
      <c r="C200" s="1" t="s">
        <v>33</v>
      </c>
      <c r="D200" s="5" t="s">
        <v>7</v>
      </c>
      <c r="E200" s="5" t="s">
        <v>463</v>
      </c>
      <c r="F200" s="4" t="s">
        <v>465</v>
      </c>
      <c r="G200" s="4" t="s">
        <v>465</v>
      </c>
      <c r="I200" s="1" t="s">
        <v>16</v>
      </c>
      <c r="J200" s="1" t="s">
        <v>10</v>
      </c>
      <c r="K200" s="4" t="s">
        <v>464</v>
      </c>
      <c r="L200" s="1" t="s">
        <v>39</v>
      </c>
      <c r="M200" s="1"/>
      <c r="O200" s="1"/>
      <c r="P200" s="1"/>
      <c r="Q200" s="1"/>
      <c r="S200" s="2"/>
      <c r="T200" s="1"/>
      <c r="U200" s="2"/>
      <c r="V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 t="s">
        <v>12</v>
      </c>
      <c r="AN200" s="1" t="s">
        <v>14</v>
      </c>
      <c r="AO200" s="1">
        <v>276</v>
      </c>
      <c r="AP200" s="3">
        <v>0.46</v>
      </c>
      <c r="AQ200" s="1"/>
    </row>
    <row r="201" spans="1:43" ht="12.3" x14ac:dyDescent="0.4">
      <c r="A201" s="1" t="s">
        <v>283</v>
      </c>
      <c r="B201" s="1"/>
      <c r="C201" s="1" t="s">
        <v>33</v>
      </c>
      <c r="D201" s="5" t="s">
        <v>7</v>
      </c>
      <c r="E201" s="5" t="s">
        <v>463</v>
      </c>
      <c r="F201" s="4" t="s">
        <v>465</v>
      </c>
      <c r="G201" s="4" t="s">
        <v>465</v>
      </c>
      <c r="I201" s="1" t="s">
        <v>29</v>
      </c>
      <c r="J201" s="1" t="s">
        <v>9</v>
      </c>
      <c r="K201" s="4" t="s">
        <v>464</v>
      </c>
      <c r="L201" s="1" t="s">
        <v>40</v>
      </c>
      <c r="M201" s="1"/>
      <c r="O201" s="1"/>
      <c r="P201" s="1"/>
      <c r="Q201" s="1"/>
      <c r="S201" s="2"/>
      <c r="T201" s="1"/>
      <c r="U201" s="1"/>
      <c r="V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 t="s">
        <v>12</v>
      </c>
      <c r="AN201" s="1" t="s">
        <v>13</v>
      </c>
      <c r="AO201" s="1">
        <v>296</v>
      </c>
      <c r="AP201" s="3">
        <v>0.49333333333333335</v>
      </c>
      <c r="AQ201" s="1"/>
    </row>
    <row r="202" spans="1:43" ht="12.3" x14ac:dyDescent="0.4">
      <c r="A202" s="1" t="s">
        <v>284</v>
      </c>
      <c r="B202" s="1"/>
      <c r="C202" s="1" t="s">
        <v>33</v>
      </c>
      <c r="D202" s="5" t="s">
        <v>7</v>
      </c>
      <c r="E202" s="5" t="s">
        <v>463</v>
      </c>
      <c r="F202" s="4" t="s">
        <v>465</v>
      </c>
      <c r="G202" s="4" t="s">
        <v>465</v>
      </c>
      <c r="I202" s="1" t="s">
        <v>16</v>
      </c>
      <c r="J202" s="1" t="s">
        <v>10</v>
      </c>
      <c r="K202" s="4" t="s">
        <v>464</v>
      </c>
      <c r="L202" s="1" t="s">
        <v>40</v>
      </c>
      <c r="M202" s="1"/>
      <c r="O202" s="1"/>
      <c r="P202" s="1"/>
      <c r="Q202" s="1"/>
      <c r="S202" s="2"/>
      <c r="T202" s="1"/>
      <c r="U202" s="1"/>
      <c r="V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 t="s">
        <v>12</v>
      </c>
      <c r="AN202" s="1" t="s">
        <v>14</v>
      </c>
      <c r="AO202" s="1">
        <v>249</v>
      </c>
      <c r="AP202" s="3">
        <v>0.41499999999999998</v>
      </c>
      <c r="AQ202" s="1"/>
    </row>
    <row r="203" spans="1:43" ht="12.3" x14ac:dyDescent="0.4">
      <c r="A203" s="1" t="s">
        <v>285</v>
      </c>
      <c r="B203" s="1"/>
      <c r="C203" s="1" t="s">
        <v>33</v>
      </c>
      <c r="D203" s="5" t="s">
        <v>7</v>
      </c>
      <c r="E203" s="5" t="s">
        <v>463</v>
      </c>
      <c r="F203" s="4" t="s">
        <v>465</v>
      </c>
      <c r="G203" s="4" t="s">
        <v>465</v>
      </c>
      <c r="I203" s="1" t="s">
        <v>16</v>
      </c>
      <c r="J203" s="1" t="s">
        <v>9</v>
      </c>
      <c r="K203" s="4" t="s">
        <v>464</v>
      </c>
      <c r="L203" s="1" t="s">
        <v>37</v>
      </c>
      <c r="M203" s="1"/>
      <c r="O203" s="1"/>
      <c r="P203" s="1"/>
      <c r="Q203" s="1"/>
      <c r="S203" s="2"/>
      <c r="T203" s="1"/>
      <c r="U203" s="2"/>
      <c r="V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 t="s">
        <v>12</v>
      </c>
      <c r="AN203" s="1" t="s">
        <v>20</v>
      </c>
      <c r="AO203" s="1">
        <v>438</v>
      </c>
      <c r="AP203" s="3">
        <v>0.73</v>
      </c>
      <c r="AQ203" s="1"/>
    </row>
    <row r="204" spans="1:43" ht="12.3" x14ac:dyDescent="0.4">
      <c r="A204" s="1" t="s">
        <v>286</v>
      </c>
      <c r="B204" s="1"/>
      <c r="C204" s="1" t="s">
        <v>33</v>
      </c>
      <c r="D204" s="5" t="s">
        <v>7</v>
      </c>
      <c r="E204" s="5" t="s">
        <v>463</v>
      </c>
      <c r="F204" s="4" t="s">
        <v>465</v>
      </c>
      <c r="G204" s="4" t="s">
        <v>465</v>
      </c>
      <c r="I204" s="1" t="s">
        <v>8</v>
      </c>
      <c r="J204" s="1" t="s">
        <v>9</v>
      </c>
      <c r="K204" s="4" t="s">
        <v>464</v>
      </c>
      <c r="L204" s="1" t="s">
        <v>39</v>
      </c>
      <c r="M204" s="1"/>
      <c r="O204" s="1"/>
      <c r="P204" s="1"/>
      <c r="Q204" s="1"/>
      <c r="S204" s="2"/>
      <c r="T204" s="1"/>
      <c r="U204" s="2"/>
      <c r="V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 t="s">
        <v>12</v>
      </c>
      <c r="AN204" s="1" t="s">
        <v>14</v>
      </c>
      <c r="AO204" s="1">
        <v>258</v>
      </c>
      <c r="AP204" s="3">
        <v>0.43</v>
      </c>
      <c r="AQ204" s="1"/>
    </row>
    <row r="205" spans="1:43" ht="12.3" x14ac:dyDescent="0.4">
      <c r="A205" s="1" t="s">
        <v>287</v>
      </c>
      <c r="B205" s="1"/>
      <c r="C205" s="1" t="s">
        <v>33</v>
      </c>
      <c r="D205" s="5" t="s">
        <v>7</v>
      </c>
      <c r="E205" s="5" t="s">
        <v>463</v>
      </c>
      <c r="F205" s="4" t="s">
        <v>465</v>
      </c>
      <c r="G205" s="4" t="s">
        <v>465</v>
      </c>
      <c r="I205" s="1" t="s">
        <v>8</v>
      </c>
      <c r="J205" s="1" t="s">
        <v>9</v>
      </c>
      <c r="K205" s="4" t="s">
        <v>464</v>
      </c>
      <c r="L205" s="1" t="s">
        <v>34</v>
      </c>
      <c r="M205" s="1"/>
      <c r="O205" s="1"/>
      <c r="P205" s="1"/>
      <c r="Q205" s="1"/>
      <c r="S205" s="2"/>
      <c r="T205" s="1"/>
      <c r="U205" s="2"/>
      <c r="V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 t="s">
        <v>12</v>
      </c>
      <c r="AN205" s="1" t="s">
        <v>20</v>
      </c>
      <c r="AO205" s="1">
        <v>339</v>
      </c>
      <c r="AP205" s="3">
        <v>0.56499999999999995</v>
      </c>
      <c r="AQ205" s="1"/>
    </row>
    <row r="206" spans="1:43" ht="12.3" x14ac:dyDescent="0.4">
      <c r="A206" s="1" t="s">
        <v>288</v>
      </c>
      <c r="B206" s="1"/>
      <c r="C206" s="1" t="s">
        <v>33</v>
      </c>
      <c r="D206" s="5" t="s">
        <v>7</v>
      </c>
      <c r="E206" s="5" t="s">
        <v>463</v>
      </c>
      <c r="F206" s="4" t="s">
        <v>465</v>
      </c>
      <c r="G206" s="4" t="s">
        <v>465</v>
      </c>
      <c r="I206" s="1" t="s">
        <v>16</v>
      </c>
      <c r="J206" s="1" t="s">
        <v>10</v>
      </c>
      <c r="K206" s="4" t="s">
        <v>464</v>
      </c>
      <c r="L206" s="1" t="s">
        <v>36</v>
      </c>
      <c r="M206" s="1"/>
      <c r="O206" s="1"/>
      <c r="P206" s="1"/>
      <c r="Q206" s="1"/>
      <c r="S206" s="2"/>
      <c r="T206" s="1"/>
      <c r="U206" s="1"/>
      <c r="V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 t="s">
        <v>12</v>
      </c>
      <c r="AN206" s="1" t="s">
        <v>14</v>
      </c>
      <c r="AO206" s="1">
        <v>243</v>
      </c>
      <c r="AP206" s="3">
        <v>0.40500000000000003</v>
      </c>
      <c r="AQ206" s="1"/>
    </row>
    <row r="207" spans="1:43" ht="12.3" x14ac:dyDescent="0.4">
      <c r="A207" s="1" t="s">
        <v>289</v>
      </c>
      <c r="B207" s="1"/>
      <c r="C207" s="1" t="s">
        <v>33</v>
      </c>
      <c r="D207" s="5" t="s">
        <v>7</v>
      </c>
      <c r="E207" s="5" t="s">
        <v>463</v>
      </c>
      <c r="F207" s="4" t="s">
        <v>465</v>
      </c>
      <c r="G207" s="4" t="s">
        <v>465</v>
      </c>
      <c r="I207" s="1" t="s">
        <v>16</v>
      </c>
      <c r="J207" s="1" t="s">
        <v>9</v>
      </c>
      <c r="K207" s="4" t="s">
        <v>464</v>
      </c>
      <c r="L207" s="1" t="s">
        <v>41</v>
      </c>
      <c r="M207" s="1"/>
      <c r="O207" s="1"/>
      <c r="P207" s="1"/>
      <c r="Q207" s="1"/>
      <c r="S207" s="2"/>
      <c r="T207" s="1"/>
      <c r="U207" s="1"/>
      <c r="V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 t="s">
        <v>12</v>
      </c>
      <c r="AN207" s="1" t="s">
        <v>14</v>
      </c>
      <c r="AO207" s="1">
        <v>278</v>
      </c>
      <c r="AP207" s="3">
        <v>0.46333333333333332</v>
      </c>
      <c r="AQ207" s="1"/>
    </row>
    <row r="208" spans="1:43" ht="12.3" x14ac:dyDescent="0.4">
      <c r="A208" s="1" t="s">
        <v>290</v>
      </c>
      <c r="B208" s="1"/>
      <c r="C208" s="1" t="s">
        <v>33</v>
      </c>
      <c r="D208" s="5" t="s">
        <v>7</v>
      </c>
      <c r="E208" s="5" t="s">
        <v>463</v>
      </c>
      <c r="F208" s="4" t="s">
        <v>465</v>
      </c>
      <c r="G208" s="4" t="s">
        <v>465</v>
      </c>
      <c r="I208" s="1" t="s">
        <v>16</v>
      </c>
      <c r="J208" s="1" t="s">
        <v>10</v>
      </c>
      <c r="K208" s="4" t="s">
        <v>464</v>
      </c>
      <c r="L208" s="1" t="s">
        <v>36</v>
      </c>
      <c r="M208" s="1"/>
      <c r="O208" s="1"/>
      <c r="P208" s="1"/>
      <c r="Q208" s="1"/>
      <c r="S208" s="2"/>
      <c r="T208" s="1"/>
      <c r="U208" s="1"/>
      <c r="V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 t="s">
        <v>12</v>
      </c>
      <c r="AN208" s="1" t="s">
        <v>14</v>
      </c>
      <c r="AO208" s="1">
        <v>258</v>
      </c>
      <c r="AP208" s="3">
        <v>0.43</v>
      </c>
      <c r="AQ208" s="1"/>
    </row>
    <row r="209" spans="1:43" ht="12.3" x14ac:dyDescent="0.4">
      <c r="A209" s="1" t="s">
        <v>291</v>
      </c>
      <c r="B209" s="1"/>
      <c r="C209" s="1" t="s">
        <v>33</v>
      </c>
      <c r="D209" s="5" t="s">
        <v>7</v>
      </c>
      <c r="E209" s="5" t="s">
        <v>463</v>
      </c>
      <c r="F209" s="4" t="s">
        <v>465</v>
      </c>
      <c r="G209" s="4" t="s">
        <v>465</v>
      </c>
      <c r="I209" s="1" t="s">
        <v>16</v>
      </c>
      <c r="J209" s="1" t="s">
        <v>10</v>
      </c>
      <c r="K209" s="4" t="s">
        <v>464</v>
      </c>
      <c r="L209" s="1" t="s">
        <v>36</v>
      </c>
      <c r="M209" s="1"/>
      <c r="O209" s="1"/>
      <c r="P209" s="1"/>
      <c r="Q209" s="1"/>
      <c r="S209" s="2"/>
      <c r="T209" s="1"/>
      <c r="U209" s="1"/>
      <c r="V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 t="s">
        <v>12</v>
      </c>
      <c r="AN209" s="1" t="s">
        <v>20</v>
      </c>
      <c r="AO209" s="1">
        <v>362</v>
      </c>
      <c r="AP209" s="3">
        <v>0.60333333333333339</v>
      </c>
      <c r="AQ209" s="1"/>
    </row>
    <row r="210" spans="1:43" ht="12.3" x14ac:dyDescent="0.4">
      <c r="A210" s="1" t="s">
        <v>292</v>
      </c>
      <c r="B210" s="1"/>
      <c r="C210" s="1" t="s">
        <v>33</v>
      </c>
      <c r="D210" s="5" t="s">
        <v>7</v>
      </c>
      <c r="E210" s="5" t="s">
        <v>463</v>
      </c>
      <c r="F210" s="4" t="s">
        <v>465</v>
      </c>
      <c r="G210" s="4" t="s">
        <v>465</v>
      </c>
      <c r="I210" s="1" t="s">
        <v>8</v>
      </c>
      <c r="J210" s="1" t="s">
        <v>9</v>
      </c>
      <c r="K210" s="4" t="s">
        <v>464</v>
      </c>
      <c r="L210" s="1" t="s">
        <v>40</v>
      </c>
      <c r="M210" s="1"/>
      <c r="O210" s="1"/>
      <c r="P210" s="1"/>
      <c r="Q210" s="1"/>
      <c r="S210" s="2"/>
      <c r="T210" s="1"/>
      <c r="U210" s="2"/>
      <c r="V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 t="s">
        <v>12</v>
      </c>
      <c r="AN210" s="1" t="s">
        <v>18</v>
      </c>
      <c r="AO210" s="1">
        <v>319</v>
      </c>
      <c r="AP210" s="3">
        <v>0.53166666666666662</v>
      </c>
      <c r="AQ210" s="1"/>
    </row>
    <row r="211" spans="1:43" ht="12.3" x14ac:dyDescent="0.4">
      <c r="A211" s="1" t="s">
        <v>293</v>
      </c>
      <c r="B211" s="1"/>
      <c r="C211" s="1" t="s">
        <v>33</v>
      </c>
      <c r="D211" s="5" t="s">
        <v>7</v>
      </c>
      <c r="E211" s="5" t="s">
        <v>463</v>
      </c>
      <c r="F211" s="4" t="s">
        <v>465</v>
      </c>
      <c r="G211" s="4" t="s">
        <v>465</v>
      </c>
      <c r="I211" s="1" t="s">
        <v>8</v>
      </c>
      <c r="J211" s="1" t="s">
        <v>9</v>
      </c>
      <c r="K211" s="4" t="s">
        <v>464</v>
      </c>
      <c r="L211" s="1" t="s">
        <v>35</v>
      </c>
      <c r="M211" s="1"/>
      <c r="O211" s="1"/>
      <c r="P211" s="1"/>
      <c r="Q211" s="1"/>
      <c r="S211" s="2"/>
      <c r="T211" s="1"/>
      <c r="U211" s="1"/>
      <c r="V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 t="s">
        <v>12</v>
      </c>
      <c r="AN211" s="1" t="s">
        <v>20</v>
      </c>
      <c r="AO211" s="1">
        <v>370</v>
      </c>
      <c r="AP211" s="3">
        <v>0.6166666666666667</v>
      </c>
      <c r="AQ211" s="1"/>
    </row>
    <row r="212" spans="1:43" ht="12.3" x14ac:dyDescent="0.4">
      <c r="A212" s="1" t="s">
        <v>294</v>
      </c>
      <c r="B212" s="1"/>
      <c r="C212" s="1" t="s">
        <v>33</v>
      </c>
      <c r="D212" s="5" t="s">
        <v>7</v>
      </c>
      <c r="E212" s="5" t="s">
        <v>463</v>
      </c>
      <c r="F212" s="4" t="s">
        <v>465</v>
      </c>
      <c r="G212" s="4" t="s">
        <v>465</v>
      </c>
      <c r="I212" s="1" t="s">
        <v>8</v>
      </c>
      <c r="J212" s="1" t="s">
        <v>9</v>
      </c>
      <c r="K212" s="4" t="s">
        <v>464</v>
      </c>
      <c r="L212" s="1" t="s">
        <v>36</v>
      </c>
      <c r="M212" s="1"/>
      <c r="O212" s="1"/>
      <c r="P212" s="1"/>
      <c r="Q212" s="1"/>
      <c r="S212" s="2"/>
      <c r="T212" s="1"/>
      <c r="U212" s="2"/>
      <c r="V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 t="s">
        <v>12</v>
      </c>
      <c r="AN212" s="1" t="s">
        <v>18</v>
      </c>
      <c r="AO212" s="1">
        <v>324</v>
      </c>
      <c r="AP212" s="3">
        <v>0.54</v>
      </c>
      <c r="AQ212" s="1"/>
    </row>
    <row r="213" spans="1:43" ht="12.3" x14ac:dyDescent="0.4">
      <c r="A213" s="1" t="s">
        <v>295</v>
      </c>
      <c r="B213" s="1"/>
      <c r="C213" s="1" t="s">
        <v>33</v>
      </c>
      <c r="D213" s="5" t="s">
        <v>7</v>
      </c>
      <c r="E213" s="5" t="s">
        <v>463</v>
      </c>
      <c r="F213" s="4" t="s">
        <v>465</v>
      </c>
      <c r="G213" s="4" t="s">
        <v>465</v>
      </c>
      <c r="I213" s="1" t="s">
        <v>8</v>
      </c>
      <c r="J213" s="1" t="s">
        <v>9</v>
      </c>
      <c r="K213" s="4" t="s">
        <v>464</v>
      </c>
      <c r="L213" s="1" t="s">
        <v>41</v>
      </c>
      <c r="M213" s="1"/>
      <c r="O213" s="1"/>
      <c r="P213" s="1"/>
      <c r="Q213" s="1"/>
      <c r="S213" s="2"/>
      <c r="T213" s="1"/>
      <c r="U213" s="1"/>
      <c r="V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 t="s">
        <v>12</v>
      </c>
      <c r="AN213" s="1" t="s">
        <v>18</v>
      </c>
      <c r="AO213" s="1">
        <v>325</v>
      </c>
      <c r="AP213" s="3">
        <v>0.54166666666666663</v>
      </c>
      <c r="AQ213" s="1"/>
    </row>
    <row r="214" spans="1:43" ht="12.3" x14ac:dyDescent="0.4">
      <c r="A214" s="1" t="s">
        <v>296</v>
      </c>
      <c r="B214" s="1"/>
      <c r="C214" s="1" t="s">
        <v>33</v>
      </c>
      <c r="D214" s="5" t="s">
        <v>7</v>
      </c>
      <c r="E214" s="5" t="s">
        <v>463</v>
      </c>
      <c r="F214" s="4" t="s">
        <v>465</v>
      </c>
      <c r="G214" s="4" t="s">
        <v>465</v>
      </c>
      <c r="I214" s="1" t="s">
        <v>8</v>
      </c>
      <c r="J214" s="1" t="s">
        <v>9</v>
      </c>
      <c r="K214" s="4" t="s">
        <v>464</v>
      </c>
      <c r="L214" s="1" t="s">
        <v>42</v>
      </c>
      <c r="M214" s="1"/>
      <c r="O214" s="1"/>
      <c r="P214" s="1"/>
      <c r="Q214" s="1"/>
      <c r="S214" s="2"/>
      <c r="T214" s="1"/>
      <c r="U214" s="2"/>
      <c r="V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 t="s">
        <v>12</v>
      </c>
      <c r="AN214" s="1" t="s">
        <v>20</v>
      </c>
      <c r="AO214" s="1">
        <v>344</v>
      </c>
      <c r="AP214" s="3">
        <v>0.57333333333333336</v>
      </c>
      <c r="AQ214" s="1"/>
    </row>
    <row r="215" spans="1:43" ht="12.3" x14ac:dyDescent="0.4">
      <c r="A215" s="1" t="s">
        <v>297</v>
      </c>
      <c r="B215" s="1"/>
      <c r="C215" s="1" t="s">
        <v>33</v>
      </c>
      <c r="D215" s="5" t="s">
        <v>7</v>
      </c>
      <c r="E215" s="5" t="s">
        <v>463</v>
      </c>
      <c r="F215" s="4" t="s">
        <v>465</v>
      </c>
      <c r="G215" s="4" t="s">
        <v>465</v>
      </c>
      <c r="I215" s="1" t="s">
        <v>16</v>
      </c>
      <c r="J215" s="1" t="s">
        <v>9</v>
      </c>
      <c r="K215" s="4" t="s">
        <v>464</v>
      </c>
      <c r="L215" s="1" t="s">
        <v>43</v>
      </c>
      <c r="M215" s="1"/>
      <c r="O215" s="1"/>
      <c r="P215" s="1"/>
      <c r="Q215" s="1"/>
      <c r="S215" s="2"/>
      <c r="T215" s="1"/>
      <c r="U215" s="2"/>
      <c r="V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 t="s">
        <v>12</v>
      </c>
      <c r="AN215" s="1" t="s">
        <v>13</v>
      </c>
      <c r="AO215" s="1">
        <v>292</v>
      </c>
      <c r="AP215" s="3">
        <v>0.48666666666666669</v>
      </c>
      <c r="AQ215" s="1"/>
    </row>
    <row r="216" spans="1:43" ht="12.3" x14ac:dyDescent="0.4">
      <c r="A216" s="1" t="s">
        <v>298</v>
      </c>
      <c r="B216" s="1"/>
      <c r="C216" s="1" t="s">
        <v>33</v>
      </c>
      <c r="D216" s="5" t="s">
        <v>7</v>
      </c>
      <c r="E216" s="5" t="s">
        <v>463</v>
      </c>
      <c r="F216" s="4" t="s">
        <v>465</v>
      </c>
      <c r="G216" s="4" t="s">
        <v>465</v>
      </c>
      <c r="I216" s="1" t="s">
        <v>8</v>
      </c>
      <c r="J216" s="1" t="s">
        <v>9</v>
      </c>
      <c r="K216" s="4" t="s">
        <v>464</v>
      </c>
      <c r="L216" s="1" t="s">
        <v>43</v>
      </c>
      <c r="M216" s="1"/>
      <c r="O216" s="1"/>
      <c r="P216" s="1"/>
      <c r="Q216" s="1"/>
      <c r="S216" s="2"/>
      <c r="T216" s="1"/>
      <c r="U216" s="1"/>
      <c r="V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 t="s">
        <v>12</v>
      </c>
      <c r="AN216" s="1" t="s">
        <v>13</v>
      </c>
      <c r="AO216" s="1">
        <v>283</v>
      </c>
      <c r="AP216" s="3">
        <v>0.47166666666666668</v>
      </c>
      <c r="AQ216" s="1"/>
    </row>
    <row r="217" spans="1:43" ht="12.3" x14ac:dyDescent="0.4">
      <c r="A217" s="1" t="s">
        <v>299</v>
      </c>
      <c r="B217" s="1"/>
      <c r="C217" s="1" t="s">
        <v>33</v>
      </c>
      <c r="D217" s="5" t="s">
        <v>7</v>
      </c>
      <c r="E217" s="5" t="s">
        <v>463</v>
      </c>
      <c r="F217" s="4" t="s">
        <v>465</v>
      </c>
      <c r="G217" s="4" t="s">
        <v>465</v>
      </c>
      <c r="I217" s="1" t="s">
        <v>8</v>
      </c>
      <c r="J217" s="1" t="s">
        <v>9</v>
      </c>
      <c r="K217" s="4" t="s">
        <v>464</v>
      </c>
      <c r="L217" s="1" t="s">
        <v>43</v>
      </c>
      <c r="M217" s="1"/>
      <c r="O217" s="1"/>
      <c r="P217" s="1"/>
      <c r="Q217" s="1"/>
      <c r="S217" s="2"/>
      <c r="T217" s="1"/>
      <c r="U217" s="1"/>
      <c r="V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 t="s">
        <v>12</v>
      </c>
      <c r="AN217" s="1" t="s">
        <v>20</v>
      </c>
      <c r="AO217" s="1">
        <v>340</v>
      </c>
      <c r="AP217" s="3">
        <v>0.56666666666666665</v>
      </c>
      <c r="AQ217" s="1"/>
    </row>
    <row r="218" spans="1:43" ht="12.3" x14ac:dyDescent="0.4">
      <c r="A218" s="1" t="s">
        <v>300</v>
      </c>
      <c r="B218" s="1"/>
      <c r="C218" s="1" t="s">
        <v>33</v>
      </c>
      <c r="D218" s="5" t="s">
        <v>7</v>
      </c>
      <c r="E218" s="5" t="s">
        <v>463</v>
      </c>
      <c r="F218" s="4" t="s">
        <v>465</v>
      </c>
      <c r="G218" s="4" t="s">
        <v>465</v>
      </c>
      <c r="I218" s="1" t="s">
        <v>8</v>
      </c>
      <c r="J218" s="1" t="s">
        <v>9</v>
      </c>
      <c r="K218" s="4" t="s">
        <v>464</v>
      </c>
      <c r="L218" s="1" t="s">
        <v>41</v>
      </c>
      <c r="M218" s="1"/>
      <c r="O218" s="1"/>
      <c r="P218" s="1"/>
      <c r="Q218" s="1"/>
      <c r="S218" s="1"/>
      <c r="T218" s="1"/>
      <c r="U218" s="1"/>
      <c r="V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 t="s">
        <v>12</v>
      </c>
      <c r="AN218" s="1" t="s">
        <v>18</v>
      </c>
      <c r="AO218" s="1">
        <v>330</v>
      </c>
      <c r="AP218" s="3">
        <v>0.55000000000000004</v>
      </c>
      <c r="AQ218" s="1"/>
    </row>
    <row r="219" spans="1:43" ht="12.3" x14ac:dyDescent="0.4">
      <c r="A219" s="1" t="s">
        <v>301</v>
      </c>
      <c r="B219" s="1"/>
      <c r="C219" s="1" t="s">
        <v>33</v>
      </c>
      <c r="D219" s="5" t="s">
        <v>7</v>
      </c>
      <c r="E219" s="5" t="s">
        <v>463</v>
      </c>
      <c r="F219" s="4" t="s">
        <v>465</v>
      </c>
      <c r="G219" s="4" t="s">
        <v>465</v>
      </c>
      <c r="I219" s="1" t="s">
        <v>29</v>
      </c>
      <c r="J219" s="1" t="s">
        <v>9</v>
      </c>
      <c r="K219" s="4" t="s">
        <v>464</v>
      </c>
      <c r="L219" s="1" t="s">
        <v>34</v>
      </c>
      <c r="M219" s="1"/>
      <c r="O219" s="1"/>
      <c r="P219" s="1"/>
      <c r="Q219" s="1"/>
      <c r="S219" s="2"/>
      <c r="T219" s="1"/>
      <c r="U219" s="1"/>
      <c r="V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 t="s">
        <v>12</v>
      </c>
      <c r="AN219" s="1" t="s">
        <v>14</v>
      </c>
      <c r="AO219" s="1">
        <v>243</v>
      </c>
      <c r="AP219" s="3">
        <v>0.40500000000000003</v>
      </c>
      <c r="AQ219" s="1"/>
    </row>
    <row r="220" spans="1:43" ht="12.3" x14ac:dyDescent="0.4">
      <c r="A220" s="1" t="s">
        <v>302</v>
      </c>
      <c r="B220" s="1"/>
      <c r="C220" s="1" t="s">
        <v>33</v>
      </c>
      <c r="D220" s="5" t="s">
        <v>7</v>
      </c>
      <c r="E220" s="5" t="s">
        <v>463</v>
      </c>
      <c r="F220" s="4" t="s">
        <v>465</v>
      </c>
      <c r="G220" s="4" t="s">
        <v>465</v>
      </c>
      <c r="I220" s="1" t="s">
        <v>8</v>
      </c>
      <c r="J220" s="1" t="s">
        <v>9</v>
      </c>
      <c r="K220" s="4" t="s">
        <v>464</v>
      </c>
      <c r="L220" s="1" t="s">
        <v>35</v>
      </c>
      <c r="M220" s="1"/>
      <c r="O220" s="1"/>
      <c r="P220" s="1"/>
      <c r="Q220" s="1"/>
      <c r="S220" s="2"/>
      <c r="T220" s="1"/>
      <c r="U220" s="1"/>
      <c r="V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 t="s">
        <v>12</v>
      </c>
      <c r="AN220" s="1" t="s">
        <v>20</v>
      </c>
      <c r="AO220" s="1">
        <v>373</v>
      </c>
      <c r="AP220" s="3">
        <v>0.6216666666666667</v>
      </c>
      <c r="AQ220" s="1"/>
    </row>
    <row r="221" spans="1:43" ht="12.3" x14ac:dyDescent="0.4">
      <c r="A221" s="1" t="s">
        <v>303</v>
      </c>
      <c r="B221" s="1"/>
      <c r="C221" s="1" t="s">
        <v>33</v>
      </c>
      <c r="D221" s="5" t="s">
        <v>7</v>
      </c>
      <c r="E221" s="5" t="s">
        <v>463</v>
      </c>
      <c r="F221" s="4" t="s">
        <v>465</v>
      </c>
      <c r="G221" s="4" t="s">
        <v>465</v>
      </c>
      <c r="I221" s="1" t="s">
        <v>16</v>
      </c>
      <c r="J221" s="1" t="s">
        <v>10</v>
      </c>
      <c r="K221" s="4" t="s">
        <v>464</v>
      </c>
      <c r="L221" s="1" t="s">
        <v>44</v>
      </c>
      <c r="M221" s="1"/>
      <c r="O221" s="1"/>
      <c r="P221" s="1"/>
      <c r="Q221" s="1"/>
      <c r="S221" s="2"/>
      <c r="T221" s="1"/>
      <c r="U221" s="2"/>
      <c r="V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 t="s">
        <v>12</v>
      </c>
      <c r="AN221" s="1" t="s">
        <v>20</v>
      </c>
      <c r="AO221" s="1">
        <v>428</v>
      </c>
      <c r="AP221" s="3">
        <v>0.71333333333333337</v>
      </c>
      <c r="AQ221" s="1"/>
    </row>
    <row r="222" spans="1:43" ht="12.3" x14ac:dyDescent="0.4">
      <c r="A222" s="1" t="s">
        <v>304</v>
      </c>
      <c r="B222" s="1"/>
      <c r="C222" s="1" t="s">
        <v>33</v>
      </c>
      <c r="D222" s="5" t="s">
        <v>7</v>
      </c>
      <c r="E222" s="5" t="s">
        <v>463</v>
      </c>
      <c r="F222" s="4" t="s">
        <v>465</v>
      </c>
      <c r="G222" s="4" t="s">
        <v>465</v>
      </c>
      <c r="I222" s="1" t="s">
        <v>16</v>
      </c>
      <c r="J222" s="1" t="s">
        <v>10</v>
      </c>
      <c r="K222" s="4" t="s">
        <v>464</v>
      </c>
      <c r="L222" s="1" t="s">
        <v>34</v>
      </c>
      <c r="M222" s="1"/>
      <c r="O222" s="1"/>
      <c r="P222" s="1"/>
      <c r="Q222" s="1"/>
      <c r="S222" s="2"/>
      <c r="T222" s="1"/>
      <c r="U222" s="1"/>
      <c r="V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 t="s">
        <v>12</v>
      </c>
      <c r="AN222" s="1" t="s">
        <v>14</v>
      </c>
      <c r="AO222" s="1">
        <v>254</v>
      </c>
      <c r="AP222" s="3">
        <v>0.42333333333333334</v>
      </c>
      <c r="AQ222" s="1"/>
    </row>
    <row r="223" spans="1:43" ht="12.3" x14ac:dyDescent="0.4">
      <c r="A223" s="1" t="s">
        <v>306</v>
      </c>
      <c r="B223" s="1"/>
      <c r="C223" s="1" t="s">
        <v>33</v>
      </c>
      <c r="D223" s="5" t="s">
        <v>7</v>
      </c>
      <c r="E223" s="5" t="s">
        <v>463</v>
      </c>
      <c r="F223" s="4" t="s">
        <v>465</v>
      </c>
      <c r="G223" s="4" t="s">
        <v>465</v>
      </c>
      <c r="I223" s="1" t="s">
        <v>16</v>
      </c>
      <c r="J223" s="1" t="s">
        <v>10</v>
      </c>
      <c r="K223" s="4" t="s">
        <v>464</v>
      </c>
      <c r="L223" s="1" t="s">
        <v>34</v>
      </c>
      <c r="M223" s="1"/>
      <c r="O223" s="1"/>
      <c r="P223" s="1"/>
      <c r="Q223" s="1"/>
      <c r="S223" s="2"/>
      <c r="T223" s="1"/>
      <c r="U223" s="2"/>
      <c r="V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 t="s">
        <v>12</v>
      </c>
      <c r="AN223" s="1" t="s">
        <v>20</v>
      </c>
      <c r="AO223" s="1">
        <v>332</v>
      </c>
      <c r="AP223" s="3">
        <v>0.55333333333333334</v>
      </c>
      <c r="AQ223" s="1"/>
    </row>
    <row r="224" spans="1:43" ht="12.3" x14ac:dyDescent="0.4">
      <c r="A224" s="1" t="s">
        <v>307</v>
      </c>
      <c r="B224" s="1"/>
      <c r="C224" s="1" t="s">
        <v>33</v>
      </c>
      <c r="D224" s="5" t="s">
        <v>7</v>
      </c>
      <c r="E224" s="5" t="s">
        <v>463</v>
      </c>
      <c r="F224" s="4" t="s">
        <v>465</v>
      </c>
      <c r="G224" s="4" t="s">
        <v>465</v>
      </c>
      <c r="I224" s="1" t="s">
        <v>8</v>
      </c>
      <c r="J224" s="1" t="s">
        <v>9</v>
      </c>
      <c r="K224" s="4" t="s">
        <v>464</v>
      </c>
      <c r="L224" s="1" t="s">
        <v>43</v>
      </c>
      <c r="M224" s="1"/>
      <c r="O224" s="1"/>
      <c r="P224" s="1"/>
      <c r="Q224" s="1"/>
      <c r="S224" s="2"/>
      <c r="T224" s="1"/>
      <c r="U224" s="1"/>
      <c r="V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 t="s">
        <v>12</v>
      </c>
      <c r="AN224" s="1" t="s">
        <v>13</v>
      </c>
      <c r="AO224" s="1">
        <v>303</v>
      </c>
      <c r="AP224" s="3">
        <v>0.505</v>
      </c>
      <c r="AQ224" s="1"/>
    </row>
    <row r="225" spans="1:43" ht="12.3" x14ac:dyDescent="0.4">
      <c r="A225" s="1" t="s">
        <v>308</v>
      </c>
      <c r="B225" s="1"/>
      <c r="C225" s="1" t="s">
        <v>33</v>
      </c>
      <c r="D225" s="5" t="s">
        <v>7</v>
      </c>
      <c r="E225" s="5" t="s">
        <v>463</v>
      </c>
      <c r="F225" s="4" t="s">
        <v>465</v>
      </c>
      <c r="G225" s="4" t="s">
        <v>465</v>
      </c>
      <c r="I225" s="1" t="s">
        <v>8</v>
      </c>
      <c r="J225" s="1" t="s">
        <v>9</v>
      </c>
      <c r="K225" s="4" t="s">
        <v>464</v>
      </c>
      <c r="L225" s="1" t="s">
        <v>42</v>
      </c>
      <c r="M225" s="1"/>
      <c r="O225" s="1"/>
      <c r="P225" s="1"/>
      <c r="Q225" s="1"/>
      <c r="S225" s="1"/>
      <c r="T225" s="1"/>
      <c r="U225" s="2"/>
      <c r="V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 t="s">
        <v>12</v>
      </c>
      <c r="AN225" s="1" t="s">
        <v>20</v>
      </c>
      <c r="AO225" s="1">
        <v>430</v>
      </c>
      <c r="AP225" s="3">
        <v>0.71666666666666667</v>
      </c>
      <c r="AQ225" s="1"/>
    </row>
    <row r="226" spans="1:43" ht="12.3" x14ac:dyDescent="0.4">
      <c r="A226" s="1" t="s">
        <v>309</v>
      </c>
      <c r="B226" s="1"/>
      <c r="C226" s="1" t="s">
        <v>33</v>
      </c>
      <c r="D226" s="5" t="s">
        <v>7</v>
      </c>
      <c r="E226" s="5" t="s">
        <v>463</v>
      </c>
      <c r="F226" s="4" t="s">
        <v>465</v>
      </c>
      <c r="G226" s="4" t="s">
        <v>465</v>
      </c>
      <c r="I226" s="1" t="s">
        <v>16</v>
      </c>
      <c r="J226" s="1" t="s">
        <v>10</v>
      </c>
      <c r="K226" s="4" t="s">
        <v>464</v>
      </c>
      <c r="L226" s="1" t="s">
        <v>37</v>
      </c>
      <c r="M226" s="1"/>
      <c r="O226" s="1"/>
      <c r="P226" s="1"/>
      <c r="Q226" s="1"/>
      <c r="S226" s="2"/>
      <c r="T226" s="1"/>
      <c r="U226" s="1"/>
      <c r="V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 t="s">
        <v>12</v>
      </c>
      <c r="AN226" s="1" t="s">
        <v>20</v>
      </c>
      <c r="AO226" s="1">
        <v>385</v>
      </c>
      <c r="AP226" s="3">
        <v>0.64166666666666672</v>
      </c>
      <c r="AQ226" s="1"/>
    </row>
    <row r="227" spans="1:43" ht="12.3" x14ac:dyDescent="0.4">
      <c r="A227" s="1" t="s">
        <v>310</v>
      </c>
      <c r="B227" s="1"/>
      <c r="C227" s="1" t="s">
        <v>33</v>
      </c>
      <c r="D227" s="5" t="s">
        <v>7</v>
      </c>
      <c r="E227" s="5" t="s">
        <v>463</v>
      </c>
      <c r="F227" s="4" t="s">
        <v>465</v>
      </c>
      <c r="G227" s="4" t="s">
        <v>465</v>
      </c>
      <c r="I227" s="1" t="s">
        <v>16</v>
      </c>
      <c r="J227" s="1" t="s">
        <v>10</v>
      </c>
      <c r="K227" s="4" t="s">
        <v>464</v>
      </c>
      <c r="L227" s="1" t="s">
        <v>39</v>
      </c>
      <c r="M227" s="1"/>
      <c r="O227" s="1"/>
      <c r="P227" s="1"/>
      <c r="Q227" s="1"/>
      <c r="S227" s="2"/>
      <c r="T227" s="1"/>
      <c r="U227" s="2"/>
      <c r="V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 t="s">
        <v>12</v>
      </c>
      <c r="AN227" s="1" t="s">
        <v>20</v>
      </c>
      <c r="AO227" s="1">
        <v>347</v>
      </c>
      <c r="AP227" s="3">
        <v>0.57833333333333337</v>
      </c>
      <c r="AQ227" s="1"/>
    </row>
    <row r="228" spans="1:43" ht="12.3" x14ac:dyDescent="0.4">
      <c r="A228" s="1" t="s">
        <v>311</v>
      </c>
      <c r="B228" s="1"/>
      <c r="C228" s="1" t="s">
        <v>33</v>
      </c>
      <c r="D228" s="5" t="s">
        <v>7</v>
      </c>
      <c r="E228" s="5" t="s">
        <v>463</v>
      </c>
      <c r="F228" s="4" t="s">
        <v>465</v>
      </c>
      <c r="G228" s="4" t="s">
        <v>465</v>
      </c>
      <c r="I228" s="1" t="s">
        <v>8</v>
      </c>
      <c r="J228" s="1" t="s">
        <v>9</v>
      </c>
      <c r="K228" s="4" t="s">
        <v>464</v>
      </c>
      <c r="L228" s="1" t="s">
        <v>41</v>
      </c>
      <c r="M228" s="1"/>
      <c r="O228" s="1"/>
      <c r="P228" s="1"/>
      <c r="Q228" s="1"/>
      <c r="S228" s="2"/>
      <c r="T228" s="1"/>
      <c r="U228" s="2"/>
      <c r="V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 t="s">
        <v>12</v>
      </c>
      <c r="AN228" s="1" t="s">
        <v>13</v>
      </c>
      <c r="AO228" s="1">
        <v>302</v>
      </c>
      <c r="AP228" s="3">
        <v>0.5033333333333333</v>
      </c>
      <c r="AQ228" s="1"/>
    </row>
    <row r="229" spans="1:43" ht="12.3" x14ac:dyDescent="0.4">
      <c r="A229" s="1" t="s">
        <v>312</v>
      </c>
      <c r="B229" s="1"/>
      <c r="C229" s="1" t="s">
        <v>33</v>
      </c>
      <c r="D229" s="5" t="s">
        <v>7</v>
      </c>
      <c r="E229" s="5" t="s">
        <v>463</v>
      </c>
      <c r="F229" s="4" t="s">
        <v>465</v>
      </c>
      <c r="G229" s="4" t="s">
        <v>465</v>
      </c>
      <c r="I229" s="1" t="s">
        <v>16</v>
      </c>
      <c r="J229" s="1" t="s">
        <v>10</v>
      </c>
      <c r="K229" s="4" t="s">
        <v>464</v>
      </c>
      <c r="L229" s="1" t="s">
        <v>37</v>
      </c>
      <c r="M229" s="1"/>
      <c r="O229" s="1"/>
      <c r="P229" s="1"/>
      <c r="Q229" s="1"/>
      <c r="S229" s="2"/>
      <c r="T229" s="1"/>
      <c r="U229" s="1"/>
      <c r="V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 t="s">
        <v>12</v>
      </c>
      <c r="AN229" s="1" t="s">
        <v>20</v>
      </c>
      <c r="AO229" s="1">
        <v>376</v>
      </c>
      <c r="AP229" s="3">
        <v>0.62666666666666671</v>
      </c>
      <c r="AQ229" s="1"/>
    </row>
    <row r="230" spans="1:43" ht="12.3" x14ac:dyDescent="0.4">
      <c r="A230" s="1" t="s">
        <v>313</v>
      </c>
      <c r="B230" s="1"/>
      <c r="C230" s="1" t="s">
        <v>33</v>
      </c>
      <c r="D230" s="5" t="s">
        <v>7</v>
      </c>
      <c r="E230" s="5" t="s">
        <v>463</v>
      </c>
      <c r="F230" s="4" t="s">
        <v>465</v>
      </c>
      <c r="G230" s="4" t="s">
        <v>465</v>
      </c>
      <c r="I230" s="1" t="s">
        <v>16</v>
      </c>
      <c r="J230" s="1" t="s">
        <v>10</v>
      </c>
      <c r="K230" s="4" t="s">
        <v>464</v>
      </c>
      <c r="L230" s="1" t="s">
        <v>44</v>
      </c>
      <c r="M230" s="1"/>
      <c r="O230" s="1"/>
      <c r="P230" s="1"/>
      <c r="Q230" s="1"/>
      <c r="S230" s="2"/>
      <c r="T230" s="1"/>
      <c r="U230" s="2"/>
      <c r="V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 t="s">
        <v>12</v>
      </c>
      <c r="AN230" s="1" t="s">
        <v>13</v>
      </c>
      <c r="AO230" s="1">
        <v>305</v>
      </c>
      <c r="AP230" s="3">
        <v>0.5083333333333333</v>
      </c>
      <c r="AQ230" s="1"/>
    </row>
    <row r="231" spans="1:43" ht="12.3" x14ac:dyDescent="0.4">
      <c r="A231" s="1" t="s">
        <v>314</v>
      </c>
      <c r="B231" s="1"/>
      <c r="C231" s="1" t="s">
        <v>33</v>
      </c>
      <c r="D231" s="5" t="s">
        <v>7</v>
      </c>
      <c r="E231" s="5" t="s">
        <v>463</v>
      </c>
      <c r="F231" s="4" t="s">
        <v>465</v>
      </c>
      <c r="G231" s="4" t="s">
        <v>465</v>
      </c>
      <c r="I231" s="1" t="s">
        <v>16</v>
      </c>
      <c r="J231" s="1" t="s">
        <v>10</v>
      </c>
      <c r="K231" s="4" t="s">
        <v>464</v>
      </c>
      <c r="L231" s="1" t="s">
        <v>38</v>
      </c>
      <c r="M231" s="1"/>
      <c r="O231" s="1"/>
      <c r="P231" s="1"/>
      <c r="Q231" s="1"/>
      <c r="S231" s="2"/>
      <c r="T231" s="1"/>
      <c r="U231" s="1"/>
      <c r="V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 t="s">
        <v>12</v>
      </c>
      <c r="AN231" s="1" t="s">
        <v>13</v>
      </c>
      <c r="AO231" s="1">
        <v>286</v>
      </c>
      <c r="AP231" s="3">
        <v>0.47666666666666668</v>
      </c>
      <c r="AQ231" s="1"/>
    </row>
    <row r="232" spans="1:43" ht="12.3" x14ac:dyDescent="0.4">
      <c r="A232" s="1" t="s">
        <v>315</v>
      </c>
      <c r="B232" s="1"/>
      <c r="C232" s="1" t="s">
        <v>33</v>
      </c>
      <c r="D232" s="5" t="s">
        <v>7</v>
      </c>
      <c r="E232" s="5" t="s">
        <v>463</v>
      </c>
      <c r="F232" s="4" t="s">
        <v>465</v>
      </c>
      <c r="G232" s="4" t="s">
        <v>465</v>
      </c>
      <c r="I232" s="1" t="s">
        <v>16</v>
      </c>
      <c r="J232" s="1" t="s">
        <v>10</v>
      </c>
      <c r="K232" s="4" t="s">
        <v>464</v>
      </c>
      <c r="L232" s="1" t="s">
        <v>34</v>
      </c>
      <c r="M232" s="1"/>
      <c r="O232" s="1"/>
      <c r="P232" s="1"/>
      <c r="Q232" s="1"/>
      <c r="S232" s="2"/>
      <c r="T232" s="1"/>
      <c r="U232" s="2"/>
      <c r="V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 t="s">
        <v>12</v>
      </c>
      <c r="AN232" s="1" t="s">
        <v>14</v>
      </c>
      <c r="AO232" s="1">
        <v>272</v>
      </c>
      <c r="AP232" s="3">
        <v>0.45333333333333331</v>
      </c>
      <c r="AQ232" s="1"/>
    </row>
    <row r="233" spans="1:43" ht="12.3" x14ac:dyDescent="0.4">
      <c r="A233" s="1" t="s">
        <v>316</v>
      </c>
      <c r="B233" s="1"/>
      <c r="C233" s="1" t="s">
        <v>33</v>
      </c>
      <c r="D233" s="5" t="s">
        <v>7</v>
      </c>
      <c r="E233" s="5" t="s">
        <v>463</v>
      </c>
      <c r="F233" s="4" t="s">
        <v>465</v>
      </c>
      <c r="G233" s="4" t="s">
        <v>465</v>
      </c>
      <c r="I233" s="1" t="s">
        <v>8</v>
      </c>
      <c r="J233" s="1" t="s">
        <v>9</v>
      </c>
      <c r="K233" s="4" t="s">
        <v>464</v>
      </c>
      <c r="L233" s="1" t="s">
        <v>41</v>
      </c>
      <c r="M233" s="1"/>
      <c r="O233" s="1"/>
      <c r="P233" s="1"/>
      <c r="Q233" s="1"/>
      <c r="S233" s="1"/>
      <c r="T233" s="1"/>
      <c r="U233" s="1"/>
      <c r="V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 t="s">
        <v>12</v>
      </c>
      <c r="AN233" s="1" t="s">
        <v>14</v>
      </c>
      <c r="AO233" s="1">
        <v>269</v>
      </c>
      <c r="AP233" s="3">
        <v>0.44833333333333331</v>
      </c>
      <c r="AQ233" s="1"/>
    </row>
    <row r="234" spans="1:43" ht="12.3" x14ac:dyDescent="0.4">
      <c r="A234" s="1" t="s">
        <v>317</v>
      </c>
      <c r="B234" s="1"/>
      <c r="C234" s="1" t="s">
        <v>33</v>
      </c>
      <c r="D234" s="5" t="s">
        <v>7</v>
      </c>
      <c r="E234" s="5" t="s">
        <v>463</v>
      </c>
      <c r="F234" s="4" t="s">
        <v>465</v>
      </c>
      <c r="G234" s="4" t="s">
        <v>465</v>
      </c>
      <c r="I234" s="1" t="s">
        <v>8</v>
      </c>
      <c r="J234" s="1" t="s">
        <v>9</v>
      </c>
      <c r="K234" s="4" t="s">
        <v>464</v>
      </c>
      <c r="L234" s="1" t="s">
        <v>40</v>
      </c>
      <c r="M234" s="1"/>
      <c r="O234" s="1"/>
      <c r="P234" s="1"/>
      <c r="Q234" s="1"/>
      <c r="S234" s="2"/>
      <c r="T234" s="1"/>
      <c r="U234" s="2"/>
      <c r="V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 t="s">
        <v>12</v>
      </c>
      <c r="AN234" s="1" t="s">
        <v>14</v>
      </c>
      <c r="AO234" s="1">
        <v>269</v>
      </c>
      <c r="AP234" s="3">
        <v>0.44833333333333331</v>
      </c>
      <c r="AQ234" s="1"/>
    </row>
    <row r="235" spans="1:43" ht="12.3" x14ac:dyDescent="0.4">
      <c r="A235" s="1" t="s">
        <v>318</v>
      </c>
      <c r="B235" s="1"/>
      <c r="C235" s="1" t="s">
        <v>33</v>
      </c>
      <c r="D235" s="5" t="s">
        <v>7</v>
      </c>
      <c r="E235" s="5" t="s">
        <v>463</v>
      </c>
      <c r="F235" s="4" t="s">
        <v>465</v>
      </c>
      <c r="G235" s="4" t="s">
        <v>465</v>
      </c>
      <c r="I235" s="1" t="s">
        <v>16</v>
      </c>
      <c r="J235" s="1" t="s">
        <v>10</v>
      </c>
      <c r="K235" s="4" t="s">
        <v>464</v>
      </c>
      <c r="L235" s="1" t="s">
        <v>35</v>
      </c>
      <c r="M235" s="1"/>
      <c r="O235" s="1"/>
      <c r="P235" s="1"/>
      <c r="Q235" s="1"/>
      <c r="S235" s="2"/>
      <c r="T235" s="1"/>
      <c r="U235" s="1"/>
      <c r="V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 t="s">
        <v>12</v>
      </c>
      <c r="AN235" s="1" t="s">
        <v>18</v>
      </c>
      <c r="AO235" s="1">
        <v>319</v>
      </c>
      <c r="AP235" s="3">
        <v>0.53166666666666662</v>
      </c>
      <c r="AQ235" s="1"/>
    </row>
    <row r="236" spans="1:43" ht="12.3" x14ac:dyDescent="0.4">
      <c r="A236" s="1" t="s">
        <v>319</v>
      </c>
      <c r="B236" s="1"/>
      <c r="C236" s="1" t="s">
        <v>33</v>
      </c>
      <c r="D236" s="5" t="s">
        <v>7</v>
      </c>
      <c r="E236" s="5" t="s">
        <v>463</v>
      </c>
      <c r="F236" s="4" t="s">
        <v>465</v>
      </c>
      <c r="G236" s="4" t="s">
        <v>465</v>
      </c>
      <c r="I236" s="1" t="s">
        <v>16</v>
      </c>
      <c r="J236" s="1" t="s">
        <v>10</v>
      </c>
      <c r="K236" s="4" t="s">
        <v>464</v>
      </c>
      <c r="L236" s="1" t="s">
        <v>38</v>
      </c>
      <c r="M236" s="1"/>
      <c r="O236" s="1"/>
      <c r="P236" s="1"/>
      <c r="Q236" s="1"/>
      <c r="S236" s="2"/>
      <c r="T236" s="1"/>
      <c r="U236" s="2"/>
      <c r="V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 t="s">
        <v>12</v>
      </c>
      <c r="AN236" s="1" t="s">
        <v>20</v>
      </c>
      <c r="AO236" s="1">
        <v>389</v>
      </c>
      <c r="AP236" s="3">
        <v>0.64833333333333332</v>
      </c>
      <c r="AQ236" s="1"/>
    </row>
    <row r="237" spans="1:43" ht="12.3" x14ac:dyDescent="0.4">
      <c r="A237" s="1" t="s">
        <v>320</v>
      </c>
      <c r="B237" s="1"/>
      <c r="C237" s="1" t="s">
        <v>33</v>
      </c>
      <c r="D237" s="5" t="s">
        <v>7</v>
      </c>
      <c r="E237" s="5" t="s">
        <v>463</v>
      </c>
      <c r="F237" s="4" t="s">
        <v>465</v>
      </c>
      <c r="G237" s="4" t="s">
        <v>465</v>
      </c>
      <c r="I237" s="1" t="s">
        <v>16</v>
      </c>
      <c r="J237" s="1" t="s">
        <v>10</v>
      </c>
      <c r="K237" s="4" t="s">
        <v>464</v>
      </c>
      <c r="L237" s="1" t="s">
        <v>43</v>
      </c>
      <c r="M237" s="1"/>
      <c r="O237" s="1"/>
      <c r="P237" s="1"/>
      <c r="Q237" s="1"/>
      <c r="S237" s="2"/>
      <c r="T237" s="1"/>
      <c r="U237" s="2"/>
      <c r="V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 t="s">
        <v>12</v>
      </c>
      <c r="AN237" s="1" t="s">
        <v>13</v>
      </c>
      <c r="AO237" s="1">
        <v>300</v>
      </c>
      <c r="AP237" s="3">
        <v>0.5</v>
      </c>
      <c r="AQ237" s="1"/>
    </row>
    <row r="238" spans="1:43" ht="12.3" x14ac:dyDescent="0.4">
      <c r="A238" s="1" t="s">
        <v>321</v>
      </c>
      <c r="B238" s="1"/>
      <c r="C238" s="1" t="s">
        <v>33</v>
      </c>
      <c r="D238" s="5" t="s">
        <v>7</v>
      </c>
      <c r="E238" s="5" t="s">
        <v>463</v>
      </c>
      <c r="F238" s="4" t="s">
        <v>465</v>
      </c>
      <c r="G238" s="4" t="s">
        <v>465</v>
      </c>
      <c r="I238" s="1" t="s">
        <v>8</v>
      </c>
      <c r="J238" s="1" t="s">
        <v>9</v>
      </c>
      <c r="K238" s="4" t="s">
        <v>464</v>
      </c>
      <c r="L238" s="1" t="s">
        <v>40</v>
      </c>
      <c r="M238" s="1"/>
      <c r="O238" s="1"/>
      <c r="P238" s="1"/>
      <c r="Q238" s="1"/>
      <c r="S238" s="2"/>
      <c r="T238" s="1"/>
      <c r="U238" s="2"/>
      <c r="V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 t="s">
        <v>12</v>
      </c>
      <c r="AN238" s="1" t="s">
        <v>18</v>
      </c>
      <c r="AO238" s="1">
        <v>315</v>
      </c>
      <c r="AP238" s="3">
        <v>0.52500000000000002</v>
      </c>
      <c r="AQ238" s="1"/>
    </row>
    <row r="239" spans="1:43" ht="12.3" x14ac:dyDescent="0.4">
      <c r="A239" s="1" t="s">
        <v>322</v>
      </c>
      <c r="B239" s="1"/>
      <c r="C239" s="1" t="s">
        <v>33</v>
      </c>
      <c r="D239" s="5" t="s">
        <v>7</v>
      </c>
      <c r="E239" s="5" t="s">
        <v>463</v>
      </c>
      <c r="F239" s="4" t="s">
        <v>465</v>
      </c>
      <c r="G239" s="4" t="s">
        <v>465</v>
      </c>
      <c r="I239" s="1" t="s">
        <v>16</v>
      </c>
      <c r="J239" s="1" t="s">
        <v>10</v>
      </c>
      <c r="K239" s="4" t="s">
        <v>464</v>
      </c>
      <c r="L239" s="1" t="s">
        <v>35</v>
      </c>
      <c r="M239" s="1"/>
      <c r="O239" s="1"/>
      <c r="P239" s="1"/>
      <c r="Q239" s="1"/>
      <c r="S239" s="2"/>
      <c r="T239" s="1"/>
      <c r="U239" s="2"/>
      <c r="V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 t="s">
        <v>12</v>
      </c>
      <c r="AN239" s="1" t="s">
        <v>14</v>
      </c>
      <c r="AO239" s="1">
        <v>247</v>
      </c>
      <c r="AP239" s="3">
        <v>0.41166666666666668</v>
      </c>
      <c r="AQ239" s="1"/>
    </row>
    <row r="240" spans="1:43" ht="12.3" x14ac:dyDescent="0.4">
      <c r="A240" s="1" t="s">
        <v>324</v>
      </c>
      <c r="B240" s="1"/>
      <c r="C240" s="1" t="s">
        <v>33</v>
      </c>
      <c r="D240" s="5" t="s">
        <v>7</v>
      </c>
      <c r="E240" s="5" t="s">
        <v>463</v>
      </c>
      <c r="F240" s="4" t="s">
        <v>465</v>
      </c>
      <c r="G240" s="4" t="s">
        <v>465</v>
      </c>
      <c r="I240" s="1" t="s">
        <v>16</v>
      </c>
      <c r="J240" s="1" t="s">
        <v>10</v>
      </c>
      <c r="K240" s="4" t="s">
        <v>464</v>
      </c>
      <c r="O240" s="1"/>
      <c r="P240" s="1"/>
      <c r="Q240" s="1"/>
      <c r="S240" s="2"/>
      <c r="T240" s="1"/>
      <c r="U240" s="1"/>
      <c r="V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 t="s">
        <v>12</v>
      </c>
      <c r="AN240" s="1" t="s">
        <v>14</v>
      </c>
      <c r="AO240" s="1">
        <v>268</v>
      </c>
      <c r="AP240" s="3">
        <v>0.44666666666666666</v>
      </c>
      <c r="AQ240" s="1"/>
    </row>
    <row r="241" spans="1:43" ht="12.3" x14ac:dyDescent="0.4">
      <c r="A241" s="1" t="s">
        <v>325</v>
      </c>
      <c r="B241" s="1"/>
      <c r="C241" s="1" t="s">
        <v>33</v>
      </c>
      <c r="D241" s="5" t="s">
        <v>7</v>
      </c>
      <c r="E241" s="5" t="s">
        <v>463</v>
      </c>
      <c r="F241" s="4" t="s">
        <v>465</v>
      </c>
      <c r="G241" s="4" t="s">
        <v>465</v>
      </c>
      <c r="I241" s="1" t="s">
        <v>16</v>
      </c>
      <c r="J241" s="1" t="s">
        <v>9</v>
      </c>
      <c r="K241" s="4" t="s">
        <v>464</v>
      </c>
      <c r="O241" s="1"/>
      <c r="P241" s="1"/>
      <c r="Q241" s="1"/>
      <c r="S241" s="2"/>
      <c r="T241" s="1"/>
      <c r="U241" s="1"/>
      <c r="V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 t="s">
        <v>12</v>
      </c>
      <c r="AN241" s="1" t="s">
        <v>20</v>
      </c>
      <c r="AO241" s="1">
        <v>431</v>
      </c>
      <c r="AP241" s="3">
        <v>0.71833333333333338</v>
      </c>
      <c r="AQ241" s="1"/>
    </row>
    <row r="242" spans="1:43" ht="12.3" x14ac:dyDescent="0.4">
      <c r="A242" s="1" t="s">
        <v>326</v>
      </c>
      <c r="B242" s="1"/>
      <c r="C242" s="1" t="s">
        <v>33</v>
      </c>
      <c r="D242" s="5" t="s">
        <v>7</v>
      </c>
      <c r="E242" s="5" t="s">
        <v>463</v>
      </c>
      <c r="F242" s="4" t="s">
        <v>465</v>
      </c>
      <c r="G242" s="4" t="s">
        <v>465</v>
      </c>
      <c r="I242" s="1" t="s">
        <v>8</v>
      </c>
      <c r="J242" s="1" t="s">
        <v>9</v>
      </c>
      <c r="K242" s="4" t="s">
        <v>464</v>
      </c>
      <c r="L242" s="1" t="s">
        <v>35</v>
      </c>
      <c r="M242" s="1"/>
      <c r="O242" s="1"/>
      <c r="P242" s="1"/>
      <c r="Q242" s="1"/>
      <c r="S242" s="2"/>
      <c r="T242" s="1"/>
      <c r="U242" s="1"/>
      <c r="V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 t="s">
        <v>12</v>
      </c>
      <c r="AN242" s="1" t="s">
        <v>20</v>
      </c>
      <c r="AO242" s="1">
        <v>350</v>
      </c>
      <c r="AP242" s="3">
        <v>0.58333333333333337</v>
      </c>
      <c r="AQ242" s="1"/>
    </row>
    <row r="243" spans="1:43" ht="12.3" x14ac:dyDescent="0.4">
      <c r="A243" s="1" t="s">
        <v>327</v>
      </c>
      <c r="B243" s="1"/>
      <c r="C243" s="1" t="s">
        <v>33</v>
      </c>
      <c r="D243" s="5" t="s">
        <v>7</v>
      </c>
      <c r="E243" s="5" t="s">
        <v>463</v>
      </c>
      <c r="F243" s="4" t="s">
        <v>465</v>
      </c>
      <c r="G243" s="4" t="s">
        <v>465</v>
      </c>
      <c r="I243" s="1" t="s">
        <v>8</v>
      </c>
      <c r="J243" s="1" t="s">
        <v>9</v>
      </c>
      <c r="K243" s="4" t="s">
        <v>464</v>
      </c>
      <c r="L243" s="1" t="s">
        <v>41</v>
      </c>
      <c r="M243" s="1"/>
      <c r="O243" s="1"/>
      <c r="P243" s="1"/>
      <c r="Q243" s="1"/>
      <c r="S243" s="2"/>
      <c r="T243" s="1"/>
      <c r="U243" s="1"/>
      <c r="V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 t="s">
        <v>12</v>
      </c>
      <c r="AN243" s="1" t="s">
        <v>20</v>
      </c>
      <c r="AO243" s="1">
        <v>385</v>
      </c>
      <c r="AP243" s="3">
        <v>0.64166666666666672</v>
      </c>
      <c r="AQ243" s="1"/>
    </row>
    <row r="244" spans="1:43" ht="12.3" x14ac:dyDescent="0.4">
      <c r="A244" s="1" t="s">
        <v>328</v>
      </c>
      <c r="B244" s="1"/>
      <c r="C244" s="1" t="s">
        <v>33</v>
      </c>
      <c r="D244" s="5" t="s">
        <v>7</v>
      </c>
      <c r="E244" s="5" t="s">
        <v>463</v>
      </c>
      <c r="F244" s="4" t="s">
        <v>465</v>
      </c>
      <c r="G244" s="4" t="s">
        <v>465</v>
      </c>
      <c r="I244" s="1" t="s">
        <v>8</v>
      </c>
      <c r="J244" s="1" t="s">
        <v>9</v>
      </c>
      <c r="K244" s="4" t="s">
        <v>464</v>
      </c>
      <c r="L244" s="1" t="s">
        <v>40</v>
      </c>
      <c r="M244" s="1"/>
      <c r="O244" s="1"/>
      <c r="P244" s="1"/>
      <c r="Q244" s="1"/>
      <c r="S244" s="2"/>
      <c r="T244" s="1"/>
      <c r="U244" s="2"/>
      <c r="V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 t="s">
        <v>12</v>
      </c>
      <c r="AN244" s="1" t="s">
        <v>14</v>
      </c>
      <c r="AO244" s="1">
        <v>258</v>
      </c>
      <c r="AP244" s="3">
        <v>0.43</v>
      </c>
      <c r="AQ244" s="1"/>
    </row>
    <row r="245" spans="1:43" ht="12.3" x14ac:dyDescent="0.4">
      <c r="A245" s="1" t="s">
        <v>329</v>
      </c>
      <c r="B245" s="1"/>
      <c r="C245" s="1" t="s">
        <v>33</v>
      </c>
      <c r="D245" s="5" t="s">
        <v>7</v>
      </c>
      <c r="E245" s="5" t="s">
        <v>463</v>
      </c>
      <c r="F245" s="4" t="s">
        <v>465</v>
      </c>
      <c r="G245" s="4" t="s">
        <v>465</v>
      </c>
      <c r="I245" s="1" t="s">
        <v>16</v>
      </c>
      <c r="J245" s="1" t="s">
        <v>10</v>
      </c>
      <c r="K245" s="4" t="s">
        <v>464</v>
      </c>
      <c r="L245" s="1" t="s">
        <v>44</v>
      </c>
      <c r="M245" s="1"/>
      <c r="O245" s="1"/>
      <c r="P245" s="1"/>
      <c r="Q245" s="1"/>
      <c r="S245" s="2"/>
      <c r="T245" s="1"/>
      <c r="U245" s="1"/>
      <c r="V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 t="s">
        <v>12</v>
      </c>
      <c r="AN245" s="1" t="s">
        <v>20</v>
      </c>
      <c r="AO245" s="1">
        <v>348</v>
      </c>
      <c r="AP245" s="3">
        <v>0.57999999999999996</v>
      </c>
      <c r="AQ245" s="1"/>
    </row>
    <row r="246" spans="1:43" ht="12.3" x14ac:dyDescent="0.4">
      <c r="A246" s="1" t="s">
        <v>330</v>
      </c>
      <c r="B246" s="1"/>
      <c r="C246" s="1" t="s">
        <v>33</v>
      </c>
      <c r="D246" s="5" t="s">
        <v>7</v>
      </c>
      <c r="E246" s="5" t="s">
        <v>463</v>
      </c>
      <c r="F246" s="4" t="s">
        <v>465</v>
      </c>
      <c r="G246" s="4" t="s">
        <v>465</v>
      </c>
      <c r="I246" s="1" t="s">
        <v>16</v>
      </c>
      <c r="J246" s="1" t="s">
        <v>10</v>
      </c>
      <c r="K246" s="4" t="s">
        <v>464</v>
      </c>
      <c r="L246" s="1" t="s">
        <v>39</v>
      </c>
      <c r="M246" s="1"/>
      <c r="O246" s="1"/>
      <c r="P246" s="1"/>
      <c r="Q246" s="1"/>
      <c r="S246" s="2"/>
      <c r="T246" s="1"/>
      <c r="U246" s="1"/>
      <c r="V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 t="s">
        <v>12</v>
      </c>
      <c r="AN246" s="1" t="s">
        <v>14</v>
      </c>
      <c r="AO246" s="1">
        <v>249</v>
      </c>
      <c r="AP246" s="3">
        <v>0.41499999999999998</v>
      </c>
      <c r="AQ246" s="1"/>
    </row>
    <row r="247" spans="1:43" ht="12.3" x14ac:dyDescent="0.4">
      <c r="A247" s="1" t="s">
        <v>331</v>
      </c>
      <c r="B247" s="1"/>
      <c r="C247" s="1" t="s">
        <v>33</v>
      </c>
      <c r="D247" s="5" t="s">
        <v>7</v>
      </c>
      <c r="E247" s="5" t="s">
        <v>463</v>
      </c>
      <c r="F247" s="4" t="s">
        <v>465</v>
      </c>
      <c r="G247" s="4" t="s">
        <v>465</v>
      </c>
      <c r="I247" s="1" t="s">
        <v>8</v>
      </c>
      <c r="J247" s="1" t="s">
        <v>9</v>
      </c>
      <c r="K247" s="4" t="s">
        <v>464</v>
      </c>
      <c r="L247" s="1" t="s">
        <v>35</v>
      </c>
      <c r="M247" s="1"/>
      <c r="O247" s="1"/>
      <c r="P247" s="1"/>
      <c r="Q247" s="1"/>
      <c r="S247" s="2"/>
      <c r="T247" s="1"/>
      <c r="U247" s="2"/>
      <c r="V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 t="s">
        <v>12</v>
      </c>
      <c r="AN247" s="1" t="s">
        <v>14</v>
      </c>
      <c r="AO247" s="1">
        <v>248</v>
      </c>
      <c r="AP247" s="3">
        <v>0.41333333333333333</v>
      </c>
      <c r="AQ247" s="1"/>
    </row>
    <row r="248" spans="1:43" ht="12.3" x14ac:dyDescent="0.4">
      <c r="A248" s="1" t="s">
        <v>332</v>
      </c>
      <c r="B248" s="1"/>
      <c r="C248" s="1" t="s">
        <v>33</v>
      </c>
      <c r="D248" s="5" t="s">
        <v>7</v>
      </c>
      <c r="E248" s="5" t="s">
        <v>463</v>
      </c>
      <c r="F248" s="4" t="s">
        <v>465</v>
      </c>
      <c r="G248" s="4" t="s">
        <v>465</v>
      </c>
      <c r="I248" s="1" t="s">
        <v>8</v>
      </c>
      <c r="J248" s="1" t="s">
        <v>9</v>
      </c>
      <c r="K248" s="4" t="s">
        <v>464</v>
      </c>
      <c r="L248" s="1" t="s">
        <v>34</v>
      </c>
      <c r="M248" s="1"/>
      <c r="O248" s="1"/>
      <c r="P248" s="1"/>
      <c r="Q248" s="1"/>
      <c r="S248" s="2"/>
      <c r="T248" s="1"/>
      <c r="U248" s="2"/>
      <c r="V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 t="s">
        <v>12</v>
      </c>
      <c r="AN248" s="1" t="s">
        <v>20</v>
      </c>
      <c r="AO248" s="1">
        <v>333</v>
      </c>
      <c r="AP248" s="3">
        <v>0.55500000000000005</v>
      </c>
      <c r="AQ248" s="1"/>
    </row>
    <row r="249" spans="1:43" ht="12.3" x14ac:dyDescent="0.4">
      <c r="A249" s="1" t="s">
        <v>333</v>
      </c>
      <c r="B249" s="1"/>
      <c r="C249" s="1" t="s">
        <v>33</v>
      </c>
      <c r="D249" s="5" t="s">
        <v>7</v>
      </c>
      <c r="E249" s="5" t="s">
        <v>463</v>
      </c>
      <c r="F249" s="4" t="s">
        <v>465</v>
      </c>
      <c r="G249" s="4" t="s">
        <v>465</v>
      </c>
      <c r="I249" s="1" t="s">
        <v>8</v>
      </c>
      <c r="J249" s="1" t="s">
        <v>9</v>
      </c>
      <c r="K249" s="4" t="s">
        <v>464</v>
      </c>
      <c r="L249" s="1" t="s">
        <v>43</v>
      </c>
      <c r="M249" s="1"/>
      <c r="O249" s="1"/>
      <c r="P249" s="1"/>
      <c r="Q249" s="1"/>
      <c r="S249" s="2"/>
      <c r="T249" s="1"/>
      <c r="U249" s="2"/>
      <c r="V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 t="s">
        <v>12</v>
      </c>
      <c r="AN249" s="1" t="s">
        <v>14</v>
      </c>
      <c r="AO249" s="1">
        <v>259</v>
      </c>
      <c r="AP249" s="3">
        <v>0.43166666666666664</v>
      </c>
      <c r="AQ249" s="1"/>
    </row>
    <row r="250" spans="1:43" ht="12.3" x14ac:dyDescent="0.4">
      <c r="A250" s="1" t="s">
        <v>334</v>
      </c>
      <c r="B250" s="1"/>
      <c r="C250" s="1" t="s">
        <v>33</v>
      </c>
      <c r="D250" s="5" t="s">
        <v>7</v>
      </c>
      <c r="E250" s="5" t="s">
        <v>463</v>
      </c>
      <c r="F250" s="4" t="s">
        <v>465</v>
      </c>
      <c r="G250" s="4" t="s">
        <v>465</v>
      </c>
      <c r="I250" s="1" t="s">
        <v>16</v>
      </c>
      <c r="J250" s="1" t="s">
        <v>10</v>
      </c>
      <c r="K250" s="4" t="s">
        <v>464</v>
      </c>
      <c r="L250" s="1" t="s">
        <v>39</v>
      </c>
      <c r="M250" s="1"/>
      <c r="O250" s="1"/>
      <c r="P250" s="1"/>
      <c r="Q250" s="1"/>
      <c r="S250" s="2"/>
      <c r="T250" s="1"/>
      <c r="U250" s="2"/>
      <c r="V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 t="s">
        <v>12</v>
      </c>
      <c r="AN250" s="1" t="s">
        <v>18</v>
      </c>
      <c r="AO250" s="1">
        <v>330</v>
      </c>
      <c r="AP250" s="3">
        <v>0.55000000000000004</v>
      </c>
      <c r="AQ250" s="1"/>
    </row>
    <row r="251" spans="1:43" ht="12.3" x14ac:dyDescent="0.4">
      <c r="A251" s="1" t="s">
        <v>335</v>
      </c>
      <c r="B251" s="1"/>
      <c r="C251" s="1" t="s">
        <v>33</v>
      </c>
      <c r="D251" s="5" t="s">
        <v>7</v>
      </c>
      <c r="E251" s="5" t="s">
        <v>463</v>
      </c>
      <c r="F251" s="4" t="s">
        <v>465</v>
      </c>
      <c r="G251" s="4" t="s">
        <v>465</v>
      </c>
      <c r="I251" s="1" t="s">
        <v>16</v>
      </c>
      <c r="J251" s="1" t="s">
        <v>10</v>
      </c>
      <c r="K251" s="4" t="s">
        <v>464</v>
      </c>
      <c r="L251" s="1" t="s">
        <v>35</v>
      </c>
      <c r="M251" s="1"/>
      <c r="O251" s="1"/>
      <c r="P251" s="1"/>
      <c r="Q251" s="1"/>
      <c r="S251" s="2"/>
      <c r="T251" s="1"/>
      <c r="U251" s="2"/>
      <c r="V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 t="s">
        <v>12</v>
      </c>
      <c r="AN251" s="1" t="s">
        <v>14</v>
      </c>
      <c r="AO251" s="1">
        <v>247</v>
      </c>
      <c r="AP251" s="3">
        <v>0.41166666666666668</v>
      </c>
      <c r="AQ251" s="1"/>
    </row>
    <row r="252" spans="1:43" ht="12.3" x14ac:dyDescent="0.4">
      <c r="A252" s="1" t="s">
        <v>336</v>
      </c>
      <c r="B252" s="1"/>
      <c r="C252" s="1" t="s">
        <v>33</v>
      </c>
      <c r="D252" s="5" t="s">
        <v>7</v>
      </c>
      <c r="E252" s="5" t="s">
        <v>463</v>
      </c>
      <c r="F252" s="4" t="s">
        <v>465</v>
      </c>
      <c r="G252" s="4" t="s">
        <v>465</v>
      </c>
      <c r="I252" s="1" t="s">
        <v>16</v>
      </c>
      <c r="J252" s="1" t="s">
        <v>10</v>
      </c>
      <c r="K252" s="4" t="s">
        <v>464</v>
      </c>
      <c r="L252" s="1" t="s">
        <v>34</v>
      </c>
      <c r="M252" s="1"/>
      <c r="O252" s="1"/>
      <c r="P252" s="1"/>
      <c r="Q252" s="1"/>
      <c r="S252" s="2"/>
      <c r="T252" s="1"/>
      <c r="U252" s="1"/>
      <c r="V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 t="s">
        <v>12</v>
      </c>
      <c r="AN252" s="1" t="s">
        <v>18</v>
      </c>
      <c r="AO252" s="1">
        <v>328</v>
      </c>
      <c r="AP252" s="3">
        <v>0.54666666666666663</v>
      </c>
      <c r="AQ252" s="1"/>
    </row>
    <row r="253" spans="1:43" ht="12.3" x14ac:dyDescent="0.4">
      <c r="A253" s="1" t="s">
        <v>337</v>
      </c>
      <c r="B253" s="1"/>
      <c r="C253" s="1" t="s">
        <v>33</v>
      </c>
      <c r="D253" s="5" t="s">
        <v>7</v>
      </c>
      <c r="E253" s="5" t="s">
        <v>463</v>
      </c>
      <c r="F253" s="4" t="s">
        <v>465</v>
      </c>
      <c r="G253" s="4" t="s">
        <v>465</v>
      </c>
      <c r="I253" s="1" t="s">
        <v>16</v>
      </c>
      <c r="J253" s="1" t="s">
        <v>10</v>
      </c>
      <c r="K253" s="4" t="s">
        <v>464</v>
      </c>
      <c r="L253" s="1" t="s">
        <v>34</v>
      </c>
      <c r="M253" s="1"/>
      <c r="O253" s="1"/>
      <c r="P253" s="1"/>
      <c r="Q253" s="1"/>
      <c r="S253" s="2"/>
      <c r="T253" s="1"/>
      <c r="U253" s="1"/>
      <c r="V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 t="s">
        <v>12</v>
      </c>
      <c r="AN253" s="1" t="s">
        <v>18</v>
      </c>
      <c r="AO253" s="1">
        <v>324</v>
      </c>
      <c r="AP253" s="3">
        <v>0.54</v>
      </c>
      <c r="AQ253" s="1"/>
    </row>
    <row r="254" spans="1:43" ht="12.3" x14ac:dyDescent="0.4">
      <c r="A254" s="1" t="s">
        <v>338</v>
      </c>
      <c r="B254" s="1"/>
      <c r="C254" s="1" t="s">
        <v>33</v>
      </c>
      <c r="D254" s="5" t="s">
        <v>7</v>
      </c>
      <c r="E254" s="5" t="s">
        <v>463</v>
      </c>
      <c r="F254" s="4" t="s">
        <v>465</v>
      </c>
      <c r="G254" s="4" t="s">
        <v>465</v>
      </c>
      <c r="I254" s="1" t="s">
        <v>8</v>
      </c>
      <c r="J254" s="1" t="s">
        <v>9</v>
      </c>
      <c r="K254" s="4" t="s">
        <v>464</v>
      </c>
      <c r="L254" s="1" t="s">
        <v>36</v>
      </c>
      <c r="M254" s="1"/>
      <c r="O254" s="1"/>
      <c r="P254" s="1"/>
      <c r="Q254" s="1"/>
      <c r="S254" s="2"/>
      <c r="T254" s="1"/>
      <c r="U254" s="1"/>
      <c r="V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 t="s">
        <v>12</v>
      </c>
      <c r="AN254" s="1" t="s">
        <v>20</v>
      </c>
      <c r="AO254" s="1">
        <v>375</v>
      </c>
      <c r="AP254" s="3">
        <v>0.625</v>
      </c>
      <c r="AQ254" s="1"/>
    </row>
    <row r="255" spans="1:43" ht="12.3" x14ac:dyDescent="0.4">
      <c r="A255" s="1" t="s">
        <v>339</v>
      </c>
      <c r="B255" s="1"/>
      <c r="C255" s="1" t="s">
        <v>33</v>
      </c>
      <c r="D255" s="5" t="s">
        <v>7</v>
      </c>
      <c r="E255" s="5" t="s">
        <v>463</v>
      </c>
      <c r="F255" s="4" t="s">
        <v>465</v>
      </c>
      <c r="G255" s="4" t="s">
        <v>465</v>
      </c>
      <c r="I255" s="1" t="s">
        <v>16</v>
      </c>
      <c r="J255" s="1" t="s">
        <v>10</v>
      </c>
      <c r="K255" s="4" t="s">
        <v>464</v>
      </c>
      <c r="L255" s="1" t="s">
        <v>34</v>
      </c>
      <c r="M255" s="1"/>
      <c r="O255" s="1"/>
      <c r="P255" s="1"/>
      <c r="Q255" s="1"/>
      <c r="S255" s="2"/>
      <c r="T255" s="1"/>
      <c r="U255" s="1"/>
      <c r="V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 t="s">
        <v>12</v>
      </c>
      <c r="AN255" s="1" t="s">
        <v>20</v>
      </c>
      <c r="AO255" s="1">
        <v>371</v>
      </c>
      <c r="AP255" s="3">
        <v>0.61833333333333329</v>
      </c>
      <c r="AQ255" s="1"/>
    </row>
    <row r="256" spans="1:43" ht="12.3" x14ac:dyDescent="0.4">
      <c r="A256" s="1" t="s">
        <v>340</v>
      </c>
      <c r="B256" s="1"/>
      <c r="C256" s="1" t="s">
        <v>33</v>
      </c>
      <c r="D256" s="5" t="s">
        <v>7</v>
      </c>
      <c r="E256" s="5" t="s">
        <v>463</v>
      </c>
      <c r="F256" s="4" t="s">
        <v>465</v>
      </c>
      <c r="G256" s="4" t="s">
        <v>465</v>
      </c>
      <c r="I256" s="1" t="s">
        <v>16</v>
      </c>
      <c r="J256" s="1" t="s">
        <v>10</v>
      </c>
      <c r="K256" s="4" t="s">
        <v>464</v>
      </c>
      <c r="L256" s="1" t="s">
        <v>40</v>
      </c>
      <c r="M256" s="1"/>
      <c r="O256" s="1"/>
      <c r="P256" s="1"/>
      <c r="Q256" s="1"/>
      <c r="S256" s="2"/>
      <c r="T256" s="1"/>
      <c r="U256" s="2"/>
      <c r="V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 t="s">
        <v>12</v>
      </c>
      <c r="AN256" s="1" t="s">
        <v>20</v>
      </c>
      <c r="AO256" s="1">
        <v>425</v>
      </c>
      <c r="AP256" s="3">
        <v>0.70833333333333337</v>
      </c>
      <c r="AQ256" s="1"/>
    </row>
    <row r="257" spans="1:43" ht="12.3" x14ac:dyDescent="0.4">
      <c r="A257" s="1" t="s">
        <v>341</v>
      </c>
      <c r="B257" s="1"/>
      <c r="C257" s="1" t="s">
        <v>33</v>
      </c>
      <c r="D257" s="5" t="s">
        <v>7</v>
      </c>
      <c r="E257" s="5" t="s">
        <v>463</v>
      </c>
      <c r="F257" s="4" t="s">
        <v>465</v>
      </c>
      <c r="G257" s="4" t="s">
        <v>465</v>
      </c>
      <c r="I257" s="1" t="s">
        <v>16</v>
      </c>
      <c r="J257" s="1" t="s">
        <v>9</v>
      </c>
      <c r="K257" s="4" t="s">
        <v>464</v>
      </c>
      <c r="L257" s="1" t="s">
        <v>39</v>
      </c>
      <c r="M257" s="1"/>
      <c r="O257" s="1"/>
      <c r="P257" s="1"/>
      <c r="Q257" s="1"/>
      <c r="S257" s="1"/>
      <c r="T257" s="1"/>
      <c r="U257" s="2"/>
      <c r="V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 t="s">
        <v>12</v>
      </c>
      <c r="AN257" s="1" t="s">
        <v>20</v>
      </c>
      <c r="AO257" s="1">
        <v>395</v>
      </c>
      <c r="AP257" s="3">
        <v>0.65833333333333333</v>
      </c>
      <c r="AQ257" s="1"/>
    </row>
    <row r="258" spans="1:43" ht="12.3" x14ac:dyDescent="0.4">
      <c r="A258" s="1" t="s">
        <v>342</v>
      </c>
      <c r="B258" s="1"/>
      <c r="C258" s="1" t="s">
        <v>33</v>
      </c>
      <c r="D258" s="5" t="s">
        <v>7</v>
      </c>
      <c r="E258" s="5" t="s">
        <v>463</v>
      </c>
      <c r="F258" s="4" t="s">
        <v>465</v>
      </c>
      <c r="G258" s="4" t="s">
        <v>465</v>
      </c>
      <c r="I258" s="1" t="s">
        <v>8</v>
      </c>
      <c r="J258" s="1" t="s">
        <v>9</v>
      </c>
      <c r="K258" s="4" t="s">
        <v>464</v>
      </c>
      <c r="L258" s="1" t="s">
        <v>41</v>
      </c>
      <c r="M258" s="1"/>
      <c r="O258" s="1"/>
      <c r="P258" s="1"/>
      <c r="Q258" s="1"/>
      <c r="S258" s="1"/>
      <c r="T258" s="1"/>
      <c r="U258" s="1"/>
      <c r="V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 t="s">
        <v>12</v>
      </c>
      <c r="AN258" s="1" t="s">
        <v>14</v>
      </c>
      <c r="AO258" s="1">
        <v>247</v>
      </c>
      <c r="AP258" s="3">
        <v>0.41166666666666668</v>
      </c>
      <c r="AQ258" s="1"/>
    </row>
    <row r="259" spans="1:43" ht="12.3" x14ac:dyDescent="0.4">
      <c r="A259" s="1" t="s">
        <v>343</v>
      </c>
      <c r="B259" s="1"/>
      <c r="C259" s="1" t="s">
        <v>33</v>
      </c>
      <c r="D259" s="5" t="s">
        <v>7</v>
      </c>
      <c r="E259" s="5" t="s">
        <v>463</v>
      </c>
      <c r="F259" s="4" t="s">
        <v>465</v>
      </c>
      <c r="G259" s="4" t="s">
        <v>465</v>
      </c>
      <c r="I259" s="1" t="s">
        <v>16</v>
      </c>
      <c r="J259" s="1" t="s">
        <v>10</v>
      </c>
      <c r="K259" s="4" t="s">
        <v>464</v>
      </c>
      <c r="L259" s="1" t="s">
        <v>38</v>
      </c>
      <c r="M259" s="1"/>
      <c r="O259" s="1"/>
      <c r="P259" s="1"/>
      <c r="Q259" s="1"/>
      <c r="S259" s="2"/>
      <c r="T259" s="1"/>
      <c r="U259" s="1"/>
      <c r="V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 t="s">
        <v>12</v>
      </c>
      <c r="AN259" s="1" t="s">
        <v>20</v>
      </c>
      <c r="AO259" s="1">
        <v>347</v>
      </c>
      <c r="AP259" s="3">
        <v>0.57833333333333337</v>
      </c>
      <c r="AQ259" s="1"/>
    </row>
    <row r="260" spans="1:43" ht="12.3" x14ac:dyDescent="0.4">
      <c r="A260" s="1" t="s">
        <v>344</v>
      </c>
      <c r="B260" s="1"/>
      <c r="C260" s="1" t="s">
        <v>33</v>
      </c>
      <c r="D260" s="5" t="s">
        <v>7</v>
      </c>
      <c r="E260" s="5" t="s">
        <v>463</v>
      </c>
      <c r="F260" s="4" t="s">
        <v>465</v>
      </c>
      <c r="G260" s="4" t="s">
        <v>465</v>
      </c>
      <c r="I260" s="1" t="s">
        <v>16</v>
      </c>
      <c r="J260" s="1" t="s">
        <v>10</v>
      </c>
      <c r="K260" s="4" t="s">
        <v>464</v>
      </c>
      <c r="L260" s="1" t="s">
        <v>43</v>
      </c>
      <c r="M260" s="1"/>
      <c r="O260" s="1"/>
      <c r="P260" s="1"/>
      <c r="Q260" s="1"/>
      <c r="S260" s="2"/>
      <c r="T260" s="1"/>
      <c r="U260" s="2"/>
      <c r="V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 t="s">
        <v>12</v>
      </c>
      <c r="AN260" s="1" t="s">
        <v>18</v>
      </c>
      <c r="AO260" s="1">
        <v>320</v>
      </c>
      <c r="AP260" s="3">
        <v>0.53333333333333333</v>
      </c>
      <c r="AQ260" s="1"/>
    </row>
    <row r="261" spans="1:43" ht="12.3" x14ac:dyDescent="0.4">
      <c r="A261" s="1" t="s">
        <v>345</v>
      </c>
      <c r="B261" s="1"/>
      <c r="C261" s="1" t="s">
        <v>33</v>
      </c>
      <c r="D261" s="5" t="s">
        <v>7</v>
      </c>
      <c r="E261" s="5" t="s">
        <v>463</v>
      </c>
      <c r="F261" s="4" t="s">
        <v>465</v>
      </c>
      <c r="G261" s="4" t="s">
        <v>465</v>
      </c>
      <c r="I261" s="1" t="s">
        <v>16</v>
      </c>
      <c r="J261" s="1" t="s">
        <v>10</v>
      </c>
      <c r="K261" s="4" t="s">
        <v>464</v>
      </c>
      <c r="L261" s="1" t="s">
        <v>43</v>
      </c>
      <c r="M261" s="1"/>
      <c r="O261" s="1"/>
      <c r="P261" s="1"/>
      <c r="Q261" s="1"/>
      <c r="S261" s="2"/>
      <c r="T261" s="1"/>
      <c r="U261" s="2"/>
      <c r="V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 t="s">
        <v>12</v>
      </c>
      <c r="AN261" s="1" t="s">
        <v>14</v>
      </c>
      <c r="AO261" s="1">
        <v>262</v>
      </c>
      <c r="AP261" s="3">
        <v>0.43666666666666665</v>
      </c>
      <c r="AQ261" s="1"/>
    </row>
    <row r="262" spans="1:43" ht="12.3" x14ac:dyDescent="0.4">
      <c r="A262" s="1" t="s">
        <v>346</v>
      </c>
      <c r="B262" s="1"/>
      <c r="C262" s="1" t="s">
        <v>33</v>
      </c>
      <c r="D262" s="5" t="s">
        <v>7</v>
      </c>
      <c r="E262" s="5" t="s">
        <v>463</v>
      </c>
      <c r="F262" s="4" t="s">
        <v>465</v>
      </c>
      <c r="G262" s="4" t="s">
        <v>465</v>
      </c>
      <c r="I262" s="1" t="s">
        <v>16</v>
      </c>
      <c r="J262" s="1" t="s">
        <v>10</v>
      </c>
      <c r="K262" s="4" t="s">
        <v>464</v>
      </c>
      <c r="L262" s="1" t="s">
        <v>42</v>
      </c>
      <c r="M262" s="1"/>
      <c r="O262" s="1"/>
      <c r="P262" s="1"/>
      <c r="Q262" s="1"/>
      <c r="S262" s="2"/>
      <c r="T262" s="1"/>
      <c r="U262" s="1"/>
      <c r="V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 t="s">
        <v>12</v>
      </c>
      <c r="AN262" s="1" t="s">
        <v>18</v>
      </c>
      <c r="AO262" s="1">
        <v>312</v>
      </c>
      <c r="AP262" s="3">
        <v>0.52</v>
      </c>
      <c r="AQ262" s="1"/>
    </row>
    <row r="263" spans="1:43" ht="12.3" x14ac:dyDescent="0.4">
      <c r="A263" s="1" t="s">
        <v>347</v>
      </c>
      <c r="B263" s="1"/>
      <c r="C263" s="1" t="s">
        <v>33</v>
      </c>
      <c r="D263" s="5" t="s">
        <v>7</v>
      </c>
      <c r="E263" s="5" t="s">
        <v>463</v>
      </c>
      <c r="F263" s="4" t="s">
        <v>465</v>
      </c>
      <c r="G263" s="4" t="s">
        <v>465</v>
      </c>
      <c r="I263" s="1" t="s">
        <v>16</v>
      </c>
      <c r="J263" s="1" t="s">
        <v>10</v>
      </c>
      <c r="K263" s="4" t="s">
        <v>464</v>
      </c>
      <c r="L263" s="1" t="s">
        <v>43</v>
      </c>
      <c r="M263" s="1"/>
      <c r="O263" s="1"/>
      <c r="P263" s="1"/>
      <c r="Q263" s="1"/>
      <c r="S263" s="2"/>
      <c r="T263" s="1"/>
      <c r="U263" s="1"/>
      <c r="V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 t="s">
        <v>12</v>
      </c>
      <c r="AN263" s="1" t="s">
        <v>14</v>
      </c>
      <c r="AO263" s="1">
        <v>271</v>
      </c>
      <c r="AP263" s="3">
        <v>0.45166666666666666</v>
      </c>
      <c r="AQ263" s="1"/>
    </row>
    <row r="264" spans="1:43" ht="12.3" x14ac:dyDescent="0.4">
      <c r="A264" s="1" t="s">
        <v>348</v>
      </c>
      <c r="B264" s="1"/>
      <c r="C264" s="1" t="s">
        <v>33</v>
      </c>
      <c r="D264" s="5" t="s">
        <v>7</v>
      </c>
      <c r="E264" s="5" t="s">
        <v>463</v>
      </c>
      <c r="F264" s="4" t="s">
        <v>465</v>
      </c>
      <c r="G264" s="4" t="s">
        <v>465</v>
      </c>
      <c r="I264" s="1" t="s">
        <v>16</v>
      </c>
      <c r="J264" s="1" t="s">
        <v>10</v>
      </c>
      <c r="K264" s="4" t="s">
        <v>464</v>
      </c>
      <c r="L264" s="1" t="s">
        <v>38</v>
      </c>
      <c r="M264" s="1"/>
      <c r="O264" s="1"/>
      <c r="P264" s="1"/>
      <c r="Q264" s="1"/>
      <c r="S264" s="2"/>
      <c r="T264" s="1"/>
      <c r="U264" s="2"/>
      <c r="V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 t="s">
        <v>12</v>
      </c>
      <c r="AN264" s="1" t="s">
        <v>13</v>
      </c>
      <c r="AO264" s="1">
        <v>296</v>
      </c>
      <c r="AP264" s="3">
        <v>0.49333333333333335</v>
      </c>
      <c r="AQ264" s="1"/>
    </row>
    <row r="265" spans="1:43" ht="12.3" x14ac:dyDescent="0.4">
      <c r="A265" s="1" t="s">
        <v>151</v>
      </c>
      <c r="B265" s="1"/>
      <c r="C265" s="1" t="s">
        <v>33</v>
      </c>
      <c r="D265" s="5" t="s">
        <v>7</v>
      </c>
      <c r="E265" s="5" t="s">
        <v>463</v>
      </c>
      <c r="F265" s="4" t="s">
        <v>465</v>
      </c>
      <c r="G265" s="4" t="s">
        <v>465</v>
      </c>
      <c r="I265" s="1" t="s">
        <v>8</v>
      </c>
      <c r="J265" s="1" t="s">
        <v>9</v>
      </c>
      <c r="K265" s="4" t="s">
        <v>464</v>
      </c>
      <c r="O265" s="1"/>
      <c r="P265" s="1"/>
      <c r="Q265" s="1"/>
      <c r="S265" s="2"/>
      <c r="T265" s="1"/>
      <c r="U265" s="1"/>
      <c r="V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 t="s">
        <v>12</v>
      </c>
      <c r="AN265" s="1" t="s">
        <v>13</v>
      </c>
      <c r="AO265" s="1">
        <v>299</v>
      </c>
      <c r="AP265" s="3">
        <v>0.49833333333333335</v>
      </c>
      <c r="AQ265" s="1"/>
    </row>
    <row r="266" spans="1:43" ht="12.3" x14ac:dyDescent="0.4">
      <c r="A266" s="1" t="s">
        <v>349</v>
      </c>
      <c r="B266" s="1"/>
      <c r="C266" s="1" t="s">
        <v>33</v>
      </c>
      <c r="D266" s="5" t="s">
        <v>7</v>
      </c>
      <c r="E266" s="5" t="s">
        <v>463</v>
      </c>
      <c r="F266" s="4" t="s">
        <v>465</v>
      </c>
      <c r="G266" s="4" t="s">
        <v>465</v>
      </c>
      <c r="I266" s="1" t="s">
        <v>8</v>
      </c>
      <c r="J266" s="1" t="s">
        <v>9</v>
      </c>
      <c r="K266" s="4" t="s">
        <v>464</v>
      </c>
      <c r="L266" s="1" t="s">
        <v>38</v>
      </c>
      <c r="M266" s="1"/>
      <c r="O266" s="1"/>
      <c r="P266" s="1"/>
      <c r="Q266" s="1"/>
      <c r="S266" s="2"/>
      <c r="T266" s="1"/>
      <c r="U266" s="1"/>
      <c r="V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 t="s">
        <v>12</v>
      </c>
      <c r="AN266" s="1" t="s">
        <v>20</v>
      </c>
      <c r="AO266" s="1">
        <v>341</v>
      </c>
      <c r="AP266" s="3">
        <v>0.56833333333333336</v>
      </c>
      <c r="AQ266" s="1"/>
    </row>
    <row r="267" spans="1:43" ht="12.3" x14ac:dyDescent="0.4">
      <c r="A267" s="1" t="s">
        <v>350</v>
      </c>
      <c r="B267" s="1"/>
      <c r="C267" s="1" t="s">
        <v>33</v>
      </c>
      <c r="D267" s="5" t="s">
        <v>7</v>
      </c>
      <c r="E267" s="5" t="s">
        <v>463</v>
      </c>
      <c r="F267" s="4" t="s">
        <v>465</v>
      </c>
      <c r="G267" s="4" t="s">
        <v>465</v>
      </c>
      <c r="I267" s="1" t="s">
        <v>8</v>
      </c>
      <c r="J267" s="1" t="s">
        <v>9</v>
      </c>
      <c r="K267" s="4" t="s">
        <v>464</v>
      </c>
      <c r="L267" s="1" t="s">
        <v>38</v>
      </c>
      <c r="M267" s="1"/>
      <c r="O267" s="1"/>
      <c r="P267" s="1"/>
      <c r="Q267" s="1"/>
      <c r="S267" s="2"/>
      <c r="T267" s="1"/>
      <c r="U267" s="1"/>
      <c r="V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 t="s">
        <v>12</v>
      </c>
      <c r="AN267" s="1" t="s">
        <v>20</v>
      </c>
      <c r="AO267" s="1">
        <v>340</v>
      </c>
      <c r="AP267" s="3">
        <v>0.56666666666666665</v>
      </c>
      <c r="AQ267" s="1"/>
    </row>
    <row r="268" spans="1:43" ht="12.3" x14ac:dyDescent="0.4">
      <c r="A268" s="1" t="s">
        <v>351</v>
      </c>
      <c r="B268" s="1"/>
      <c r="C268" s="1" t="s">
        <v>33</v>
      </c>
      <c r="D268" s="5" t="s">
        <v>7</v>
      </c>
      <c r="E268" s="5" t="s">
        <v>463</v>
      </c>
      <c r="F268" s="4" t="s">
        <v>465</v>
      </c>
      <c r="G268" s="4" t="s">
        <v>465</v>
      </c>
      <c r="I268" s="1" t="s">
        <v>16</v>
      </c>
      <c r="J268" s="1" t="s">
        <v>10</v>
      </c>
      <c r="K268" s="4" t="s">
        <v>464</v>
      </c>
      <c r="L268" s="1" t="s">
        <v>36</v>
      </c>
      <c r="M268" s="1"/>
      <c r="O268" s="1"/>
      <c r="P268" s="1"/>
      <c r="Q268" s="1"/>
      <c r="S268" s="2"/>
      <c r="T268" s="1"/>
      <c r="U268" s="1"/>
      <c r="V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 t="s">
        <v>12</v>
      </c>
      <c r="AN268" s="1" t="s">
        <v>14</v>
      </c>
      <c r="AO268" s="1">
        <v>272</v>
      </c>
      <c r="AP268" s="3">
        <v>0.45333333333333331</v>
      </c>
      <c r="AQ268" s="1"/>
    </row>
    <row r="269" spans="1:43" ht="12.3" x14ac:dyDescent="0.4">
      <c r="A269" s="1" t="s">
        <v>352</v>
      </c>
      <c r="B269" s="1"/>
      <c r="C269" s="1" t="s">
        <v>33</v>
      </c>
      <c r="D269" s="5" t="s">
        <v>7</v>
      </c>
      <c r="E269" s="5" t="s">
        <v>463</v>
      </c>
      <c r="F269" s="4" t="s">
        <v>465</v>
      </c>
      <c r="G269" s="4" t="s">
        <v>465</v>
      </c>
      <c r="I269" s="1" t="s">
        <v>16</v>
      </c>
      <c r="J269" s="1" t="s">
        <v>10</v>
      </c>
      <c r="K269" s="4" t="s">
        <v>464</v>
      </c>
      <c r="L269" s="1" t="s">
        <v>42</v>
      </c>
      <c r="M269" s="1"/>
      <c r="O269" s="1"/>
      <c r="P269" s="1"/>
      <c r="Q269" s="1"/>
      <c r="S269" s="2"/>
      <c r="T269" s="1"/>
      <c r="U269" s="1"/>
      <c r="V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 t="s">
        <v>12</v>
      </c>
      <c r="AN269" s="1" t="s">
        <v>20</v>
      </c>
      <c r="AO269" s="1">
        <v>382</v>
      </c>
      <c r="AP269" s="3">
        <v>0.63666666666666671</v>
      </c>
      <c r="AQ269" s="1"/>
    </row>
    <row r="270" spans="1:43" ht="12.3" x14ac:dyDescent="0.4">
      <c r="A270" s="1" t="s">
        <v>354</v>
      </c>
      <c r="B270" s="1"/>
      <c r="C270" s="1" t="s">
        <v>33</v>
      </c>
      <c r="D270" s="5" t="s">
        <v>7</v>
      </c>
      <c r="E270" s="5" t="s">
        <v>463</v>
      </c>
      <c r="F270" s="4" t="s">
        <v>465</v>
      </c>
      <c r="G270" s="4" t="s">
        <v>465</v>
      </c>
      <c r="I270" s="1" t="s">
        <v>8</v>
      </c>
      <c r="J270" s="1" t="s">
        <v>9</v>
      </c>
      <c r="K270" s="4" t="s">
        <v>464</v>
      </c>
      <c r="L270" s="1" t="s">
        <v>43</v>
      </c>
      <c r="M270" s="1"/>
      <c r="O270" s="1"/>
      <c r="P270" s="1"/>
      <c r="Q270" s="1"/>
      <c r="S270" s="2"/>
      <c r="T270" s="1"/>
      <c r="U270" s="2"/>
      <c r="V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 t="s">
        <v>12</v>
      </c>
      <c r="AN270" s="1" t="s">
        <v>14</v>
      </c>
      <c r="AO270" s="1">
        <v>250</v>
      </c>
      <c r="AP270" s="3">
        <v>0.41666666666666669</v>
      </c>
      <c r="AQ270" s="1"/>
    </row>
    <row r="271" spans="1:43" ht="12.3" x14ac:dyDescent="0.4">
      <c r="A271" s="1" t="s">
        <v>355</v>
      </c>
      <c r="B271" s="1"/>
      <c r="C271" s="1" t="s">
        <v>33</v>
      </c>
      <c r="D271" s="5" t="s">
        <v>7</v>
      </c>
      <c r="E271" s="5" t="s">
        <v>463</v>
      </c>
      <c r="F271" s="4" t="s">
        <v>465</v>
      </c>
      <c r="G271" s="4" t="s">
        <v>465</v>
      </c>
      <c r="I271" s="1" t="s">
        <v>8</v>
      </c>
      <c r="J271" s="1" t="s">
        <v>9</v>
      </c>
      <c r="K271" s="4" t="s">
        <v>464</v>
      </c>
      <c r="O271" s="1"/>
      <c r="P271" s="1"/>
      <c r="Q271" s="1"/>
      <c r="S271" s="2"/>
      <c r="T271" s="1"/>
      <c r="U271" s="1"/>
      <c r="V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 t="s">
        <v>12</v>
      </c>
      <c r="AN271" s="1" t="s">
        <v>20</v>
      </c>
      <c r="AO271" s="1">
        <v>355</v>
      </c>
      <c r="AP271" s="3">
        <v>0.59166666666666667</v>
      </c>
      <c r="AQ271" s="1"/>
    </row>
    <row r="272" spans="1:43" ht="12.3" x14ac:dyDescent="0.4">
      <c r="A272" s="1" t="s">
        <v>356</v>
      </c>
      <c r="B272" s="1"/>
      <c r="C272" s="1" t="s">
        <v>33</v>
      </c>
      <c r="D272" s="5" t="s">
        <v>7</v>
      </c>
      <c r="E272" s="5" t="s">
        <v>463</v>
      </c>
      <c r="F272" s="4" t="s">
        <v>465</v>
      </c>
      <c r="G272" s="4" t="s">
        <v>465</v>
      </c>
      <c r="I272" s="1" t="s">
        <v>8</v>
      </c>
      <c r="J272" s="1" t="s">
        <v>9</v>
      </c>
      <c r="K272" s="4" t="s">
        <v>464</v>
      </c>
      <c r="L272" s="1" t="s">
        <v>41</v>
      </c>
      <c r="M272" s="1"/>
      <c r="O272" s="1"/>
      <c r="P272" s="1"/>
      <c r="Q272" s="1"/>
      <c r="S272" s="2"/>
      <c r="T272" s="1"/>
      <c r="U272" s="1"/>
      <c r="V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 t="s">
        <v>12</v>
      </c>
      <c r="AN272" s="1" t="s">
        <v>14</v>
      </c>
      <c r="AO272" s="1">
        <v>254</v>
      </c>
      <c r="AP272" s="3">
        <v>0.42333333333333334</v>
      </c>
      <c r="AQ272" s="1"/>
    </row>
    <row r="273" spans="1:43" ht="12.3" x14ac:dyDescent="0.4">
      <c r="A273" s="1" t="s">
        <v>357</v>
      </c>
      <c r="B273" s="1"/>
      <c r="C273" s="1" t="s">
        <v>33</v>
      </c>
      <c r="D273" s="5" t="s">
        <v>7</v>
      </c>
      <c r="E273" s="5" t="s">
        <v>463</v>
      </c>
      <c r="F273" s="4" t="s">
        <v>465</v>
      </c>
      <c r="G273" s="4" t="s">
        <v>465</v>
      </c>
      <c r="I273" s="1" t="s">
        <v>16</v>
      </c>
      <c r="J273" s="1" t="s">
        <v>10</v>
      </c>
      <c r="K273" s="4" t="s">
        <v>464</v>
      </c>
      <c r="L273" s="1" t="s">
        <v>37</v>
      </c>
      <c r="M273" s="1"/>
      <c r="O273" s="1"/>
      <c r="P273" s="1"/>
      <c r="Q273" s="1"/>
      <c r="S273" s="2"/>
      <c r="T273" s="1"/>
      <c r="U273" s="1"/>
      <c r="V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 t="s">
        <v>12</v>
      </c>
      <c r="AN273" s="1" t="s">
        <v>20</v>
      </c>
      <c r="AO273" s="1">
        <v>536</v>
      </c>
      <c r="AP273" s="3">
        <v>0.89333333333333331</v>
      </c>
      <c r="AQ273" s="1"/>
    </row>
    <row r="274" spans="1:43" ht="12.3" x14ac:dyDescent="0.4">
      <c r="A274" s="1" t="s">
        <v>358</v>
      </c>
      <c r="B274" s="1"/>
      <c r="C274" s="1" t="s">
        <v>33</v>
      </c>
      <c r="D274" s="5" t="s">
        <v>7</v>
      </c>
      <c r="E274" s="5" t="s">
        <v>463</v>
      </c>
      <c r="F274" s="4" t="s">
        <v>465</v>
      </c>
      <c r="G274" s="4" t="s">
        <v>465</v>
      </c>
      <c r="I274" s="1" t="s">
        <v>8</v>
      </c>
      <c r="J274" s="1" t="s">
        <v>9</v>
      </c>
      <c r="K274" s="4" t="s">
        <v>464</v>
      </c>
      <c r="L274" s="1" t="s">
        <v>35</v>
      </c>
      <c r="M274" s="1"/>
      <c r="O274" s="1"/>
      <c r="P274" s="1"/>
      <c r="Q274" s="1"/>
      <c r="S274" s="1"/>
      <c r="T274" s="1"/>
      <c r="U274" s="1"/>
      <c r="V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 t="s">
        <v>12</v>
      </c>
      <c r="AN274" s="1" t="s">
        <v>14</v>
      </c>
      <c r="AO274" s="1">
        <v>256</v>
      </c>
      <c r="AP274" s="3">
        <v>0.42666666666666669</v>
      </c>
      <c r="AQ274" s="1"/>
    </row>
    <row r="275" spans="1:43" ht="12.3" x14ac:dyDescent="0.4">
      <c r="A275" s="1" t="s">
        <v>359</v>
      </c>
      <c r="B275" s="1"/>
      <c r="C275" s="1" t="s">
        <v>33</v>
      </c>
      <c r="D275" s="5" t="s">
        <v>7</v>
      </c>
      <c r="E275" s="5" t="s">
        <v>463</v>
      </c>
      <c r="F275" s="4" t="s">
        <v>465</v>
      </c>
      <c r="G275" s="4" t="s">
        <v>465</v>
      </c>
      <c r="I275" s="1" t="s">
        <v>8</v>
      </c>
      <c r="J275" s="1" t="s">
        <v>9</v>
      </c>
      <c r="K275" s="4" t="s">
        <v>464</v>
      </c>
      <c r="L275" s="1" t="s">
        <v>41</v>
      </c>
      <c r="M275" s="1"/>
      <c r="O275" s="1"/>
      <c r="P275" s="1"/>
      <c r="Q275" s="1"/>
      <c r="S275" s="2"/>
      <c r="T275" s="1"/>
      <c r="U275" s="1"/>
      <c r="V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 t="s">
        <v>12</v>
      </c>
      <c r="AN275" s="1" t="s">
        <v>18</v>
      </c>
      <c r="AO275" s="1">
        <v>325</v>
      </c>
      <c r="AP275" s="3">
        <v>0.54166666666666663</v>
      </c>
      <c r="AQ275" s="1"/>
    </row>
    <row r="276" spans="1:43" ht="12.3" x14ac:dyDescent="0.4">
      <c r="A276" s="1" t="s">
        <v>360</v>
      </c>
      <c r="B276" s="1"/>
      <c r="C276" s="1" t="s">
        <v>33</v>
      </c>
      <c r="D276" s="5" t="s">
        <v>7</v>
      </c>
      <c r="E276" s="5" t="s">
        <v>463</v>
      </c>
      <c r="F276" s="4" t="s">
        <v>465</v>
      </c>
      <c r="G276" s="4" t="s">
        <v>465</v>
      </c>
      <c r="I276" s="1" t="s">
        <v>8</v>
      </c>
      <c r="J276" s="1" t="s">
        <v>9</v>
      </c>
      <c r="K276" s="4" t="s">
        <v>464</v>
      </c>
      <c r="O276" s="1"/>
      <c r="P276" s="1"/>
      <c r="Q276" s="1"/>
      <c r="S276" s="2"/>
      <c r="T276" s="1"/>
      <c r="U276" s="1"/>
      <c r="V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 t="s">
        <v>12</v>
      </c>
      <c r="AN276" s="1" t="s">
        <v>14</v>
      </c>
      <c r="AO276" s="1">
        <v>252</v>
      </c>
      <c r="AP276" s="3">
        <v>0.42</v>
      </c>
      <c r="AQ276" s="1"/>
    </row>
    <row r="277" spans="1:43" ht="12.3" x14ac:dyDescent="0.4">
      <c r="A277" s="1" t="s">
        <v>361</v>
      </c>
      <c r="B277" s="1"/>
      <c r="C277" s="1" t="s">
        <v>33</v>
      </c>
      <c r="D277" s="5" t="s">
        <v>7</v>
      </c>
      <c r="E277" s="5" t="s">
        <v>463</v>
      </c>
      <c r="F277" s="4" t="s">
        <v>465</v>
      </c>
      <c r="G277" s="4" t="s">
        <v>465</v>
      </c>
      <c r="I277" s="1" t="s">
        <v>8</v>
      </c>
      <c r="J277" s="1" t="s">
        <v>9</v>
      </c>
      <c r="K277" s="4" t="s">
        <v>464</v>
      </c>
      <c r="L277" s="1" t="s">
        <v>36</v>
      </c>
      <c r="M277" s="1"/>
      <c r="O277" s="1"/>
      <c r="P277" s="1"/>
      <c r="Q277" s="1"/>
      <c r="S277" s="2"/>
      <c r="T277" s="1"/>
      <c r="U277" s="2"/>
      <c r="V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 t="s">
        <v>12</v>
      </c>
      <c r="AN277" s="1" t="s">
        <v>14</v>
      </c>
      <c r="AO277" s="1">
        <v>271</v>
      </c>
      <c r="AP277" s="3">
        <v>0.45166666666666666</v>
      </c>
      <c r="AQ277" s="1"/>
    </row>
    <row r="278" spans="1:43" ht="12.3" x14ac:dyDescent="0.4">
      <c r="A278" s="1" t="s">
        <v>362</v>
      </c>
      <c r="B278" s="1"/>
      <c r="C278" s="1" t="s">
        <v>33</v>
      </c>
      <c r="D278" s="5" t="s">
        <v>7</v>
      </c>
      <c r="E278" s="5" t="s">
        <v>463</v>
      </c>
      <c r="F278" s="4" t="s">
        <v>465</v>
      </c>
      <c r="G278" s="4" t="s">
        <v>465</v>
      </c>
      <c r="I278" s="1" t="s">
        <v>8</v>
      </c>
      <c r="J278" s="1" t="s">
        <v>9</v>
      </c>
      <c r="K278" s="4" t="s">
        <v>464</v>
      </c>
      <c r="L278" s="1" t="s">
        <v>43</v>
      </c>
      <c r="M278" s="1"/>
      <c r="O278" s="1"/>
      <c r="P278" s="1"/>
      <c r="Q278" s="1"/>
      <c r="S278" s="2"/>
      <c r="T278" s="1"/>
      <c r="U278" s="1"/>
      <c r="V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 t="s">
        <v>12</v>
      </c>
      <c r="AN278" s="1" t="s">
        <v>20</v>
      </c>
      <c r="AO278" s="1">
        <v>337</v>
      </c>
      <c r="AP278" s="3">
        <v>0.56166666666666665</v>
      </c>
      <c r="AQ278" s="1"/>
    </row>
    <row r="279" spans="1:43" ht="12.3" x14ac:dyDescent="0.4">
      <c r="A279" s="1" t="s">
        <v>364</v>
      </c>
      <c r="B279" s="1"/>
      <c r="C279" s="1" t="s">
        <v>33</v>
      </c>
      <c r="D279" s="5" t="s">
        <v>7</v>
      </c>
      <c r="E279" s="5" t="s">
        <v>463</v>
      </c>
      <c r="F279" s="4" t="s">
        <v>465</v>
      </c>
      <c r="G279" s="4" t="s">
        <v>465</v>
      </c>
      <c r="I279" s="1" t="s">
        <v>16</v>
      </c>
      <c r="J279" s="1" t="s">
        <v>10</v>
      </c>
      <c r="K279" s="4" t="s">
        <v>464</v>
      </c>
      <c r="L279" s="1" t="s">
        <v>39</v>
      </c>
      <c r="M279" s="1"/>
      <c r="O279" s="1"/>
      <c r="P279" s="1"/>
      <c r="Q279" s="1"/>
      <c r="S279" s="2"/>
      <c r="T279" s="1"/>
      <c r="U279" s="1"/>
      <c r="V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 t="s">
        <v>12</v>
      </c>
      <c r="AN279" s="1" t="s">
        <v>13</v>
      </c>
      <c r="AO279" s="1">
        <v>281</v>
      </c>
      <c r="AP279" s="3">
        <v>0.46833333333333332</v>
      </c>
      <c r="AQ279" s="1"/>
    </row>
    <row r="280" spans="1:43" ht="12.3" x14ac:dyDescent="0.4">
      <c r="A280" s="1" t="s">
        <v>365</v>
      </c>
      <c r="B280" s="1"/>
      <c r="C280" s="1" t="s">
        <v>33</v>
      </c>
      <c r="D280" s="5" t="s">
        <v>7</v>
      </c>
      <c r="E280" s="5" t="s">
        <v>463</v>
      </c>
      <c r="F280" s="4" t="s">
        <v>465</v>
      </c>
      <c r="G280" s="4" t="s">
        <v>465</v>
      </c>
      <c r="I280" s="1" t="s">
        <v>8</v>
      </c>
      <c r="J280" s="1" t="s">
        <v>9</v>
      </c>
      <c r="K280" s="4" t="s">
        <v>464</v>
      </c>
      <c r="L280" s="1" t="s">
        <v>36</v>
      </c>
      <c r="M280" s="1"/>
      <c r="O280" s="1"/>
      <c r="P280" s="1"/>
      <c r="Q280" s="1"/>
      <c r="S280" s="2"/>
      <c r="T280" s="1"/>
      <c r="U280" s="1"/>
      <c r="V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 t="s">
        <v>12</v>
      </c>
      <c r="AN280" s="1" t="s">
        <v>13</v>
      </c>
      <c r="AO280" s="1">
        <v>282</v>
      </c>
      <c r="AP280" s="3">
        <v>0.47</v>
      </c>
      <c r="AQ280" s="1"/>
    </row>
    <row r="281" spans="1:43" ht="12.3" x14ac:dyDescent="0.4">
      <c r="A281" s="1" t="s">
        <v>366</v>
      </c>
      <c r="B281" s="1"/>
      <c r="C281" s="1" t="s">
        <v>33</v>
      </c>
      <c r="D281" s="5" t="s">
        <v>7</v>
      </c>
      <c r="E281" s="5" t="s">
        <v>463</v>
      </c>
      <c r="F281" s="4" t="s">
        <v>465</v>
      </c>
      <c r="G281" s="4" t="s">
        <v>465</v>
      </c>
      <c r="I281" s="1" t="s">
        <v>16</v>
      </c>
      <c r="J281" s="1" t="s">
        <v>10</v>
      </c>
      <c r="K281" s="4" t="s">
        <v>464</v>
      </c>
      <c r="L281" s="1" t="s">
        <v>41</v>
      </c>
      <c r="M281" s="1"/>
      <c r="O281" s="1"/>
      <c r="P281" s="1"/>
      <c r="Q281" s="1"/>
      <c r="S281" s="1"/>
      <c r="T281" s="1"/>
      <c r="U281" s="1"/>
      <c r="V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 t="s">
        <v>12</v>
      </c>
      <c r="AN281" s="1" t="s">
        <v>20</v>
      </c>
      <c r="AO281" s="1">
        <v>361</v>
      </c>
      <c r="AP281" s="3">
        <v>0.60166666666666668</v>
      </c>
      <c r="AQ281" s="1"/>
    </row>
    <row r="282" spans="1:43" ht="12.3" x14ac:dyDescent="0.4">
      <c r="A282" s="1" t="s">
        <v>367</v>
      </c>
      <c r="B282" s="1"/>
      <c r="C282" s="1" t="s">
        <v>33</v>
      </c>
      <c r="D282" s="5" t="s">
        <v>7</v>
      </c>
      <c r="E282" s="5" t="s">
        <v>463</v>
      </c>
      <c r="F282" s="4" t="s">
        <v>465</v>
      </c>
      <c r="G282" s="4" t="s">
        <v>465</v>
      </c>
      <c r="I282" s="1" t="s">
        <v>29</v>
      </c>
      <c r="J282" s="1" t="s">
        <v>9</v>
      </c>
      <c r="K282" s="4" t="s">
        <v>464</v>
      </c>
      <c r="L282" s="1" t="s">
        <v>39</v>
      </c>
      <c r="M282" s="1"/>
      <c r="O282" s="1"/>
      <c r="P282" s="1"/>
      <c r="Q282" s="1"/>
      <c r="S282" s="2"/>
      <c r="T282" s="1"/>
      <c r="U282" s="1"/>
      <c r="V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 t="s">
        <v>12</v>
      </c>
      <c r="AN282" s="1" t="s">
        <v>13</v>
      </c>
      <c r="AO282" s="1">
        <v>290</v>
      </c>
      <c r="AP282" s="3">
        <v>0.48333333333333334</v>
      </c>
      <c r="AQ282" s="1"/>
    </row>
    <row r="283" spans="1:43" ht="12.3" x14ac:dyDescent="0.4">
      <c r="A283" s="1" t="s">
        <v>368</v>
      </c>
      <c r="B283" s="1"/>
      <c r="C283" s="1" t="s">
        <v>33</v>
      </c>
      <c r="D283" s="5" t="s">
        <v>7</v>
      </c>
      <c r="E283" s="5" t="s">
        <v>463</v>
      </c>
      <c r="F283" s="4" t="s">
        <v>465</v>
      </c>
      <c r="G283" s="4" t="s">
        <v>465</v>
      </c>
      <c r="I283" s="1" t="s">
        <v>8</v>
      </c>
      <c r="J283" s="1" t="s">
        <v>9</v>
      </c>
      <c r="K283" s="4" t="s">
        <v>464</v>
      </c>
      <c r="L283" s="1" t="s">
        <v>40</v>
      </c>
      <c r="M283" s="1"/>
      <c r="O283" s="1"/>
      <c r="P283" s="1"/>
      <c r="Q283" s="1"/>
      <c r="S283" s="2"/>
      <c r="T283" s="1"/>
      <c r="U283" s="2"/>
      <c r="V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 t="s">
        <v>12</v>
      </c>
      <c r="AN283" s="1" t="s">
        <v>14</v>
      </c>
      <c r="AO283" s="1">
        <v>278</v>
      </c>
      <c r="AP283" s="3">
        <v>0.46333333333333332</v>
      </c>
      <c r="AQ283" s="1"/>
    </row>
    <row r="284" spans="1:43" ht="12.3" x14ac:dyDescent="0.4">
      <c r="A284" s="1" t="s">
        <v>369</v>
      </c>
      <c r="B284" s="1"/>
      <c r="C284" s="1" t="s">
        <v>33</v>
      </c>
      <c r="D284" s="5" t="s">
        <v>7</v>
      </c>
      <c r="E284" s="5" t="s">
        <v>463</v>
      </c>
      <c r="F284" s="4" t="s">
        <v>465</v>
      </c>
      <c r="G284" s="4" t="s">
        <v>465</v>
      </c>
      <c r="I284" s="1" t="s">
        <v>16</v>
      </c>
      <c r="J284" s="1" t="s">
        <v>10</v>
      </c>
      <c r="K284" s="4" t="s">
        <v>464</v>
      </c>
      <c r="L284" s="1" t="s">
        <v>41</v>
      </c>
      <c r="M284" s="1"/>
      <c r="O284" s="1"/>
      <c r="P284" s="1"/>
      <c r="Q284" s="1"/>
      <c r="S284" s="2"/>
      <c r="T284" s="1"/>
      <c r="U284" s="2"/>
      <c r="V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 t="s">
        <v>12</v>
      </c>
      <c r="AN284" s="1" t="s">
        <v>18</v>
      </c>
      <c r="AO284" s="1">
        <v>315</v>
      </c>
      <c r="AP284" s="3">
        <v>0.52500000000000002</v>
      </c>
      <c r="AQ284" s="1"/>
    </row>
    <row r="285" spans="1:43" ht="12.3" x14ac:dyDescent="0.4">
      <c r="A285" s="1" t="s">
        <v>370</v>
      </c>
      <c r="B285" s="1"/>
      <c r="C285" s="1" t="s">
        <v>33</v>
      </c>
      <c r="D285" s="5" t="s">
        <v>7</v>
      </c>
      <c r="E285" s="5" t="s">
        <v>463</v>
      </c>
      <c r="F285" s="4" t="s">
        <v>465</v>
      </c>
      <c r="G285" s="4" t="s">
        <v>465</v>
      </c>
      <c r="I285" s="1" t="s">
        <v>8</v>
      </c>
      <c r="J285" s="1" t="s">
        <v>9</v>
      </c>
      <c r="K285" s="4" t="s">
        <v>464</v>
      </c>
      <c r="L285" s="1" t="s">
        <v>42</v>
      </c>
      <c r="M285" s="1"/>
      <c r="O285" s="1"/>
      <c r="P285" s="1"/>
      <c r="Q285" s="1"/>
      <c r="S285" s="2"/>
      <c r="T285" s="1"/>
      <c r="U285" s="1"/>
      <c r="V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 t="s">
        <v>12</v>
      </c>
      <c r="AN285" s="1" t="s">
        <v>14</v>
      </c>
      <c r="AO285" s="1">
        <v>262</v>
      </c>
      <c r="AP285" s="3">
        <v>0.43666666666666665</v>
      </c>
      <c r="AQ285" s="1"/>
    </row>
    <row r="286" spans="1:43" ht="12.3" x14ac:dyDescent="0.4">
      <c r="A286" s="1" t="s">
        <v>371</v>
      </c>
      <c r="B286" s="1"/>
      <c r="C286" s="1" t="s">
        <v>33</v>
      </c>
      <c r="D286" s="5" t="s">
        <v>7</v>
      </c>
      <c r="E286" s="5" t="s">
        <v>463</v>
      </c>
      <c r="F286" s="4" t="s">
        <v>465</v>
      </c>
      <c r="G286" s="4" t="s">
        <v>465</v>
      </c>
      <c r="I286" s="1" t="s">
        <v>16</v>
      </c>
      <c r="J286" s="1" t="s">
        <v>10</v>
      </c>
      <c r="K286" s="4" t="s">
        <v>464</v>
      </c>
      <c r="L286" s="1" t="s">
        <v>36</v>
      </c>
      <c r="M286" s="1"/>
      <c r="O286" s="1"/>
      <c r="P286" s="1"/>
      <c r="Q286" s="1"/>
      <c r="S286" s="2"/>
      <c r="T286" s="1"/>
      <c r="U286" s="2"/>
      <c r="V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 t="s">
        <v>12</v>
      </c>
      <c r="AN286" s="1" t="s">
        <v>14</v>
      </c>
      <c r="AO286" s="1">
        <v>261</v>
      </c>
      <c r="AP286" s="3">
        <v>0.435</v>
      </c>
      <c r="AQ286" s="1"/>
    </row>
    <row r="287" spans="1:43" ht="12.3" x14ac:dyDescent="0.4">
      <c r="A287" s="1" t="s">
        <v>372</v>
      </c>
      <c r="B287" s="1"/>
      <c r="C287" s="1" t="s">
        <v>33</v>
      </c>
      <c r="D287" s="5" t="s">
        <v>7</v>
      </c>
      <c r="E287" s="5" t="s">
        <v>463</v>
      </c>
      <c r="F287" s="4" t="s">
        <v>465</v>
      </c>
      <c r="G287" s="4" t="s">
        <v>465</v>
      </c>
      <c r="I287" s="1" t="s">
        <v>8</v>
      </c>
      <c r="J287" s="1" t="s">
        <v>9</v>
      </c>
      <c r="K287" s="4" t="s">
        <v>464</v>
      </c>
      <c r="L287" s="1" t="s">
        <v>36</v>
      </c>
      <c r="M287" s="1"/>
      <c r="O287" s="1"/>
      <c r="P287" s="1"/>
      <c r="Q287" s="1"/>
      <c r="S287" s="2"/>
      <c r="T287" s="1"/>
      <c r="U287" s="1"/>
      <c r="V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 t="s">
        <v>12</v>
      </c>
      <c r="AN287" s="1" t="s">
        <v>14</v>
      </c>
      <c r="AO287" s="1">
        <v>261</v>
      </c>
      <c r="AP287" s="3">
        <v>0.435</v>
      </c>
      <c r="AQ287" s="1"/>
    </row>
    <row r="288" spans="1:43" ht="12.3" x14ac:dyDescent="0.4">
      <c r="A288" s="1" t="s">
        <v>373</v>
      </c>
      <c r="B288" s="1"/>
      <c r="C288" s="1" t="s">
        <v>33</v>
      </c>
      <c r="D288" s="5" t="s">
        <v>7</v>
      </c>
      <c r="E288" s="5" t="s">
        <v>463</v>
      </c>
      <c r="F288" s="4" t="s">
        <v>465</v>
      </c>
      <c r="G288" s="4" t="s">
        <v>465</v>
      </c>
      <c r="I288" s="1" t="s">
        <v>16</v>
      </c>
      <c r="J288" s="1" t="s">
        <v>10</v>
      </c>
      <c r="K288" s="4" t="s">
        <v>464</v>
      </c>
      <c r="L288" s="1" t="s">
        <v>38</v>
      </c>
      <c r="M288" s="1"/>
      <c r="O288" s="1"/>
      <c r="P288" s="1"/>
      <c r="Q288" s="1"/>
      <c r="S288" s="2"/>
      <c r="T288" s="1"/>
      <c r="U288" s="1"/>
      <c r="V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 t="s">
        <v>12</v>
      </c>
      <c r="AN288" s="1" t="s">
        <v>20</v>
      </c>
      <c r="AO288" s="1">
        <v>332</v>
      </c>
      <c r="AP288" s="3">
        <v>0.55333333333333334</v>
      </c>
      <c r="AQ288" s="1"/>
    </row>
    <row r="289" spans="1:43" ht="12.3" x14ac:dyDescent="0.4">
      <c r="A289" s="1" t="s">
        <v>374</v>
      </c>
      <c r="B289" s="1"/>
      <c r="C289" s="1" t="s">
        <v>33</v>
      </c>
      <c r="D289" s="5" t="s">
        <v>7</v>
      </c>
      <c r="E289" s="5" t="s">
        <v>463</v>
      </c>
      <c r="F289" s="4" t="s">
        <v>465</v>
      </c>
      <c r="G289" s="4" t="s">
        <v>465</v>
      </c>
      <c r="I289" s="1" t="s">
        <v>16</v>
      </c>
      <c r="J289" s="1" t="s">
        <v>10</v>
      </c>
      <c r="K289" s="4" t="s">
        <v>464</v>
      </c>
      <c r="L289" s="1" t="s">
        <v>40</v>
      </c>
      <c r="M289" s="1"/>
      <c r="O289" s="1"/>
      <c r="P289" s="1"/>
      <c r="Q289" s="1"/>
      <c r="S289" s="2"/>
      <c r="T289" s="1"/>
      <c r="U289" s="1"/>
      <c r="V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 t="s">
        <v>12</v>
      </c>
      <c r="AN289" s="1" t="s">
        <v>18</v>
      </c>
      <c r="AO289" s="1">
        <v>328</v>
      </c>
      <c r="AP289" s="3">
        <v>0.54666666666666663</v>
      </c>
      <c r="AQ289" s="1"/>
    </row>
    <row r="290" spans="1:43" ht="12.3" x14ac:dyDescent="0.4">
      <c r="A290" s="1" t="s">
        <v>375</v>
      </c>
      <c r="B290" s="1"/>
      <c r="C290" s="1" t="s">
        <v>33</v>
      </c>
      <c r="D290" s="5" t="s">
        <v>7</v>
      </c>
      <c r="E290" s="5" t="s">
        <v>463</v>
      </c>
      <c r="F290" s="4" t="s">
        <v>465</v>
      </c>
      <c r="G290" s="4" t="s">
        <v>465</v>
      </c>
      <c r="I290" s="1" t="s">
        <v>16</v>
      </c>
      <c r="J290" s="1" t="s">
        <v>10</v>
      </c>
      <c r="K290" s="4" t="s">
        <v>464</v>
      </c>
      <c r="L290" s="1" t="s">
        <v>41</v>
      </c>
      <c r="M290" s="1"/>
      <c r="O290" s="1"/>
      <c r="P290" s="1"/>
      <c r="Q290" s="1"/>
      <c r="S290" s="2"/>
      <c r="T290" s="1"/>
      <c r="U290" s="1"/>
      <c r="V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 t="s">
        <v>12</v>
      </c>
      <c r="AN290" s="1" t="s">
        <v>18</v>
      </c>
      <c r="AO290" s="1">
        <v>328</v>
      </c>
      <c r="AP290" s="3">
        <v>0.54666666666666663</v>
      </c>
      <c r="AQ290" s="1"/>
    </row>
    <row r="291" spans="1:43" ht="12.3" x14ac:dyDescent="0.4">
      <c r="A291" s="1" t="s">
        <v>376</v>
      </c>
      <c r="B291" s="1"/>
      <c r="C291" s="1" t="s">
        <v>33</v>
      </c>
      <c r="D291" s="5" t="s">
        <v>7</v>
      </c>
      <c r="E291" s="5" t="s">
        <v>463</v>
      </c>
      <c r="F291" s="4" t="s">
        <v>465</v>
      </c>
      <c r="G291" s="4" t="s">
        <v>465</v>
      </c>
      <c r="I291" s="1" t="s">
        <v>16</v>
      </c>
      <c r="J291" s="1" t="s">
        <v>10</v>
      </c>
      <c r="K291" s="4" t="s">
        <v>464</v>
      </c>
      <c r="L291" s="1" t="s">
        <v>40</v>
      </c>
      <c r="M291" s="1"/>
      <c r="O291" s="1"/>
      <c r="P291" s="1"/>
      <c r="Q291" s="1"/>
      <c r="S291" s="2"/>
      <c r="T291" s="1"/>
      <c r="U291" s="2"/>
      <c r="V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 t="s">
        <v>12</v>
      </c>
      <c r="AN291" s="1" t="s">
        <v>13</v>
      </c>
      <c r="AO291" s="1">
        <v>293</v>
      </c>
      <c r="AP291" s="3">
        <v>0.48833333333333334</v>
      </c>
      <c r="AQ291" s="1"/>
    </row>
    <row r="292" spans="1:43" ht="12.3" x14ac:dyDescent="0.4">
      <c r="A292" s="1" t="s">
        <v>377</v>
      </c>
      <c r="B292" s="1"/>
      <c r="C292" s="1" t="s">
        <v>33</v>
      </c>
      <c r="D292" s="5" t="s">
        <v>7</v>
      </c>
      <c r="E292" s="5" t="s">
        <v>463</v>
      </c>
      <c r="F292" s="4" t="s">
        <v>465</v>
      </c>
      <c r="G292" s="4" t="s">
        <v>465</v>
      </c>
      <c r="I292" s="1" t="s">
        <v>16</v>
      </c>
      <c r="J292" s="1" t="s">
        <v>10</v>
      </c>
      <c r="K292" s="4" t="s">
        <v>464</v>
      </c>
      <c r="L292" s="1" t="s">
        <v>41</v>
      </c>
      <c r="M292" s="1"/>
      <c r="O292" s="1"/>
      <c r="P292" s="1"/>
      <c r="Q292" s="1"/>
      <c r="S292" s="2"/>
      <c r="T292" s="1"/>
      <c r="U292" s="2"/>
      <c r="V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 t="s">
        <v>12</v>
      </c>
      <c r="AN292" s="1" t="s">
        <v>18</v>
      </c>
      <c r="AO292" s="1">
        <v>311</v>
      </c>
      <c r="AP292" s="3">
        <v>0.51833333333333331</v>
      </c>
      <c r="AQ292" s="1"/>
    </row>
    <row r="293" spans="1:43" ht="12.3" x14ac:dyDescent="0.4">
      <c r="A293" s="1" t="s">
        <v>378</v>
      </c>
      <c r="B293" s="1"/>
      <c r="C293" s="1" t="s">
        <v>33</v>
      </c>
      <c r="D293" s="5" t="s">
        <v>7</v>
      </c>
      <c r="E293" s="5" t="s">
        <v>463</v>
      </c>
      <c r="F293" s="4" t="s">
        <v>465</v>
      </c>
      <c r="G293" s="4" t="s">
        <v>465</v>
      </c>
      <c r="I293" s="1" t="s">
        <v>16</v>
      </c>
      <c r="J293" s="1" t="s">
        <v>10</v>
      </c>
      <c r="K293" s="4" t="s">
        <v>464</v>
      </c>
      <c r="L293" s="1" t="s">
        <v>39</v>
      </c>
      <c r="M293" s="1"/>
      <c r="O293" s="1"/>
      <c r="P293" s="1"/>
      <c r="Q293" s="1"/>
      <c r="S293" s="2"/>
      <c r="T293" s="1"/>
      <c r="U293" s="1"/>
      <c r="V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 t="s">
        <v>12</v>
      </c>
      <c r="AN293" s="1" t="s">
        <v>14</v>
      </c>
      <c r="AO293" s="1">
        <v>276</v>
      </c>
      <c r="AP293" s="3">
        <v>0.46</v>
      </c>
      <c r="AQ293" s="1"/>
    </row>
    <row r="294" spans="1:43" ht="12.3" x14ac:dyDescent="0.4">
      <c r="A294" s="1" t="s">
        <v>379</v>
      </c>
      <c r="B294" s="1"/>
      <c r="C294" s="1" t="s">
        <v>33</v>
      </c>
      <c r="D294" s="5" t="s">
        <v>7</v>
      </c>
      <c r="E294" s="5" t="s">
        <v>463</v>
      </c>
      <c r="F294" s="4" t="s">
        <v>465</v>
      </c>
      <c r="G294" s="4" t="s">
        <v>465</v>
      </c>
      <c r="I294" s="1" t="s">
        <v>16</v>
      </c>
      <c r="J294" s="1" t="s">
        <v>10</v>
      </c>
      <c r="K294" s="4" t="s">
        <v>464</v>
      </c>
      <c r="L294" s="1" t="s">
        <v>39</v>
      </c>
      <c r="M294" s="1"/>
      <c r="O294" s="1"/>
      <c r="P294" s="1"/>
      <c r="Q294" s="1"/>
      <c r="S294" s="2"/>
      <c r="T294" s="1"/>
      <c r="U294" s="1"/>
      <c r="V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 t="s">
        <v>12</v>
      </c>
      <c r="AN294" s="1" t="s">
        <v>18</v>
      </c>
      <c r="AO294" s="1">
        <v>321</v>
      </c>
      <c r="AP294" s="3">
        <v>0.53500000000000003</v>
      </c>
      <c r="AQ294" s="1"/>
    </row>
    <row r="295" spans="1:43" ht="12.3" x14ac:dyDescent="0.4">
      <c r="A295" s="1" t="s">
        <v>380</v>
      </c>
      <c r="B295" s="1"/>
      <c r="C295" s="1" t="s">
        <v>33</v>
      </c>
      <c r="D295" s="5" t="s">
        <v>7</v>
      </c>
      <c r="E295" s="5" t="s">
        <v>463</v>
      </c>
      <c r="F295" s="4" t="s">
        <v>465</v>
      </c>
      <c r="G295" s="4" t="s">
        <v>465</v>
      </c>
      <c r="I295" s="1" t="s">
        <v>16</v>
      </c>
      <c r="J295" s="1" t="s">
        <v>10</v>
      </c>
      <c r="K295" s="4" t="s">
        <v>464</v>
      </c>
      <c r="L295" s="1" t="s">
        <v>35</v>
      </c>
      <c r="M295" s="1"/>
      <c r="O295" s="1"/>
      <c r="P295" s="1"/>
      <c r="Q295" s="1"/>
      <c r="S295" s="2"/>
      <c r="T295" s="1"/>
      <c r="U295" s="1"/>
      <c r="V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 t="s">
        <v>12</v>
      </c>
      <c r="AN295" s="1" t="s">
        <v>14</v>
      </c>
      <c r="AO295" s="1">
        <v>262</v>
      </c>
      <c r="AP295" s="3">
        <v>0.43666666666666665</v>
      </c>
      <c r="AQ295" s="1"/>
    </row>
    <row r="296" spans="1:43" ht="12.3" x14ac:dyDescent="0.4">
      <c r="A296" s="1" t="s">
        <v>381</v>
      </c>
      <c r="B296" s="1"/>
      <c r="C296" s="1" t="s">
        <v>33</v>
      </c>
      <c r="D296" s="5" t="s">
        <v>7</v>
      </c>
      <c r="E296" s="5" t="s">
        <v>463</v>
      </c>
      <c r="F296" s="4" t="s">
        <v>465</v>
      </c>
      <c r="G296" s="4" t="s">
        <v>465</v>
      </c>
      <c r="I296" s="1" t="s">
        <v>16</v>
      </c>
      <c r="J296" s="1" t="s">
        <v>10</v>
      </c>
      <c r="K296" s="4" t="s">
        <v>464</v>
      </c>
      <c r="L296" s="1" t="s">
        <v>39</v>
      </c>
      <c r="M296" s="1"/>
      <c r="O296" s="1"/>
      <c r="P296" s="1"/>
      <c r="Q296" s="1"/>
      <c r="S296" s="2"/>
      <c r="T296" s="1"/>
      <c r="U296" s="1"/>
      <c r="V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 t="s">
        <v>12</v>
      </c>
      <c r="AN296" s="1" t="s">
        <v>18</v>
      </c>
      <c r="AO296" s="1">
        <v>322</v>
      </c>
      <c r="AP296" s="3">
        <v>0.53666666666666663</v>
      </c>
      <c r="AQ296" s="1"/>
    </row>
    <row r="297" spans="1:43" ht="12.3" x14ac:dyDescent="0.4">
      <c r="A297" s="1" t="s">
        <v>382</v>
      </c>
      <c r="B297" s="1"/>
      <c r="C297" s="1" t="s">
        <v>33</v>
      </c>
      <c r="D297" s="5" t="s">
        <v>7</v>
      </c>
      <c r="E297" s="5" t="s">
        <v>463</v>
      </c>
      <c r="F297" s="4" t="s">
        <v>465</v>
      </c>
      <c r="G297" s="4" t="s">
        <v>465</v>
      </c>
      <c r="I297" s="1" t="s">
        <v>8</v>
      </c>
      <c r="J297" s="1" t="s">
        <v>9</v>
      </c>
      <c r="K297" s="4" t="s">
        <v>464</v>
      </c>
      <c r="L297" s="1" t="s">
        <v>34</v>
      </c>
      <c r="M297" s="1"/>
      <c r="O297" s="1"/>
      <c r="P297" s="1"/>
      <c r="Q297" s="1"/>
      <c r="S297" s="2"/>
      <c r="T297" s="1"/>
      <c r="U297" s="1"/>
      <c r="V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 t="s">
        <v>12</v>
      </c>
      <c r="AN297" s="1" t="s">
        <v>14</v>
      </c>
      <c r="AO297" s="1">
        <v>275</v>
      </c>
      <c r="AP297" s="3">
        <v>0.45833333333333331</v>
      </c>
      <c r="AQ297" s="1"/>
    </row>
    <row r="298" spans="1:43" ht="12.3" x14ac:dyDescent="0.4">
      <c r="A298" s="1" t="s">
        <v>384</v>
      </c>
      <c r="B298" s="1"/>
      <c r="C298" s="1" t="s">
        <v>33</v>
      </c>
      <c r="D298" s="5" t="s">
        <v>7</v>
      </c>
      <c r="E298" s="5" t="s">
        <v>463</v>
      </c>
      <c r="F298" s="4" t="s">
        <v>465</v>
      </c>
      <c r="G298" s="4" t="s">
        <v>465</v>
      </c>
      <c r="I298" s="1" t="s">
        <v>16</v>
      </c>
      <c r="J298" s="1" t="s">
        <v>10</v>
      </c>
      <c r="K298" s="4" t="s">
        <v>464</v>
      </c>
      <c r="L298" s="1" t="s">
        <v>36</v>
      </c>
      <c r="M298" s="1"/>
      <c r="O298" s="1"/>
      <c r="P298" s="1"/>
      <c r="Q298" s="1"/>
      <c r="S298" s="2"/>
      <c r="T298" s="1"/>
      <c r="U298" s="1"/>
      <c r="V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 t="s">
        <v>12</v>
      </c>
      <c r="AN298" s="1" t="s">
        <v>14</v>
      </c>
      <c r="AO298" s="1">
        <v>249</v>
      </c>
      <c r="AP298" s="3">
        <v>0.41499999999999998</v>
      </c>
      <c r="AQ298" s="1"/>
    </row>
    <row r="299" spans="1:43" ht="12.3" x14ac:dyDescent="0.4">
      <c r="A299" s="1" t="s">
        <v>385</v>
      </c>
      <c r="B299" s="1"/>
      <c r="C299" s="1" t="s">
        <v>33</v>
      </c>
      <c r="D299" s="5" t="s">
        <v>7</v>
      </c>
      <c r="E299" s="5" t="s">
        <v>463</v>
      </c>
      <c r="F299" s="4" t="s">
        <v>465</v>
      </c>
      <c r="G299" s="4" t="s">
        <v>465</v>
      </c>
      <c r="I299" s="1" t="s">
        <v>16</v>
      </c>
      <c r="J299" s="1" t="s">
        <v>10</v>
      </c>
      <c r="K299" s="4" t="s">
        <v>464</v>
      </c>
      <c r="L299" s="1" t="s">
        <v>34</v>
      </c>
      <c r="M299" s="1"/>
      <c r="O299" s="1"/>
      <c r="P299" s="1"/>
      <c r="Q299" s="1"/>
      <c r="S299" s="2"/>
      <c r="T299" s="1"/>
      <c r="U299" s="2"/>
      <c r="V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 t="s">
        <v>12</v>
      </c>
      <c r="AN299" s="1" t="s">
        <v>14</v>
      </c>
      <c r="AO299" s="1">
        <v>276</v>
      </c>
      <c r="AP299" s="3">
        <v>0.46</v>
      </c>
      <c r="AQ299" s="1"/>
    </row>
    <row r="300" spans="1:43" ht="12.3" x14ac:dyDescent="0.4">
      <c r="A300" s="1" t="s">
        <v>386</v>
      </c>
      <c r="B300" s="1"/>
      <c r="C300" s="1" t="s">
        <v>33</v>
      </c>
      <c r="D300" s="5" t="s">
        <v>7</v>
      </c>
      <c r="E300" s="5" t="s">
        <v>463</v>
      </c>
      <c r="F300" s="4" t="s">
        <v>465</v>
      </c>
      <c r="G300" s="4" t="s">
        <v>465</v>
      </c>
      <c r="I300" s="1" t="s">
        <v>16</v>
      </c>
      <c r="J300" s="1" t="s">
        <v>10</v>
      </c>
      <c r="K300" s="4" t="s">
        <v>464</v>
      </c>
      <c r="L300" s="1" t="s">
        <v>38</v>
      </c>
      <c r="M300" s="1"/>
      <c r="O300" s="1"/>
      <c r="P300" s="1"/>
      <c r="Q300" s="1"/>
      <c r="S300" s="2"/>
      <c r="T300" s="1"/>
      <c r="U300" s="1"/>
      <c r="V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 t="s">
        <v>12</v>
      </c>
      <c r="AN300" s="1" t="s">
        <v>20</v>
      </c>
      <c r="AO300" s="1">
        <v>338</v>
      </c>
      <c r="AP300" s="3">
        <v>0.56333333333333335</v>
      </c>
      <c r="AQ300" s="1"/>
    </row>
    <row r="301" spans="1:43" ht="12.3" x14ac:dyDescent="0.4">
      <c r="A301" s="1" t="s">
        <v>387</v>
      </c>
      <c r="B301" s="1"/>
      <c r="C301" s="1" t="s">
        <v>33</v>
      </c>
      <c r="D301" s="5" t="s">
        <v>7</v>
      </c>
      <c r="E301" s="5" t="s">
        <v>463</v>
      </c>
      <c r="F301" s="4" t="s">
        <v>465</v>
      </c>
      <c r="G301" s="4" t="s">
        <v>465</v>
      </c>
      <c r="I301" s="1" t="s">
        <v>16</v>
      </c>
      <c r="J301" s="1" t="s">
        <v>10</v>
      </c>
      <c r="K301" s="4" t="s">
        <v>464</v>
      </c>
      <c r="L301" s="1" t="s">
        <v>40</v>
      </c>
      <c r="M301" s="1"/>
      <c r="O301" s="1"/>
      <c r="P301" s="1"/>
      <c r="Q301" s="1"/>
      <c r="S301" s="2"/>
      <c r="T301" s="1"/>
      <c r="U301" s="1"/>
      <c r="V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 t="s">
        <v>12</v>
      </c>
      <c r="AN301" s="1" t="s">
        <v>20</v>
      </c>
      <c r="AO301" s="1">
        <v>342</v>
      </c>
      <c r="AP301" s="3">
        <v>0.56999999999999995</v>
      </c>
      <c r="AQ301" s="1"/>
    </row>
    <row r="302" spans="1:43" ht="12.3" x14ac:dyDescent="0.4">
      <c r="A302" s="1" t="s">
        <v>388</v>
      </c>
      <c r="B302" s="1"/>
      <c r="C302" s="1" t="s">
        <v>33</v>
      </c>
      <c r="D302" s="5" t="s">
        <v>7</v>
      </c>
      <c r="E302" s="5" t="s">
        <v>463</v>
      </c>
      <c r="F302" s="4" t="s">
        <v>465</v>
      </c>
      <c r="G302" s="4" t="s">
        <v>465</v>
      </c>
      <c r="I302" s="1" t="s">
        <v>16</v>
      </c>
      <c r="J302" s="1" t="s">
        <v>10</v>
      </c>
      <c r="K302" s="4" t="s">
        <v>464</v>
      </c>
      <c r="L302" s="1" t="s">
        <v>34</v>
      </c>
      <c r="M302" s="1"/>
      <c r="O302" s="1"/>
      <c r="P302" s="1"/>
      <c r="Q302" s="1"/>
      <c r="S302" s="2"/>
      <c r="T302" s="1"/>
      <c r="U302" s="2"/>
      <c r="V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 t="s">
        <v>12</v>
      </c>
      <c r="AN302" s="1" t="s">
        <v>13</v>
      </c>
      <c r="AO302" s="1">
        <v>290</v>
      </c>
      <c r="AP302" s="3">
        <v>0.48333333333333334</v>
      </c>
      <c r="AQ302" s="1"/>
    </row>
    <row r="303" spans="1:43" ht="12.3" x14ac:dyDescent="0.4">
      <c r="A303" s="1" t="s">
        <v>389</v>
      </c>
      <c r="B303" s="1"/>
      <c r="C303" s="1" t="s">
        <v>33</v>
      </c>
      <c r="D303" s="5" t="s">
        <v>7</v>
      </c>
      <c r="E303" s="5" t="s">
        <v>463</v>
      </c>
      <c r="F303" s="4" t="s">
        <v>465</v>
      </c>
      <c r="G303" s="4" t="s">
        <v>465</v>
      </c>
      <c r="I303" s="1" t="s">
        <v>8</v>
      </c>
      <c r="J303" s="1" t="s">
        <v>9</v>
      </c>
      <c r="K303" s="4" t="s">
        <v>464</v>
      </c>
      <c r="L303" s="1" t="s">
        <v>39</v>
      </c>
      <c r="M303" s="1"/>
      <c r="O303" s="1"/>
      <c r="P303" s="1"/>
      <c r="Q303" s="1"/>
      <c r="S303" s="2"/>
      <c r="T303" s="1"/>
      <c r="U303" s="2"/>
      <c r="V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 t="s">
        <v>12</v>
      </c>
      <c r="AN303" s="1" t="s">
        <v>18</v>
      </c>
      <c r="AO303" s="1">
        <v>320</v>
      </c>
      <c r="AP303" s="3">
        <v>0.53333333333333333</v>
      </c>
      <c r="AQ303" s="1"/>
    </row>
    <row r="304" spans="1:43" ht="12.3" x14ac:dyDescent="0.4">
      <c r="A304" s="1" t="s">
        <v>391</v>
      </c>
      <c r="B304" s="1"/>
      <c r="C304" s="1" t="s">
        <v>33</v>
      </c>
      <c r="D304" s="5" t="s">
        <v>7</v>
      </c>
      <c r="E304" s="5" t="s">
        <v>463</v>
      </c>
      <c r="F304" s="4" t="s">
        <v>465</v>
      </c>
      <c r="G304" s="4" t="s">
        <v>465</v>
      </c>
      <c r="I304" s="1" t="s">
        <v>8</v>
      </c>
      <c r="J304" s="1" t="s">
        <v>9</v>
      </c>
      <c r="K304" s="4" t="s">
        <v>464</v>
      </c>
      <c r="L304" s="1" t="s">
        <v>38</v>
      </c>
      <c r="M304" s="1"/>
      <c r="O304" s="1"/>
      <c r="P304" s="1"/>
      <c r="Q304" s="1"/>
      <c r="S304" s="2"/>
      <c r="T304" s="1"/>
      <c r="U304" s="2"/>
      <c r="V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 t="s">
        <v>12</v>
      </c>
      <c r="AN304" s="1" t="s">
        <v>18</v>
      </c>
      <c r="AO304" s="1">
        <v>322</v>
      </c>
      <c r="AP304" s="3">
        <v>0.53666666666666663</v>
      </c>
      <c r="AQ304" s="1"/>
    </row>
    <row r="305" spans="1:43" ht="12.3" x14ac:dyDescent="0.4">
      <c r="A305" s="1" t="s">
        <v>392</v>
      </c>
      <c r="B305" s="1"/>
      <c r="C305" s="1" t="s">
        <v>33</v>
      </c>
      <c r="D305" s="5" t="s">
        <v>7</v>
      </c>
      <c r="E305" s="5" t="s">
        <v>463</v>
      </c>
      <c r="F305" s="4" t="s">
        <v>465</v>
      </c>
      <c r="G305" s="4" t="s">
        <v>465</v>
      </c>
      <c r="I305" s="1" t="s">
        <v>16</v>
      </c>
      <c r="J305" s="1" t="s">
        <v>10</v>
      </c>
      <c r="K305" s="4" t="s">
        <v>464</v>
      </c>
      <c r="L305" s="1" t="s">
        <v>44</v>
      </c>
      <c r="M305" s="1"/>
      <c r="O305" s="1"/>
      <c r="P305" s="1"/>
      <c r="Q305" s="1"/>
      <c r="S305" s="2"/>
      <c r="T305" s="1"/>
      <c r="U305" s="1"/>
      <c r="V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 t="s">
        <v>12</v>
      </c>
      <c r="AN305" s="1" t="s">
        <v>20</v>
      </c>
      <c r="AO305" s="1">
        <v>414</v>
      </c>
      <c r="AP305" s="3">
        <v>0.69</v>
      </c>
      <c r="AQ305" s="1"/>
    </row>
    <row r="306" spans="1:43" ht="12.3" x14ac:dyDescent="0.4">
      <c r="A306" s="1" t="s">
        <v>393</v>
      </c>
      <c r="B306" s="1"/>
      <c r="C306" s="1" t="s">
        <v>33</v>
      </c>
      <c r="D306" s="5" t="s">
        <v>7</v>
      </c>
      <c r="E306" s="5" t="s">
        <v>463</v>
      </c>
      <c r="F306" s="4" t="s">
        <v>465</v>
      </c>
      <c r="G306" s="4" t="s">
        <v>465</v>
      </c>
      <c r="I306" s="1" t="s">
        <v>16</v>
      </c>
      <c r="J306" s="1" t="s">
        <v>10</v>
      </c>
      <c r="K306" s="4" t="s">
        <v>464</v>
      </c>
      <c r="L306" s="1" t="s">
        <v>37</v>
      </c>
      <c r="M306" s="1"/>
      <c r="O306" s="1"/>
      <c r="P306" s="1"/>
      <c r="Q306" s="1"/>
      <c r="S306" s="2"/>
      <c r="T306" s="1"/>
      <c r="U306" s="2"/>
      <c r="V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 t="s">
        <v>12</v>
      </c>
      <c r="AN306" s="1" t="s">
        <v>20</v>
      </c>
      <c r="AO306" s="1">
        <v>339</v>
      </c>
      <c r="AP306" s="3">
        <v>0.56499999999999995</v>
      </c>
      <c r="AQ306" s="1"/>
    </row>
    <row r="307" spans="1:43" ht="12.3" x14ac:dyDescent="0.4">
      <c r="A307" s="1" t="s">
        <v>394</v>
      </c>
      <c r="B307" s="1"/>
      <c r="C307" s="1" t="s">
        <v>33</v>
      </c>
      <c r="D307" s="5" t="s">
        <v>7</v>
      </c>
      <c r="E307" s="5" t="s">
        <v>463</v>
      </c>
      <c r="F307" s="4" t="s">
        <v>465</v>
      </c>
      <c r="G307" s="4" t="s">
        <v>465</v>
      </c>
      <c r="I307" s="1" t="s">
        <v>16</v>
      </c>
      <c r="J307" s="1" t="s">
        <v>10</v>
      </c>
      <c r="K307" s="4" t="s">
        <v>464</v>
      </c>
      <c r="L307" s="1" t="s">
        <v>39</v>
      </c>
      <c r="M307" s="1"/>
      <c r="O307" s="1"/>
      <c r="P307" s="1"/>
      <c r="Q307" s="1"/>
      <c r="S307" s="2"/>
      <c r="T307" s="1"/>
      <c r="U307" s="2"/>
      <c r="V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 t="s">
        <v>12</v>
      </c>
      <c r="AN307" s="1" t="s">
        <v>18</v>
      </c>
      <c r="AO307" s="1">
        <v>320</v>
      </c>
      <c r="AP307" s="3">
        <v>0.53333333333333333</v>
      </c>
      <c r="AQ307" s="1"/>
    </row>
    <row r="308" spans="1:43" ht="12.3" x14ac:dyDescent="0.4">
      <c r="A308" s="1" t="s">
        <v>395</v>
      </c>
      <c r="B308" s="1"/>
      <c r="C308" s="1" t="s">
        <v>33</v>
      </c>
      <c r="D308" s="5" t="s">
        <v>7</v>
      </c>
      <c r="E308" s="5" t="s">
        <v>463</v>
      </c>
      <c r="F308" s="4" t="s">
        <v>465</v>
      </c>
      <c r="G308" s="4" t="s">
        <v>465</v>
      </c>
      <c r="I308" s="1" t="s">
        <v>16</v>
      </c>
      <c r="J308" s="1" t="s">
        <v>10</v>
      </c>
      <c r="K308" s="4" t="s">
        <v>464</v>
      </c>
      <c r="L308" s="1" t="s">
        <v>44</v>
      </c>
      <c r="M308" s="1"/>
      <c r="O308" s="1"/>
      <c r="P308" s="1"/>
      <c r="Q308" s="1"/>
      <c r="S308" s="2"/>
      <c r="T308" s="1"/>
      <c r="U308" s="1"/>
      <c r="V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 t="s">
        <v>12</v>
      </c>
      <c r="AN308" s="1" t="s">
        <v>20</v>
      </c>
      <c r="AO308" s="1">
        <v>480</v>
      </c>
      <c r="AP308" s="3">
        <v>0.8</v>
      </c>
      <c r="AQ308" s="1"/>
    </row>
    <row r="309" spans="1:43" ht="12.3" x14ac:dyDescent="0.4">
      <c r="A309" s="1" t="s">
        <v>396</v>
      </c>
      <c r="B309" s="1"/>
      <c r="C309" s="1" t="s">
        <v>33</v>
      </c>
      <c r="D309" s="5" t="s">
        <v>7</v>
      </c>
      <c r="E309" s="5" t="s">
        <v>463</v>
      </c>
      <c r="F309" s="4" t="s">
        <v>465</v>
      </c>
      <c r="G309" s="4" t="s">
        <v>465</v>
      </c>
      <c r="I309" s="1" t="s">
        <v>16</v>
      </c>
      <c r="J309" s="1" t="s">
        <v>10</v>
      </c>
      <c r="K309" s="4" t="s">
        <v>464</v>
      </c>
      <c r="L309" s="1" t="s">
        <v>40</v>
      </c>
      <c r="M309" s="1"/>
      <c r="O309" s="1"/>
      <c r="P309" s="1"/>
      <c r="Q309" s="1"/>
      <c r="S309" s="2"/>
      <c r="T309" s="1"/>
      <c r="U309" s="2"/>
      <c r="V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 t="s">
        <v>12</v>
      </c>
      <c r="AN309" s="1" t="s">
        <v>20</v>
      </c>
      <c r="AO309" s="1">
        <v>342</v>
      </c>
      <c r="AP309" s="3">
        <v>0.56999999999999995</v>
      </c>
      <c r="AQ309" s="1"/>
    </row>
    <row r="310" spans="1:43" ht="12.3" x14ac:dyDescent="0.4">
      <c r="A310" s="1" t="s">
        <v>397</v>
      </c>
      <c r="B310" s="1"/>
      <c r="C310" s="1" t="s">
        <v>33</v>
      </c>
      <c r="D310" s="5" t="s">
        <v>7</v>
      </c>
      <c r="E310" s="5" t="s">
        <v>463</v>
      </c>
      <c r="F310" s="4" t="s">
        <v>465</v>
      </c>
      <c r="G310" s="4" t="s">
        <v>465</v>
      </c>
      <c r="I310" s="1" t="s">
        <v>8</v>
      </c>
      <c r="J310" s="1" t="s">
        <v>9</v>
      </c>
      <c r="K310" s="4" t="s">
        <v>464</v>
      </c>
      <c r="L310" s="1" t="s">
        <v>41</v>
      </c>
      <c r="M310" s="1"/>
      <c r="O310" s="1"/>
      <c r="P310" s="1"/>
      <c r="Q310" s="1"/>
      <c r="S310" s="2"/>
      <c r="T310" s="1"/>
      <c r="U310" s="2"/>
      <c r="V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 t="s">
        <v>12</v>
      </c>
      <c r="AN310" s="1" t="s">
        <v>20</v>
      </c>
      <c r="AO310" s="1">
        <v>339</v>
      </c>
      <c r="AP310" s="3">
        <v>0.56499999999999995</v>
      </c>
      <c r="AQ310" s="1"/>
    </row>
    <row r="311" spans="1:43" ht="12.3" x14ac:dyDescent="0.4">
      <c r="A311" s="1" t="s">
        <v>398</v>
      </c>
      <c r="B311" s="1"/>
      <c r="C311" s="1" t="s">
        <v>33</v>
      </c>
      <c r="D311" s="5" t="s">
        <v>7</v>
      </c>
      <c r="E311" s="5" t="s">
        <v>463</v>
      </c>
      <c r="F311" s="4" t="s">
        <v>465</v>
      </c>
      <c r="G311" s="4" t="s">
        <v>465</v>
      </c>
      <c r="I311" s="1" t="s">
        <v>8</v>
      </c>
      <c r="J311" s="1" t="s">
        <v>9</v>
      </c>
      <c r="K311" s="4" t="s">
        <v>464</v>
      </c>
      <c r="L311" s="1" t="s">
        <v>37</v>
      </c>
      <c r="M311" s="1"/>
      <c r="O311" s="1"/>
      <c r="P311" s="1"/>
      <c r="Q311" s="1"/>
      <c r="S311" s="2"/>
      <c r="T311" s="1"/>
      <c r="U311" s="1"/>
      <c r="V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 t="s">
        <v>12</v>
      </c>
      <c r="AN311" s="1" t="s">
        <v>20</v>
      </c>
      <c r="AO311" s="1">
        <v>373</v>
      </c>
      <c r="AP311" s="3">
        <v>0.6216666666666667</v>
      </c>
      <c r="AQ311" s="1"/>
    </row>
    <row r="312" spans="1:43" ht="12.3" x14ac:dyDescent="0.4">
      <c r="A312" s="1" t="s">
        <v>399</v>
      </c>
      <c r="B312" s="1"/>
      <c r="C312" s="1" t="s">
        <v>33</v>
      </c>
      <c r="D312" s="5" t="s">
        <v>7</v>
      </c>
      <c r="E312" s="5" t="s">
        <v>463</v>
      </c>
      <c r="F312" s="4" t="s">
        <v>465</v>
      </c>
      <c r="G312" s="4" t="s">
        <v>465</v>
      </c>
      <c r="I312" s="1" t="s">
        <v>29</v>
      </c>
      <c r="J312" s="1" t="s">
        <v>9</v>
      </c>
      <c r="K312" s="4" t="s">
        <v>464</v>
      </c>
      <c r="L312" s="1" t="s">
        <v>39</v>
      </c>
      <c r="M312" s="1"/>
      <c r="O312" s="1"/>
      <c r="P312" s="1"/>
      <c r="Q312" s="1"/>
      <c r="S312" s="2"/>
      <c r="T312" s="1"/>
      <c r="U312" s="1"/>
      <c r="V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 t="s">
        <v>12</v>
      </c>
      <c r="AN312" s="1" t="s">
        <v>14</v>
      </c>
      <c r="AO312" s="1">
        <v>267</v>
      </c>
      <c r="AP312" s="3">
        <v>0.44500000000000001</v>
      </c>
      <c r="AQ312" s="1"/>
    </row>
    <row r="313" spans="1:43" ht="12.3" x14ac:dyDescent="0.4">
      <c r="A313" s="1" t="s">
        <v>400</v>
      </c>
      <c r="B313" s="1"/>
      <c r="C313" s="1" t="s">
        <v>33</v>
      </c>
      <c r="D313" s="5" t="s">
        <v>7</v>
      </c>
      <c r="E313" s="5" t="s">
        <v>463</v>
      </c>
      <c r="F313" s="4" t="s">
        <v>465</v>
      </c>
      <c r="G313" s="4" t="s">
        <v>465</v>
      </c>
      <c r="I313" s="1" t="s">
        <v>8</v>
      </c>
      <c r="J313" s="1" t="s">
        <v>9</v>
      </c>
      <c r="K313" s="4" t="s">
        <v>464</v>
      </c>
      <c r="L313" s="1" t="s">
        <v>44</v>
      </c>
      <c r="M313" s="1"/>
      <c r="O313" s="1"/>
      <c r="P313" s="1"/>
      <c r="Q313" s="1"/>
      <c r="S313" s="2"/>
      <c r="T313" s="1"/>
      <c r="U313" s="1"/>
      <c r="V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 t="s">
        <v>12</v>
      </c>
      <c r="AN313" s="1" t="s">
        <v>20</v>
      </c>
      <c r="AO313" s="1">
        <v>357</v>
      </c>
      <c r="AP313" s="3">
        <v>0.59499999999999997</v>
      </c>
      <c r="AQ313" s="1"/>
    </row>
    <row r="314" spans="1:43" ht="12.3" x14ac:dyDescent="0.4">
      <c r="A314" s="1" t="s">
        <v>401</v>
      </c>
      <c r="B314" s="1"/>
      <c r="C314" s="1" t="s">
        <v>33</v>
      </c>
      <c r="D314" s="5" t="s">
        <v>7</v>
      </c>
      <c r="E314" s="5" t="s">
        <v>463</v>
      </c>
      <c r="F314" s="4" t="s">
        <v>465</v>
      </c>
      <c r="G314" s="4" t="s">
        <v>465</v>
      </c>
      <c r="I314" s="1" t="s">
        <v>16</v>
      </c>
      <c r="J314" s="1" t="s">
        <v>10</v>
      </c>
      <c r="K314" s="4" t="s">
        <v>464</v>
      </c>
      <c r="L314" s="1" t="s">
        <v>40</v>
      </c>
      <c r="M314" s="1"/>
      <c r="O314" s="1"/>
      <c r="P314" s="1"/>
      <c r="Q314" s="1"/>
      <c r="S314" s="2"/>
      <c r="T314" s="1"/>
      <c r="U314" s="2"/>
      <c r="V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 t="s">
        <v>12</v>
      </c>
      <c r="AN314" s="1" t="s">
        <v>18</v>
      </c>
      <c r="AO314" s="1">
        <v>321</v>
      </c>
      <c r="AP314" s="3">
        <v>0.53500000000000003</v>
      </c>
      <c r="AQ314" s="1"/>
    </row>
    <row r="315" spans="1:43" ht="12.3" x14ac:dyDescent="0.4">
      <c r="A315" s="1" t="s">
        <v>402</v>
      </c>
      <c r="B315" s="1"/>
      <c r="C315" s="1" t="s">
        <v>33</v>
      </c>
      <c r="D315" s="5" t="s">
        <v>7</v>
      </c>
      <c r="E315" s="5" t="s">
        <v>463</v>
      </c>
      <c r="F315" s="4" t="s">
        <v>465</v>
      </c>
      <c r="G315" s="4" t="s">
        <v>465</v>
      </c>
      <c r="I315" s="1" t="s">
        <v>16</v>
      </c>
      <c r="J315" s="1" t="s">
        <v>10</v>
      </c>
      <c r="K315" s="4" t="s">
        <v>464</v>
      </c>
      <c r="L315" s="1" t="s">
        <v>34</v>
      </c>
      <c r="M315" s="1"/>
      <c r="O315" s="1"/>
      <c r="P315" s="1"/>
      <c r="Q315" s="1"/>
      <c r="S315" s="2"/>
      <c r="T315" s="1"/>
      <c r="U315" s="1"/>
      <c r="V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 t="s">
        <v>12</v>
      </c>
      <c r="AN315" s="1" t="s">
        <v>18</v>
      </c>
      <c r="AO315" s="1">
        <v>313</v>
      </c>
      <c r="AP315" s="3">
        <v>0.52166666666666661</v>
      </c>
      <c r="AQ315" s="1"/>
    </row>
    <row r="316" spans="1:43" ht="12.3" x14ac:dyDescent="0.4">
      <c r="A316" s="1" t="s">
        <v>403</v>
      </c>
      <c r="B316" s="1"/>
      <c r="C316" s="1" t="s">
        <v>33</v>
      </c>
      <c r="D316" s="5" t="s">
        <v>7</v>
      </c>
      <c r="E316" s="5" t="s">
        <v>463</v>
      </c>
      <c r="F316" s="4" t="s">
        <v>465</v>
      </c>
      <c r="G316" s="4" t="s">
        <v>465</v>
      </c>
      <c r="I316" s="1" t="s">
        <v>16</v>
      </c>
      <c r="J316" s="1" t="s">
        <v>10</v>
      </c>
      <c r="K316" s="4" t="s">
        <v>464</v>
      </c>
      <c r="O316" s="1"/>
      <c r="P316" s="1"/>
      <c r="Q316" s="1"/>
      <c r="S316" s="2"/>
      <c r="T316" s="1"/>
      <c r="U316" s="1"/>
      <c r="V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 t="s">
        <v>12</v>
      </c>
      <c r="AN316" s="1" t="s">
        <v>14</v>
      </c>
      <c r="AO316" s="1">
        <v>243</v>
      </c>
      <c r="AP316" s="3">
        <v>0.40500000000000003</v>
      </c>
      <c r="AQ316" s="1"/>
    </row>
    <row r="317" spans="1:43" ht="12.3" x14ac:dyDescent="0.4">
      <c r="A317" s="1" t="s">
        <v>404</v>
      </c>
      <c r="B317" s="1"/>
      <c r="C317" s="1" t="s">
        <v>33</v>
      </c>
      <c r="D317" s="5" t="s">
        <v>7</v>
      </c>
      <c r="E317" s="5" t="s">
        <v>463</v>
      </c>
      <c r="F317" s="4" t="s">
        <v>465</v>
      </c>
      <c r="G317" s="4" t="s">
        <v>465</v>
      </c>
      <c r="I317" s="1" t="s">
        <v>16</v>
      </c>
      <c r="J317" s="1" t="s">
        <v>10</v>
      </c>
      <c r="K317" s="4" t="s">
        <v>464</v>
      </c>
      <c r="O317" s="1"/>
      <c r="P317" s="1"/>
      <c r="Q317" s="1"/>
      <c r="S317" s="2"/>
      <c r="T317" s="1"/>
      <c r="U317" s="2"/>
      <c r="V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 t="s">
        <v>12</v>
      </c>
      <c r="AN317" s="1" t="s">
        <v>13</v>
      </c>
      <c r="AO317" s="1">
        <v>281</v>
      </c>
      <c r="AP317" s="3">
        <v>0.46833333333333332</v>
      </c>
      <c r="AQ317" s="1"/>
    </row>
    <row r="318" spans="1:43" ht="12.3" x14ac:dyDescent="0.4">
      <c r="A318" s="1" t="s">
        <v>405</v>
      </c>
      <c r="B318" s="1"/>
      <c r="C318" s="1" t="s">
        <v>33</v>
      </c>
      <c r="D318" s="5" t="s">
        <v>7</v>
      </c>
      <c r="E318" s="5" t="s">
        <v>463</v>
      </c>
      <c r="F318" s="4" t="s">
        <v>465</v>
      </c>
      <c r="G318" s="4" t="s">
        <v>465</v>
      </c>
      <c r="I318" s="1" t="s">
        <v>8</v>
      </c>
      <c r="J318" s="1" t="s">
        <v>10</v>
      </c>
      <c r="K318" s="4" t="s">
        <v>464</v>
      </c>
      <c r="L318" s="1" t="s">
        <v>34</v>
      </c>
      <c r="M318" s="1"/>
      <c r="O318" s="1"/>
      <c r="P318" s="1"/>
      <c r="Q318" s="1"/>
      <c r="S318" s="2"/>
      <c r="T318" s="1"/>
      <c r="U318" s="2"/>
      <c r="V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 t="s">
        <v>12</v>
      </c>
      <c r="AN318" s="1" t="s">
        <v>18</v>
      </c>
      <c r="AO318" s="1">
        <v>323</v>
      </c>
      <c r="AP318" s="3">
        <v>0.53833333333333333</v>
      </c>
      <c r="AQ318" s="1"/>
    </row>
    <row r="319" spans="1:43" ht="12.3" x14ac:dyDescent="0.4">
      <c r="A319" s="1" t="s">
        <v>406</v>
      </c>
      <c r="B319" s="1"/>
      <c r="C319" s="1" t="s">
        <v>33</v>
      </c>
      <c r="D319" s="5" t="s">
        <v>7</v>
      </c>
      <c r="E319" s="5" t="s">
        <v>463</v>
      </c>
      <c r="F319" s="4" t="s">
        <v>465</v>
      </c>
      <c r="G319" s="4" t="s">
        <v>465</v>
      </c>
      <c r="I319" s="1" t="s">
        <v>8</v>
      </c>
      <c r="J319" s="1" t="s">
        <v>9</v>
      </c>
      <c r="K319" s="4" t="s">
        <v>464</v>
      </c>
      <c r="L319" s="1" t="s">
        <v>40</v>
      </c>
      <c r="M319" s="1"/>
      <c r="O319" s="1"/>
      <c r="P319" s="1"/>
      <c r="Q319" s="1"/>
      <c r="S319" s="2"/>
      <c r="T319" s="1"/>
      <c r="U319" s="1"/>
      <c r="V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 t="s">
        <v>12</v>
      </c>
      <c r="AN319" s="1" t="s">
        <v>14</v>
      </c>
      <c r="AO319" s="1">
        <v>269</v>
      </c>
      <c r="AP319" s="3">
        <v>0.44833333333333331</v>
      </c>
      <c r="AQ319" s="1"/>
    </row>
    <row r="320" spans="1:43" ht="12.3" x14ac:dyDescent="0.4">
      <c r="A320" s="1" t="s">
        <v>407</v>
      </c>
      <c r="B320" s="1"/>
      <c r="C320" s="1" t="s">
        <v>33</v>
      </c>
      <c r="D320" s="5" t="s">
        <v>7</v>
      </c>
      <c r="E320" s="5" t="s">
        <v>463</v>
      </c>
      <c r="F320" s="4" t="s">
        <v>465</v>
      </c>
      <c r="G320" s="4" t="s">
        <v>465</v>
      </c>
      <c r="I320" s="1" t="s">
        <v>8</v>
      </c>
      <c r="J320" s="1" t="s">
        <v>9</v>
      </c>
      <c r="K320" s="4" t="s">
        <v>464</v>
      </c>
      <c r="L320" s="1" t="s">
        <v>43</v>
      </c>
      <c r="M320" s="1"/>
      <c r="O320" s="1"/>
      <c r="P320" s="1"/>
      <c r="Q320" s="1"/>
      <c r="S320" s="2"/>
      <c r="T320" s="1"/>
      <c r="U320" s="2"/>
      <c r="V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 t="s">
        <v>12</v>
      </c>
      <c r="AN320" s="1" t="s">
        <v>20</v>
      </c>
      <c r="AO320" s="1">
        <v>367</v>
      </c>
      <c r="AP320" s="3">
        <v>0.61166666666666669</v>
      </c>
      <c r="AQ320" s="1"/>
    </row>
    <row r="321" spans="1:43" ht="12.3" x14ac:dyDescent="0.4">
      <c r="A321" s="1" t="s">
        <v>408</v>
      </c>
      <c r="B321" s="1"/>
      <c r="C321" s="1" t="s">
        <v>33</v>
      </c>
      <c r="D321" s="5" t="s">
        <v>7</v>
      </c>
      <c r="E321" s="5" t="s">
        <v>463</v>
      </c>
      <c r="F321" s="4" t="s">
        <v>465</v>
      </c>
      <c r="G321" s="4" t="s">
        <v>465</v>
      </c>
      <c r="I321" s="1" t="s">
        <v>29</v>
      </c>
      <c r="J321" s="1" t="s">
        <v>9</v>
      </c>
      <c r="K321" s="4" t="s">
        <v>464</v>
      </c>
      <c r="L321" s="1" t="s">
        <v>43</v>
      </c>
      <c r="M321" s="1"/>
      <c r="O321" s="1"/>
      <c r="P321" s="1"/>
      <c r="Q321" s="1"/>
      <c r="S321" s="2"/>
      <c r="T321" s="1"/>
      <c r="U321" s="2"/>
      <c r="V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 t="s">
        <v>12</v>
      </c>
      <c r="AN321" s="1" t="s">
        <v>14</v>
      </c>
      <c r="AO321" s="1">
        <v>254</v>
      </c>
      <c r="AP321" s="3">
        <v>0.42333333333333334</v>
      </c>
      <c r="AQ321" s="1"/>
    </row>
    <row r="322" spans="1:43" ht="12.3" x14ac:dyDescent="0.4">
      <c r="A322" s="1" t="s">
        <v>409</v>
      </c>
      <c r="B322" s="1"/>
      <c r="C322" s="1" t="s">
        <v>33</v>
      </c>
      <c r="D322" s="5" t="s">
        <v>7</v>
      </c>
      <c r="E322" s="5" t="s">
        <v>463</v>
      </c>
      <c r="F322" s="4" t="s">
        <v>465</v>
      </c>
      <c r="G322" s="4" t="s">
        <v>465</v>
      </c>
      <c r="I322" s="1" t="s">
        <v>16</v>
      </c>
      <c r="J322" s="1" t="s">
        <v>10</v>
      </c>
      <c r="K322" s="4" t="s">
        <v>464</v>
      </c>
      <c r="L322" s="1" t="s">
        <v>41</v>
      </c>
      <c r="M322" s="1"/>
      <c r="O322" s="1"/>
      <c r="P322" s="1"/>
      <c r="Q322" s="1"/>
      <c r="S322" s="2"/>
      <c r="T322" s="1"/>
      <c r="U322" s="1"/>
      <c r="V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 t="s">
        <v>12</v>
      </c>
      <c r="AN322" s="1" t="s">
        <v>20</v>
      </c>
      <c r="AO322" s="1">
        <v>333</v>
      </c>
      <c r="AP322" s="3">
        <v>0.55500000000000005</v>
      </c>
      <c r="AQ322" s="1"/>
    </row>
    <row r="323" spans="1:43" ht="12.3" x14ac:dyDescent="0.4">
      <c r="A323" s="1" t="s">
        <v>410</v>
      </c>
      <c r="B323" s="1"/>
      <c r="C323" s="1" t="s">
        <v>33</v>
      </c>
      <c r="D323" s="5" t="s">
        <v>7</v>
      </c>
      <c r="E323" s="5" t="s">
        <v>463</v>
      </c>
      <c r="F323" s="4" t="s">
        <v>465</v>
      </c>
      <c r="G323" s="4" t="s">
        <v>465</v>
      </c>
      <c r="I323" s="1" t="s">
        <v>16</v>
      </c>
      <c r="J323" s="1" t="s">
        <v>10</v>
      </c>
      <c r="K323" s="4" t="s">
        <v>464</v>
      </c>
      <c r="L323" s="1" t="s">
        <v>43</v>
      </c>
      <c r="M323" s="1"/>
      <c r="O323" s="1"/>
      <c r="P323" s="1"/>
      <c r="Q323" s="1"/>
      <c r="S323" s="2"/>
      <c r="T323" s="1"/>
      <c r="U323" s="2"/>
      <c r="V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 t="s">
        <v>12</v>
      </c>
      <c r="AN323" s="1" t="s">
        <v>14</v>
      </c>
      <c r="AO323" s="1">
        <v>273</v>
      </c>
      <c r="AP323" s="3">
        <v>0.45500000000000002</v>
      </c>
      <c r="AQ323" s="1"/>
    </row>
    <row r="324" spans="1:43" ht="12.3" x14ac:dyDescent="0.4">
      <c r="A324" s="1" t="s">
        <v>411</v>
      </c>
      <c r="B324" s="1"/>
      <c r="C324" s="1" t="s">
        <v>33</v>
      </c>
      <c r="D324" s="5" t="s">
        <v>7</v>
      </c>
      <c r="E324" s="5" t="s">
        <v>463</v>
      </c>
      <c r="F324" s="4" t="s">
        <v>465</v>
      </c>
      <c r="G324" s="4" t="s">
        <v>465</v>
      </c>
      <c r="I324" s="1" t="s">
        <v>16</v>
      </c>
      <c r="J324" s="1" t="s">
        <v>10</v>
      </c>
      <c r="K324" s="4" t="s">
        <v>464</v>
      </c>
      <c r="L324" s="1" t="s">
        <v>35</v>
      </c>
      <c r="M324" s="1"/>
      <c r="O324" s="1"/>
      <c r="P324" s="1"/>
      <c r="Q324" s="1"/>
      <c r="S324" s="2"/>
      <c r="T324" s="1"/>
      <c r="U324" s="1"/>
      <c r="V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 t="s">
        <v>12</v>
      </c>
      <c r="AN324" s="1" t="s">
        <v>18</v>
      </c>
      <c r="AO324" s="1">
        <v>308</v>
      </c>
      <c r="AP324" s="3">
        <v>0.51333333333333331</v>
      </c>
      <c r="AQ324" s="1"/>
    </row>
    <row r="325" spans="1:43" ht="12.3" x14ac:dyDescent="0.4">
      <c r="A325" s="1" t="s">
        <v>412</v>
      </c>
      <c r="B325" s="1"/>
      <c r="C325" s="1" t="s">
        <v>33</v>
      </c>
      <c r="D325" s="5" t="s">
        <v>7</v>
      </c>
      <c r="E325" s="5" t="s">
        <v>463</v>
      </c>
      <c r="F325" s="4" t="s">
        <v>465</v>
      </c>
      <c r="G325" s="4" t="s">
        <v>465</v>
      </c>
      <c r="I325" s="1" t="s">
        <v>16</v>
      </c>
      <c r="J325" s="1" t="s">
        <v>10</v>
      </c>
      <c r="K325" s="4" t="s">
        <v>464</v>
      </c>
      <c r="L325" s="1" t="s">
        <v>35</v>
      </c>
      <c r="M325" s="1"/>
      <c r="O325" s="1"/>
      <c r="P325" s="1"/>
      <c r="Q325" s="1"/>
      <c r="S325" s="2"/>
      <c r="T325" s="1"/>
      <c r="U325" s="1"/>
      <c r="V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 t="s">
        <v>12</v>
      </c>
      <c r="AN325" s="1" t="s">
        <v>18</v>
      </c>
      <c r="AO325" s="1">
        <v>322</v>
      </c>
      <c r="AP325" s="3">
        <v>0.53666666666666663</v>
      </c>
      <c r="AQ325" s="1"/>
    </row>
    <row r="326" spans="1:43" ht="12.3" x14ac:dyDescent="0.4">
      <c r="A326" s="1" t="s">
        <v>413</v>
      </c>
      <c r="B326" s="1"/>
      <c r="C326" s="1" t="s">
        <v>33</v>
      </c>
      <c r="D326" s="5" t="s">
        <v>7</v>
      </c>
      <c r="E326" s="5" t="s">
        <v>463</v>
      </c>
      <c r="F326" s="4" t="s">
        <v>465</v>
      </c>
      <c r="G326" s="4" t="s">
        <v>465</v>
      </c>
      <c r="I326" s="1" t="s">
        <v>16</v>
      </c>
      <c r="J326" s="1" t="s">
        <v>10</v>
      </c>
      <c r="K326" s="4" t="s">
        <v>464</v>
      </c>
      <c r="L326" s="1" t="s">
        <v>38</v>
      </c>
      <c r="M326" s="1"/>
      <c r="O326" s="1"/>
      <c r="P326" s="1"/>
      <c r="Q326" s="1"/>
      <c r="S326" s="2"/>
      <c r="T326" s="1"/>
      <c r="U326" s="2"/>
      <c r="V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 t="s">
        <v>12</v>
      </c>
      <c r="AN326" s="1" t="s">
        <v>13</v>
      </c>
      <c r="AO326" s="1">
        <v>296</v>
      </c>
      <c r="AP326" s="3">
        <v>0.49333333333333335</v>
      </c>
      <c r="AQ326" s="1"/>
    </row>
    <row r="327" spans="1:43" ht="12.3" x14ac:dyDescent="0.4">
      <c r="A327" s="1" t="s">
        <v>415</v>
      </c>
      <c r="B327" s="1"/>
      <c r="C327" s="1" t="s">
        <v>33</v>
      </c>
      <c r="D327" s="5" t="s">
        <v>7</v>
      </c>
      <c r="E327" s="5" t="s">
        <v>463</v>
      </c>
      <c r="F327" s="4" t="s">
        <v>465</v>
      </c>
      <c r="G327" s="4" t="s">
        <v>465</v>
      </c>
      <c r="I327" s="1" t="s">
        <v>16</v>
      </c>
      <c r="J327" s="1" t="s">
        <v>10</v>
      </c>
      <c r="K327" s="4" t="s">
        <v>464</v>
      </c>
      <c r="L327" s="1" t="s">
        <v>37</v>
      </c>
      <c r="M327" s="1"/>
      <c r="O327" s="1"/>
      <c r="P327" s="1"/>
      <c r="Q327" s="1"/>
      <c r="S327" s="2"/>
      <c r="T327" s="1"/>
      <c r="U327" s="1"/>
      <c r="V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 t="s">
        <v>12</v>
      </c>
      <c r="AN327" s="1" t="s">
        <v>20</v>
      </c>
      <c r="AO327" s="1">
        <v>358</v>
      </c>
      <c r="AP327" s="3">
        <v>0.59666666666666668</v>
      </c>
      <c r="AQ327" s="1"/>
    </row>
    <row r="328" spans="1:43" ht="12.3" x14ac:dyDescent="0.4">
      <c r="A328" s="1" t="s">
        <v>416</v>
      </c>
      <c r="B328" s="1"/>
      <c r="C328" s="1" t="s">
        <v>33</v>
      </c>
      <c r="D328" s="5" t="s">
        <v>7</v>
      </c>
      <c r="E328" s="5" t="s">
        <v>463</v>
      </c>
      <c r="F328" s="4" t="s">
        <v>465</v>
      </c>
      <c r="G328" s="4" t="s">
        <v>465</v>
      </c>
      <c r="I328" s="1" t="s">
        <v>29</v>
      </c>
      <c r="J328" s="1" t="s">
        <v>9</v>
      </c>
      <c r="K328" s="4" t="s">
        <v>464</v>
      </c>
      <c r="L328" s="1" t="s">
        <v>41</v>
      </c>
      <c r="M328" s="1"/>
      <c r="O328" s="1"/>
      <c r="P328" s="1"/>
      <c r="Q328" s="1"/>
      <c r="S328" s="2"/>
      <c r="T328" s="1"/>
      <c r="U328" s="1"/>
      <c r="V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 t="s">
        <v>12</v>
      </c>
      <c r="AN328" s="1" t="s">
        <v>14</v>
      </c>
      <c r="AO328" s="1">
        <v>268</v>
      </c>
      <c r="AP328" s="3">
        <v>0.44666666666666666</v>
      </c>
      <c r="AQ328" s="1"/>
    </row>
    <row r="329" spans="1:43" ht="12.3" x14ac:dyDescent="0.4">
      <c r="A329" s="1" t="s">
        <v>417</v>
      </c>
      <c r="B329" s="1"/>
      <c r="C329" s="1" t="s">
        <v>33</v>
      </c>
      <c r="D329" s="5" t="s">
        <v>7</v>
      </c>
      <c r="E329" s="5" t="s">
        <v>463</v>
      </c>
      <c r="F329" s="4" t="s">
        <v>465</v>
      </c>
      <c r="G329" s="4" t="s">
        <v>465</v>
      </c>
      <c r="I329" s="1" t="s">
        <v>16</v>
      </c>
      <c r="J329" s="1" t="s">
        <v>10</v>
      </c>
      <c r="K329" s="4" t="s">
        <v>464</v>
      </c>
      <c r="L329" s="1" t="s">
        <v>39</v>
      </c>
      <c r="M329" s="1"/>
      <c r="O329" s="1"/>
      <c r="P329" s="1"/>
      <c r="Q329" s="1"/>
      <c r="S329" s="2"/>
      <c r="T329" s="1"/>
      <c r="U329" s="1"/>
      <c r="V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 t="s">
        <v>12</v>
      </c>
      <c r="AN329" s="1" t="s">
        <v>18</v>
      </c>
      <c r="AO329" s="1">
        <v>325</v>
      </c>
      <c r="AP329" s="3">
        <v>0.54166666666666663</v>
      </c>
      <c r="AQ329" s="1"/>
    </row>
    <row r="330" spans="1:43" ht="12.3" x14ac:dyDescent="0.4">
      <c r="A330" s="1" t="s">
        <v>418</v>
      </c>
      <c r="B330" s="1"/>
      <c r="C330" s="1" t="s">
        <v>33</v>
      </c>
      <c r="D330" s="5" t="s">
        <v>7</v>
      </c>
      <c r="E330" s="5" t="s">
        <v>463</v>
      </c>
      <c r="F330" s="4" t="s">
        <v>465</v>
      </c>
      <c r="G330" s="4" t="s">
        <v>465</v>
      </c>
      <c r="I330" s="1" t="s">
        <v>8</v>
      </c>
      <c r="J330" s="1" t="s">
        <v>9</v>
      </c>
      <c r="K330" s="4" t="s">
        <v>464</v>
      </c>
      <c r="L330" s="1" t="s">
        <v>38</v>
      </c>
      <c r="M330" s="1"/>
      <c r="O330" s="1"/>
      <c r="P330" s="1"/>
      <c r="Q330" s="1"/>
      <c r="S330" s="2"/>
      <c r="T330" s="1"/>
      <c r="U330" s="1"/>
      <c r="V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 t="s">
        <v>12</v>
      </c>
      <c r="AN330" s="1" t="s">
        <v>20</v>
      </c>
      <c r="AO330" s="1">
        <v>411</v>
      </c>
      <c r="AP330" s="3">
        <v>0.68500000000000005</v>
      </c>
      <c r="AQ330" s="1"/>
    </row>
    <row r="331" spans="1:43" ht="12.3" x14ac:dyDescent="0.4">
      <c r="A331" s="1" t="s">
        <v>419</v>
      </c>
      <c r="B331" s="1"/>
      <c r="C331" s="1" t="s">
        <v>33</v>
      </c>
      <c r="D331" s="5" t="s">
        <v>7</v>
      </c>
      <c r="E331" s="5" t="s">
        <v>463</v>
      </c>
      <c r="F331" s="4" t="s">
        <v>465</v>
      </c>
      <c r="G331" s="4" t="s">
        <v>465</v>
      </c>
      <c r="I331" s="1" t="s">
        <v>8</v>
      </c>
      <c r="J331" s="1" t="s">
        <v>9</v>
      </c>
      <c r="K331" s="4" t="s">
        <v>464</v>
      </c>
      <c r="L331" s="1" t="s">
        <v>43</v>
      </c>
      <c r="M331" s="1"/>
      <c r="O331" s="1"/>
      <c r="P331" s="1"/>
      <c r="Q331" s="1"/>
      <c r="S331" s="2"/>
      <c r="T331" s="1"/>
      <c r="U331" s="2"/>
      <c r="V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 t="s">
        <v>12</v>
      </c>
      <c r="AN331" s="1" t="s">
        <v>20</v>
      </c>
      <c r="AO331" s="1">
        <v>333</v>
      </c>
      <c r="AP331" s="3">
        <v>0.55500000000000005</v>
      </c>
      <c r="AQ331" s="1"/>
    </row>
    <row r="332" spans="1:43" ht="12.3" x14ac:dyDescent="0.4">
      <c r="A332" s="1" t="s">
        <v>420</v>
      </c>
      <c r="B332" s="1"/>
      <c r="C332" s="1" t="s">
        <v>33</v>
      </c>
      <c r="D332" s="5" t="s">
        <v>7</v>
      </c>
      <c r="E332" s="5" t="s">
        <v>463</v>
      </c>
      <c r="F332" s="4" t="s">
        <v>465</v>
      </c>
      <c r="G332" s="4" t="s">
        <v>465</v>
      </c>
      <c r="I332" s="1" t="s">
        <v>16</v>
      </c>
      <c r="J332" s="1" t="s">
        <v>10</v>
      </c>
      <c r="K332" s="4" t="s">
        <v>464</v>
      </c>
      <c r="L332" s="1" t="s">
        <v>42</v>
      </c>
      <c r="M332" s="1"/>
      <c r="O332" s="1"/>
      <c r="P332" s="1"/>
      <c r="Q332" s="1"/>
      <c r="S332" s="2"/>
      <c r="T332" s="1"/>
      <c r="U332" s="1"/>
      <c r="V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 t="s">
        <v>12</v>
      </c>
      <c r="AN332" s="1" t="s">
        <v>20</v>
      </c>
      <c r="AO332" s="1">
        <v>342</v>
      </c>
      <c r="AP332" s="3">
        <v>0.56999999999999995</v>
      </c>
      <c r="AQ332" s="1"/>
    </row>
    <row r="333" spans="1:43" ht="12.3" x14ac:dyDescent="0.4">
      <c r="A333" s="1" t="s">
        <v>421</v>
      </c>
      <c r="B333" s="1"/>
      <c r="C333" s="1" t="s">
        <v>33</v>
      </c>
      <c r="D333" s="5" t="s">
        <v>7</v>
      </c>
      <c r="E333" s="5" t="s">
        <v>463</v>
      </c>
      <c r="F333" s="4" t="s">
        <v>465</v>
      </c>
      <c r="G333" s="4" t="s">
        <v>465</v>
      </c>
      <c r="I333" s="1" t="s">
        <v>8</v>
      </c>
      <c r="J333" s="1" t="s">
        <v>9</v>
      </c>
      <c r="K333" s="4" t="s">
        <v>464</v>
      </c>
      <c r="L333" s="1" t="s">
        <v>34</v>
      </c>
      <c r="M333" s="1"/>
      <c r="O333" s="1"/>
      <c r="P333" s="1"/>
      <c r="Q333" s="1"/>
      <c r="S333" s="2"/>
      <c r="T333" s="1"/>
      <c r="U333" s="2"/>
      <c r="V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 t="s">
        <v>12</v>
      </c>
      <c r="AN333" s="1" t="s">
        <v>18</v>
      </c>
      <c r="AO333" s="1">
        <v>316</v>
      </c>
      <c r="AP333" s="3">
        <v>0.52666666666666662</v>
      </c>
      <c r="AQ333" s="1"/>
    </row>
    <row r="334" spans="1:43" ht="12.3" x14ac:dyDescent="0.4">
      <c r="A334" s="1" t="s">
        <v>422</v>
      </c>
      <c r="B334" s="1"/>
      <c r="C334" s="1" t="s">
        <v>33</v>
      </c>
      <c r="D334" s="5" t="s">
        <v>7</v>
      </c>
      <c r="E334" s="5" t="s">
        <v>463</v>
      </c>
      <c r="F334" s="4" t="s">
        <v>465</v>
      </c>
      <c r="G334" s="4" t="s">
        <v>465</v>
      </c>
      <c r="I334" s="1" t="s">
        <v>16</v>
      </c>
      <c r="J334" s="1" t="s">
        <v>10</v>
      </c>
      <c r="K334" s="4" t="s">
        <v>464</v>
      </c>
      <c r="O334" s="1"/>
      <c r="P334" s="1"/>
      <c r="Q334" s="1"/>
      <c r="S334" s="2"/>
      <c r="T334" s="1"/>
      <c r="U334" s="1"/>
      <c r="V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 t="s">
        <v>12</v>
      </c>
      <c r="AN334" s="1" t="s">
        <v>14</v>
      </c>
      <c r="AO334" s="1">
        <v>270</v>
      </c>
      <c r="AP334" s="3">
        <v>0.45</v>
      </c>
      <c r="AQ334" s="1"/>
    </row>
    <row r="335" spans="1:43" ht="12.3" x14ac:dyDescent="0.4">
      <c r="A335" s="1" t="s">
        <v>423</v>
      </c>
      <c r="B335" s="1"/>
      <c r="C335" s="1" t="s">
        <v>33</v>
      </c>
      <c r="D335" s="5" t="s">
        <v>7</v>
      </c>
      <c r="E335" s="5" t="s">
        <v>463</v>
      </c>
      <c r="F335" s="4" t="s">
        <v>465</v>
      </c>
      <c r="G335" s="4" t="s">
        <v>465</v>
      </c>
      <c r="I335" s="1" t="s">
        <v>16</v>
      </c>
      <c r="J335" s="1" t="s">
        <v>10</v>
      </c>
      <c r="K335" s="4" t="s">
        <v>464</v>
      </c>
      <c r="L335" s="1" t="s">
        <v>41</v>
      </c>
      <c r="M335" s="1"/>
      <c r="O335" s="1"/>
      <c r="P335" s="1"/>
      <c r="Q335" s="1"/>
      <c r="S335" s="2"/>
      <c r="T335" s="1"/>
      <c r="U335" s="1"/>
      <c r="V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 t="s">
        <v>12</v>
      </c>
      <c r="AN335" s="1" t="s">
        <v>14</v>
      </c>
      <c r="AO335" s="1">
        <v>262</v>
      </c>
      <c r="AP335" s="3">
        <v>0.43666666666666665</v>
      </c>
      <c r="AQ335" s="1"/>
    </row>
    <row r="336" spans="1:43" ht="12.3" x14ac:dyDescent="0.4">
      <c r="A336" s="1" t="s">
        <v>424</v>
      </c>
      <c r="B336" s="1"/>
      <c r="C336" s="1" t="s">
        <v>33</v>
      </c>
      <c r="D336" s="5" t="s">
        <v>7</v>
      </c>
      <c r="E336" s="5" t="s">
        <v>463</v>
      </c>
      <c r="F336" s="4" t="s">
        <v>465</v>
      </c>
      <c r="G336" s="4" t="s">
        <v>465</v>
      </c>
      <c r="I336" s="1" t="s">
        <v>16</v>
      </c>
      <c r="J336" s="1" t="s">
        <v>10</v>
      </c>
      <c r="K336" s="4" t="s">
        <v>464</v>
      </c>
      <c r="L336" s="1" t="s">
        <v>43</v>
      </c>
      <c r="M336" s="1"/>
      <c r="O336" s="1"/>
      <c r="P336" s="1"/>
      <c r="Q336" s="1"/>
      <c r="S336" s="2"/>
      <c r="T336" s="1"/>
      <c r="U336" s="1"/>
      <c r="V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 t="s">
        <v>12</v>
      </c>
      <c r="AN336" s="1" t="s">
        <v>20</v>
      </c>
      <c r="AO336" s="1">
        <v>348</v>
      </c>
      <c r="AP336" s="3">
        <v>0.57999999999999996</v>
      </c>
      <c r="AQ336" s="1"/>
    </row>
    <row r="337" spans="1:43" ht="12.3" x14ac:dyDescent="0.4">
      <c r="A337" s="1" t="s">
        <v>425</v>
      </c>
      <c r="B337" s="1"/>
      <c r="C337" s="1" t="s">
        <v>33</v>
      </c>
      <c r="D337" s="5" t="s">
        <v>7</v>
      </c>
      <c r="E337" s="5" t="s">
        <v>463</v>
      </c>
      <c r="F337" s="4" t="s">
        <v>465</v>
      </c>
      <c r="G337" s="4" t="s">
        <v>465</v>
      </c>
      <c r="I337" s="1" t="s">
        <v>8</v>
      </c>
      <c r="J337" s="1" t="s">
        <v>9</v>
      </c>
      <c r="K337" s="4" t="s">
        <v>464</v>
      </c>
      <c r="L337" s="1" t="s">
        <v>35</v>
      </c>
      <c r="M337" s="1"/>
      <c r="O337" s="1"/>
      <c r="P337" s="1"/>
      <c r="Q337" s="1"/>
      <c r="S337" s="2"/>
      <c r="T337" s="1"/>
      <c r="U337" s="1"/>
      <c r="V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 t="s">
        <v>12</v>
      </c>
      <c r="AN337" s="1" t="s">
        <v>14</v>
      </c>
      <c r="AO337" s="1">
        <v>263</v>
      </c>
      <c r="AP337" s="3">
        <v>0.43833333333333335</v>
      </c>
      <c r="AQ337" s="1"/>
    </row>
    <row r="338" spans="1:43" ht="12.3" x14ac:dyDescent="0.4">
      <c r="A338" s="1" t="s">
        <v>426</v>
      </c>
      <c r="B338" s="1"/>
      <c r="C338" s="1" t="s">
        <v>33</v>
      </c>
      <c r="D338" s="5" t="s">
        <v>7</v>
      </c>
      <c r="E338" s="5" t="s">
        <v>463</v>
      </c>
      <c r="F338" s="4" t="s">
        <v>465</v>
      </c>
      <c r="G338" s="4" t="s">
        <v>465</v>
      </c>
      <c r="I338" s="1" t="s">
        <v>16</v>
      </c>
      <c r="J338" s="1" t="s">
        <v>10</v>
      </c>
      <c r="K338" s="4" t="s">
        <v>464</v>
      </c>
      <c r="L338" s="1" t="s">
        <v>35</v>
      </c>
      <c r="M338" s="1"/>
      <c r="O338" s="1"/>
      <c r="P338" s="1"/>
      <c r="Q338" s="1"/>
      <c r="S338" s="2"/>
      <c r="T338" s="1"/>
      <c r="U338" s="1"/>
      <c r="V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 t="s">
        <v>12</v>
      </c>
      <c r="AN338" s="1" t="s">
        <v>13</v>
      </c>
      <c r="AO338" s="1">
        <v>283</v>
      </c>
      <c r="AP338" s="3">
        <v>0.47166666666666668</v>
      </c>
      <c r="AQ338" s="1"/>
    </row>
    <row r="339" spans="1:43" ht="12.3" x14ac:dyDescent="0.4">
      <c r="A339" s="1" t="s">
        <v>428</v>
      </c>
      <c r="B339" s="1"/>
      <c r="C339" s="1" t="s">
        <v>33</v>
      </c>
      <c r="D339" s="5" t="s">
        <v>7</v>
      </c>
      <c r="E339" s="5" t="s">
        <v>463</v>
      </c>
      <c r="F339" s="4" t="s">
        <v>465</v>
      </c>
      <c r="G339" s="4" t="s">
        <v>465</v>
      </c>
      <c r="I339" s="1" t="s">
        <v>8</v>
      </c>
      <c r="J339" s="1" t="s">
        <v>9</v>
      </c>
      <c r="K339" s="4" t="s">
        <v>464</v>
      </c>
      <c r="L339" s="1" t="s">
        <v>39</v>
      </c>
      <c r="M339" s="1"/>
      <c r="O339" s="1"/>
      <c r="P339" s="1"/>
      <c r="Q339" s="1"/>
      <c r="S339" s="2"/>
      <c r="T339" s="1"/>
      <c r="U339" s="2"/>
      <c r="V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 t="s">
        <v>12</v>
      </c>
      <c r="AN339" s="1" t="s">
        <v>14</v>
      </c>
      <c r="AO339" s="1">
        <v>277</v>
      </c>
      <c r="AP339" s="3">
        <v>0.46166666666666667</v>
      </c>
      <c r="AQ339" s="1"/>
    </row>
    <row r="340" spans="1:43" ht="12.3" x14ac:dyDescent="0.4">
      <c r="A340" s="1" t="s">
        <v>429</v>
      </c>
      <c r="B340" s="1"/>
      <c r="C340" s="1" t="s">
        <v>33</v>
      </c>
      <c r="D340" s="5" t="s">
        <v>7</v>
      </c>
      <c r="E340" s="5" t="s">
        <v>463</v>
      </c>
      <c r="F340" s="4" t="s">
        <v>465</v>
      </c>
      <c r="G340" s="4" t="s">
        <v>465</v>
      </c>
      <c r="I340" s="1" t="s">
        <v>8</v>
      </c>
      <c r="J340" s="1" t="s">
        <v>9</v>
      </c>
      <c r="K340" s="4" t="s">
        <v>464</v>
      </c>
      <c r="L340" s="1" t="s">
        <v>35</v>
      </c>
      <c r="M340" s="1"/>
      <c r="O340" s="1"/>
      <c r="P340" s="1"/>
      <c r="Q340" s="1"/>
      <c r="S340" s="2"/>
      <c r="T340" s="1"/>
      <c r="U340" s="1"/>
      <c r="V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 t="s">
        <v>12</v>
      </c>
      <c r="AN340" s="1" t="s">
        <v>20</v>
      </c>
      <c r="AO340" s="1">
        <v>373</v>
      </c>
      <c r="AP340" s="3">
        <v>0.6216666666666667</v>
      </c>
      <c r="AQ340" s="1"/>
    </row>
    <row r="341" spans="1:43" ht="12.3" x14ac:dyDescent="0.4">
      <c r="A341" s="1" t="s">
        <v>430</v>
      </c>
      <c r="B341" s="1"/>
      <c r="C341" s="1" t="s">
        <v>33</v>
      </c>
      <c r="D341" s="5" t="s">
        <v>7</v>
      </c>
      <c r="E341" s="5" t="s">
        <v>463</v>
      </c>
      <c r="F341" s="4" t="s">
        <v>465</v>
      </c>
      <c r="G341" s="4" t="s">
        <v>465</v>
      </c>
      <c r="I341" s="1" t="s">
        <v>16</v>
      </c>
      <c r="J341" s="1" t="s">
        <v>10</v>
      </c>
      <c r="K341" s="4" t="s">
        <v>464</v>
      </c>
      <c r="L341" s="1" t="s">
        <v>34</v>
      </c>
      <c r="M341" s="1"/>
      <c r="O341" s="1"/>
      <c r="P341" s="1"/>
      <c r="Q341" s="1"/>
      <c r="S341" s="2"/>
      <c r="T341" s="1"/>
      <c r="U341" s="2"/>
      <c r="V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 t="s">
        <v>12</v>
      </c>
      <c r="AN341" s="1" t="s">
        <v>20</v>
      </c>
      <c r="AO341" s="1">
        <v>350</v>
      </c>
      <c r="AP341" s="3">
        <v>0.58333333333333337</v>
      </c>
      <c r="AQ341" s="1"/>
    </row>
    <row r="342" spans="1:43" ht="12.3" x14ac:dyDescent="0.4">
      <c r="A342" s="1" t="s">
        <v>431</v>
      </c>
      <c r="B342" s="1"/>
      <c r="C342" s="1" t="s">
        <v>33</v>
      </c>
      <c r="D342" s="5" t="s">
        <v>7</v>
      </c>
      <c r="E342" s="5" t="s">
        <v>463</v>
      </c>
      <c r="F342" s="4" t="s">
        <v>465</v>
      </c>
      <c r="G342" s="4" t="s">
        <v>465</v>
      </c>
      <c r="I342" s="1" t="s">
        <v>8</v>
      </c>
      <c r="J342" s="1" t="s">
        <v>9</v>
      </c>
      <c r="K342" s="4" t="s">
        <v>464</v>
      </c>
      <c r="L342" s="1" t="s">
        <v>35</v>
      </c>
      <c r="M342" s="1"/>
      <c r="O342" s="1"/>
      <c r="P342" s="1"/>
      <c r="Q342" s="1"/>
      <c r="S342" s="2"/>
      <c r="T342" s="1"/>
      <c r="U342" s="2"/>
      <c r="V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 t="s">
        <v>12</v>
      </c>
      <c r="AN342" s="1" t="s">
        <v>18</v>
      </c>
      <c r="AO342" s="1">
        <v>318</v>
      </c>
      <c r="AP342" s="3">
        <v>0.53</v>
      </c>
      <c r="AQ342" s="1"/>
    </row>
    <row r="343" spans="1:43" ht="12.3" x14ac:dyDescent="0.4">
      <c r="A343" s="1" t="s">
        <v>432</v>
      </c>
      <c r="B343" s="1"/>
      <c r="C343" s="1" t="s">
        <v>33</v>
      </c>
      <c r="D343" s="5" t="s">
        <v>7</v>
      </c>
      <c r="E343" s="5" t="s">
        <v>463</v>
      </c>
      <c r="F343" s="4" t="s">
        <v>465</v>
      </c>
      <c r="G343" s="4" t="s">
        <v>465</v>
      </c>
      <c r="I343" s="1" t="s">
        <v>8</v>
      </c>
      <c r="J343" s="1" t="s">
        <v>9</v>
      </c>
      <c r="K343" s="4" t="s">
        <v>464</v>
      </c>
      <c r="L343" s="1" t="s">
        <v>43</v>
      </c>
      <c r="M343" s="1"/>
      <c r="O343" s="1"/>
      <c r="P343" s="1"/>
      <c r="Q343" s="1"/>
      <c r="S343" s="2"/>
      <c r="T343" s="1"/>
      <c r="U343" s="2"/>
      <c r="V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 t="s">
        <v>12</v>
      </c>
      <c r="AN343" s="1" t="s">
        <v>18</v>
      </c>
      <c r="AO343" s="1">
        <v>318</v>
      </c>
      <c r="AP343" s="3">
        <v>0.53</v>
      </c>
      <c r="AQ343" s="1"/>
    </row>
    <row r="344" spans="1:43" ht="12.3" x14ac:dyDescent="0.4">
      <c r="A344" s="1" t="s">
        <v>433</v>
      </c>
      <c r="B344" s="1"/>
      <c r="C344" s="1" t="s">
        <v>33</v>
      </c>
      <c r="D344" s="5" t="s">
        <v>7</v>
      </c>
      <c r="E344" s="5" t="s">
        <v>463</v>
      </c>
      <c r="F344" s="4" t="s">
        <v>465</v>
      </c>
      <c r="G344" s="4" t="s">
        <v>465</v>
      </c>
      <c r="I344" s="1" t="s">
        <v>8</v>
      </c>
      <c r="J344" s="1" t="s">
        <v>9</v>
      </c>
      <c r="K344" s="4" t="s">
        <v>464</v>
      </c>
      <c r="L344" s="1" t="s">
        <v>43</v>
      </c>
      <c r="M344" s="1"/>
      <c r="O344" s="1"/>
      <c r="P344" s="1"/>
      <c r="Q344" s="1"/>
      <c r="S344" s="2"/>
      <c r="T344" s="1"/>
      <c r="U344" s="1"/>
      <c r="V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 t="s">
        <v>12</v>
      </c>
      <c r="AN344" s="1" t="s">
        <v>20</v>
      </c>
      <c r="AO344" s="1">
        <v>379</v>
      </c>
      <c r="AP344" s="3">
        <v>0.63166666666666671</v>
      </c>
      <c r="AQ344" s="1"/>
    </row>
    <row r="345" spans="1:43" ht="12.3" x14ac:dyDescent="0.4">
      <c r="A345" s="1" t="s">
        <v>434</v>
      </c>
      <c r="B345" s="1"/>
      <c r="C345" s="1" t="s">
        <v>33</v>
      </c>
      <c r="D345" s="5" t="s">
        <v>7</v>
      </c>
      <c r="E345" s="5" t="s">
        <v>463</v>
      </c>
      <c r="F345" s="4" t="s">
        <v>465</v>
      </c>
      <c r="G345" s="4" t="s">
        <v>465</v>
      </c>
      <c r="I345" s="1" t="s">
        <v>16</v>
      </c>
      <c r="J345" s="1" t="s">
        <v>9</v>
      </c>
      <c r="K345" s="4" t="s">
        <v>464</v>
      </c>
      <c r="L345" s="1" t="s">
        <v>35</v>
      </c>
      <c r="M345" s="1"/>
      <c r="O345" s="1"/>
      <c r="P345" s="1"/>
      <c r="Q345" s="1"/>
      <c r="S345" s="2"/>
      <c r="T345" s="1"/>
      <c r="U345" s="1"/>
      <c r="V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 t="s">
        <v>12</v>
      </c>
      <c r="AN345" s="1" t="s">
        <v>14</v>
      </c>
      <c r="AO345" s="1">
        <v>254</v>
      </c>
      <c r="AP345" s="3">
        <v>0.42333333333333334</v>
      </c>
      <c r="AQ345" s="1"/>
    </row>
    <row r="346" spans="1:43" ht="12.3" x14ac:dyDescent="0.4">
      <c r="A346" s="1" t="s">
        <v>435</v>
      </c>
      <c r="B346" s="1"/>
      <c r="C346" s="1" t="s">
        <v>33</v>
      </c>
      <c r="D346" s="5" t="s">
        <v>7</v>
      </c>
      <c r="E346" s="5" t="s">
        <v>463</v>
      </c>
      <c r="F346" s="4" t="s">
        <v>465</v>
      </c>
      <c r="G346" s="4" t="s">
        <v>465</v>
      </c>
      <c r="I346" s="1" t="s">
        <v>16</v>
      </c>
      <c r="J346" s="1" t="s">
        <v>10</v>
      </c>
      <c r="K346" s="4" t="s">
        <v>464</v>
      </c>
      <c r="L346" s="1" t="s">
        <v>39</v>
      </c>
      <c r="M346" s="1"/>
      <c r="O346" s="1"/>
      <c r="P346" s="1"/>
      <c r="Q346" s="1"/>
      <c r="S346" s="2"/>
      <c r="T346" s="1"/>
      <c r="U346" s="1"/>
      <c r="V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 t="s">
        <v>12</v>
      </c>
      <c r="AN346" s="1" t="s">
        <v>13</v>
      </c>
      <c r="AO346" s="1">
        <v>295</v>
      </c>
      <c r="AP346" s="3">
        <v>0.49166666666666664</v>
      </c>
      <c r="AQ346" s="1"/>
    </row>
    <row r="347" spans="1:43" ht="12.3" x14ac:dyDescent="0.4">
      <c r="A347" s="1" t="s">
        <v>436</v>
      </c>
      <c r="B347" s="1"/>
      <c r="C347" s="1" t="s">
        <v>33</v>
      </c>
      <c r="D347" s="5" t="s">
        <v>7</v>
      </c>
      <c r="E347" s="5" t="s">
        <v>463</v>
      </c>
      <c r="F347" s="4" t="s">
        <v>465</v>
      </c>
      <c r="G347" s="4" t="s">
        <v>465</v>
      </c>
      <c r="I347" s="1" t="s">
        <v>16</v>
      </c>
      <c r="J347" s="1" t="s">
        <v>10</v>
      </c>
      <c r="K347" s="4" t="s">
        <v>464</v>
      </c>
      <c r="L347" s="1" t="s">
        <v>36</v>
      </c>
      <c r="M347" s="1"/>
      <c r="O347" s="1"/>
      <c r="P347" s="1"/>
      <c r="Q347" s="1"/>
      <c r="S347" s="2"/>
      <c r="T347" s="1"/>
      <c r="U347" s="1"/>
      <c r="V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 t="s">
        <v>12</v>
      </c>
      <c r="AN347" s="1" t="s">
        <v>18</v>
      </c>
      <c r="AO347" s="1">
        <v>319</v>
      </c>
      <c r="AP347" s="3">
        <v>0.53166666666666662</v>
      </c>
      <c r="AQ347" s="1"/>
    </row>
    <row r="348" spans="1:43" ht="12.3" x14ac:dyDescent="0.4">
      <c r="A348" s="1" t="s">
        <v>437</v>
      </c>
      <c r="B348" s="1"/>
      <c r="C348" s="1" t="s">
        <v>33</v>
      </c>
      <c r="D348" s="5" t="s">
        <v>7</v>
      </c>
      <c r="E348" s="5" t="s">
        <v>463</v>
      </c>
      <c r="F348" s="4" t="s">
        <v>465</v>
      </c>
      <c r="G348" s="4" t="s">
        <v>465</v>
      </c>
      <c r="I348" s="1" t="s">
        <v>16</v>
      </c>
      <c r="J348" s="1" t="s">
        <v>10</v>
      </c>
      <c r="K348" s="4" t="s">
        <v>464</v>
      </c>
      <c r="L348" s="1" t="s">
        <v>40</v>
      </c>
      <c r="M348" s="1"/>
      <c r="O348" s="1"/>
      <c r="P348" s="1"/>
      <c r="Q348" s="1"/>
      <c r="S348" s="2"/>
      <c r="T348" s="1"/>
      <c r="U348" s="1"/>
      <c r="V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 t="s">
        <v>12</v>
      </c>
      <c r="AN348" s="1" t="s">
        <v>18</v>
      </c>
      <c r="AO348" s="1">
        <v>309</v>
      </c>
      <c r="AP348" s="3">
        <v>0.51500000000000001</v>
      </c>
      <c r="AQ348" s="1"/>
    </row>
    <row r="349" spans="1:43" ht="12.3" x14ac:dyDescent="0.4">
      <c r="A349" s="1" t="s">
        <v>438</v>
      </c>
      <c r="B349" s="1"/>
      <c r="C349" s="1" t="s">
        <v>33</v>
      </c>
      <c r="D349" s="5" t="s">
        <v>7</v>
      </c>
      <c r="E349" s="5" t="s">
        <v>463</v>
      </c>
      <c r="F349" s="4" t="s">
        <v>465</v>
      </c>
      <c r="G349" s="4" t="s">
        <v>465</v>
      </c>
      <c r="I349" s="1" t="s">
        <v>16</v>
      </c>
      <c r="J349" s="1" t="s">
        <v>10</v>
      </c>
      <c r="K349" s="4" t="s">
        <v>464</v>
      </c>
      <c r="L349" s="1" t="s">
        <v>42</v>
      </c>
      <c r="M349" s="1"/>
      <c r="O349" s="1"/>
      <c r="P349" s="1"/>
      <c r="Q349" s="1"/>
      <c r="S349" s="2"/>
      <c r="T349" s="1"/>
      <c r="U349" s="2"/>
      <c r="V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 t="s">
        <v>12</v>
      </c>
      <c r="AN349" s="1" t="s">
        <v>20</v>
      </c>
      <c r="AO349" s="1">
        <v>345</v>
      </c>
      <c r="AP349" s="3">
        <v>0.57499999999999996</v>
      </c>
      <c r="AQ349" s="1"/>
    </row>
    <row r="350" spans="1:43" ht="12.3" x14ac:dyDescent="0.4">
      <c r="A350" s="1" t="s">
        <v>439</v>
      </c>
      <c r="B350" s="1"/>
      <c r="C350" s="1" t="s">
        <v>33</v>
      </c>
      <c r="D350" s="5" t="s">
        <v>7</v>
      </c>
      <c r="E350" s="5" t="s">
        <v>463</v>
      </c>
      <c r="F350" s="4" t="s">
        <v>465</v>
      </c>
      <c r="G350" s="4" t="s">
        <v>465</v>
      </c>
      <c r="I350" s="1" t="s">
        <v>16</v>
      </c>
      <c r="J350" s="1" t="s">
        <v>10</v>
      </c>
      <c r="K350" s="4" t="s">
        <v>464</v>
      </c>
      <c r="L350" s="1" t="s">
        <v>34</v>
      </c>
      <c r="M350" s="1"/>
      <c r="O350" s="1"/>
      <c r="P350" s="1"/>
      <c r="Q350" s="1"/>
      <c r="S350" s="2"/>
      <c r="T350" s="1"/>
      <c r="U350" s="2"/>
      <c r="V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 t="s">
        <v>12</v>
      </c>
      <c r="AN350" s="1" t="s">
        <v>14</v>
      </c>
      <c r="AO350" s="1">
        <v>260</v>
      </c>
      <c r="AP350" s="3">
        <v>0.43333333333333335</v>
      </c>
      <c r="AQ350" s="1"/>
    </row>
    <row r="351" spans="1:43" ht="12.3" x14ac:dyDescent="0.4">
      <c r="A351" s="1" t="s">
        <v>440</v>
      </c>
      <c r="B351" s="1"/>
      <c r="C351" s="1" t="s">
        <v>33</v>
      </c>
      <c r="D351" s="5" t="s">
        <v>7</v>
      </c>
      <c r="E351" s="5" t="s">
        <v>463</v>
      </c>
      <c r="F351" s="4" t="s">
        <v>465</v>
      </c>
      <c r="G351" s="4" t="s">
        <v>465</v>
      </c>
      <c r="I351" s="1" t="s">
        <v>16</v>
      </c>
      <c r="J351" s="1" t="s">
        <v>10</v>
      </c>
      <c r="K351" s="4" t="s">
        <v>464</v>
      </c>
      <c r="O351" s="1"/>
      <c r="P351" s="1"/>
      <c r="Q351" s="1"/>
      <c r="S351" s="2"/>
      <c r="T351" s="1"/>
      <c r="U351" s="1"/>
      <c r="V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 t="s">
        <v>12</v>
      </c>
      <c r="AN351" s="1" t="s">
        <v>13</v>
      </c>
      <c r="AO351" s="1">
        <v>301</v>
      </c>
      <c r="AP351" s="3">
        <v>0.50166666666666671</v>
      </c>
      <c r="AQ351" s="1"/>
    </row>
    <row r="352" spans="1:43" ht="12.3" x14ac:dyDescent="0.4">
      <c r="A352" s="1" t="s">
        <v>441</v>
      </c>
      <c r="B352" s="1"/>
      <c r="C352" s="1" t="s">
        <v>33</v>
      </c>
      <c r="D352" s="5" t="s">
        <v>7</v>
      </c>
      <c r="E352" s="5" t="s">
        <v>463</v>
      </c>
      <c r="F352" s="4" t="s">
        <v>465</v>
      </c>
      <c r="G352" s="4" t="s">
        <v>465</v>
      </c>
      <c r="I352" s="1" t="s">
        <v>16</v>
      </c>
      <c r="J352" s="1" t="s">
        <v>10</v>
      </c>
      <c r="K352" s="4" t="s">
        <v>464</v>
      </c>
      <c r="L352" s="1" t="s">
        <v>36</v>
      </c>
      <c r="M352" s="1"/>
      <c r="O352" s="1"/>
      <c r="P352" s="1"/>
      <c r="Q352" s="1"/>
      <c r="S352" s="2"/>
      <c r="T352" s="1"/>
      <c r="U352" s="1"/>
      <c r="V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 t="s">
        <v>12</v>
      </c>
      <c r="AN352" s="1" t="s">
        <v>14</v>
      </c>
      <c r="AO352" s="1">
        <v>265</v>
      </c>
      <c r="AP352" s="3">
        <v>0.44166666666666665</v>
      </c>
      <c r="AQ352" s="1"/>
    </row>
    <row r="353" spans="1:43" ht="12.3" x14ac:dyDescent="0.4">
      <c r="A353" s="1" t="s">
        <v>442</v>
      </c>
      <c r="B353" s="1"/>
      <c r="C353" s="1" t="s">
        <v>33</v>
      </c>
      <c r="D353" s="5" t="s">
        <v>7</v>
      </c>
      <c r="E353" s="5" t="s">
        <v>463</v>
      </c>
      <c r="F353" s="4" t="s">
        <v>465</v>
      </c>
      <c r="G353" s="4" t="s">
        <v>465</v>
      </c>
      <c r="I353" s="1" t="s">
        <v>16</v>
      </c>
      <c r="J353" s="1" t="s">
        <v>10</v>
      </c>
      <c r="K353" s="4" t="s">
        <v>464</v>
      </c>
      <c r="L353" s="1" t="s">
        <v>44</v>
      </c>
      <c r="M353" s="1"/>
      <c r="O353" s="1"/>
      <c r="P353" s="1"/>
      <c r="Q353" s="1"/>
      <c r="S353" s="2"/>
      <c r="T353" s="1"/>
      <c r="U353" s="2"/>
      <c r="V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 t="s">
        <v>12</v>
      </c>
      <c r="AN353" s="1" t="s">
        <v>20</v>
      </c>
      <c r="AO353" s="1">
        <v>335</v>
      </c>
      <c r="AP353" s="3">
        <v>0.55833333333333335</v>
      </c>
      <c r="AQ353" s="1"/>
    </row>
    <row r="354" spans="1:43" ht="12.3" x14ac:dyDescent="0.4">
      <c r="A354" s="1" t="s">
        <v>443</v>
      </c>
      <c r="B354" s="1"/>
      <c r="C354" s="1" t="s">
        <v>33</v>
      </c>
      <c r="D354" s="5" t="s">
        <v>7</v>
      </c>
      <c r="E354" s="5" t="s">
        <v>463</v>
      </c>
      <c r="F354" s="4" t="s">
        <v>465</v>
      </c>
      <c r="G354" s="4" t="s">
        <v>465</v>
      </c>
      <c r="I354" s="1" t="s">
        <v>16</v>
      </c>
      <c r="J354" s="1" t="s">
        <v>10</v>
      </c>
      <c r="K354" s="4" t="s">
        <v>464</v>
      </c>
      <c r="L354" s="1" t="s">
        <v>44</v>
      </c>
      <c r="M354" s="10">
        <v>18548</v>
      </c>
      <c r="O354" s="1"/>
      <c r="P354" s="1"/>
      <c r="Q354" s="1"/>
      <c r="S354" s="2"/>
      <c r="T354" s="1"/>
      <c r="U354" s="1"/>
      <c r="V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 t="s">
        <v>12</v>
      </c>
      <c r="AN354" s="1" t="s">
        <v>14</v>
      </c>
      <c r="AO354" s="1">
        <v>251</v>
      </c>
      <c r="AP354" s="3">
        <v>0.41833333333333333</v>
      </c>
      <c r="AQ354" s="1"/>
    </row>
    <row r="355" spans="1:43" ht="12.3" x14ac:dyDescent="0.4">
      <c r="A355" s="1" t="s">
        <v>444</v>
      </c>
      <c r="B355" s="1"/>
      <c r="C355" s="1" t="s">
        <v>33</v>
      </c>
      <c r="D355" s="5" t="s">
        <v>7</v>
      </c>
      <c r="E355" s="5" t="s">
        <v>463</v>
      </c>
      <c r="F355" s="4" t="s">
        <v>465</v>
      </c>
      <c r="G355" s="4" t="s">
        <v>465</v>
      </c>
      <c r="I355" s="1" t="s">
        <v>16</v>
      </c>
      <c r="J355" s="1" t="s">
        <v>10</v>
      </c>
      <c r="K355" s="4" t="s">
        <v>464</v>
      </c>
      <c r="L355" s="1" t="s">
        <v>38</v>
      </c>
      <c r="M355" s="10">
        <v>13866</v>
      </c>
      <c r="O355" s="1"/>
      <c r="P355" s="1"/>
      <c r="Q355" s="1"/>
      <c r="S355" s="2"/>
      <c r="T355" s="1"/>
      <c r="U355" s="1"/>
      <c r="V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 t="s">
        <v>12</v>
      </c>
      <c r="AN355" s="1" t="s">
        <v>14</v>
      </c>
      <c r="AO355" s="1">
        <v>267</v>
      </c>
      <c r="AP355" s="3">
        <v>0.44500000000000001</v>
      </c>
      <c r="AQ355" s="1"/>
    </row>
    <row r="356" spans="1:43" ht="12.3" x14ac:dyDescent="0.4">
      <c r="A356" s="1" t="s">
        <v>446</v>
      </c>
      <c r="B356" s="1"/>
      <c r="C356" s="1" t="s">
        <v>33</v>
      </c>
      <c r="D356" s="5" t="s">
        <v>7</v>
      </c>
      <c r="E356" s="5" t="s">
        <v>463</v>
      </c>
      <c r="F356" s="4" t="s">
        <v>465</v>
      </c>
      <c r="G356" s="4" t="s">
        <v>465</v>
      </c>
      <c r="I356" s="1" t="s">
        <v>16</v>
      </c>
      <c r="J356" s="1" t="s">
        <v>10</v>
      </c>
      <c r="K356" s="4" t="s">
        <v>464</v>
      </c>
      <c r="L356" s="1" t="s">
        <v>35</v>
      </c>
      <c r="M356" s="10">
        <v>18050</v>
      </c>
      <c r="O356" s="1"/>
      <c r="P356" s="1"/>
      <c r="Q356" s="1"/>
      <c r="S356" s="2"/>
      <c r="T356" s="1"/>
      <c r="U356" s="2"/>
      <c r="V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 t="s">
        <v>12</v>
      </c>
      <c r="AN356" s="1" t="s">
        <v>13</v>
      </c>
      <c r="AO356" s="1">
        <v>292</v>
      </c>
      <c r="AP356" s="3">
        <v>0.48666666666666669</v>
      </c>
      <c r="AQ356" s="1"/>
    </row>
    <row r="357" spans="1:43" ht="12.3" x14ac:dyDescent="0.4">
      <c r="A357" s="1" t="s">
        <v>447</v>
      </c>
      <c r="B357" s="1"/>
      <c r="C357" s="1" t="s">
        <v>33</v>
      </c>
      <c r="D357" s="5" t="s">
        <v>7</v>
      </c>
      <c r="E357" s="5" t="s">
        <v>463</v>
      </c>
      <c r="F357" s="4" t="s">
        <v>465</v>
      </c>
      <c r="G357" s="4" t="s">
        <v>465</v>
      </c>
      <c r="I357" s="1" t="s">
        <v>16</v>
      </c>
      <c r="J357" s="1" t="s">
        <v>10</v>
      </c>
      <c r="K357" s="4" t="s">
        <v>464</v>
      </c>
      <c r="L357" s="1" t="s">
        <v>40</v>
      </c>
      <c r="M357" s="11"/>
      <c r="O357" s="1"/>
      <c r="P357" s="1"/>
      <c r="Q357" s="1"/>
      <c r="S357" s="2"/>
      <c r="T357" s="1"/>
      <c r="U357" s="1"/>
      <c r="V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 t="s">
        <v>12</v>
      </c>
      <c r="AN357" s="1" t="s">
        <v>20</v>
      </c>
      <c r="AO357" s="1">
        <v>334</v>
      </c>
      <c r="AP357" s="3">
        <v>0.55666666666666664</v>
      </c>
      <c r="AQ357" s="1"/>
    </row>
    <row r="358" spans="1:43" ht="12.3" x14ac:dyDescent="0.4">
      <c r="A358" s="1" t="s">
        <v>448</v>
      </c>
      <c r="B358" s="1"/>
      <c r="C358" s="1" t="s">
        <v>33</v>
      </c>
      <c r="D358" s="5" t="s">
        <v>7</v>
      </c>
      <c r="E358" s="5" t="s">
        <v>463</v>
      </c>
      <c r="F358" s="4" t="s">
        <v>465</v>
      </c>
      <c r="G358" s="4" t="s">
        <v>465</v>
      </c>
      <c r="I358" s="1" t="s">
        <v>16</v>
      </c>
      <c r="J358" s="1" t="s">
        <v>10</v>
      </c>
      <c r="K358" s="4" t="s">
        <v>464</v>
      </c>
      <c r="L358" s="1" t="s">
        <v>42</v>
      </c>
      <c r="M358" s="10">
        <v>18050</v>
      </c>
      <c r="O358" s="1"/>
      <c r="P358" s="1"/>
      <c r="Q358" s="1"/>
      <c r="S358" s="2"/>
      <c r="T358" s="1"/>
      <c r="U358" s="1"/>
      <c r="V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 t="s">
        <v>12</v>
      </c>
      <c r="AN358" s="1" t="s">
        <v>20</v>
      </c>
      <c r="AO358" s="1">
        <v>334</v>
      </c>
      <c r="AP358" s="3">
        <v>0.55666666666666664</v>
      </c>
      <c r="AQ358" s="1"/>
    </row>
    <row r="359" spans="1:43" ht="12.3" x14ac:dyDescent="0.4">
      <c r="A359" s="1" t="s">
        <v>449</v>
      </c>
      <c r="B359" s="1"/>
      <c r="C359" s="1" t="s">
        <v>33</v>
      </c>
      <c r="D359" s="5" t="s">
        <v>7</v>
      </c>
      <c r="E359" s="5" t="s">
        <v>463</v>
      </c>
      <c r="F359" s="4" t="s">
        <v>465</v>
      </c>
      <c r="G359" s="4" t="s">
        <v>465</v>
      </c>
      <c r="I359" s="1" t="s">
        <v>16</v>
      </c>
      <c r="J359" s="1" t="s">
        <v>10</v>
      </c>
      <c r="K359" s="4" t="s">
        <v>464</v>
      </c>
      <c r="L359" s="1" t="s">
        <v>40</v>
      </c>
      <c r="M359" s="10">
        <v>15019</v>
      </c>
      <c r="O359" s="1"/>
      <c r="P359" s="1"/>
      <c r="Q359" s="1"/>
      <c r="S359" s="2"/>
      <c r="T359" s="1"/>
      <c r="U359" s="1"/>
      <c r="V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 t="s">
        <v>12</v>
      </c>
      <c r="AN359" s="1" t="s">
        <v>13</v>
      </c>
      <c r="AO359" s="1">
        <v>299</v>
      </c>
      <c r="AP359" s="3">
        <v>0.49833333333333335</v>
      </c>
      <c r="AQ359" s="1"/>
    </row>
    <row r="360" spans="1:43" ht="12.3" x14ac:dyDescent="0.4">
      <c r="A360" s="1" t="s">
        <v>450</v>
      </c>
      <c r="B360" s="1"/>
      <c r="C360" s="1" t="s">
        <v>33</v>
      </c>
      <c r="D360" s="5" t="s">
        <v>7</v>
      </c>
      <c r="E360" s="5" t="s">
        <v>463</v>
      </c>
      <c r="F360" s="4" t="s">
        <v>465</v>
      </c>
      <c r="G360" s="4" t="s">
        <v>465</v>
      </c>
      <c r="I360" s="1" t="s">
        <v>8</v>
      </c>
      <c r="J360" s="1" t="s">
        <v>9</v>
      </c>
      <c r="K360" s="4" t="s">
        <v>464</v>
      </c>
      <c r="L360" s="1" t="s">
        <v>44</v>
      </c>
      <c r="M360" s="10">
        <v>18825</v>
      </c>
      <c r="O360" s="1"/>
      <c r="P360" s="1"/>
      <c r="Q360" s="1"/>
      <c r="S360" s="2"/>
      <c r="T360" s="1"/>
      <c r="U360" s="2"/>
      <c r="V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 t="s">
        <v>12</v>
      </c>
      <c r="AN360" s="1" t="s">
        <v>20</v>
      </c>
      <c r="AO360" s="1">
        <v>363</v>
      </c>
      <c r="AP360" s="3">
        <v>0.60499999999999998</v>
      </c>
      <c r="AQ360" s="1"/>
    </row>
    <row r="361" spans="1:43" ht="12.3" x14ac:dyDescent="0.4">
      <c r="A361" s="1" t="s">
        <v>451</v>
      </c>
      <c r="B361" s="1"/>
      <c r="C361" s="1" t="s">
        <v>33</v>
      </c>
      <c r="D361" s="5" t="s">
        <v>7</v>
      </c>
      <c r="E361" s="5" t="s">
        <v>463</v>
      </c>
      <c r="F361" s="4" t="s">
        <v>465</v>
      </c>
      <c r="G361" s="4" t="s">
        <v>465</v>
      </c>
      <c r="I361" s="1" t="s">
        <v>16</v>
      </c>
      <c r="J361" s="1" t="s">
        <v>10</v>
      </c>
      <c r="K361" s="4" t="s">
        <v>464</v>
      </c>
      <c r="M361" s="10">
        <v>18825</v>
      </c>
      <c r="O361" s="1"/>
      <c r="P361" s="1"/>
      <c r="Q361" s="1"/>
      <c r="S361" s="2"/>
      <c r="T361" s="1"/>
      <c r="U361" s="2"/>
      <c r="V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 t="s">
        <v>12</v>
      </c>
      <c r="AN361" s="1" t="s">
        <v>14</v>
      </c>
      <c r="AO361" s="1">
        <v>252</v>
      </c>
      <c r="AP361" s="3">
        <v>0.42</v>
      </c>
      <c r="AQ361" s="1"/>
    </row>
    <row r="362" spans="1:43" ht="12.3" x14ac:dyDescent="0.4">
      <c r="A362" s="1" t="s">
        <v>452</v>
      </c>
      <c r="B362" s="1"/>
      <c r="C362" s="1" t="s">
        <v>33</v>
      </c>
      <c r="D362" s="5" t="s">
        <v>7</v>
      </c>
      <c r="E362" s="5" t="s">
        <v>463</v>
      </c>
      <c r="F362" s="4" t="s">
        <v>465</v>
      </c>
      <c r="G362" s="4" t="s">
        <v>465</v>
      </c>
      <c r="I362" s="1" t="s">
        <v>8</v>
      </c>
      <c r="J362" s="1" t="s">
        <v>9</v>
      </c>
      <c r="K362" s="4" t="s">
        <v>464</v>
      </c>
      <c r="L362" s="1" t="s">
        <v>43</v>
      </c>
      <c r="M362" s="10">
        <v>17879</v>
      </c>
      <c r="O362" s="1"/>
      <c r="P362" s="1"/>
      <c r="Q362" s="1"/>
      <c r="S362" s="2"/>
      <c r="T362" s="1"/>
      <c r="U362" s="2"/>
      <c r="V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 t="s">
        <v>12</v>
      </c>
      <c r="AN362" s="1" t="s">
        <v>13</v>
      </c>
      <c r="AO362" s="1">
        <v>300</v>
      </c>
      <c r="AP362" s="3">
        <v>0.5</v>
      </c>
      <c r="AQ362" s="1"/>
    </row>
    <row r="363" spans="1:43" ht="12.3" x14ac:dyDescent="0.4">
      <c r="A363" s="1" t="s">
        <v>453</v>
      </c>
      <c r="B363" s="1"/>
      <c r="C363" s="1" t="s">
        <v>33</v>
      </c>
      <c r="D363" s="5" t="s">
        <v>7</v>
      </c>
      <c r="E363" s="5" t="s">
        <v>463</v>
      </c>
      <c r="F363" s="4" t="s">
        <v>465</v>
      </c>
      <c r="G363" s="4" t="s">
        <v>465</v>
      </c>
      <c r="I363" s="1" t="s">
        <v>8</v>
      </c>
      <c r="J363" s="1" t="s">
        <v>9</v>
      </c>
      <c r="K363" s="4" t="s">
        <v>464</v>
      </c>
      <c r="L363" s="1" t="s">
        <v>44</v>
      </c>
      <c r="M363" s="10">
        <v>14530</v>
      </c>
      <c r="O363" s="1"/>
      <c r="P363" s="1"/>
      <c r="Q363" s="1"/>
      <c r="S363" s="2"/>
      <c r="T363" s="1"/>
      <c r="U363" s="1"/>
      <c r="V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 t="s">
        <v>12</v>
      </c>
      <c r="AN363" s="1" t="s">
        <v>20</v>
      </c>
      <c r="AO363" s="1">
        <v>362</v>
      </c>
      <c r="AP363" s="3">
        <v>0.60333333333333339</v>
      </c>
      <c r="AQ363" s="1"/>
    </row>
    <row r="364" spans="1:43" ht="12.3" x14ac:dyDescent="0.4">
      <c r="A364" s="1" t="s">
        <v>454</v>
      </c>
      <c r="B364" s="1"/>
      <c r="C364" s="1" t="s">
        <v>33</v>
      </c>
      <c r="D364" s="5" t="s">
        <v>7</v>
      </c>
      <c r="E364" s="5" t="s">
        <v>463</v>
      </c>
      <c r="F364" s="4" t="s">
        <v>465</v>
      </c>
      <c r="G364" s="4" t="s">
        <v>465</v>
      </c>
      <c r="I364" s="1" t="s">
        <v>16</v>
      </c>
      <c r="J364" s="1" t="s">
        <v>10</v>
      </c>
      <c r="K364" s="4" t="s">
        <v>464</v>
      </c>
      <c r="L364" s="1" t="s">
        <v>39</v>
      </c>
      <c r="M364" s="10">
        <v>17649</v>
      </c>
      <c r="O364" s="1"/>
      <c r="P364" s="1"/>
      <c r="Q364" s="1"/>
      <c r="S364" s="2"/>
      <c r="T364" s="1"/>
      <c r="U364" s="1"/>
      <c r="V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 t="s">
        <v>12</v>
      </c>
      <c r="AN364" s="1" t="s">
        <v>18</v>
      </c>
      <c r="AO364" s="1">
        <v>315</v>
      </c>
      <c r="AP364" s="3">
        <v>0.52500000000000002</v>
      </c>
      <c r="AQ364" s="1"/>
    </row>
    <row r="365" spans="1:43" ht="12.3" x14ac:dyDescent="0.4">
      <c r="A365" s="1" t="s">
        <v>455</v>
      </c>
      <c r="B365" s="1"/>
      <c r="C365" s="1" t="s">
        <v>33</v>
      </c>
      <c r="D365" s="5" t="s">
        <v>7</v>
      </c>
      <c r="E365" s="5" t="s">
        <v>463</v>
      </c>
      <c r="F365" s="4" t="s">
        <v>465</v>
      </c>
      <c r="G365" s="4" t="s">
        <v>465</v>
      </c>
      <c r="I365" s="1" t="s">
        <v>8</v>
      </c>
      <c r="J365" s="1" t="s">
        <v>9</v>
      </c>
      <c r="K365" s="4" t="s">
        <v>464</v>
      </c>
      <c r="L365" s="1" t="s">
        <v>39</v>
      </c>
      <c r="M365" s="10">
        <v>17649</v>
      </c>
      <c r="O365" s="1"/>
      <c r="P365" s="1"/>
      <c r="Q365" s="1"/>
      <c r="S365" s="2"/>
      <c r="T365" s="1"/>
      <c r="U365" s="1"/>
      <c r="V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 t="s">
        <v>12</v>
      </c>
      <c r="AN365" s="1" t="s">
        <v>13</v>
      </c>
      <c r="AO365" s="1">
        <v>300</v>
      </c>
      <c r="AP365" s="3">
        <v>0.5</v>
      </c>
      <c r="AQ365" s="1"/>
    </row>
    <row r="366" spans="1:43" ht="12.3" x14ac:dyDescent="0.4">
      <c r="A366" s="1" t="s">
        <v>456</v>
      </c>
      <c r="B366" s="1"/>
      <c r="C366" s="1" t="s">
        <v>33</v>
      </c>
      <c r="D366" s="5" t="s">
        <v>7</v>
      </c>
      <c r="E366" s="5" t="s">
        <v>463</v>
      </c>
      <c r="F366" s="4" t="s">
        <v>465</v>
      </c>
      <c r="G366" s="4" t="s">
        <v>465</v>
      </c>
      <c r="I366" s="1" t="s">
        <v>8</v>
      </c>
      <c r="J366" s="1" t="s">
        <v>9</v>
      </c>
      <c r="K366" s="4" t="s">
        <v>464</v>
      </c>
      <c r="L366" s="1" t="s">
        <v>35</v>
      </c>
      <c r="M366" s="10">
        <v>17649</v>
      </c>
      <c r="O366" s="1"/>
      <c r="P366" s="1"/>
      <c r="Q366" s="1"/>
      <c r="S366" s="2"/>
      <c r="T366" s="1"/>
      <c r="U366" s="1"/>
      <c r="V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 t="s">
        <v>12</v>
      </c>
      <c r="AN366" s="1" t="s">
        <v>13</v>
      </c>
      <c r="AO366" s="1">
        <v>281</v>
      </c>
      <c r="AP366" s="3">
        <v>0.46833333333333332</v>
      </c>
      <c r="AQ366" s="1"/>
    </row>
    <row r="367" spans="1:43" ht="12.3" x14ac:dyDescent="0.4">
      <c r="A367" s="1" t="s">
        <v>457</v>
      </c>
      <c r="B367" s="1"/>
      <c r="C367" s="1" t="s">
        <v>33</v>
      </c>
      <c r="D367" s="5" t="s">
        <v>7</v>
      </c>
      <c r="E367" s="5" t="s">
        <v>463</v>
      </c>
      <c r="F367" s="4" t="s">
        <v>465</v>
      </c>
      <c r="G367" s="4" t="s">
        <v>465</v>
      </c>
      <c r="I367" s="1" t="s">
        <v>8</v>
      </c>
      <c r="J367" s="1" t="s">
        <v>9</v>
      </c>
      <c r="K367" s="4" t="s">
        <v>464</v>
      </c>
      <c r="L367" s="1" t="s">
        <v>34</v>
      </c>
      <c r="M367" s="10">
        <v>18941</v>
      </c>
      <c r="O367" s="1"/>
      <c r="P367" s="1"/>
      <c r="Q367" s="1"/>
      <c r="S367" s="2"/>
      <c r="T367" s="1"/>
      <c r="U367" s="1"/>
      <c r="V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 t="s">
        <v>12</v>
      </c>
      <c r="AN367" s="1" t="s">
        <v>20</v>
      </c>
      <c r="AO367" s="1">
        <v>352</v>
      </c>
      <c r="AP367" s="3">
        <v>0.58666666666666667</v>
      </c>
      <c r="AQ367" s="1"/>
    </row>
    <row r="368" spans="1:43" ht="12.3" x14ac:dyDescent="0.4">
      <c r="A368" s="1" t="s">
        <v>458</v>
      </c>
      <c r="B368" s="1"/>
      <c r="C368" s="1" t="s">
        <v>33</v>
      </c>
      <c r="D368" s="5" t="s">
        <v>7</v>
      </c>
      <c r="E368" s="5" t="s">
        <v>463</v>
      </c>
      <c r="F368" s="4" t="s">
        <v>465</v>
      </c>
      <c r="G368" s="4" t="s">
        <v>465</v>
      </c>
      <c r="I368" s="1" t="s">
        <v>8</v>
      </c>
      <c r="J368" s="1" t="s">
        <v>9</v>
      </c>
      <c r="K368" s="4" t="s">
        <v>464</v>
      </c>
      <c r="L368" s="1" t="s">
        <v>34</v>
      </c>
      <c r="M368" s="10">
        <v>18548</v>
      </c>
      <c r="O368" s="1"/>
      <c r="P368" s="1"/>
      <c r="Q368" s="1"/>
      <c r="S368" s="2"/>
      <c r="T368" s="1"/>
      <c r="U368" s="1"/>
      <c r="V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 t="s">
        <v>12</v>
      </c>
      <c r="AN368" s="1" t="s">
        <v>14</v>
      </c>
      <c r="AO368" s="1">
        <v>260</v>
      </c>
      <c r="AP368" s="3">
        <v>0.43333333333333335</v>
      </c>
      <c r="AQ368" s="1"/>
    </row>
    <row r="369" spans="1:43" ht="12.3" x14ac:dyDescent="0.4">
      <c r="A369" s="1" t="s">
        <v>459</v>
      </c>
      <c r="B369" s="1"/>
      <c r="C369" s="1" t="s">
        <v>33</v>
      </c>
      <c r="D369" s="5" t="s">
        <v>7</v>
      </c>
      <c r="E369" s="5" t="s">
        <v>463</v>
      </c>
      <c r="F369" s="4" t="s">
        <v>465</v>
      </c>
      <c r="G369" s="4" t="s">
        <v>465</v>
      </c>
      <c r="I369" s="1" t="s">
        <v>8</v>
      </c>
      <c r="J369" s="1" t="s">
        <v>9</v>
      </c>
      <c r="K369" s="4" t="s">
        <v>464</v>
      </c>
      <c r="M369" s="10">
        <v>17649</v>
      </c>
      <c r="O369" s="1"/>
      <c r="P369" s="1"/>
      <c r="Q369" s="1"/>
      <c r="S369" s="2"/>
      <c r="T369" s="1"/>
      <c r="U369" s="1"/>
      <c r="V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 t="s">
        <v>12</v>
      </c>
      <c r="AN369" s="1" t="s">
        <v>13</v>
      </c>
      <c r="AO369" s="1">
        <v>283</v>
      </c>
      <c r="AP369" s="3">
        <v>0.47166666666666668</v>
      </c>
      <c r="AQ369" s="1"/>
    </row>
    <row r="370" spans="1:43" ht="12.3" x14ac:dyDescent="0.4">
      <c r="A370" s="1" t="s">
        <v>460</v>
      </c>
      <c r="B370" s="1"/>
      <c r="C370" s="1" t="s">
        <v>33</v>
      </c>
      <c r="D370" s="5" t="s">
        <v>7</v>
      </c>
      <c r="E370" s="5" t="s">
        <v>463</v>
      </c>
      <c r="F370" s="4" t="s">
        <v>465</v>
      </c>
      <c r="G370" s="4" t="s">
        <v>465</v>
      </c>
      <c r="I370" s="1" t="s">
        <v>29</v>
      </c>
      <c r="J370" s="1" t="s">
        <v>9</v>
      </c>
      <c r="K370" s="4" t="s">
        <v>464</v>
      </c>
      <c r="M370" s="10">
        <v>17649</v>
      </c>
      <c r="O370" s="1"/>
      <c r="P370" s="1"/>
      <c r="Q370" s="1"/>
      <c r="S370" s="2"/>
      <c r="T370" s="1"/>
      <c r="U370" s="2"/>
      <c r="V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 t="s">
        <v>12</v>
      </c>
      <c r="AN370" s="1" t="s">
        <v>14</v>
      </c>
      <c r="AO370" s="1">
        <v>245</v>
      </c>
      <c r="AP370" s="3">
        <v>0.40833333333333333</v>
      </c>
      <c r="AQ370" s="1"/>
    </row>
    <row r="371" spans="1:43" ht="12.3" x14ac:dyDescent="0.4">
      <c r="A371" s="1" t="s">
        <v>461</v>
      </c>
      <c r="B371" s="1"/>
      <c r="C371" s="1" t="s">
        <v>33</v>
      </c>
      <c r="D371" s="5" t="s">
        <v>7</v>
      </c>
      <c r="E371" s="5" t="s">
        <v>463</v>
      </c>
      <c r="F371" s="4" t="s">
        <v>465</v>
      </c>
      <c r="G371" s="4" t="s">
        <v>465</v>
      </c>
      <c r="I371" s="1" t="s">
        <v>16</v>
      </c>
      <c r="J371" s="1" t="s">
        <v>10</v>
      </c>
      <c r="K371" s="4" t="s">
        <v>464</v>
      </c>
      <c r="L371" s="1" t="s">
        <v>36</v>
      </c>
      <c r="M371" s="10">
        <v>17879</v>
      </c>
      <c r="O371" s="1"/>
      <c r="P371" s="1"/>
      <c r="Q371" s="1"/>
      <c r="S371" s="2"/>
      <c r="T371" s="1"/>
      <c r="U371" s="2"/>
      <c r="V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 t="s">
        <v>12</v>
      </c>
      <c r="AN371" s="1" t="s">
        <v>14</v>
      </c>
      <c r="AO371" s="1">
        <v>247</v>
      </c>
      <c r="AP371" s="3">
        <v>0.41166666666666668</v>
      </c>
      <c r="AQ371" s="1"/>
    </row>
    <row r="372" spans="1:43" ht="12.3" x14ac:dyDescent="0.4">
      <c r="A372" s="1" t="s">
        <v>462</v>
      </c>
      <c r="B372" s="1"/>
      <c r="C372" s="1" t="s">
        <v>33</v>
      </c>
      <c r="D372" s="5" t="s">
        <v>7</v>
      </c>
      <c r="E372" s="5" t="s">
        <v>463</v>
      </c>
      <c r="F372" s="4" t="s">
        <v>465</v>
      </c>
      <c r="G372" s="4" t="s">
        <v>465</v>
      </c>
      <c r="I372" s="1" t="s">
        <v>29</v>
      </c>
      <c r="J372" s="1" t="s">
        <v>9</v>
      </c>
      <c r="K372" s="4" t="s">
        <v>464</v>
      </c>
      <c r="L372" s="1" t="s">
        <v>44</v>
      </c>
      <c r="M372" s="10">
        <v>13866</v>
      </c>
      <c r="O372" s="1"/>
      <c r="P372" s="1"/>
      <c r="Q372" s="1"/>
      <c r="S372" s="2"/>
      <c r="T372" s="1"/>
      <c r="U372" s="1"/>
      <c r="V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 t="s">
        <v>12</v>
      </c>
      <c r="AN372" s="1" t="s">
        <v>20</v>
      </c>
      <c r="AO372" s="1">
        <v>397</v>
      </c>
      <c r="AP372" s="3">
        <v>0.66166666666666663</v>
      </c>
      <c r="AQ372" s="1"/>
    </row>
    <row r="373" spans="1:43" ht="15.75" customHeight="1" x14ac:dyDescent="0.4">
      <c r="M373" s="11"/>
    </row>
    <row r="374" spans="1:43" ht="15.75" customHeight="1" x14ac:dyDescent="0.4">
      <c r="M374" s="10">
        <v>18941</v>
      </c>
    </row>
    <row r="375" spans="1:43" ht="15.75" customHeight="1" x14ac:dyDescent="0.4">
      <c r="M375" s="10">
        <v>18941</v>
      </c>
    </row>
    <row r="376" spans="1:43" ht="15.75" customHeight="1" x14ac:dyDescent="0.4">
      <c r="M376" s="10">
        <v>18050</v>
      </c>
    </row>
    <row r="377" spans="1:43" ht="15.75" customHeight="1" x14ac:dyDescent="0.4">
      <c r="M377" s="10">
        <v>18050</v>
      </c>
    </row>
    <row r="378" spans="1:43" ht="15.75" customHeight="1" x14ac:dyDescent="0.4">
      <c r="M378" s="10">
        <v>17879</v>
      </c>
    </row>
    <row r="379" spans="1:43" ht="15.75" customHeight="1" x14ac:dyDescent="0.4">
      <c r="M379" s="10">
        <v>17879</v>
      </c>
    </row>
    <row r="380" spans="1:43" ht="15.75" customHeight="1" x14ac:dyDescent="0.4">
      <c r="M380" s="10">
        <v>15143</v>
      </c>
    </row>
    <row r="381" spans="1:43" ht="15.75" customHeight="1" x14ac:dyDescent="0.4">
      <c r="M381" s="10">
        <v>15143</v>
      </c>
    </row>
    <row r="382" spans="1:43" ht="15.75" customHeight="1" x14ac:dyDescent="0.4">
      <c r="M382" s="10">
        <v>18825</v>
      </c>
    </row>
    <row r="383" spans="1:43" ht="15.75" customHeight="1" x14ac:dyDescent="0.4">
      <c r="M383" s="10">
        <v>18825</v>
      </c>
    </row>
    <row r="384" spans="1:43" ht="15.75" customHeight="1" x14ac:dyDescent="0.4">
      <c r="M384" s="10">
        <v>15019</v>
      </c>
    </row>
    <row r="385" spans="13:13" ht="15.75" customHeight="1" x14ac:dyDescent="0.4">
      <c r="M385" s="10">
        <v>15019</v>
      </c>
    </row>
    <row r="386" spans="13:13" ht="15.75" customHeight="1" x14ac:dyDescent="0.4">
      <c r="M386" s="10">
        <v>17879</v>
      </c>
    </row>
    <row r="387" spans="13:13" ht="15.75" customHeight="1" x14ac:dyDescent="0.4">
      <c r="M387" s="10">
        <v>18941</v>
      </c>
    </row>
    <row r="388" spans="13:13" ht="15.75" customHeight="1" x14ac:dyDescent="0.4">
      <c r="M388" s="10">
        <v>18941</v>
      </c>
    </row>
    <row r="389" spans="13:13" ht="15.75" customHeight="1" x14ac:dyDescent="0.4">
      <c r="M389" s="10">
        <v>18825</v>
      </c>
    </row>
    <row r="390" spans="13:13" ht="15.75" customHeight="1" x14ac:dyDescent="0.4">
      <c r="M390" s="10">
        <v>18825</v>
      </c>
    </row>
    <row r="391" spans="13:13" ht="15.75" customHeight="1" x14ac:dyDescent="0.4">
      <c r="M391" s="10">
        <v>18825</v>
      </c>
    </row>
    <row r="392" spans="13:13" ht="15.75" customHeight="1" x14ac:dyDescent="0.4">
      <c r="M392" s="10">
        <v>18825</v>
      </c>
    </row>
    <row r="393" spans="13:13" ht="15.75" customHeight="1" x14ac:dyDescent="0.4">
      <c r="M393" s="10">
        <v>13866</v>
      </c>
    </row>
    <row r="394" spans="13:13" ht="15.75" customHeight="1" x14ac:dyDescent="0.4">
      <c r="M394" s="10">
        <v>13866</v>
      </c>
    </row>
    <row r="395" spans="13:13" ht="15.75" customHeight="1" x14ac:dyDescent="0.4">
      <c r="M395" s="10">
        <v>14530</v>
      </c>
    </row>
    <row r="396" spans="13:13" ht="15.75" customHeight="1" x14ac:dyDescent="0.4">
      <c r="M396" s="10">
        <v>14530</v>
      </c>
    </row>
    <row r="397" spans="13:13" ht="15.75" customHeight="1" x14ac:dyDescent="0.4">
      <c r="M397" s="10">
        <v>14530</v>
      </c>
    </row>
    <row r="398" spans="13:13" ht="15.75" customHeight="1" x14ac:dyDescent="0.4">
      <c r="M398" s="10">
        <v>14530</v>
      </c>
    </row>
    <row r="399" spans="13:13" ht="15.75" customHeight="1" x14ac:dyDescent="0.4">
      <c r="M399" s="10">
        <v>14530</v>
      </c>
    </row>
    <row r="400" spans="13:13" ht="15.75" customHeight="1" x14ac:dyDescent="0.4">
      <c r="M400" s="10">
        <v>14530</v>
      </c>
    </row>
    <row r="401" spans="13:13" ht="15.75" customHeight="1" x14ac:dyDescent="0.4">
      <c r="M401" s="10">
        <v>18825</v>
      </c>
    </row>
    <row r="402" spans="13:13" ht="15.75" customHeight="1" x14ac:dyDescent="0.4">
      <c r="M402" s="10">
        <v>18825</v>
      </c>
    </row>
    <row r="403" spans="13:13" ht="15.75" customHeight="1" x14ac:dyDescent="0.4">
      <c r="M403" s="10">
        <v>18473</v>
      </c>
    </row>
    <row r="404" spans="13:13" ht="15.75" customHeight="1" x14ac:dyDescent="0.4">
      <c r="M404" s="10">
        <v>15019</v>
      </c>
    </row>
    <row r="405" spans="13:13" ht="15.75" customHeight="1" x14ac:dyDescent="0.4">
      <c r="M405" s="10">
        <v>15019</v>
      </c>
    </row>
    <row r="406" spans="13:13" ht="15.75" customHeight="1" x14ac:dyDescent="0.4">
      <c r="M406" s="10">
        <v>17879</v>
      </c>
    </row>
    <row r="407" spans="13:13" ht="15.75" customHeight="1" x14ac:dyDescent="0.4">
      <c r="M407" s="10">
        <v>17879</v>
      </c>
    </row>
    <row r="408" spans="13:13" ht="15.75" customHeight="1" x14ac:dyDescent="0.4">
      <c r="M408" s="10">
        <v>13866</v>
      </c>
    </row>
    <row r="409" spans="13:13" ht="15.75" customHeight="1" x14ac:dyDescent="0.4">
      <c r="M409" s="10">
        <v>13866</v>
      </c>
    </row>
    <row r="410" spans="13:13" ht="15.75" customHeight="1" x14ac:dyDescent="0.4">
      <c r="M410" s="10">
        <v>18825</v>
      </c>
    </row>
    <row r="411" spans="13:13" ht="15.75" customHeight="1" x14ac:dyDescent="0.4">
      <c r="M411" s="11"/>
    </row>
    <row r="412" spans="13:13" ht="15.75" customHeight="1" x14ac:dyDescent="0.4">
      <c r="M412" s="10">
        <v>17649</v>
      </c>
    </row>
    <row r="413" spans="13:13" ht="15.75" customHeight="1" x14ac:dyDescent="0.4">
      <c r="M413" s="10">
        <v>17649</v>
      </c>
    </row>
    <row r="414" spans="13:13" ht="15.75" customHeight="1" x14ac:dyDescent="0.4">
      <c r="M414" s="10">
        <v>17649</v>
      </c>
    </row>
    <row r="415" spans="13:13" ht="15.75" customHeight="1" x14ac:dyDescent="0.4">
      <c r="M415" s="10">
        <v>17649</v>
      </c>
    </row>
    <row r="416" spans="13:13" ht="15.75" customHeight="1" x14ac:dyDescent="0.4">
      <c r="M416" s="10">
        <v>14530</v>
      </c>
    </row>
    <row r="417" spans="13:13" ht="15.75" customHeight="1" x14ac:dyDescent="0.4">
      <c r="M417" s="10">
        <v>14530</v>
      </c>
    </row>
    <row r="418" spans="13:13" ht="15.75" customHeight="1" x14ac:dyDescent="0.4">
      <c r="M418" s="10">
        <v>15143</v>
      </c>
    </row>
    <row r="419" spans="13:13" ht="15.75" customHeight="1" x14ac:dyDescent="0.4">
      <c r="M419" s="10">
        <v>15143</v>
      </c>
    </row>
    <row r="420" spans="13:13" ht="15.75" customHeight="1" x14ac:dyDescent="0.4">
      <c r="M420" s="10">
        <v>18941</v>
      </c>
    </row>
    <row r="421" spans="13:13" ht="15.75" customHeight="1" x14ac:dyDescent="0.4">
      <c r="M421" s="10">
        <v>18941</v>
      </c>
    </row>
    <row r="422" spans="13:13" ht="15.75" customHeight="1" x14ac:dyDescent="0.4">
      <c r="M422" s="10">
        <v>18941</v>
      </c>
    </row>
    <row r="423" spans="13:13" ht="15.75" customHeight="1" x14ac:dyDescent="0.4">
      <c r="M423" s="10">
        <v>18941</v>
      </c>
    </row>
    <row r="424" spans="13:13" ht="15.75" customHeight="1" x14ac:dyDescent="0.4">
      <c r="M424" s="10">
        <v>17919</v>
      </c>
    </row>
    <row r="425" spans="13:13" ht="15.75" customHeight="1" x14ac:dyDescent="0.4">
      <c r="M425" s="10">
        <v>17919</v>
      </c>
    </row>
    <row r="426" spans="13:13" ht="15.75" customHeight="1" x14ac:dyDescent="0.4">
      <c r="M426" s="10">
        <v>15019</v>
      </c>
    </row>
    <row r="427" spans="13:13" ht="15.75" customHeight="1" x14ac:dyDescent="0.4">
      <c r="M427" s="10">
        <v>15019</v>
      </c>
    </row>
    <row r="428" spans="13:13" ht="15.75" customHeight="1" x14ac:dyDescent="0.4">
      <c r="M428" s="10">
        <v>17649</v>
      </c>
    </row>
    <row r="429" spans="13:13" ht="15.75" customHeight="1" x14ac:dyDescent="0.4">
      <c r="M429" s="10">
        <v>17649</v>
      </c>
    </row>
    <row r="430" spans="13:13" ht="15.75" customHeight="1" x14ac:dyDescent="0.4">
      <c r="M430" s="10">
        <v>18473</v>
      </c>
    </row>
    <row r="431" spans="13:13" ht="15.75" customHeight="1" x14ac:dyDescent="0.4">
      <c r="M431" s="10">
        <v>17649</v>
      </c>
    </row>
    <row r="432" spans="13:13" ht="15.75" customHeight="1" x14ac:dyDescent="0.4">
      <c r="M432" s="10">
        <v>17649</v>
      </c>
    </row>
    <row r="433" spans="13:13" ht="15.75" customHeight="1" x14ac:dyDescent="0.4">
      <c r="M433" s="10">
        <v>18548</v>
      </c>
    </row>
    <row r="434" spans="13:13" ht="15.75" customHeight="1" x14ac:dyDescent="0.4">
      <c r="M434" s="10">
        <v>18825</v>
      </c>
    </row>
    <row r="435" spans="13:13" ht="15.75" customHeight="1" x14ac:dyDescent="0.4">
      <c r="M435" s="10">
        <v>18825</v>
      </c>
    </row>
    <row r="436" spans="13:13" ht="15.75" customHeight="1" x14ac:dyDescent="0.4">
      <c r="M436" s="10">
        <v>15019</v>
      </c>
    </row>
    <row r="437" spans="13:13" ht="15.75" customHeight="1" x14ac:dyDescent="0.4">
      <c r="M437" s="10">
        <v>15143</v>
      </c>
    </row>
    <row r="438" spans="13:13" ht="15.75" customHeight="1" x14ac:dyDescent="0.4">
      <c r="M438" s="10">
        <v>15143</v>
      </c>
    </row>
    <row r="439" spans="13:13" ht="15.75" customHeight="1" x14ac:dyDescent="0.4">
      <c r="M439" s="10">
        <v>17649</v>
      </c>
    </row>
    <row r="440" spans="13:13" ht="15.75" customHeight="1" x14ac:dyDescent="0.4">
      <c r="M440" s="10">
        <v>17649</v>
      </c>
    </row>
    <row r="441" spans="13:13" ht="15.75" customHeight="1" x14ac:dyDescent="0.4">
      <c r="M441" s="10">
        <v>18548</v>
      </c>
    </row>
    <row r="442" spans="13:13" ht="15.75" customHeight="1" x14ac:dyDescent="0.4">
      <c r="M442" s="10">
        <v>18548</v>
      </c>
    </row>
    <row r="443" spans="13:13" ht="15.75" customHeight="1" x14ac:dyDescent="0.4">
      <c r="M443" s="10">
        <v>18050</v>
      </c>
    </row>
    <row r="444" spans="13:13" ht="15.75" customHeight="1" x14ac:dyDescent="0.4">
      <c r="M444" s="10">
        <v>18050</v>
      </c>
    </row>
    <row r="445" spans="13:13" ht="15.75" customHeight="1" x14ac:dyDescent="0.4">
      <c r="M445" s="10">
        <v>18050</v>
      </c>
    </row>
    <row r="446" spans="13:13" ht="15.75" customHeight="1" x14ac:dyDescent="0.4">
      <c r="M446" s="10">
        <v>18050</v>
      </c>
    </row>
    <row r="447" spans="13:13" ht="15.75" customHeight="1" x14ac:dyDescent="0.4">
      <c r="M447" s="10">
        <v>18825</v>
      </c>
    </row>
    <row r="448" spans="13:13" ht="15.75" customHeight="1" x14ac:dyDescent="0.4">
      <c r="M448" s="10">
        <v>18825</v>
      </c>
    </row>
    <row r="449" spans="13:13" ht="15.75" customHeight="1" x14ac:dyDescent="0.4">
      <c r="M449" s="10">
        <v>13866</v>
      </c>
    </row>
    <row r="450" spans="13:13" ht="15.75" customHeight="1" x14ac:dyDescent="0.4">
      <c r="M450" s="10">
        <v>13866</v>
      </c>
    </row>
    <row r="451" spans="13:13" ht="15.75" customHeight="1" x14ac:dyDescent="0.4">
      <c r="M451" s="10">
        <v>17649</v>
      </c>
    </row>
    <row r="452" spans="13:13" ht="15.75" customHeight="1" x14ac:dyDescent="0.4">
      <c r="M452" s="10">
        <v>17649</v>
      </c>
    </row>
    <row r="453" spans="13:13" ht="15.75" customHeight="1" x14ac:dyDescent="0.4">
      <c r="M453" s="10">
        <v>18941</v>
      </c>
    </row>
    <row r="454" spans="13:13" ht="15.75" customHeight="1" x14ac:dyDescent="0.4">
      <c r="M454" s="10">
        <v>18941</v>
      </c>
    </row>
    <row r="455" spans="13:13" ht="15.75" customHeight="1" x14ac:dyDescent="0.4">
      <c r="M455" s="10">
        <v>18050</v>
      </c>
    </row>
    <row r="456" spans="13:13" ht="15.75" customHeight="1" x14ac:dyDescent="0.4">
      <c r="M456" s="10">
        <v>18050</v>
      </c>
    </row>
    <row r="457" spans="13:13" ht="15.75" customHeight="1" x14ac:dyDescent="0.4">
      <c r="M457" s="10">
        <v>18825</v>
      </c>
    </row>
    <row r="458" spans="13:13" ht="15.75" customHeight="1" x14ac:dyDescent="0.4">
      <c r="M458" s="10">
        <v>18825</v>
      </c>
    </row>
    <row r="459" spans="13:13" ht="15.75" customHeight="1" x14ac:dyDescent="0.4">
      <c r="M459" s="10">
        <v>18548</v>
      </c>
    </row>
    <row r="460" spans="13:13" ht="15.75" customHeight="1" x14ac:dyDescent="0.4">
      <c r="M460" s="10">
        <v>18548</v>
      </c>
    </row>
    <row r="461" spans="13:13" ht="15.75" customHeight="1" x14ac:dyDescent="0.4">
      <c r="M461" s="10">
        <v>17879</v>
      </c>
    </row>
    <row r="462" spans="13:13" ht="15.75" customHeight="1" x14ac:dyDescent="0.4">
      <c r="M462" s="10">
        <v>17879</v>
      </c>
    </row>
    <row r="463" spans="13:13" ht="15.75" customHeight="1" x14ac:dyDescent="0.4">
      <c r="M463" s="10">
        <v>18050</v>
      </c>
    </row>
    <row r="464" spans="13:13" ht="15.75" customHeight="1" x14ac:dyDescent="0.4">
      <c r="M464" s="10">
        <v>18050</v>
      </c>
    </row>
    <row r="465" spans="13:13" ht="15.75" customHeight="1" x14ac:dyDescent="0.4">
      <c r="M465" s="10">
        <v>18825</v>
      </c>
    </row>
    <row r="466" spans="13:13" ht="15.75" customHeight="1" x14ac:dyDescent="0.4">
      <c r="M466" s="10">
        <v>18825</v>
      </c>
    </row>
    <row r="467" spans="13:13" ht="15.75" customHeight="1" x14ac:dyDescent="0.4">
      <c r="M467" s="10">
        <v>15143</v>
      </c>
    </row>
    <row r="468" spans="13:13" ht="15.75" customHeight="1" x14ac:dyDescent="0.4">
      <c r="M468" s="10">
        <v>15143</v>
      </c>
    </row>
    <row r="469" spans="13:13" ht="15.75" customHeight="1" x14ac:dyDescent="0.4">
      <c r="M469" s="10">
        <v>18825</v>
      </c>
    </row>
    <row r="470" spans="13:13" ht="15.75" customHeight="1" x14ac:dyDescent="0.4">
      <c r="M470" s="10">
        <v>18825</v>
      </c>
    </row>
    <row r="471" spans="13:13" ht="15.75" customHeight="1" x14ac:dyDescent="0.4">
      <c r="M471" s="10">
        <v>18825</v>
      </c>
    </row>
    <row r="472" spans="13:13" ht="15.75" customHeight="1" x14ac:dyDescent="0.4">
      <c r="M472" s="10">
        <v>18825</v>
      </c>
    </row>
    <row r="473" spans="13:13" ht="15.75" customHeight="1" x14ac:dyDescent="0.4">
      <c r="M473" s="10">
        <v>15143</v>
      </c>
    </row>
    <row r="474" spans="13:13" ht="15.75" customHeight="1" x14ac:dyDescent="0.4">
      <c r="M474" s="10">
        <v>15143</v>
      </c>
    </row>
    <row r="475" spans="13:13" ht="15.75" customHeight="1" x14ac:dyDescent="0.4">
      <c r="M475" s="10">
        <v>15143</v>
      </c>
    </row>
    <row r="476" spans="13:13" ht="15.75" customHeight="1" x14ac:dyDescent="0.4">
      <c r="M476" s="10">
        <v>18941</v>
      </c>
    </row>
    <row r="477" spans="13:13" ht="15.75" customHeight="1" x14ac:dyDescent="0.4">
      <c r="M477" s="10">
        <v>18941</v>
      </c>
    </row>
    <row r="478" spans="13:13" ht="15.75" customHeight="1" x14ac:dyDescent="0.4">
      <c r="M478" s="10">
        <v>15019</v>
      </c>
    </row>
    <row r="479" spans="13:13" ht="15.75" customHeight="1" x14ac:dyDescent="0.4">
      <c r="M479" s="10">
        <v>15019</v>
      </c>
    </row>
    <row r="480" spans="13:13" ht="15.75" customHeight="1" x14ac:dyDescent="0.4">
      <c r="M480" s="10">
        <v>18941</v>
      </c>
    </row>
    <row r="481" spans="13:13" ht="15.75" customHeight="1" x14ac:dyDescent="0.4">
      <c r="M481" s="10">
        <v>18941</v>
      </c>
    </row>
    <row r="482" spans="13:13" ht="15.75" customHeight="1" x14ac:dyDescent="0.4">
      <c r="M482" s="10">
        <v>18548</v>
      </c>
    </row>
    <row r="483" spans="13:13" ht="15.75" customHeight="1" x14ac:dyDescent="0.4">
      <c r="M483" s="10">
        <v>18548</v>
      </c>
    </row>
    <row r="484" spans="13:13" ht="15.75" customHeight="1" x14ac:dyDescent="0.4">
      <c r="M484" s="10">
        <v>18050</v>
      </c>
    </row>
    <row r="485" spans="13:13" ht="15.75" customHeight="1" x14ac:dyDescent="0.4">
      <c r="M485" s="10">
        <v>18050</v>
      </c>
    </row>
    <row r="486" spans="13:13" ht="15.75" customHeight="1" x14ac:dyDescent="0.4">
      <c r="M486" s="10">
        <v>17879</v>
      </c>
    </row>
    <row r="487" spans="13:13" ht="15.75" customHeight="1" x14ac:dyDescent="0.4">
      <c r="M487" s="10">
        <v>17879</v>
      </c>
    </row>
    <row r="488" spans="13:13" ht="15.75" customHeight="1" x14ac:dyDescent="0.4">
      <c r="M488" s="10">
        <v>15143</v>
      </c>
    </row>
    <row r="489" spans="13:13" ht="15.75" customHeight="1" x14ac:dyDescent="0.4">
      <c r="M489" s="10">
        <v>15143</v>
      </c>
    </row>
    <row r="490" spans="13:13" ht="15.75" customHeight="1" x14ac:dyDescent="0.4">
      <c r="M490" s="10">
        <v>17649</v>
      </c>
    </row>
    <row r="491" spans="13:13" ht="15.75" customHeight="1" x14ac:dyDescent="0.4">
      <c r="M491" s="10">
        <v>17649</v>
      </c>
    </row>
    <row r="492" spans="13:13" ht="15.75" customHeight="1" x14ac:dyDescent="0.4">
      <c r="M492" s="10">
        <v>14530</v>
      </c>
    </row>
    <row r="493" spans="13:13" ht="15.75" customHeight="1" x14ac:dyDescent="0.4">
      <c r="M493" s="10">
        <v>14530</v>
      </c>
    </row>
    <row r="494" spans="13:13" ht="15.75" customHeight="1" x14ac:dyDescent="0.4">
      <c r="M494" s="10">
        <v>18232</v>
      </c>
    </row>
    <row r="495" spans="13:13" ht="15.75" customHeight="1" x14ac:dyDescent="0.4">
      <c r="M495" s="10">
        <v>18232</v>
      </c>
    </row>
    <row r="496" spans="13:13" ht="15.75" customHeight="1" x14ac:dyDescent="0.4">
      <c r="M496" s="10">
        <v>14129</v>
      </c>
    </row>
    <row r="497" spans="13:13" ht="15.75" customHeight="1" x14ac:dyDescent="0.4">
      <c r="M497" s="10">
        <v>14129</v>
      </c>
    </row>
    <row r="498" spans="13:13" ht="15.75" customHeight="1" x14ac:dyDescent="0.4">
      <c r="M498" s="10">
        <v>10374</v>
      </c>
    </row>
    <row r="499" spans="13:13" ht="15.75" customHeight="1" x14ac:dyDescent="0.4">
      <c r="M499" s="10">
        <v>10374</v>
      </c>
    </row>
    <row r="500" spans="13:13" ht="15.75" customHeight="1" x14ac:dyDescent="0.4">
      <c r="M500" s="10">
        <v>11301</v>
      </c>
    </row>
    <row r="501" spans="13:13" ht="15.75" customHeight="1" x14ac:dyDescent="0.4">
      <c r="M501" s="10">
        <v>12216</v>
      </c>
    </row>
    <row r="502" spans="13:13" ht="15.75" customHeight="1" x14ac:dyDescent="0.4">
      <c r="M502" s="10">
        <v>12216</v>
      </c>
    </row>
    <row r="503" spans="13:13" ht="15.75" customHeight="1" x14ac:dyDescent="0.4">
      <c r="M503" s="10">
        <v>18695</v>
      </c>
    </row>
    <row r="504" spans="13:13" ht="15.75" customHeight="1" x14ac:dyDescent="0.4">
      <c r="M504" s="10">
        <v>18695</v>
      </c>
    </row>
    <row r="505" spans="13:13" ht="15.75" customHeight="1" x14ac:dyDescent="0.4">
      <c r="M505" s="10">
        <v>18030</v>
      </c>
    </row>
    <row r="506" spans="13:13" ht="15.75" customHeight="1" x14ac:dyDescent="0.4">
      <c r="M506" s="10">
        <v>18030</v>
      </c>
    </row>
    <row r="507" spans="13:13" ht="15.75" customHeight="1" x14ac:dyDescent="0.4">
      <c r="M507" s="10">
        <v>18030</v>
      </c>
    </row>
    <row r="508" spans="13:13" ht="15.75" customHeight="1" x14ac:dyDescent="0.4">
      <c r="M508" s="10">
        <v>18030</v>
      </c>
    </row>
    <row r="509" spans="13:13" ht="15.75" customHeight="1" x14ac:dyDescent="0.4">
      <c r="M509" s="10">
        <v>11301</v>
      </c>
    </row>
    <row r="510" spans="13:13" ht="15.75" customHeight="1" x14ac:dyDescent="0.4">
      <c r="M510" s="10">
        <v>11301</v>
      </c>
    </row>
    <row r="511" spans="13:13" ht="15.75" customHeight="1" x14ac:dyDescent="0.4">
      <c r="M511" s="10">
        <v>18695</v>
      </c>
    </row>
    <row r="512" spans="13:13" ht="15.75" customHeight="1" x14ac:dyDescent="0.4">
      <c r="M512" s="10">
        <v>18695</v>
      </c>
    </row>
    <row r="513" spans="13:13" ht="15.75" customHeight="1" x14ac:dyDescent="0.4">
      <c r="M513" s="10">
        <v>18232</v>
      </c>
    </row>
    <row r="514" spans="13:13" ht="15.75" customHeight="1" x14ac:dyDescent="0.4">
      <c r="M514" s="10">
        <v>18232</v>
      </c>
    </row>
    <row r="515" spans="13:13" ht="15.75" customHeight="1" x14ac:dyDescent="0.4">
      <c r="M515" s="10">
        <v>10374</v>
      </c>
    </row>
    <row r="516" spans="13:13" ht="15.75" customHeight="1" x14ac:dyDescent="0.4">
      <c r="M516" s="10">
        <v>10374</v>
      </c>
    </row>
    <row r="517" spans="13:13" ht="15.75" customHeight="1" x14ac:dyDescent="0.4">
      <c r="M517" s="10">
        <v>17400</v>
      </c>
    </row>
    <row r="518" spans="13:13" ht="15.75" customHeight="1" x14ac:dyDescent="0.4">
      <c r="M518" s="10">
        <v>17400</v>
      </c>
    </row>
    <row r="519" spans="13:13" ht="15.75" customHeight="1" x14ac:dyDescent="0.4">
      <c r="M519" s="10">
        <v>10374</v>
      </c>
    </row>
    <row r="520" spans="13:13" ht="15.75" customHeight="1" x14ac:dyDescent="0.4">
      <c r="M520" s="10">
        <v>10374</v>
      </c>
    </row>
    <row r="521" spans="13:13" ht="15.75" customHeight="1" x14ac:dyDescent="0.4">
      <c r="M521" s="10">
        <v>10374</v>
      </c>
    </row>
    <row r="522" spans="13:13" ht="15.75" customHeight="1" x14ac:dyDescent="0.4">
      <c r="M522" s="10">
        <v>10374</v>
      </c>
    </row>
    <row r="523" spans="13:13" ht="15.75" customHeight="1" x14ac:dyDescent="0.4">
      <c r="M523" s="10">
        <v>18030</v>
      </c>
    </row>
    <row r="524" spans="13:13" ht="15.75" customHeight="1" x14ac:dyDescent="0.4">
      <c r="M524" s="10">
        <v>18030</v>
      </c>
    </row>
    <row r="525" spans="13:13" ht="15.75" customHeight="1" x14ac:dyDescent="0.4">
      <c r="M525" s="10">
        <v>14129</v>
      </c>
    </row>
    <row r="526" spans="13:13" ht="15.75" customHeight="1" x14ac:dyDescent="0.4">
      <c r="M526" s="10">
        <v>14129</v>
      </c>
    </row>
    <row r="527" spans="13:13" ht="15.75" customHeight="1" x14ac:dyDescent="0.4">
      <c r="M527" s="10">
        <v>10374</v>
      </c>
    </row>
    <row r="528" spans="13:13" ht="15.75" customHeight="1" x14ac:dyDescent="0.4">
      <c r="M528" s="10">
        <v>10374</v>
      </c>
    </row>
    <row r="529" spans="13:13" ht="15.75" customHeight="1" x14ac:dyDescent="0.4">
      <c r="M529" s="10">
        <v>17400</v>
      </c>
    </row>
    <row r="530" spans="13:13" ht="15.75" customHeight="1" x14ac:dyDescent="0.4">
      <c r="M530" s="10">
        <v>17400</v>
      </c>
    </row>
    <row r="531" spans="13:13" ht="15.75" customHeight="1" x14ac:dyDescent="0.4">
      <c r="M531" s="10">
        <v>18541</v>
      </c>
    </row>
    <row r="532" spans="13:13" ht="15.75" customHeight="1" x14ac:dyDescent="0.4">
      <c r="M532" s="10">
        <v>18541</v>
      </c>
    </row>
    <row r="533" spans="13:13" ht="15.75" customHeight="1" x14ac:dyDescent="0.4">
      <c r="M533" s="10">
        <v>18846</v>
      </c>
    </row>
    <row r="534" spans="13:13" ht="15.75" customHeight="1" x14ac:dyDescent="0.4">
      <c r="M534" s="10">
        <v>18846</v>
      </c>
    </row>
    <row r="535" spans="13:13" ht="15.75" customHeight="1" x14ac:dyDescent="0.4">
      <c r="M535" s="10">
        <v>18846</v>
      </c>
    </row>
    <row r="536" spans="13:13" ht="15.75" customHeight="1" x14ac:dyDescent="0.4">
      <c r="M536" s="10">
        <v>18846</v>
      </c>
    </row>
    <row r="537" spans="13:13" ht="15.75" customHeight="1" x14ac:dyDescent="0.4">
      <c r="M537" s="10">
        <v>18846</v>
      </c>
    </row>
    <row r="538" spans="13:13" ht="15.75" customHeight="1" x14ac:dyDescent="0.4">
      <c r="M538" s="10">
        <v>18846</v>
      </c>
    </row>
    <row r="539" spans="13:13" ht="15.75" customHeight="1" x14ac:dyDescent="0.4">
      <c r="M539" s="10">
        <v>17400</v>
      </c>
    </row>
    <row r="540" spans="13:13" ht="15.75" customHeight="1" x14ac:dyDescent="0.4">
      <c r="M540" s="10">
        <v>17400</v>
      </c>
    </row>
    <row r="541" spans="13:13" ht="15.75" customHeight="1" x14ac:dyDescent="0.4">
      <c r="M541" s="10">
        <v>18232</v>
      </c>
    </row>
    <row r="542" spans="13:13" ht="15.75" customHeight="1" x14ac:dyDescent="0.4">
      <c r="M542" s="10">
        <v>18232</v>
      </c>
    </row>
    <row r="543" spans="13:13" ht="15.75" customHeight="1" x14ac:dyDescent="0.4">
      <c r="M543" s="10">
        <v>14129</v>
      </c>
    </row>
    <row r="544" spans="13:13" ht="15.75" customHeight="1" x14ac:dyDescent="0.4">
      <c r="M544" s="10">
        <v>14129</v>
      </c>
    </row>
    <row r="545" spans="13:13" ht="15.75" customHeight="1" x14ac:dyDescent="0.4">
      <c r="M545" s="10">
        <v>15553</v>
      </c>
    </row>
    <row r="546" spans="13:13" ht="15.75" customHeight="1" x14ac:dyDescent="0.4">
      <c r="M546" s="10">
        <v>15553</v>
      </c>
    </row>
    <row r="547" spans="13:13" ht="15.75" customHeight="1" x14ac:dyDescent="0.4">
      <c r="M547" s="10">
        <v>18232</v>
      </c>
    </row>
    <row r="548" spans="13:13" ht="15.75" customHeight="1" x14ac:dyDescent="0.4">
      <c r="M548" s="10">
        <v>18232</v>
      </c>
    </row>
    <row r="549" spans="13:13" ht="15.75" customHeight="1" x14ac:dyDescent="0.4">
      <c r="M549" s="10">
        <v>18846</v>
      </c>
    </row>
    <row r="550" spans="13:13" ht="15.75" customHeight="1" x14ac:dyDescent="0.4">
      <c r="M550" s="10">
        <v>18232</v>
      </c>
    </row>
    <row r="551" spans="13:13" ht="15.75" customHeight="1" x14ac:dyDescent="0.4">
      <c r="M551" s="10">
        <v>18232</v>
      </c>
    </row>
    <row r="552" spans="13:13" ht="15.75" customHeight="1" x14ac:dyDescent="0.4">
      <c r="M552" s="10">
        <v>18846</v>
      </c>
    </row>
    <row r="553" spans="13:13" ht="15.75" customHeight="1" x14ac:dyDescent="0.4">
      <c r="M553" s="10">
        <v>18846</v>
      </c>
    </row>
    <row r="554" spans="13:13" ht="15.75" customHeight="1" x14ac:dyDescent="0.4">
      <c r="M554" s="10">
        <v>18541</v>
      </c>
    </row>
    <row r="555" spans="13:13" ht="15.75" customHeight="1" x14ac:dyDescent="0.4">
      <c r="M555" s="10">
        <v>18541</v>
      </c>
    </row>
    <row r="556" spans="13:13" ht="15.75" customHeight="1" x14ac:dyDescent="0.4">
      <c r="M556" s="10">
        <v>11301</v>
      </c>
    </row>
    <row r="557" spans="13:13" ht="15.75" customHeight="1" x14ac:dyDescent="0.4">
      <c r="M557" s="10">
        <v>11301</v>
      </c>
    </row>
    <row r="558" spans="13:13" ht="15.75" customHeight="1" x14ac:dyDescent="0.4">
      <c r="M558" s="10">
        <v>18695</v>
      </c>
    </row>
    <row r="559" spans="13:13" ht="15.75" customHeight="1" x14ac:dyDescent="0.4">
      <c r="M559" s="10">
        <v>18695</v>
      </c>
    </row>
    <row r="560" spans="13:13" ht="15.75" customHeight="1" x14ac:dyDescent="0.4">
      <c r="M560" s="10">
        <v>17400</v>
      </c>
    </row>
    <row r="561" spans="13:13" ht="15.75" customHeight="1" x14ac:dyDescent="0.4">
      <c r="M561" s="10">
        <v>17400</v>
      </c>
    </row>
    <row r="562" spans="13:13" ht="15.75" customHeight="1" x14ac:dyDescent="0.4">
      <c r="M562" s="10">
        <v>11301</v>
      </c>
    </row>
    <row r="563" spans="13:13" ht="15.75" customHeight="1" x14ac:dyDescent="0.4">
      <c r="M563" s="10">
        <v>11301</v>
      </c>
    </row>
    <row r="564" spans="13:13" ht="15.75" customHeight="1" x14ac:dyDescent="0.4">
      <c r="M564" s="10">
        <v>15553</v>
      </c>
    </row>
    <row r="565" spans="13:13" ht="15.75" customHeight="1" x14ac:dyDescent="0.4">
      <c r="M565" s="10">
        <v>15553</v>
      </c>
    </row>
    <row r="566" spans="13:13" ht="15.75" customHeight="1" x14ac:dyDescent="0.4">
      <c r="M566" s="10">
        <v>12216</v>
      </c>
    </row>
    <row r="567" spans="13:13" ht="15.75" customHeight="1" x14ac:dyDescent="0.4">
      <c r="M567" s="10">
        <v>12216</v>
      </c>
    </row>
    <row r="568" spans="13:13" ht="15.75" customHeight="1" x14ac:dyDescent="0.4">
      <c r="M568" s="10">
        <v>18232</v>
      </c>
    </row>
    <row r="569" spans="13:13" ht="15.75" customHeight="1" x14ac:dyDescent="0.4">
      <c r="M569" s="10">
        <v>18232</v>
      </c>
    </row>
    <row r="570" spans="13:13" ht="15.75" customHeight="1" x14ac:dyDescent="0.4">
      <c r="M570" s="10">
        <v>17400</v>
      </c>
    </row>
    <row r="571" spans="13:13" ht="15.75" customHeight="1" x14ac:dyDescent="0.4">
      <c r="M571" s="10">
        <v>17400</v>
      </c>
    </row>
    <row r="572" spans="13:13" ht="15.75" customHeight="1" x14ac:dyDescent="0.4">
      <c r="M572" s="10">
        <v>18030</v>
      </c>
    </row>
    <row r="573" spans="13:13" ht="15.75" customHeight="1" x14ac:dyDescent="0.4">
      <c r="M573" s="10">
        <v>18030</v>
      </c>
    </row>
    <row r="574" spans="13:13" ht="15.75" customHeight="1" x14ac:dyDescent="0.4">
      <c r="M574" s="10">
        <v>14129</v>
      </c>
    </row>
    <row r="575" spans="13:13" ht="15.75" customHeight="1" x14ac:dyDescent="0.4">
      <c r="M575" s="10">
        <v>14129</v>
      </c>
    </row>
    <row r="576" spans="13:13" ht="15.75" customHeight="1" x14ac:dyDescent="0.4">
      <c r="M576" s="10">
        <v>12216</v>
      </c>
    </row>
    <row r="577" spans="13:13" ht="15.75" customHeight="1" x14ac:dyDescent="0.4">
      <c r="M577" s="10">
        <v>12216</v>
      </c>
    </row>
    <row r="578" spans="13:13" ht="15.75" customHeight="1" x14ac:dyDescent="0.4">
      <c r="M578" s="10">
        <v>18846</v>
      </c>
    </row>
    <row r="579" spans="13:13" ht="15.75" customHeight="1" x14ac:dyDescent="0.4">
      <c r="M579" s="10">
        <v>18846</v>
      </c>
    </row>
    <row r="580" spans="13:13" ht="15.75" customHeight="1" x14ac:dyDescent="0.4">
      <c r="M580" s="10">
        <v>18030</v>
      </c>
    </row>
    <row r="581" spans="13:13" ht="15.75" customHeight="1" x14ac:dyDescent="0.4">
      <c r="M581" s="10">
        <v>18030</v>
      </c>
    </row>
    <row r="582" spans="13:13" ht="15.75" customHeight="1" x14ac:dyDescent="0.4">
      <c r="M582" s="10">
        <v>14129</v>
      </c>
    </row>
    <row r="583" spans="13:13" ht="15.75" customHeight="1" x14ac:dyDescent="0.4">
      <c r="M583" s="10">
        <v>14129</v>
      </c>
    </row>
    <row r="584" spans="13:13" ht="15.75" customHeight="1" x14ac:dyDescent="0.4">
      <c r="M584" s="10">
        <v>10374</v>
      </c>
    </row>
    <row r="585" spans="13:13" ht="15.75" customHeight="1" x14ac:dyDescent="0.4">
      <c r="M585" s="11"/>
    </row>
    <row r="586" spans="13:13" ht="15.75" customHeight="1" x14ac:dyDescent="0.4">
      <c r="M586" s="11"/>
    </row>
    <row r="587" spans="13:13" ht="15.75" customHeight="1" x14ac:dyDescent="0.4">
      <c r="M587" s="10">
        <v>14129</v>
      </c>
    </row>
    <row r="588" spans="13:13" ht="15.75" customHeight="1" x14ac:dyDescent="0.4">
      <c r="M588" s="10">
        <v>14129</v>
      </c>
    </row>
    <row r="589" spans="13:13" ht="15.75" customHeight="1" x14ac:dyDescent="0.4">
      <c r="M589" s="10">
        <v>17400</v>
      </c>
    </row>
    <row r="590" spans="13:13" ht="15.75" customHeight="1" x14ac:dyDescent="0.4">
      <c r="M590" s="10">
        <v>17400</v>
      </c>
    </row>
    <row r="591" spans="13:13" ht="15.75" customHeight="1" x14ac:dyDescent="0.4">
      <c r="M591" s="10">
        <v>18030</v>
      </c>
    </row>
    <row r="592" spans="13:13" ht="15.75" customHeight="1" x14ac:dyDescent="0.4">
      <c r="M592" s="10">
        <v>18030</v>
      </c>
    </row>
    <row r="593" spans="13:13" ht="15.75" customHeight="1" x14ac:dyDescent="0.4">
      <c r="M593" s="10">
        <v>15553</v>
      </c>
    </row>
    <row r="594" spans="13:13" ht="15.75" customHeight="1" x14ac:dyDescent="0.4">
      <c r="M594" s="10">
        <v>15553</v>
      </c>
    </row>
    <row r="595" spans="13:13" ht="15.75" customHeight="1" x14ac:dyDescent="0.4">
      <c r="M595" s="10">
        <v>18695</v>
      </c>
    </row>
    <row r="596" spans="13:13" ht="15.75" customHeight="1" x14ac:dyDescent="0.4">
      <c r="M596" s="10">
        <v>18695</v>
      </c>
    </row>
    <row r="597" spans="13:13" ht="15.75" customHeight="1" x14ac:dyDescent="0.4">
      <c r="M597" s="10">
        <v>14129</v>
      </c>
    </row>
    <row r="598" spans="13:13" ht="15.75" customHeight="1" x14ac:dyDescent="0.4">
      <c r="M598" s="10">
        <v>14129</v>
      </c>
    </row>
    <row r="599" spans="13:13" ht="15.75" customHeight="1" x14ac:dyDescent="0.4">
      <c r="M599" s="10">
        <v>18232</v>
      </c>
    </row>
    <row r="600" spans="13:13" ht="15.75" customHeight="1" x14ac:dyDescent="0.4">
      <c r="M600" s="10">
        <v>18232</v>
      </c>
    </row>
    <row r="601" spans="13:13" ht="15.75" customHeight="1" x14ac:dyDescent="0.4">
      <c r="M601" s="10">
        <v>18846</v>
      </c>
    </row>
    <row r="602" spans="13:13" ht="15.75" customHeight="1" x14ac:dyDescent="0.4">
      <c r="M602" s="10">
        <v>18846</v>
      </c>
    </row>
    <row r="603" spans="13:13" ht="15.75" customHeight="1" x14ac:dyDescent="0.4">
      <c r="M603" s="10">
        <v>18695</v>
      </c>
    </row>
    <row r="604" spans="13:13" ht="15.75" customHeight="1" x14ac:dyDescent="0.4">
      <c r="M604" s="10">
        <v>18695</v>
      </c>
    </row>
    <row r="605" spans="13:13" ht="15.75" customHeight="1" x14ac:dyDescent="0.4">
      <c r="M605" s="10">
        <v>14129</v>
      </c>
    </row>
    <row r="606" spans="13:13" ht="15.75" customHeight="1" x14ac:dyDescent="0.4">
      <c r="M606" s="10">
        <v>14129</v>
      </c>
    </row>
    <row r="607" spans="13:13" ht="15.75" customHeight="1" x14ac:dyDescent="0.4">
      <c r="M607" s="10">
        <v>18232</v>
      </c>
    </row>
    <row r="608" spans="13:13" ht="15.75" customHeight="1" x14ac:dyDescent="0.4">
      <c r="M608" s="10">
        <v>18232</v>
      </c>
    </row>
    <row r="609" spans="13:13" ht="15.75" customHeight="1" x14ac:dyDescent="0.4">
      <c r="M609" s="10">
        <v>18232</v>
      </c>
    </row>
    <row r="610" spans="13:13" ht="15.75" customHeight="1" x14ac:dyDescent="0.4">
      <c r="M610" s="10">
        <v>18232</v>
      </c>
    </row>
    <row r="611" spans="13:13" ht="15.75" customHeight="1" x14ac:dyDescent="0.4">
      <c r="M611" s="10">
        <v>10374</v>
      </c>
    </row>
    <row r="612" spans="13:13" ht="15.75" customHeight="1" x14ac:dyDescent="0.4">
      <c r="M612" s="10">
        <v>10374</v>
      </c>
    </row>
    <row r="613" spans="13:13" ht="15.75" customHeight="1" x14ac:dyDescent="0.4">
      <c r="M613" s="10">
        <v>18232</v>
      </c>
    </row>
    <row r="614" spans="13:13" ht="15.75" customHeight="1" x14ac:dyDescent="0.4">
      <c r="M614" s="10">
        <v>18232</v>
      </c>
    </row>
    <row r="615" spans="13:13" ht="15.75" customHeight="1" x14ac:dyDescent="0.4">
      <c r="M615" s="10">
        <v>18030</v>
      </c>
    </row>
    <row r="616" spans="13:13" ht="15.75" customHeight="1" x14ac:dyDescent="0.4">
      <c r="M616" s="10">
        <v>18030</v>
      </c>
    </row>
    <row r="617" spans="13:13" ht="15.75" customHeight="1" x14ac:dyDescent="0.4">
      <c r="M617" s="10">
        <v>18695</v>
      </c>
    </row>
    <row r="618" spans="13:13" ht="15.75" customHeight="1" x14ac:dyDescent="0.4">
      <c r="M618" s="10">
        <v>18695</v>
      </c>
    </row>
    <row r="619" spans="13:13" ht="15.75" customHeight="1" x14ac:dyDescent="0.4">
      <c r="M619" s="10">
        <v>17400</v>
      </c>
    </row>
    <row r="620" spans="13:13" ht="15.75" customHeight="1" x14ac:dyDescent="0.4">
      <c r="M620" s="10">
        <v>17400</v>
      </c>
    </row>
    <row r="621" spans="13:13" ht="15.75" customHeight="1" x14ac:dyDescent="0.4">
      <c r="M621" s="10">
        <v>12216</v>
      </c>
    </row>
    <row r="622" spans="13:13" ht="15.75" customHeight="1" x14ac:dyDescent="0.4">
      <c r="M622" s="10">
        <v>12216</v>
      </c>
    </row>
    <row r="623" spans="13:13" ht="15.75" customHeight="1" x14ac:dyDescent="0.4">
      <c r="M623" s="10">
        <v>18846</v>
      </c>
    </row>
    <row r="624" spans="13:13" ht="15.75" customHeight="1" x14ac:dyDescent="0.4">
      <c r="M624" s="10">
        <v>18846</v>
      </c>
    </row>
    <row r="625" spans="13:13" ht="15.75" customHeight="1" x14ac:dyDescent="0.4">
      <c r="M625" s="10">
        <v>18846</v>
      </c>
    </row>
    <row r="626" spans="13:13" ht="15.75" customHeight="1" x14ac:dyDescent="0.4">
      <c r="M626" s="10">
        <v>18846</v>
      </c>
    </row>
    <row r="627" spans="13:13" ht="15.75" customHeight="1" x14ac:dyDescent="0.4">
      <c r="M627" s="10">
        <v>18541</v>
      </c>
    </row>
    <row r="628" spans="13:13" ht="15.75" customHeight="1" x14ac:dyDescent="0.4">
      <c r="M628" s="10">
        <v>18541</v>
      </c>
    </row>
    <row r="629" spans="13:13" ht="15.75" customHeight="1" x14ac:dyDescent="0.4">
      <c r="M629" s="10">
        <v>18846</v>
      </c>
    </row>
    <row r="630" spans="13:13" ht="15.75" customHeight="1" x14ac:dyDescent="0.4">
      <c r="M630" s="10">
        <v>18846</v>
      </c>
    </row>
    <row r="631" spans="13:13" ht="15.75" customHeight="1" x14ac:dyDescent="0.4">
      <c r="M631" s="10">
        <v>12216</v>
      </c>
    </row>
    <row r="632" spans="13:13" ht="15.75" customHeight="1" x14ac:dyDescent="0.4">
      <c r="M632" s="10">
        <v>12216</v>
      </c>
    </row>
    <row r="633" spans="13:13" ht="15.75" customHeight="1" x14ac:dyDescent="0.4">
      <c r="M633" s="11"/>
    </row>
    <row r="634" spans="13:13" ht="15.75" customHeight="1" x14ac:dyDescent="0.4">
      <c r="M634" s="10">
        <v>12216</v>
      </c>
    </row>
    <row r="635" spans="13:13" ht="15.75" customHeight="1" x14ac:dyDescent="0.4">
      <c r="M635" s="10">
        <v>12216</v>
      </c>
    </row>
    <row r="636" spans="13:13" ht="15.75" customHeight="1" x14ac:dyDescent="0.4">
      <c r="M636" s="10">
        <v>12216</v>
      </c>
    </row>
    <row r="637" spans="13:13" ht="15.75" customHeight="1" x14ac:dyDescent="0.4">
      <c r="M637" s="10">
        <v>12216</v>
      </c>
    </row>
    <row r="638" spans="13:13" ht="15.75" customHeight="1" x14ac:dyDescent="0.4">
      <c r="M638" s="10">
        <v>10374</v>
      </c>
    </row>
    <row r="639" spans="13:13" ht="15.75" customHeight="1" x14ac:dyDescent="0.4">
      <c r="M639" s="10">
        <v>10374</v>
      </c>
    </row>
    <row r="640" spans="13:13" ht="15.75" customHeight="1" x14ac:dyDescent="0.4">
      <c r="M640" s="10">
        <v>18541</v>
      </c>
    </row>
    <row r="641" spans="13:13" ht="15.75" customHeight="1" x14ac:dyDescent="0.4">
      <c r="M641" s="10">
        <v>18541</v>
      </c>
    </row>
    <row r="642" spans="13:13" ht="15.75" customHeight="1" x14ac:dyDescent="0.4">
      <c r="M642" s="10">
        <v>17400</v>
      </c>
    </row>
    <row r="643" spans="13:13" ht="15.75" customHeight="1" x14ac:dyDescent="0.4">
      <c r="M643" s="10">
        <v>18846</v>
      </c>
    </row>
    <row r="644" spans="13:13" ht="15.75" customHeight="1" x14ac:dyDescent="0.4">
      <c r="M644" s="10">
        <v>18846</v>
      </c>
    </row>
    <row r="645" spans="13:13" ht="15.75" customHeight="1" x14ac:dyDescent="0.4">
      <c r="M645" s="11"/>
    </row>
    <row r="646" spans="13:13" ht="15.75" customHeight="1" x14ac:dyDescent="0.4">
      <c r="M646" s="10">
        <v>17400</v>
      </c>
    </row>
    <row r="647" spans="13:13" ht="15.75" customHeight="1" x14ac:dyDescent="0.4">
      <c r="M647" s="10">
        <v>17400</v>
      </c>
    </row>
    <row r="648" spans="13:13" ht="15.75" customHeight="1" x14ac:dyDescent="0.4">
      <c r="M648" s="10">
        <v>11301</v>
      </c>
    </row>
    <row r="649" spans="13:13" ht="15.75" customHeight="1" x14ac:dyDescent="0.4">
      <c r="M649" s="10">
        <v>11301</v>
      </c>
    </row>
    <row r="650" spans="13:13" ht="15.75" customHeight="1" x14ac:dyDescent="0.4">
      <c r="M650" s="10">
        <v>14129</v>
      </c>
    </row>
    <row r="651" spans="13:13" ht="15.75" customHeight="1" x14ac:dyDescent="0.4">
      <c r="M651" s="10">
        <v>14129</v>
      </c>
    </row>
    <row r="652" spans="13:13" ht="15.75" customHeight="1" x14ac:dyDescent="0.4">
      <c r="M652" s="10">
        <v>17400</v>
      </c>
    </row>
    <row r="653" spans="13:13" ht="15.75" customHeight="1" x14ac:dyDescent="0.4">
      <c r="M653" s="10">
        <v>17400</v>
      </c>
    </row>
    <row r="654" spans="13:13" ht="15.75" customHeight="1" x14ac:dyDescent="0.4">
      <c r="M654" s="11"/>
    </row>
    <row r="655" spans="13:13" ht="15.75" customHeight="1" x14ac:dyDescent="0.4">
      <c r="M655" s="10">
        <v>10374</v>
      </c>
    </row>
    <row r="656" spans="13:13" ht="15.75" customHeight="1" x14ac:dyDescent="0.4">
      <c r="M656" s="10">
        <v>10374</v>
      </c>
    </row>
    <row r="657" spans="13:13" ht="15.75" customHeight="1" x14ac:dyDescent="0.4">
      <c r="M657" s="10">
        <v>18846</v>
      </c>
    </row>
    <row r="658" spans="13:13" ht="15.75" customHeight="1" x14ac:dyDescent="0.4">
      <c r="M658" s="10">
        <v>18846</v>
      </c>
    </row>
    <row r="659" spans="13:13" ht="15.75" customHeight="1" x14ac:dyDescent="0.4">
      <c r="M659" s="10">
        <v>18846</v>
      </c>
    </row>
    <row r="660" spans="13:13" ht="15.75" customHeight="1" x14ac:dyDescent="0.4">
      <c r="M660" s="10">
        <v>18695</v>
      </c>
    </row>
    <row r="661" spans="13:13" ht="15.75" customHeight="1" x14ac:dyDescent="0.4">
      <c r="M661" s="10">
        <v>18695</v>
      </c>
    </row>
    <row r="662" spans="13:13" ht="15.75" customHeight="1" x14ac:dyDescent="0.4">
      <c r="M662" s="10">
        <v>10374</v>
      </c>
    </row>
    <row r="663" spans="13:13" ht="15.75" customHeight="1" x14ac:dyDescent="0.4">
      <c r="M663" s="10">
        <v>10374</v>
      </c>
    </row>
    <row r="664" spans="13:13" ht="15.75" customHeight="1" x14ac:dyDescent="0.4">
      <c r="M664" s="10">
        <v>17400</v>
      </c>
    </row>
    <row r="665" spans="13:13" ht="15.75" customHeight="1" x14ac:dyDescent="0.4">
      <c r="M665" s="10">
        <v>17400</v>
      </c>
    </row>
    <row r="666" spans="13:13" ht="15.75" customHeight="1" x14ac:dyDescent="0.4">
      <c r="M666" s="10">
        <v>18695</v>
      </c>
    </row>
    <row r="667" spans="13:13" ht="15.75" customHeight="1" x14ac:dyDescent="0.4">
      <c r="M667" s="10">
        <v>18695</v>
      </c>
    </row>
    <row r="668" spans="13:13" ht="15.75" customHeight="1" x14ac:dyDescent="0.4">
      <c r="M668" s="10">
        <v>18030</v>
      </c>
    </row>
    <row r="669" spans="13:13" ht="15.75" customHeight="1" x14ac:dyDescent="0.4">
      <c r="M669" s="10">
        <v>18030</v>
      </c>
    </row>
    <row r="670" spans="13:13" ht="15.75" customHeight="1" x14ac:dyDescent="0.4">
      <c r="M670" s="10">
        <v>17400</v>
      </c>
    </row>
    <row r="671" spans="13:13" ht="15.75" customHeight="1" x14ac:dyDescent="0.4">
      <c r="M671" s="10">
        <v>17400</v>
      </c>
    </row>
    <row r="672" spans="13:13" ht="15.75" customHeight="1" x14ac:dyDescent="0.4">
      <c r="M672" s="10">
        <v>18541</v>
      </c>
    </row>
    <row r="673" spans="13:13" ht="15.75" customHeight="1" x14ac:dyDescent="0.4">
      <c r="M673" s="10">
        <v>18541</v>
      </c>
    </row>
    <row r="674" spans="13:13" ht="15.75" customHeight="1" x14ac:dyDescent="0.4">
      <c r="M674" s="10">
        <v>10374</v>
      </c>
    </row>
    <row r="675" spans="13:13" ht="15.75" customHeight="1" x14ac:dyDescent="0.4">
      <c r="M675" s="10">
        <v>10374</v>
      </c>
    </row>
    <row r="676" spans="13:13" ht="15.75" customHeight="1" x14ac:dyDescent="0.4">
      <c r="M676" s="10">
        <v>10374</v>
      </c>
    </row>
    <row r="677" spans="13:13" ht="15.75" customHeight="1" x14ac:dyDescent="0.4">
      <c r="M677" s="10">
        <v>10374</v>
      </c>
    </row>
    <row r="678" spans="13:13" ht="15.75" customHeight="1" x14ac:dyDescent="0.4">
      <c r="M678" s="10">
        <v>12216</v>
      </c>
    </row>
    <row r="679" spans="13:13" ht="15.75" customHeight="1" x14ac:dyDescent="0.4">
      <c r="M679" s="10">
        <v>12216</v>
      </c>
    </row>
    <row r="680" spans="13:13" ht="15.75" customHeight="1" x14ac:dyDescent="0.4">
      <c r="M680" s="10">
        <v>18030</v>
      </c>
    </row>
    <row r="681" spans="13:13" ht="15.75" customHeight="1" x14ac:dyDescent="0.4">
      <c r="M681" s="10">
        <v>18030</v>
      </c>
    </row>
    <row r="682" spans="13:13" ht="15.75" customHeight="1" x14ac:dyDescent="0.4">
      <c r="M682" s="10">
        <v>17400</v>
      </c>
    </row>
    <row r="683" spans="13:13" ht="15.75" customHeight="1" x14ac:dyDescent="0.4">
      <c r="M683" s="10">
        <v>17400</v>
      </c>
    </row>
    <row r="684" spans="13:13" ht="15.75" customHeight="1" x14ac:dyDescent="0.4">
      <c r="M684" s="10">
        <v>18030</v>
      </c>
    </row>
    <row r="685" spans="13:13" ht="15.75" customHeight="1" x14ac:dyDescent="0.4">
      <c r="M685" s="10">
        <v>18030</v>
      </c>
    </row>
    <row r="686" spans="13:13" ht="15.75" customHeight="1" x14ac:dyDescent="0.4">
      <c r="M686" s="10">
        <v>17400</v>
      </c>
    </row>
    <row r="687" spans="13:13" ht="15.75" customHeight="1" x14ac:dyDescent="0.4">
      <c r="M687" s="10">
        <v>17400</v>
      </c>
    </row>
    <row r="688" spans="13:13" ht="15.75" customHeight="1" x14ac:dyDescent="0.4">
      <c r="M688" s="10">
        <v>18695</v>
      </c>
    </row>
    <row r="689" spans="13:13" ht="15.75" customHeight="1" x14ac:dyDescent="0.4">
      <c r="M689" s="10">
        <v>18695</v>
      </c>
    </row>
    <row r="690" spans="13:13" ht="15.75" customHeight="1" x14ac:dyDescent="0.4">
      <c r="M690" s="10">
        <v>18695</v>
      </c>
    </row>
    <row r="691" spans="13:13" ht="15.75" customHeight="1" x14ac:dyDescent="0.4">
      <c r="M691" s="10">
        <v>18695</v>
      </c>
    </row>
    <row r="692" spans="13:13" ht="15.75" customHeight="1" x14ac:dyDescent="0.4">
      <c r="M692" s="10">
        <v>14129</v>
      </c>
    </row>
    <row r="693" spans="13:13" ht="15.75" customHeight="1" x14ac:dyDescent="0.4">
      <c r="M693" s="10">
        <v>14129</v>
      </c>
    </row>
    <row r="694" spans="13:13" ht="15.75" customHeight="1" x14ac:dyDescent="0.4">
      <c r="M694" s="10">
        <v>18695</v>
      </c>
    </row>
    <row r="695" spans="13:13" ht="15.75" customHeight="1" x14ac:dyDescent="0.4">
      <c r="M695" s="10">
        <v>18695</v>
      </c>
    </row>
    <row r="696" spans="13:13" ht="15.75" customHeight="1" x14ac:dyDescent="0.4">
      <c r="M696" s="10">
        <v>18232</v>
      </c>
    </row>
    <row r="697" spans="13:13" ht="15.75" customHeight="1" x14ac:dyDescent="0.4">
      <c r="M697" s="10">
        <v>18232</v>
      </c>
    </row>
    <row r="698" spans="13:13" ht="15.75" customHeight="1" x14ac:dyDescent="0.4">
      <c r="M698" s="10">
        <v>17400</v>
      </c>
    </row>
    <row r="699" spans="13:13" ht="15.75" customHeight="1" x14ac:dyDescent="0.4">
      <c r="M699" s="10">
        <v>10374</v>
      </c>
    </row>
    <row r="700" spans="13:13" ht="15.75" customHeight="1" x14ac:dyDescent="0.4">
      <c r="M700" s="10">
        <v>10374</v>
      </c>
    </row>
    <row r="701" spans="13:13" ht="15.75" customHeight="1" x14ac:dyDescent="0.4">
      <c r="M701" s="10">
        <v>18232</v>
      </c>
    </row>
    <row r="702" spans="13:13" ht="15.75" customHeight="1" x14ac:dyDescent="0.4">
      <c r="M702" s="10">
        <v>18232</v>
      </c>
    </row>
    <row r="703" spans="13:13" ht="15.75" customHeight="1" x14ac:dyDescent="0.4">
      <c r="M703" s="10">
        <v>12216</v>
      </c>
    </row>
    <row r="704" spans="13:13" ht="15.75" customHeight="1" x14ac:dyDescent="0.4">
      <c r="M704" s="10">
        <v>12216</v>
      </c>
    </row>
    <row r="705" spans="13:13" ht="15.75" customHeight="1" x14ac:dyDescent="0.4">
      <c r="M705" s="10">
        <v>18030</v>
      </c>
    </row>
    <row r="706" spans="13:13" ht="15.75" customHeight="1" x14ac:dyDescent="0.4">
      <c r="M706" s="10">
        <v>18030</v>
      </c>
    </row>
    <row r="707" spans="13:13" ht="15.75" customHeight="1" x14ac:dyDescent="0.4">
      <c r="M707" s="10">
        <v>18232</v>
      </c>
    </row>
    <row r="708" spans="13:13" ht="15.75" customHeight="1" x14ac:dyDescent="0.4">
      <c r="M708" s="10">
        <v>18232</v>
      </c>
    </row>
    <row r="709" spans="13:13" ht="15.75" customHeight="1" x14ac:dyDescent="0.4">
      <c r="M709" s="10">
        <v>18695</v>
      </c>
    </row>
    <row r="710" spans="13:13" ht="15.75" customHeight="1" x14ac:dyDescent="0.4">
      <c r="M710" s="10">
        <v>18695</v>
      </c>
    </row>
    <row r="711" spans="13:13" ht="15.75" customHeight="1" x14ac:dyDescent="0.4">
      <c r="M711" s="10">
        <v>17400</v>
      </c>
    </row>
    <row r="712" spans="13:13" ht="15.75" customHeight="1" x14ac:dyDescent="0.4">
      <c r="M712" s="10">
        <v>12216</v>
      </c>
    </row>
    <row r="713" spans="13:13" ht="15.75" customHeight="1" x14ac:dyDescent="0.4">
      <c r="M713" s="10">
        <v>12216</v>
      </c>
    </row>
    <row r="714" spans="13:13" ht="15.75" customHeight="1" x14ac:dyDescent="0.4">
      <c r="M714" s="10">
        <v>15553</v>
      </c>
    </row>
    <row r="715" spans="13:13" ht="15.75" customHeight="1" x14ac:dyDescent="0.4">
      <c r="M715" s="10">
        <v>15553</v>
      </c>
    </row>
    <row r="716" spans="13:13" ht="15.75" customHeight="1" x14ac:dyDescent="0.4">
      <c r="M716" s="10">
        <v>11301</v>
      </c>
    </row>
    <row r="717" spans="13:13" ht="15.75" customHeight="1" x14ac:dyDescent="0.4">
      <c r="M717" s="10">
        <v>11301</v>
      </c>
    </row>
    <row r="718" spans="13:13" ht="15.75" customHeight="1" x14ac:dyDescent="0.4">
      <c r="M718" s="10">
        <v>18695</v>
      </c>
    </row>
    <row r="719" spans="13:13" ht="15.75" customHeight="1" x14ac:dyDescent="0.4">
      <c r="M719" s="10">
        <v>18695</v>
      </c>
    </row>
    <row r="720" spans="13:13" ht="15.75" customHeight="1" x14ac:dyDescent="0.4">
      <c r="M720" s="10">
        <v>15553</v>
      </c>
    </row>
    <row r="721" spans="13:13" ht="15.75" customHeight="1" x14ac:dyDescent="0.4">
      <c r="M721" s="10">
        <v>15553</v>
      </c>
    </row>
    <row r="722" spans="13:13" ht="15.75" customHeight="1" x14ac:dyDescent="0.4">
      <c r="M722" s="10">
        <v>18030</v>
      </c>
    </row>
    <row r="723" spans="13:13" ht="15.75" customHeight="1" x14ac:dyDescent="0.4">
      <c r="M723" s="10">
        <v>18030</v>
      </c>
    </row>
    <row r="724" spans="13:13" ht="15.75" customHeight="1" x14ac:dyDescent="0.4">
      <c r="M724" s="10">
        <v>17400</v>
      </c>
    </row>
    <row r="725" spans="13:13" ht="15.75" customHeight="1" x14ac:dyDescent="0.4">
      <c r="M725" s="10">
        <v>17400</v>
      </c>
    </row>
    <row r="726" spans="13:13" ht="15.75" customHeight="1" x14ac:dyDescent="0.4">
      <c r="M726" s="10">
        <v>11301</v>
      </c>
    </row>
    <row r="727" spans="13:13" ht="15.75" customHeight="1" x14ac:dyDescent="0.4">
      <c r="M727" s="10">
        <v>11301</v>
      </c>
    </row>
    <row r="728" spans="13:13" ht="15.75" customHeight="1" x14ac:dyDescent="0.4">
      <c r="M728" s="10">
        <v>18695</v>
      </c>
    </row>
    <row r="729" spans="13:13" ht="15.75" customHeight="1" x14ac:dyDescent="0.4">
      <c r="M729" s="10">
        <v>18695</v>
      </c>
    </row>
    <row r="730" spans="13:13" ht="15.75" customHeight="1" x14ac:dyDescent="0.4">
      <c r="M730" s="10">
        <v>15553</v>
      </c>
    </row>
    <row r="731" spans="13:13" ht="15.75" customHeight="1" x14ac:dyDescent="0.4">
      <c r="M731" s="10">
        <v>15553</v>
      </c>
    </row>
    <row r="732" spans="13:13" ht="15.75" customHeight="1" x14ac:dyDescent="0.4">
      <c r="M732" s="10">
        <v>18030</v>
      </c>
    </row>
    <row r="733" spans="13:13" ht="15.75" customHeight="1" x14ac:dyDescent="0.4">
      <c r="M733" s="10">
        <v>18030</v>
      </c>
    </row>
    <row r="734" spans="13:13" ht="15.75" customHeight="1" x14ac:dyDescent="0.4">
      <c r="M734" s="10">
        <v>18232</v>
      </c>
    </row>
    <row r="735" spans="13:13" ht="15.75" customHeight="1" x14ac:dyDescent="0.4">
      <c r="M735" s="10">
        <v>18232</v>
      </c>
    </row>
    <row r="736" spans="13:13" ht="15.75" customHeight="1" x14ac:dyDescent="0.4">
      <c r="M736" s="11"/>
    </row>
    <row r="737" spans="13:13" ht="15.75" customHeight="1" x14ac:dyDescent="0.4">
      <c r="M737" s="11"/>
    </row>
    <row r="738" spans="13:13" ht="15.75" customHeight="1" x14ac:dyDescent="0.4">
      <c r="M738" s="10">
        <v>18232</v>
      </c>
    </row>
    <row r="739" spans="13:13" ht="15.75" customHeight="1" x14ac:dyDescent="0.4">
      <c r="M739" s="10">
        <v>18232</v>
      </c>
    </row>
    <row r="740" spans="13:13" ht="15.75" customHeight="1" x14ac:dyDescent="0.4">
      <c r="M740" s="10">
        <v>18030</v>
      </c>
    </row>
    <row r="741" spans="13:13" ht="15.75" customHeight="1" x14ac:dyDescent="0.4">
      <c r="M741" s="10">
        <v>18030</v>
      </c>
    </row>
    <row r="742" spans="13:13" ht="15.75" customHeight="1" x14ac:dyDescent="0.4">
      <c r="M742" s="10">
        <v>18846</v>
      </c>
    </row>
    <row r="743" spans="13:13" ht="15.75" customHeight="1" x14ac:dyDescent="0.4">
      <c r="M743" s="10">
        <v>18846</v>
      </c>
    </row>
    <row r="744" spans="13:13" ht="15.75" customHeight="1" x14ac:dyDescent="0.4">
      <c r="M744" s="10">
        <v>18846</v>
      </c>
    </row>
    <row r="745" spans="13:13" ht="15.75" customHeight="1" x14ac:dyDescent="0.4">
      <c r="M745" s="10">
        <v>18846</v>
      </c>
    </row>
    <row r="746" spans="13:13" ht="15.75" customHeight="1" x14ac:dyDescent="0.4">
      <c r="M746" s="10">
        <v>17400</v>
      </c>
    </row>
    <row r="747" spans="13:13" ht="15.75" customHeight="1" x14ac:dyDescent="0.4">
      <c r="M747" s="10">
        <v>17400</v>
      </c>
    </row>
    <row r="748" spans="13:13" ht="15.75" customHeight="1" x14ac:dyDescent="0.4">
      <c r="M748" s="10">
        <v>18846</v>
      </c>
    </row>
    <row r="749" spans="13:13" ht="15.75" customHeight="1" x14ac:dyDescent="0.4">
      <c r="M749" s="10">
        <v>18846</v>
      </c>
    </row>
    <row r="750" spans="13:13" ht="15.75" customHeight="1" x14ac:dyDescent="0.4">
      <c r="M750" s="10">
        <v>14129</v>
      </c>
    </row>
    <row r="751" spans="13:13" ht="15.75" customHeight="1" x14ac:dyDescent="0.4">
      <c r="M751" s="10">
        <v>14129</v>
      </c>
    </row>
    <row r="752" spans="13:13" ht="15.75" customHeight="1" x14ac:dyDescent="0.4">
      <c r="M752" s="10">
        <v>14129</v>
      </c>
    </row>
    <row r="753" spans="13:13" ht="15.75" customHeight="1" x14ac:dyDescent="0.4">
      <c r="M753" s="10">
        <v>14129</v>
      </c>
    </row>
    <row r="754" spans="13:13" ht="15.75" customHeight="1" x14ac:dyDescent="0.4">
      <c r="M754" s="10">
        <v>12216</v>
      </c>
    </row>
    <row r="755" spans="13:13" ht="15.75" customHeight="1" x14ac:dyDescent="0.4">
      <c r="M755" s="10">
        <v>12216</v>
      </c>
    </row>
    <row r="756" spans="13:13" ht="15.75" customHeight="1" x14ac:dyDescent="0.4">
      <c r="M756" s="10">
        <v>10374</v>
      </c>
    </row>
    <row r="757" spans="13:13" ht="15.75" customHeight="1" x14ac:dyDescent="0.4">
      <c r="M757" s="10">
        <v>11301</v>
      </c>
    </row>
    <row r="758" spans="13:13" ht="15.75" customHeight="1" x14ac:dyDescent="0.4">
      <c r="M758" s="10">
        <v>11301</v>
      </c>
    </row>
    <row r="759" spans="13:13" ht="15.75" customHeight="1" x14ac:dyDescent="0.4">
      <c r="M759" s="10">
        <v>17400</v>
      </c>
    </row>
    <row r="760" spans="13:13" ht="15.75" customHeight="1" x14ac:dyDescent="0.4">
      <c r="M760" s="10">
        <v>17400</v>
      </c>
    </row>
    <row r="761" spans="13:13" ht="15.75" customHeight="1" x14ac:dyDescent="0.4">
      <c r="M761" s="10">
        <v>18695</v>
      </c>
    </row>
    <row r="762" spans="13:13" ht="15.75" customHeight="1" x14ac:dyDescent="0.4">
      <c r="M762" s="10">
        <v>18695</v>
      </c>
    </row>
    <row r="763" spans="13:13" ht="15.75" customHeight="1" x14ac:dyDescent="0.4">
      <c r="M763" s="10">
        <v>12216</v>
      </c>
    </row>
    <row r="764" spans="13:13" ht="15.75" customHeight="1" x14ac:dyDescent="0.4">
      <c r="M764" s="10">
        <v>12216</v>
      </c>
    </row>
    <row r="765" spans="13:13" ht="15.75" customHeight="1" x14ac:dyDescent="0.4">
      <c r="M765" s="10">
        <v>18846</v>
      </c>
    </row>
    <row r="766" spans="13:13" ht="15.75" customHeight="1" x14ac:dyDescent="0.4">
      <c r="M766" s="10">
        <v>18846</v>
      </c>
    </row>
    <row r="767" spans="13:13" ht="15.75" customHeight="1" x14ac:dyDescent="0.4">
      <c r="M767" s="10">
        <v>18541</v>
      </c>
    </row>
    <row r="768" spans="13:13" ht="15.75" customHeight="1" x14ac:dyDescent="0.4">
      <c r="M768" s="10">
        <v>18541</v>
      </c>
    </row>
    <row r="769" spans="13:13" ht="15.75" customHeight="1" x14ac:dyDescent="0.4">
      <c r="M769" s="10">
        <v>18232</v>
      </c>
    </row>
    <row r="770" spans="13:13" ht="15.75" customHeight="1" x14ac:dyDescent="0.4">
      <c r="M770" s="10">
        <v>18232</v>
      </c>
    </row>
    <row r="771" spans="13:13" ht="15.75" customHeight="1" x14ac:dyDescent="0.4">
      <c r="M771" s="11"/>
    </row>
    <row r="772" spans="13:13" ht="15.75" customHeight="1" x14ac:dyDescent="0.4">
      <c r="M772" s="10">
        <v>17400</v>
      </c>
    </row>
    <row r="773" spans="13:13" ht="15.75" customHeight="1" x14ac:dyDescent="0.4">
      <c r="M773" s="10">
        <v>17400</v>
      </c>
    </row>
    <row r="774" spans="13:13" ht="15.75" customHeight="1" x14ac:dyDescent="0.4">
      <c r="M774" s="10">
        <v>18846</v>
      </c>
    </row>
    <row r="775" spans="13:13" ht="15.75" customHeight="1" x14ac:dyDescent="0.4">
      <c r="M775" s="10">
        <v>18846</v>
      </c>
    </row>
    <row r="776" spans="13:13" ht="15.75" customHeight="1" x14ac:dyDescent="0.4">
      <c r="M776" s="10">
        <v>14129</v>
      </c>
    </row>
    <row r="777" spans="13:13" ht="15.75" customHeight="1" x14ac:dyDescent="0.4">
      <c r="M777" s="10">
        <v>14129</v>
      </c>
    </row>
    <row r="778" spans="13:13" ht="15.75" customHeight="1" x14ac:dyDescent="0.4">
      <c r="M778" s="10">
        <v>14129</v>
      </c>
    </row>
    <row r="779" spans="13:13" ht="15.75" customHeight="1" x14ac:dyDescent="0.4">
      <c r="M779" s="10">
        <v>14129</v>
      </c>
    </row>
    <row r="780" spans="13:13" ht="15.75" customHeight="1" x14ac:dyDescent="0.4">
      <c r="M780" s="10">
        <v>14129</v>
      </c>
    </row>
    <row r="781" spans="13:13" ht="15.75" customHeight="1" x14ac:dyDescent="0.4">
      <c r="M781" s="10">
        <v>18695</v>
      </c>
    </row>
    <row r="782" spans="13:13" ht="15.75" customHeight="1" x14ac:dyDescent="0.4">
      <c r="M782" s="10">
        <v>18695</v>
      </c>
    </row>
    <row r="783" spans="13:13" ht="15.75" customHeight="1" x14ac:dyDescent="0.4">
      <c r="M783" s="10">
        <v>14129</v>
      </c>
    </row>
    <row r="784" spans="13:13" ht="15.75" customHeight="1" x14ac:dyDescent="0.4">
      <c r="M784" s="10">
        <v>14129</v>
      </c>
    </row>
    <row r="785" spans="13:13" ht="15.75" customHeight="1" x14ac:dyDescent="0.4">
      <c r="M785" s="10">
        <v>18232</v>
      </c>
    </row>
    <row r="786" spans="13:13" ht="15.75" customHeight="1" x14ac:dyDescent="0.4">
      <c r="M786" s="10">
        <v>18232</v>
      </c>
    </row>
    <row r="787" spans="13:13" ht="15.75" customHeight="1" x14ac:dyDescent="0.4">
      <c r="M787" s="10">
        <v>14129</v>
      </c>
    </row>
    <row r="788" spans="13:13" ht="15.75" customHeight="1" x14ac:dyDescent="0.4">
      <c r="M788" s="10">
        <v>14129</v>
      </c>
    </row>
    <row r="789" spans="13:13" ht="15.75" customHeight="1" x14ac:dyDescent="0.4">
      <c r="M789" s="10">
        <v>18846</v>
      </c>
    </row>
    <row r="790" spans="13:13" ht="15.75" customHeight="1" x14ac:dyDescent="0.4">
      <c r="M790" s="10">
        <v>18846</v>
      </c>
    </row>
    <row r="791" spans="13:13" ht="15.75" customHeight="1" x14ac:dyDescent="0.4">
      <c r="M791" s="10">
        <v>18846</v>
      </c>
    </row>
    <row r="792" spans="13:13" ht="15.75" customHeight="1" x14ac:dyDescent="0.4">
      <c r="M792" s="10">
        <v>18846</v>
      </c>
    </row>
    <row r="793" spans="13:13" ht="15.75" customHeight="1" x14ac:dyDescent="0.4">
      <c r="M793" s="10">
        <v>14129</v>
      </c>
    </row>
    <row r="794" spans="13:13" ht="15.75" customHeight="1" x14ac:dyDescent="0.4">
      <c r="M794" s="10">
        <v>14129</v>
      </c>
    </row>
    <row r="795" spans="13:13" ht="15.75" customHeight="1" x14ac:dyDescent="0.4">
      <c r="M795" s="10">
        <v>18695</v>
      </c>
    </row>
    <row r="796" spans="13:13" ht="15.75" customHeight="1" x14ac:dyDescent="0.4">
      <c r="M796" s="10">
        <v>18695</v>
      </c>
    </row>
    <row r="797" spans="13:13" ht="15.75" customHeight="1" x14ac:dyDescent="0.4">
      <c r="M797" s="10">
        <v>10374</v>
      </c>
    </row>
    <row r="798" spans="13:13" ht="15.75" customHeight="1" x14ac:dyDescent="0.4">
      <c r="M798" s="10">
        <v>10374</v>
      </c>
    </row>
    <row r="799" spans="13:13" ht="15.75" customHeight="1" x14ac:dyDescent="0.4">
      <c r="M799" s="10">
        <v>18030</v>
      </c>
    </row>
    <row r="800" spans="13:13" ht="15.75" customHeight="1" x14ac:dyDescent="0.4">
      <c r="M800" s="10">
        <v>18030</v>
      </c>
    </row>
    <row r="801" spans="13:13" ht="15.75" customHeight="1" x14ac:dyDescent="0.4">
      <c r="M801" s="10">
        <v>18541</v>
      </c>
    </row>
    <row r="802" spans="13:13" ht="15.75" customHeight="1" x14ac:dyDescent="0.4">
      <c r="M802" s="10">
        <v>18541</v>
      </c>
    </row>
    <row r="803" spans="13:13" ht="15.75" customHeight="1" x14ac:dyDescent="0.4">
      <c r="M803" s="10">
        <v>18232</v>
      </c>
    </row>
    <row r="804" spans="13:13" ht="15.75" customHeight="1" x14ac:dyDescent="0.4">
      <c r="M804" s="10">
        <v>18232</v>
      </c>
    </row>
    <row r="805" spans="13:13" ht="15.75" customHeight="1" x14ac:dyDescent="0.4">
      <c r="M805" s="11"/>
    </row>
    <row r="806" spans="13:13" ht="15.75" customHeight="1" x14ac:dyDescent="0.4">
      <c r="M806" s="10">
        <v>10374</v>
      </c>
    </row>
    <row r="807" spans="13:13" ht="15.75" customHeight="1" x14ac:dyDescent="0.4">
      <c r="M807" s="10">
        <v>10374</v>
      </c>
    </row>
    <row r="808" spans="13:13" ht="15.75" customHeight="1" x14ac:dyDescent="0.4">
      <c r="M808" s="10">
        <v>15553</v>
      </c>
    </row>
    <row r="809" spans="13:13" ht="15.75" customHeight="1" x14ac:dyDescent="0.4">
      <c r="M809" s="10">
        <v>15553</v>
      </c>
    </row>
    <row r="810" spans="13:13" ht="15.75" customHeight="1" x14ac:dyDescent="0.4">
      <c r="M810" s="10">
        <v>15553</v>
      </c>
    </row>
    <row r="811" spans="13:13" ht="15.75" customHeight="1" x14ac:dyDescent="0.4">
      <c r="M811" s="10">
        <v>15553</v>
      </c>
    </row>
    <row r="812" spans="13:13" ht="15.75" customHeight="1" x14ac:dyDescent="0.4">
      <c r="M812" s="10">
        <v>12216</v>
      </c>
    </row>
    <row r="813" spans="13:13" ht="15.75" customHeight="1" x14ac:dyDescent="0.4">
      <c r="M813" s="10">
        <v>12216</v>
      </c>
    </row>
    <row r="814" spans="13:13" ht="15.75" customHeight="1" x14ac:dyDescent="0.4">
      <c r="M814" s="10">
        <v>10374</v>
      </c>
    </row>
    <row r="815" spans="13:13" ht="15.75" customHeight="1" x14ac:dyDescent="0.4">
      <c r="M815" s="10">
        <v>14129</v>
      </c>
    </row>
    <row r="816" spans="13:13" ht="15.75" customHeight="1" x14ac:dyDescent="0.4">
      <c r="M816" s="10">
        <v>14129</v>
      </c>
    </row>
    <row r="817" spans="13:13" ht="15.75" customHeight="1" x14ac:dyDescent="0.4">
      <c r="M817" s="10">
        <v>18030</v>
      </c>
    </row>
    <row r="818" spans="13:13" ht="15.75" customHeight="1" x14ac:dyDescent="0.4">
      <c r="M818" s="10">
        <v>18030</v>
      </c>
    </row>
    <row r="819" spans="13:13" ht="15.75" customHeight="1" x14ac:dyDescent="0.4">
      <c r="M819" s="10">
        <v>18541</v>
      </c>
    </row>
    <row r="820" spans="13:13" ht="15.75" customHeight="1" x14ac:dyDescent="0.4">
      <c r="M820" s="10">
        <v>18541</v>
      </c>
    </row>
    <row r="821" spans="13:13" ht="15.75" customHeight="1" x14ac:dyDescent="0.4">
      <c r="M821" s="10">
        <v>18030</v>
      </c>
    </row>
    <row r="822" spans="13:13" ht="15.75" customHeight="1" x14ac:dyDescent="0.4">
      <c r="M822" s="10">
        <v>18030</v>
      </c>
    </row>
    <row r="823" spans="13:13" ht="15.75" customHeight="1" x14ac:dyDescent="0.4">
      <c r="M823" s="10">
        <v>15553</v>
      </c>
    </row>
    <row r="824" spans="13:13" ht="15.75" customHeight="1" x14ac:dyDescent="0.4">
      <c r="M824" s="10">
        <v>15553</v>
      </c>
    </row>
    <row r="825" spans="13:13" ht="15.75" customHeight="1" x14ac:dyDescent="0.4">
      <c r="M825" s="11"/>
    </row>
    <row r="826" spans="13:13" ht="15.75" customHeight="1" x14ac:dyDescent="0.4">
      <c r="M826" s="10">
        <v>18846</v>
      </c>
    </row>
    <row r="827" spans="13:13" ht="15.75" customHeight="1" x14ac:dyDescent="0.4">
      <c r="M827" s="10">
        <v>18846</v>
      </c>
    </row>
    <row r="828" spans="13:13" ht="15.75" customHeight="1" x14ac:dyDescent="0.4">
      <c r="M828" s="10">
        <v>15553</v>
      </c>
    </row>
    <row r="829" spans="13:13" ht="15.75" customHeight="1" x14ac:dyDescent="0.4">
      <c r="M829" s="10">
        <v>15553</v>
      </c>
    </row>
    <row r="830" spans="13:13" ht="15.75" customHeight="1" x14ac:dyDescent="0.4">
      <c r="M830" s="10">
        <v>18695</v>
      </c>
    </row>
    <row r="831" spans="13:13" ht="15.75" customHeight="1" x14ac:dyDescent="0.4">
      <c r="M831" s="10">
        <v>18695</v>
      </c>
    </row>
    <row r="832" spans="13:13" ht="15.75" customHeight="1" x14ac:dyDescent="0.4">
      <c r="M832" s="10">
        <v>18695</v>
      </c>
    </row>
    <row r="833" spans="13:13" ht="15.75" customHeight="1" x14ac:dyDescent="0.4">
      <c r="M833" s="10">
        <v>18695</v>
      </c>
    </row>
    <row r="834" spans="13:13" ht="15.75" customHeight="1" x14ac:dyDescent="0.4">
      <c r="M834" s="10">
        <v>14129</v>
      </c>
    </row>
    <row r="835" spans="13:13" ht="15.75" customHeight="1" x14ac:dyDescent="0.4">
      <c r="M835" s="10">
        <v>14129</v>
      </c>
    </row>
    <row r="836" spans="13:13" ht="15.75" customHeight="1" x14ac:dyDescent="0.4">
      <c r="M836" s="10">
        <v>18232</v>
      </c>
    </row>
    <row r="837" spans="13:13" ht="15.75" customHeight="1" x14ac:dyDescent="0.4">
      <c r="M837" s="10">
        <v>18232</v>
      </c>
    </row>
    <row r="838" spans="13:13" ht="15.75" customHeight="1" x14ac:dyDescent="0.4">
      <c r="M838" s="10">
        <v>18232</v>
      </c>
    </row>
    <row r="839" spans="13:13" ht="15.75" customHeight="1" x14ac:dyDescent="0.4">
      <c r="M839" s="10">
        <v>18232</v>
      </c>
    </row>
    <row r="840" spans="13:13" ht="15.75" customHeight="1" x14ac:dyDescent="0.4">
      <c r="M840" s="11"/>
    </row>
    <row r="841" spans="13:13" ht="15.75" customHeight="1" x14ac:dyDescent="0.4">
      <c r="M841" s="11"/>
    </row>
    <row r="842" spans="13:13" ht="15.75" customHeight="1" x14ac:dyDescent="0.4">
      <c r="M842" s="10">
        <v>10374</v>
      </c>
    </row>
    <row r="843" spans="13:13" ht="15.75" customHeight="1" x14ac:dyDescent="0.4">
      <c r="M843" s="10">
        <v>10374</v>
      </c>
    </row>
    <row r="844" spans="13:13" ht="15.75" customHeight="1" x14ac:dyDescent="0.4">
      <c r="M844" s="10">
        <v>15553</v>
      </c>
    </row>
    <row r="845" spans="13:13" ht="15.75" customHeight="1" x14ac:dyDescent="0.4">
      <c r="M845" s="10">
        <v>15553</v>
      </c>
    </row>
  </sheetData>
  <autoFilter ref="A1:DH372" xr:uid="{1E5C8D40-CFAB-4AB9-8D6F-4E4F733187C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434"/>
  <sheetViews>
    <sheetView workbookViewId="0">
      <pane xSplit="1" ySplit="1" topLeftCell="B2" activePane="bottomRight" state="frozen"/>
      <selection activeCell="AP2" sqref="AP2"/>
      <selection pane="topRight" activeCell="AP2" sqref="AP2"/>
      <selection pane="bottomLeft" activeCell="AP2" sqref="AP2"/>
      <selection pane="bottomRight" activeCell="AP2" sqref="AP2"/>
    </sheetView>
  </sheetViews>
  <sheetFormatPr defaultColWidth="12.5546875" defaultRowHeight="15.75" customHeight="1" x14ac:dyDescent="0.4"/>
  <cols>
    <col min="1" max="1" width="35.1640625" bestFit="1" customWidth="1"/>
    <col min="3" max="3" width="40" bestFit="1" customWidth="1"/>
    <col min="10" max="10" width="24.1640625" bestFit="1" customWidth="1"/>
    <col min="12" max="12" width="25.71875" bestFit="1" customWidth="1"/>
    <col min="13" max="13" width="25.71875" customWidth="1"/>
    <col min="15" max="15" width="27.1640625" bestFit="1" customWidth="1"/>
    <col min="16" max="16" width="17.5546875" bestFit="1" customWidth="1"/>
    <col min="17" max="17" width="35.1640625" bestFit="1" customWidth="1"/>
    <col min="39" max="39" width="16.44140625" bestFit="1" customWidth="1"/>
    <col min="40" max="40" width="20.5546875" bestFit="1" customWidth="1"/>
    <col min="41" max="41" width="15.44140625" bestFit="1" customWidth="1"/>
  </cols>
  <sheetData>
    <row r="1" spans="1:43" s="11" customFormat="1" ht="49.5" customHeight="1" thickTop="1" thickBot="1" x14ac:dyDescent="0.45">
      <c r="A1" s="6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  <c r="I1" s="7" t="s">
        <v>53</v>
      </c>
      <c r="J1" s="7"/>
      <c r="K1" s="7" t="s">
        <v>54</v>
      </c>
      <c r="L1" s="7" t="s">
        <v>55</v>
      </c>
      <c r="M1" s="9" t="s">
        <v>466</v>
      </c>
      <c r="N1" s="7" t="s">
        <v>56</v>
      </c>
      <c r="O1" s="7" t="s">
        <v>57</v>
      </c>
      <c r="P1" s="7" t="s">
        <v>58</v>
      </c>
      <c r="Q1" s="7" t="s">
        <v>59</v>
      </c>
      <c r="R1" s="8" t="s">
        <v>60</v>
      </c>
      <c r="S1" s="8" t="s">
        <v>61</v>
      </c>
      <c r="T1" s="8" t="s">
        <v>62</v>
      </c>
      <c r="U1" s="8" t="s">
        <v>63</v>
      </c>
      <c r="V1" s="8" t="s">
        <v>64</v>
      </c>
      <c r="W1" s="8" t="s">
        <v>65</v>
      </c>
      <c r="X1" s="8" t="s">
        <v>66</v>
      </c>
      <c r="Y1" s="8" t="s">
        <v>67</v>
      </c>
      <c r="Z1" s="8" t="s">
        <v>68</v>
      </c>
      <c r="AA1" s="8" t="s">
        <v>69</v>
      </c>
      <c r="AB1" s="7" t="s">
        <v>70</v>
      </c>
      <c r="AC1" s="7" t="s">
        <v>71</v>
      </c>
      <c r="AD1" s="8" t="s">
        <v>60</v>
      </c>
      <c r="AE1" s="8" t="s">
        <v>61</v>
      </c>
      <c r="AF1" s="8" t="s">
        <v>62</v>
      </c>
      <c r="AG1" s="8" t="s">
        <v>72</v>
      </c>
      <c r="AH1" s="8" t="s">
        <v>73</v>
      </c>
      <c r="AI1" s="8" t="s">
        <v>65</v>
      </c>
      <c r="AJ1" s="8" t="s">
        <v>66</v>
      </c>
      <c r="AK1" s="8" t="s">
        <v>67</v>
      </c>
      <c r="AL1" s="8" t="s">
        <v>68</v>
      </c>
      <c r="AM1" s="10" t="s">
        <v>2</v>
      </c>
      <c r="AN1" s="10" t="s">
        <v>3</v>
      </c>
      <c r="AO1" s="10" t="s">
        <v>4</v>
      </c>
      <c r="AP1" s="12" t="s">
        <v>5</v>
      </c>
    </row>
    <row r="2" spans="1:43" ht="12.6" thickTop="1" x14ac:dyDescent="0.4">
      <c r="A2" s="1" t="s">
        <v>74</v>
      </c>
      <c r="B2" s="1"/>
      <c r="C2" s="1" t="s">
        <v>6</v>
      </c>
      <c r="D2" s="5" t="s">
        <v>7</v>
      </c>
      <c r="E2" s="5" t="s">
        <v>463</v>
      </c>
      <c r="F2" s="4" t="s">
        <v>465</v>
      </c>
      <c r="G2" s="4" t="s">
        <v>465</v>
      </c>
      <c r="H2" s="1"/>
      <c r="I2" s="1" t="s">
        <v>0</v>
      </c>
      <c r="J2" s="1" t="s">
        <v>1</v>
      </c>
      <c r="K2" s="4" t="s">
        <v>464</v>
      </c>
      <c r="L2" s="1" t="s">
        <v>11</v>
      </c>
      <c r="M2" s="1"/>
      <c r="N2" s="1"/>
      <c r="O2" s="1"/>
      <c r="P2" s="1"/>
      <c r="Q2" s="1"/>
      <c r="R2" s="1"/>
      <c r="S2" s="1"/>
      <c r="T2" s="1"/>
      <c r="U2" s="1"/>
      <c r="V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 t="s">
        <v>12</v>
      </c>
      <c r="AN2" s="1" t="s">
        <v>13</v>
      </c>
      <c r="AO2" s="1">
        <v>281</v>
      </c>
      <c r="AP2" s="3">
        <v>0.46833333333333332</v>
      </c>
      <c r="AQ2" s="1"/>
    </row>
    <row r="3" spans="1:43" ht="12.3" x14ac:dyDescent="0.4">
      <c r="A3" s="1" t="s">
        <v>74</v>
      </c>
      <c r="B3" s="1"/>
      <c r="C3" s="1" t="s">
        <v>6</v>
      </c>
      <c r="D3" s="5" t="s">
        <v>7</v>
      </c>
      <c r="E3" s="5" t="s">
        <v>463</v>
      </c>
      <c r="F3" s="4" t="s">
        <v>465</v>
      </c>
      <c r="G3" s="4" t="s">
        <v>465</v>
      </c>
      <c r="I3" s="1" t="s">
        <v>8</v>
      </c>
      <c r="J3" s="1" t="s">
        <v>9</v>
      </c>
      <c r="K3" s="4" t="s">
        <v>464</v>
      </c>
      <c r="L3" s="1" t="s">
        <v>11</v>
      </c>
      <c r="M3" s="1"/>
      <c r="O3" s="1"/>
      <c r="P3" s="1"/>
      <c r="Q3" s="1"/>
      <c r="S3" s="2"/>
      <c r="T3" s="1"/>
      <c r="U3" s="1"/>
      <c r="V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 t="s">
        <v>15</v>
      </c>
      <c r="AN3" s="1" t="s">
        <v>14</v>
      </c>
      <c r="AO3" s="1">
        <v>330</v>
      </c>
      <c r="AP3" s="3">
        <v>0.55000000000000004</v>
      </c>
      <c r="AQ3" s="1"/>
    </row>
    <row r="4" spans="1:43" ht="12.3" x14ac:dyDescent="0.4">
      <c r="A4" s="1" t="s">
        <v>75</v>
      </c>
      <c r="B4" s="1"/>
      <c r="C4" s="1" t="s">
        <v>6</v>
      </c>
      <c r="D4" s="5" t="s">
        <v>7</v>
      </c>
      <c r="E4" s="5" t="s">
        <v>463</v>
      </c>
      <c r="F4" s="4" t="s">
        <v>465</v>
      </c>
      <c r="G4" s="4" t="s">
        <v>465</v>
      </c>
      <c r="I4" s="1" t="s">
        <v>8</v>
      </c>
      <c r="J4" s="1" t="s">
        <v>9</v>
      </c>
      <c r="K4" s="4" t="s">
        <v>464</v>
      </c>
      <c r="L4" s="1" t="s">
        <v>17</v>
      </c>
      <c r="M4" s="1"/>
      <c r="O4" s="1"/>
      <c r="P4" s="1"/>
      <c r="Q4" s="1"/>
      <c r="S4" s="2"/>
      <c r="T4" s="1"/>
      <c r="U4" s="1"/>
      <c r="V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 t="s">
        <v>12</v>
      </c>
      <c r="AN4" s="1" t="s">
        <v>13</v>
      </c>
      <c r="AO4" s="1">
        <v>294</v>
      </c>
      <c r="AP4" s="3">
        <v>0.49</v>
      </c>
      <c r="AQ4" s="1"/>
    </row>
    <row r="5" spans="1:43" ht="12.3" x14ac:dyDescent="0.4">
      <c r="A5" s="1" t="s">
        <v>75</v>
      </c>
      <c r="B5" s="1"/>
      <c r="C5" s="1" t="s">
        <v>6</v>
      </c>
      <c r="D5" s="5" t="s">
        <v>7</v>
      </c>
      <c r="E5" s="5" t="s">
        <v>463</v>
      </c>
      <c r="F5" s="4" t="s">
        <v>465</v>
      </c>
      <c r="G5" s="4" t="s">
        <v>465</v>
      </c>
      <c r="I5" s="1" t="s">
        <v>16</v>
      </c>
      <c r="J5" s="1" t="s">
        <v>10</v>
      </c>
      <c r="K5" s="4" t="s">
        <v>464</v>
      </c>
      <c r="L5" s="1" t="s">
        <v>17</v>
      </c>
      <c r="M5" s="1"/>
      <c r="O5" s="1"/>
      <c r="P5" s="1"/>
      <c r="Q5" s="1"/>
      <c r="S5" s="2"/>
      <c r="T5" s="1"/>
      <c r="U5" s="1"/>
      <c r="V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 t="s">
        <v>15</v>
      </c>
      <c r="AN5" s="1" t="s">
        <v>18</v>
      </c>
      <c r="AO5" s="1">
        <v>375</v>
      </c>
      <c r="AP5" s="3">
        <v>0.625</v>
      </c>
      <c r="AQ5" s="1"/>
    </row>
    <row r="6" spans="1:43" ht="12.3" x14ac:dyDescent="0.4">
      <c r="A6" s="1" t="s">
        <v>76</v>
      </c>
      <c r="B6" s="1"/>
      <c r="C6" s="1" t="s">
        <v>6</v>
      </c>
      <c r="D6" s="5" t="s">
        <v>7</v>
      </c>
      <c r="E6" s="5" t="s">
        <v>463</v>
      </c>
      <c r="F6" s="4" t="s">
        <v>465</v>
      </c>
      <c r="G6" s="4" t="s">
        <v>465</v>
      </c>
      <c r="I6" s="1" t="s">
        <v>16</v>
      </c>
      <c r="J6" s="1" t="s">
        <v>10</v>
      </c>
      <c r="K6" s="4" t="s">
        <v>464</v>
      </c>
      <c r="L6" s="1" t="s">
        <v>19</v>
      </c>
      <c r="M6" s="1"/>
      <c r="O6" s="1"/>
      <c r="P6" s="1"/>
      <c r="Q6" s="1"/>
      <c r="S6" s="2"/>
      <c r="T6" s="1"/>
      <c r="U6" s="1"/>
      <c r="V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 t="s">
        <v>12</v>
      </c>
      <c r="AN6" s="1" t="s">
        <v>20</v>
      </c>
      <c r="AO6" s="1">
        <v>390</v>
      </c>
      <c r="AP6" s="3">
        <v>0.65</v>
      </c>
      <c r="AQ6" s="1"/>
    </row>
    <row r="7" spans="1:43" ht="12.3" x14ac:dyDescent="0.4">
      <c r="A7" s="1" t="s">
        <v>76</v>
      </c>
      <c r="B7" s="1"/>
      <c r="C7" s="1" t="s">
        <v>6</v>
      </c>
      <c r="D7" s="5" t="s">
        <v>7</v>
      </c>
      <c r="E7" s="5" t="s">
        <v>463</v>
      </c>
      <c r="F7" s="4" t="s">
        <v>465</v>
      </c>
      <c r="G7" s="4" t="s">
        <v>465</v>
      </c>
      <c r="I7" s="1" t="s">
        <v>16</v>
      </c>
      <c r="J7" s="1" t="s">
        <v>10</v>
      </c>
      <c r="K7" s="4" t="s">
        <v>464</v>
      </c>
      <c r="L7" s="1" t="s">
        <v>19</v>
      </c>
      <c r="M7" s="1"/>
      <c r="O7" s="1"/>
      <c r="P7" s="1"/>
      <c r="Q7" s="1"/>
      <c r="S7" s="1"/>
      <c r="T7" s="1"/>
      <c r="U7" s="2"/>
      <c r="V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 t="s">
        <v>15</v>
      </c>
      <c r="AN7" s="1" t="s">
        <v>20</v>
      </c>
      <c r="AO7" s="1">
        <v>399</v>
      </c>
      <c r="AP7" s="3">
        <v>0.66500000000000004</v>
      </c>
      <c r="AQ7" s="1"/>
    </row>
    <row r="8" spans="1:43" ht="12.3" x14ac:dyDescent="0.4">
      <c r="A8" s="1" t="s">
        <v>77</v>
      </c>
      <c r="B8" s="1"/>
      <c r="C8" s="1" t="s">
        <v>6</v>
      </c>
      <c r="D8" s="5" t="s">
        <v>7</v>
      </c>
      <c r="E8" s="5" t="s">
        <v>463</v>
      </c>
      <c r="F8" s="4" t="s">
        <v>465</v>
      </c>
      <c r="G8" s="4" t="s">
        <v>465</v>
      </c>
      <c r="I8" s="1" t="s">
        <v>16</v>
      </c>
      <c r="J8" s="1" t="s">
        <v>10</v>
      </c>
      <c r="K8" s="4" t="s">
        <v>464</v>
      </c>
      <c r="L8" s="1" t="s">
        <v>19</v>
      </c>
      <c r="M8" s="1"/>
      <c r="O8" s="1"/>
      <c r="P8" s="1"/>
      <c r="Q8" s="1"/>
      <c r="S8" s="1"/>
      <c r="T8" s="1"/>
      <c r="U8" s="2"/>
      <c r="V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 t="s">
        <v>12</v>
      </c>
      <c r="AN8" s="1" t="s">
        <v>20</v>
      </c>
      <c r="AO8" s="1">
        <v>333</v>
      </c>
      <c r="AP8" s="3">
        <v>0.55500000000000005</v>
      </c>
      <c r="AQ8" s="1"/>
    </row>
    <row r="9" spans="1:43" ht="12.3" x14ac:dyDescent="0.4">
      <c r="A9" s="1" t="s">
        <v>77</v>
      </c>
      <c r="B9" s="1"/>
      <c r="C9" s="1" t="s">
        <v>6</v>
      </c>
      <c r="D9" s="5" t="s">
        <v>7</v>
      </c>
      <c r="E9" s="5" t="s">
        <v>463</v>
      </c>
      <c r="F9" s="4" t="s">
        <v>465</v>
      </c>
      <c r="G9" s="4" t="s">
        <v>465</v>
      </c>
      <c r="I9" s="1" t="s">
        <v>8</v>
      </c>
      <c r="J9" s="1" t="s">
        <v>9</v>
      </c>
      <c r="K9" s="4" t="s">
        <v>464</v>
      </c>
      <c r="L9" s="1" t="s">
        <v>19</v>
      </c>
      <c r="M9" s="1"/>
      <c r="O9" s="1"/>
      <c r="P9" s="1"/>
      <c r="Q9" s="1"/>
      <c r="S9" s="2"/>
      <c r="T9" s="1"/>
      <c r="U9" s="2"/>
      <c r="V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 t="s">
        <v>15</v>
      </c>
      <c r="AN9" s="1" t="s">
        <v>13</v>
      </c>
      <c r="AO9" s="1">
        <v>370</v>
      </c>
      <c r="AP9" s="3">
        <v>0.6166666666666667</v>
      </c>
      <c r="AQ9" s="1"/>
    </row>
    <row r="10" spans="1:43" ht="12.3" x14ac:dyDescent="0.4">
      <c r="A10" s="1" t="s">
        <v>78</v>
      </c>
      <c r="B10" s="1"/>
      <c r="C10" s="1" t="s">
        <v>6</v>
      </c>
      <c r="D10" s="5" t="s">
        <v>7</v>
      </c>
      <c r="E10" s="5" t="s">
        <v>463</v>
      </c>
      <c r="F10" s="4" t="s">
        <v>465</v>
      </c>
      <c r="G10" s="4" t="s">
        <v>465</v>
      </c>
      <c r="I10" s="1" t="s">
        <v>8</v>
      </c>
      <c r="J10" s="1" t="s">
        <v>9</v>
      </c>
      <c r="K10" s="4" t="s">
        <v>464</v>
      </c>
      <c r="O10" s="1"/>
      <c r="P10" s="1"/>
      <c r="Q10" s="1"/>
      <c r="S10" s="2"/>
      <c r="T10" s="1"/>
      <c r="U10" s="2"/>
      <c r="V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 t="s">
        <v>12</v>
      </c>
      <c r="AN10" s="1" t="s">
        <v>13</v>
      </c>
      <c r="AO10" s="1">
        <v>297</v>
      </c>
      <c r="AP10" s="3">
        <v>0.495</v>
      </c>
      <c r="AQ10" s="1"/>
    </row>
    <row r="11" spans="1:43" ht="12.3" x14ac:dyDescent="0.4">
      <c r="A11" s="1" t="s">
        <v>79</v>
      </c>
      <c r="B11" s="1"/>
      <c r="C11" s="1" t="s">
        <v>6</v>
      </c>
      <c r="D11" s="5" t="s">
        <v>7</v>
      </c>
      <c r="E11" s="5" t="s">
        <v>463</v>
      </c>
      <c r="F11" s="4" t="s">
        <v>465</v>
      </c>
      <c r="G11" s="4" t="s">
        <v>465</v>
      </c>
      <c r="I11" s="1" t="s">
        <v>8</v>
      </c>
      <c r="J11" s="1" t="s">
        <v>9</v>
      </c>
      <c r="K11" s="4" t="s">
        <v>464</v>
      </c>
      <c r="L11" s="1" t="s">
        <v>19</v>
      </c>
      <c r="M11" s="1"/>
      <c r="O11" s="1"/>
      <c r="P11" s="1"/>
      <c r="Q11" s="1"/>
      <c r="S11" s="2"/>
      <c r="T11" s="1"/>
      <c r="U11" s="2"/>
      <c r="V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 t="s">
        <v>12</v>
      </c>
      <c r="AN11" s="1" t="s">
        <v>14</v>
      </c>
      <c r="AO11" s="1">
        <v>264</v>
      </c>
      <c r="AP11" s="3">
        <v>0.44</v>
      </c>
      <c r="AQ11" s="1"/>
    </row>
    <row r="12" spans="1:43" ht="12.3" x14ac:dyDescent="0.4">
      <c r="A12" s="1" t="s">
        <v>79</v>
      </c>
      <c r="B12" s="1"/>
      <c r="C12" s="1" t="s">
        <v>6</v>
      </c>
      <c r="D12" s="5" t="s">
        <v>7</v>
      </c>
      <c r="E12" s="5" t="s">
        <v>463</v>
      </c>
      <c r="F12" s="4" t="s">
        <v>465</v>
      </c>
      <c r="G12" s="4" t="s">
        <v>465</v>
      </c>
      <c r="I12" s="1" t="s">
        <v>8</v>
      </c>
      <c r="J12" s="1" t="s">
        <v>9</v>
      </c>
      <c r="K12" s="4" t="s">
        <v>464</v>
      </c>
      <c r="L12" s="1" t="s">
        <v>19</v>
      </c>
      <c r="M12" s="1"/>
      <c r="O12" s="1"/>
      <c r="P12" s="1"/>
      <c r="Q12" s="1"/>
      <c r="S12" s="1"/>
      <c r="T12" s="1"/>
      <c r="U12" s="2"/>
      <c r="V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 t="s">
        <v>15</v>
      </c>
      <c r="AN12" s="1" t="s">
        <v>14</v>
      </c>
      <c r="AO12" s="1">
        <v>320</v>
      </c>
      <c r="AP12" s="3">
        <v>0.53333333333333333</v>
      </c>
      <c r="AQ12" s="1"/>
    </row>
    <row r="13" spans="1:43" ht="12.3" x14ac:dyDescent="0.4">
      <c r="A13" s="1" t="s">
        <v>80</v>
      </c>
      <c r="B13" s="1"/>
      <c r="C13" s="1" t="s">
        <v>6</v>
      </c>
      <c r="D13" s="5" t="s">
        <v>7</v>
      </c>
      <c r="E13" s="5" t="s">
        <v>463</v>
      </c>
      <c r="F13" s="4" t="s">
        <v>465</v>
      </c>
      <c r="G13" s="4" t="s">
        <v>465</v>
      </c>
      <c r="I13" s="1" t="s">
        <v>8</v>
      </c>
      <c r="J13" s="1" t="s">
        <v>9</v>
      </c>
      <c r="K13" s="4" t="s">
        <v>464</v>
      </c>
      <c r="O13" s="1"/>
      <c r="P13" s="1"/>
      <c r="Q13" s="1"/>
      <c r="S13" s="1"/>
      <c r="T13" s="1"/>
      <c r="U13" s="2"/>
      <c r="V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 t="s">
        <v>12</v>
      </c>
      <c r="AN13" s="1" t="s">
        <v>18</v>
      </c>
      <c r="AO13" s="1">
        <v>310</v>
      </c>
      <c r="AP13" s="3">
        <v>0.51666666666666672</v>
      </c>
      <c r="AQ13" s="1"/>
    </row>
    <row r="14" spans="1:43" ht="12.3" x14ac:dyDescent="0.4">
      <c r="A14" s="1" t="s">
        <v>81</v>
      </c>
      <c r="B14" s="1"/>
      <c r="C14" s="1" t="s">
        <v>6</v>
      </c>
      <c r="D14" s="5" t="s">
        <v>7</v>
      </c>
      <c r="E14" s="5" t="s">
        <v>463</v>
      </c>
      <c r="F14" s="4" t="s">
        <v>465</v>
      </c>
      <c r="G14" s="4" t="s">
        <v>465</v>
      </c>
      <c r="I14" s="1" t="s">
        <v>16</v>
      </c>
      <c r="J14" s="1" t="s">
        <v>10</v>
      </c>
      <c r="K14" s="4" t="s">
        <v>464</v>
      </c>
      <c r="L14" s="1" t="s">
        <v>21</v>
      </c>
      <c r="M14" s="1"/>
      <c r="O14" s="1"/>
      <c r="P14" s="1"/>
      <c r="Q14" s="1"/>
      <c r="S14" s="2"/>
      <c r="T14" s="1"/>
      <c r="U14" s="2"/>
      <c r="V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 t="s">
        <v>12</v>
      </c>
      <c r="AN14" s="1" t="s">
        <v>14</v>
      </c>
      <c r="AO14" s="1">
        <v>269</v>
      </c>
      <c r="AP14" s="3">
        <v>0.44833333333333331</v>
      </c>
      <c r="AQ14" s="1"/>
    </row>
    <row r="15" spans="1:43" ht="12.3" x14ac:dyDescent="0.4">
      <c r="A15" s="1" t="s">
        <v>81</v>
      </c>
      <c r="B15" s="1"/>
      <c r="C15" s="1" t="s">
        <v>6</v>
      </c>
      <c r="D15" s="5" t="s">
        <v>7</v>
      </c>
      <c r="E15" s="5" t="s">
        <v>463</v>
      </c>
      <c r="F15" s="4" t="s">
        <v>465</v>
      </c>
      <c r="G15" s="4" t="s">
        <v>465</v>
      </c>
      <c r="I15" s="1" t="s">
        <v>16</v>
      </c>
      <c r="J15" s="1" t="s">
        <v>10</v>
      </c>
      <c r="K15" s="4" t="s">
        <v>464</v>
      </c>
      <c r="L15" s="1" t="s">
        <v>21</v>
      </c>
      <c r="M15" s="1"/>
      <c r="O15" s="1"/>
      <c r="P15" s="1"/>
      <c r="Q15" s="1"/>
      <c r="S15" s="2"/>
      <c r="T15" s="1"/>
      <c r="U15" s="1"/>
      <c r="V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 t="s">
        <v>15</v>
      </c>
      <c r="AN15" s="1" t="s">
        <v>14</v>
      </c>
      <c r="AO15" s="1">
        <v>339</v>
      </c>
      <c r="AP15" s="3">
        <v>0.56499999999999995</v>
      </c>
      <c r="AQ15" s="1"/>
    </row>
    <row r="16" spans="1:43" ht="12.3" x14ac:dyDescent="0.4">
      <c r="A16" s="1" t="s">
        <v>82</v>
      </c>
      <c r="B16" s="1"/>
      <c r="C16" s="1" t="s">
        <v>6</v>
      </c>
      <c r="D16" s="5" t="s">
        <v>7</v>
      </c>
      <c r="E16" s="5" t="s">
        <v>463</v>
      </c>
      <c r="F16" s="4" t="s">
        <v>465</v>
      </c>
      <c r="G16" s="4" t="s">
        <v>465</v>
      </c>
      <c r="I16" s="1" t="s">
        <v>16</v>
      </c>
      <c r="J16" s="1" t="s">
        <v>10</v>
      </c>
      <c r="K16" s="4" t="s">
        <v>464</v>
      </c>
      <c r="L16" s="1" t="s">
        <v>22</v>
      </c>
      <c r="M16" s="1"/>
      <c r="O16" s="1"/>
      <c r="P16" s="1"/>
      <c r="Q16" s="1"/>
      <c r="S16" s="2"/>
      <c r="T16" s="1"/>
      <c r="U16" s="1"/>
      <c r="V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 t="s">
        <v>12</v>
      </c>
      <c r="AN16" s="1" t="s">
        <v>18</v>
      </c>
      <c r="AO16" s="1">
        <v>306</v>
      </c>
      <c r="AP16" s="3">
        <v>0.51</v>
      </c>
      <c r="AQ16" s="1"/>
    </row>
    <row r="17" spans="1:43" ht="12.3" x14ac:dyDescent="0.4">
      <c r="A17" s="1" t="s">
        <v>82</v>
      </c>
      <c r="B17" s="1"/>
      <c r="C17" s="1" t="s">
        <v>6</v>
      </c>
      <c r="D17" s="5" t="s">
        <v>7</v>
      </c>
      <c r="E17" s="5" t="s">
        <v>463</v>
      </c>
      <c r="F17" s="4" t="s">
        <v>465</v>
      </c>
      <c r="G17" s="4" t="s">
        <v>465</v>
      </c>
      <c r="I17" s="1" t="s">
        <v>16</v>
      </c>
      <c r="J17" s="1" t="s">
        <v>10</v>
      </c>
      <c r="K17" s="4" t="s">
        <v>464</v>
      </c>
      <c r="L17" s="1" t="s">
        <v>22</v>
      </c>
      <c r="M17" s="1"/>
      <c r="O17" s="1"/>
      <c r="P17" s="1"/>
      <c r="Q17" s="1"/>
      <c r="S17" s="1"/>
      <c r="T17" s="1"/>
      <c r="U17" s="1"/>
      <c r="V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 t="s">
        <v>15</v>
      </c>
      <c r="AN17" s="1" t="s">
        <v>13</v>
      </c>
      <c r="AO17" s="1">
        <v>364</v>
      </c>
      <c r="AP17" s="3">
        <v>0.60666666666666669</v>
      </c>
      <c r="AQ17" s="1"/>
    </row>
    <row r="18" spans="1:43" ht="12.3" x14ac:dyDescent="0.4">
      <c r="A18" s="1" t="s">
        <v>83</v>
      </c>
      <c r="B18" s="1"/>
      <c r="C18" s="1" t="s">
        <v>6</v>
      </c>
      <c r="D18" s="5" t="s">
        <v>7</v>
      </c>
      <c r="E18" s="5" t="s">
        <v>463</v>
      </c>
      <c r="F18" s="4" t="s">
        <v>465</v>
      </c>
      <c r="G18" s="4" t="s">
        <v>465</v>
      </c>
      <c r="I18" s="1" t="s">
        <v>16</v>
      </c>
      <c r="J18" s="1" t="s">
        <v>10</v>
      </c>
      <c r="K18" s="4" t="s">
        <v>464</v>
      </c>
      <c r="L18" s="1" t="s">
        <v>22</v>
      </c>
      <c r="M18" s="1"/>
      <c r="O18" s="1"/>
      <c r="P18" s="1"/>
      <c r="Q18" s="1"/>
      <c r="S18" s="1"/>
      <c r="T18" s="1"/>
      <c r="U18" s="1"/>
      <c r="V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 t="s">
        <v>12</v>
      </c>
      <c r="AN18" s="1" t="s">
        <v>13</v>
      </c>
      <c r="AO18" s="1">
        <v>289</v>
      </c>
      <c r="AP18" s="3">
        <v>0.48166666666666669</v>
      </c>
      <c r="AQ18" s="1"/>
    </row>
    <row r="19" spans="1:43" ht="12.3" x14ac:dyDescent="0.4">
      <c r="A19" s="1" t="s">
        <v>84</v>
      </c>
      <c r="B19" s="1"/>
      <c r="C19" s="1" t="s">
        <v>6</v>
      </c>
      <c r="D19" s="5" t="s">
        <v>7</v>
      </c>
      <c r="E19" s="5" t="s">
        <v>463</v>
      </c>
      <c r="F19" s="4" t="s">
        <v>465</v>
      </c>
      <c r="G19" s="4" t="s">
        <v>465</v>
      </c>
      <c r="I19" s="1" t="s">
        <v>16</v>
      </c>
      <c r="J19" s="1" t="s">
        <v>10</v>
      </c>
      <c r="K19" s="4" t="s">
        <v>464</v>
      </c>
      <c r="L19" s="1" t="s">
        <v>23</v>
      </c>
      <c r="M19" s="1"/>
      <c r="O19" s="1"/>
      <c r="P19" s="1"/>
      <c r="Q19" s="1"/>
      <c r="S19" s="1"/>
      <c r="T19" s="1"/>
      <c r="U19" s="2"/>
      <c r="V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 t="s">
        <v>12</v>
      </c>
      <c r="AN19" s="1" t="s">
        <v>13</v>
      </c>
      <c r="AO19" s="1">
        <v>280</v>
      </c>
      <c r="AP19" s="3">
        <v>0.46666666666666667</v>
      </c>
      <c r="AQ19" s="1"/>
    </row>
    <row r="20" spans="1:43" ht="12.3" x14ac:dyDescent="0.4">
      <c r="A20" s="1" t="s">
        <v>84</v>
      </c>
      <c r="B20" s="1"/>
      <c r="C20" s="1" t="s">
        <v>6</v>
      </c>
      <c r="D20" s="5" t="s">
        <v>7</v>
      </c>
      <c r="E20" s="5" t="s">
        <v>463</v>
      </c>
      <c r="F20" s="4" t="s">
        <v>465</v>
      </c>
      <c r="G20" s="4" t="s">
        <v>465</v>
      </c>
      <c r="I20" s="1" t="s">
        <v>8</v>
      </c>
      <c r="J20" s="1" t="s">
        <v>9</v>
      </c>
      <c r="K20" s="4" t="s">
        <v>464</v>
      </c>
      <c r="L20" s="1" t="s">
        <v>23</v>
      </c>
      <c r="M20" s="1"/>
      <c r="O20" s="1"/>
      <c r="P20" s="1"/>
      <c r="Q20" s="1"/>
      <c r="S20" s="2"/>
      <c r="T20" s="1"/>
      <c r="U20" s="1"/>
      <c r="V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 t="s">
        <v>15</v>
      </c>
      <c r="AN20" s="1" t="s">
        <v>20</v>
      </c>
      <c r="AO20" s="1">
        <v>393</v>
      </c>
      <c r="AP20" s="3">
        <v>0.65500000000000003</v>
      </c>
      <c r="AQ20" s="1"/>
    </row>
    <row r="21" spans="1:43" ht="12.3" x14ac:dyDescent="0.4">
      <c r="A21" s="1" t="s">
        <v>85</v>
      </c>
      <c r="B21" s="1"/>
      <c r="C21" s="1" t="s">
        <v>6</v>
      </c>
      <c r="D21" s="5" t="s">
        <v>7</v>
      </c>
      <c r="E21" s="5" t="s">
        <v>463</v>
      </c>
      <c r="F21" s="4" t="s">
        <v>465</v>
      </c>
      <c r="G21" s="4" t="s">
        <v>465</v>
      </c>
      <c r="I21" s="1" t="s">
        <v>8</v>
      </c>
      <c r="J21" s="1" t="s">
        <v>9</v>
      </c>
      <c r="K21" s="4" t="s">
        <v>464</v>
      </c>
      <c r="L21" s="1" t="s">
        <v>24</v>
      </c>
      <c r="M21" s="1"/>
      <c r="O21" s="1"/>
      <c r="P21" s="1"/>
      <c r="Q21" s="1"/>
      <c r="S21" s="2"/>
      <c r="T21" s="1"/>
      <c r="U21" s="1"/>
      <c r="V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 t="s">
        <v>12</v>
      </c>
      <c r="AN21" s="1" t="s">
        <v>13</v>
      </c>
      <c r="AO21" s="1">
        <v>286</v>
      </c>
      <c r="AP21" s="3">
        <v>0.47666666666666668</v>
      </c>
      <c r="AQ21" s="1"/>
    </row>
    <row r="22" spans="1:43" ht="12.3" x14ac:dyDescent="0.4">
      <c r="A22" s="1" t="s">
        <v>85</v>
      </c>
      <c r="B22" s="1"/>
      <c r="C22" s="1" t="s">
        <v>6</v>
      </c>
      <c r="D22" s="5" t="s">
        <v>7</v>
      </c>
      <c r="E22" s="5" t="s">
        <v>463</v>
      </c>
      <c r="F22" s="4" t="s">
        <v>465</v>
      </c>
      <c r="G22" s="4" t="s">
        <v>465</v>
      </c>
      <c r="I22" s="1" t="s">
        <v>16</v>
      </c>
      <c r="J22" s="1" t="s">
        <v>10</v>
      </c>
      <c r="K22" s="4" t="s">
        <v>464</v>
      </c>
      <c r="L22" s="1" t="s">
        <v>24</v>
      </c>
      <c r="M22" s="1"/>
      <c r="O22" s="1"/>
      <c r="P22" s="1"/>
      <c r="Q22" s="1"/>
      <c r="S22" s="2"/>
      <c r="T22" s="1"/>
      <c r="U22" s="1"/>
      <c r="V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 t="s">
        <v>15</v>
      </c>
      <c r="AN22" s="1" t="s">
        <v>13</v>
      </c>
      <c r="AO22" s="1">
        <v>364</v>
      </c>
      <c r="AP22" s="3">
        <v>0.60666666666666669</v>
      </c>
      <c r="AQ22" s="1"/>
    </row>
    <row r="23" spans="1:43" ht="12.3" x14ac:dyDescent="0.4">
      <c r="A23" s="1" t="s">
        <v>86</v>
      </c>
      <c r="B23" s="1"/>
      <c r="C23" s="1" t="s">
        <v>6</v>
      </c>
      <c r="D23" s="5" t="s">
        <v>7</v>
      </c>
      <c r="E23" s="5" t="s">
        <v>463</v>
      </c>
      <c r="F23" s="4" t="s">
        <v>465</v>
      </c>
      <c r="G23" s="4" t="s">
        <v>465</v>
      </c>
      <c r="I23" s="1" t="s">
        <v>16</v>
      </c>
      <c r="J23" s="1" t="s">
        <v>10</v>
      </c>
      <c r="K23" s="4" t="s">
        <v>464</v>
      </c>
      <c r="L23" s="1" t="s">
        <v>25</v>
      </c>
      <c r="M23" s="1"/>
      <c r="O23" s="1"/>
      <c r="P23" s="1"/>
      <c r="Q23" s="1"/>
      <c r="S23" s="2"/>
      <c r="T23" s="1"/>
      <c r="U23" s="1"/>
      <c r="V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 t="s">
        <v>12</v>
      </c>
      <c r="AN23" s="1" t="s">
        <v>18</v>
      </c>
      <c r="AO23" s="1">
        <v>326</v>
      </c>
      <c r="AP23" s="3">
        <v>0.54333333333333333</v>
      </c>
      <c r="AQ23" s="1"/>
    </row>
    <row r="24" spans="1:43" ht="12.3" x14ac:dyDescent="0.4">
      <c r="A24" s="1" t="s">
        <v>86</v>
      </c>
      <c r="B24" s="1"/>
      <c r="C24" s="1" t="s">
        <v>6</v>
      </c>
      <c r="D24" s="5" t="s">
        <v>7</v>
      </c>
      <c r="E24" s="5" t="s">
        <v>463</v>
      </c>
      <c r="F24" s="4" t="s">
        <v>465</v>
      </c>
      <c r="G24" s="4" t="s">
        <v>465</v>
      </c>
      <c r="I24" s="1" t="s">
        <v>16</v>
      </c>
      <c r="J24" s="1" t="s">
        <v>10</v>
      </c>
      <c r="K24" s="4" t="s">
        <v>464</v>
      </c>
      <c r="L24" s="1" t="s">
        <v>25</v>
      </c>
      <c r="M24" s="1"/>
      <c r="O24" s="1"/>
      <c r="P24" s="1"/>
      <c r="Q24" s="1"/>
      <c r="S24" s="2"/>
      <c r="T24" s="1"/>
      <c r="U24" s="1"/>
      <c r="V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 t="s">
        <v>15</v>
      </c>
      <c r="AN24" s="1" t="s">
        <v>18</v>
      </c>
      <c r="AO24" s="1">
        <v>382</v>
      </c>
      <c r="AP24" s="3">
        <v>0.63666666666666671</v>
      </c>
      <c r="AQ24" s="1"/>
    </row>
    <row r="25" spans="1:43" ht="12.3" x14ac:dyDescent="0.4">
      <c r="A25" s="1" t="s">
        <v>87</v>
      </c>
      <c r="B25" s="1"/>
      <c r="C25" s="1" t="s">
        <v>6</v>
      </c>
      <c r="D25" s="5" t="s">
        <v>7</v>
      </c>
      <c r="E25" s="5" t="s">
        <v>463</v>
      </c>
      <c r="F25" s="4" t="s">
        <v>465</v>
      </c>
      <c r="G25" s="4" t="s">
        <v>465</v>
      </c>
      <c r="I25" s="1" t="s">
        <v>16</v>
      </c>
      <c r="J25" s="1" t="s">
        <v>10</v>
      </c>
      <c r="K25" s="4" t="s">
        <v>464</v>
      </c>
      <c r="L25" s="1" t="s">
        <v>25</v>
      </c>
      <c r="M25" s="1"/>
      <c r="O25" s="1"/>
      <c r="P25" s="1"/>
      <c r="Q25" s="1"/>
      <c r="S25" s="2"/>
      <c r="T25" s="1"/>
      <c r="U25" s="1"/>
      <c r="V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 t="s">
        <v>12</v>
      </c>
      <c r="AN25" s="1" t="s">
        <v>20</v>
      </c>
      <c r="AO25" s="1">
        <v>333</v>
      </c>
      <c r="AP25" s="3">
        <v>0.55500000000000005</v>
      </c>
      <c r="AQ25" s="1"/>
    </row>
    <row r="26" spans="1:43" ht="12.3" x14ac:dyDescent="0.4">
      <c r="A26" s="1" t="s">
        <v>87</v>
      </c>
      <c r="B26" s="1"/>
      <c r="C26" s="1" t="s">
        <v>6</v>
      </c>
      <c r="D26" s="5" t="s">
        <v>7</v>
      </c>
      <c r="E26" s="5" t="s">
        <v>463</v>
      </c>
      <c r="F26" s="4" t="s">
        <v>465</v>
      </c>
      <c r="G26" s="4" t="s">
        <v>465</v>
      </c>
      <c r="I26" s="1" t="s">
        <v>16</v>
      </c>
      <c r="J26" s="1" t="s">
        <v>10</v>
      </c>
      <c r="K26" s="4" t="s">
        <v>464</v>
      </c>
      <c r="L26" s="1" t="s">
        <v>25</v>
      </c>
      <c r="M26" s="1"/>
      <c r="O26" s="1"/>
      <c r="P26" s="1"/>
      <c r="Q26" s="1"/>
      <c r="S26" s="1"/>
      <c r="T26" s="1"/>
      <c r="U26" s="1"/>
      <c r="V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 t="s">
        <v>15</v>
      </c>
      <c r="AN26" s="1" t="s">
        <v>18</v>
      </c>
      <c r="AO26" s="1">
        <v>374</v>
      </c>
      <c r="AP26" s="3">
        <v>0.62333333333333329</v>
      </c>
      <c r="AQ26" s="1"/>
    </row>
    <row r="27" spans="1:43" ht="12.3" x14ac:dyDescent="0.4">
      <c r="A27" s="1" t="s">
        <v>88</v>
      </c>
      <c r="B27" s="1"/>
      <c r="C27" s="1" t="s">
        <v>6</v>
      </c>
      <c r="D27" s="5" t="s">
        <v>7</v>
      </c>
      <c r="E27" s="5" t="s">
        <v>463</v>
      </c>
      <c r="F27" s="4" t="s">
        <v>465</v>
      </c>
      <c r="G27" s="4" t="s">
        <v>465</v>
      </c>
      <c r="I27" s="1" t="s">
        <v>16</v>
      </c>
      <c r="J27" s="1" t="s">
        <v>10</v>
      </c>
      <c r="K27" s="4" t="s">
        <v>464</v>
      </c>
      <c r="L27" s="1" t="s">
        <v>25</v>
      </c>
      <c r="M27" s="1"/>
      <c r="O27" s="1"/>
      <c r="P27" s="1"/>
      <c r="Q27" s="1"/>
      <c r="S27" s="1"/>
      <c r="T27" s="1"/>
      <c r="U27" s="1"/>
      <c r="V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 t="s">
        <v>12</v>
      </c>
      <c r="AN27" s="1" t="s">
        <v>14</v>
      </c>
      <c r="AO27" s="1">
        <v>248</v>
      </c>
      <c r="AP27" s="3">
        <v>0.41333333333333333</v>
      </c>
      <c r="AQ27" s="1"/>
    </row>
    <row r="28" spans="1:43" ht="12.3" x14ac:dyDescent="0.4">
      <c r="A28" s="1" t="s">
        <v>88</v>
      </c>
      <c r="B28" s="1"/>
      <c r="C28" s="1" t="s">
        <v>6</v>
      </c>
      <c r="D28" s="5" t="s">
        <v>7</v>
      </c>
      <c r="E28" s="5" t="s">
        <v>463</v>
      </c>
      <c r="F28" s="4" t="s">
        <v>465</v>
      </c>
      <c r="G28" s="4" t="s">
        <v>465</v>
      </c>
      <c r="I28" s="1" t="s">
        <v>16</v>
      </c>
      <c r="J28" s="1" t="s">
        <v>10</v>
      </c>
      <c r="K28" s="4" t="s">
        <v>464</v>
      </c>
      <c r="L28" s="1" t="s">
        <v>25</v>
      </c>
      <c r="M28" s="1"/>
      <c r="O28" s="1"/>
      <c r="P28" s="1"/>
      <c r="Q28" s="1"/>
      <c r="S28" s="1"/>
      <c r="T28" s="1"/>
      <c r="U28" s="2"/>
      <c r="V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 t="s">
        <v>15</v>
      </c>
      <c r="AN28" s="1" t="s">
        <v>18</v>
      </c>
      <c r="AO28" s="1">
        <v>374</v>
      </c>
      <c r="AP28" s="3">
        <v>0.62333333333333329</v>
      </c>
      <c r="AQ28" s="1"/>
    </row>
    <row r="29" spans="1:43" ht="12.3" x14ac:dyDescent="0.4">
      <c r="A29" s="1" t="s">
        <v>89</v>
      </c>
      <c r="B29" s="1"/>
      <c r="C29" s="1" t="s">
        <v>6</v>
      </c>
      <c r="D29" s="5" t="s">
        <v>7</v>
      </c>
      <c r="E29" s="5" t="s">
        <v>463</v>
      </c>
      <c r="F29" s="4" t="s">
        <v>465</v>
      </c>
      <c r="G29" s="4" t="s">
        <v>465</v>
      </c>
      <c r="I29" s="1" t="s">
        <v>16</v>
      </c>
      <c r="J29" s="1" t="s">
        <v>10</v>
      </c>
      <c r="K29" s="4" t="s">
        <v>464</v>
      </c>
      <c r="L29" s="1" t="s">
        <v>26</v>
      </c>
      <c r="M29" s="1"/>
      <c r="O29" s="1"/>
      <c r="P29" s="1"/>
      <c r="Q29" s="1"/>
      <c r="S29" s="1"/>
      <c r="T29" s="1"/>
      <c r="U29" s="2"/>
      <c r="V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 t="s">
        <v>12</v>
      </c>
      <c r="AN29" s="1" t="s">
        <v>20</v>
      </c>
      <c r="AO29" s="1">
        <v>433</v>
      </c>
      <c r="AP29" s="3">
        <v>0.72166666666666668</v>
      </c>
      <c r="AQ29" s="1"/>
    </row>
    <row r="30" spans="1:43" ht="12.3" x14ac:dyDescent="0.4">
      <c r="A30" s="1" t="s">
        <v>89</v>
      </c>
      <c r="B30" s="1"/>
      <c r="C30" s="1" t="s">
        <v>6</v>
      </c>
      <c r="D30" s="5" t="s">
        <v>7</v>
      </c>
      <c r="E30" s="5" t="s">
        <v>463</v>
      </c>
      <c r="F30" s="4" t="s">
        <v>465</v>
      </c>
      <c r="G30" s="4" t="s">
        <v>465</v>
      </c>
      <c r="I30" s="1" t="s">
        <v>8</v>
      </c>
      <c r="J30" s="1" t="s">
        <v>9</v>
      </c>
      <c r="K30" s="4" t="s">
        <v>464</v>
      </c>
      <c r="L30" s="1" t="s">
        <v>26</v>
      </c>
      <c r="M30" s="1"/>
      <c r="O30" s="1"/>
      <c r="P30" s="1"/>
      <c r="Q30" s="1"/>
      <c r="S30" s="2"/>
      <c r="T30" s="1"/>
      <c r="U30" s="1"/>
      <c r="V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 t="s">
        <v>15</v>
      </c>
      <c r="AN30" s="1" t="s">
        <v>20</v>
      </c>
      <c r="AO30" s="1">
        <v>419</v>
      </c>
      <c r="AP30" s="3">
        <v>0.69833333333333336</v>
      </c>
      <c r="AQ30" s="1"/>
    </row>
    <row r="31" spans="1:43" ht="12.3" x14ac:dyDescent="0.4">
      <c r="A31" s="1" t="s">
        <v>90</v>
      </c>
      <c r="B31" s="1"/>
      <c r="C31" s="1" t="s">
        <v>6</v>
      </c>
      <c r="D31" s="5" t="s">
        <v>7</v>
      </c>
      <c r="E31" s="5" t="s">
        <v>463</v>
      </c>
      <c r="F31" s="4" t="s">
        <v>465</v>
      </c>
      <c r="G31" s="4" t="s">
        <v>465</v>
      </c>
      <c r="I31" s="1" t="s">
        <v>8</v>
      </c>
      <c r="J31" s="1" t="s">
        <v>9</v>
      </c>
      <c r="K31" s="4" t="s">
        <v>464</v>
      </c>
      <c r="L31" s="1" t="s">
        <v>11</v>
      </c>
      <c r="M31" s="1"/>
      <c r="O31" s="1"/>
      <c r="P31" s="1"/>
      <c r="Q31" s="1"/>
      <c r="S31" s="2"/>
      <c r="T31" s="1"/>
      <c r="U31" s="1"/>
      <c r="V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 t="s">
        <v>12</v>
      </c>
      <c r="AN31" s="1" t="s">
        <v>18</v>
      </c>
      <c r="AO31" s="1">
        <v>330</v>
      </c>
      <c r="AP31" s="3">
        <v>0.55000000000000004</v>
      </c>
      <c r="AQ31" s="1"/>
    </row>
    <row r="32" spans="1:43" ht="12.3" x14ac:dyDescent="0.4">
      <c r="A32" s="1" t="s">
        <v>90</v>
      </c>
      <c r="B32" s="1"/>
      <c r="C32" s="1" t="s">
        <v>6</v>
      </c>
      <c r="D32" s="5" t="s">
        <v>7</v>
      </c>
      <c r="E32" s="5" t="s">
        <v>463</v>
      </c>
      <c r="F32" s="4" t="s">
        <v>465</v>
      </c>
      <c r="G32" s="4" t="s">
        <v>465</v>
      </c>
      <c r="I32" s="1" t="s">
        <v>8</v>
      </c>
      <c r="J32" s="1" t="s">
        <v>9</v>
      </c>
      <c r="K32" s="4" t="s">
        <v>464</v>
      </c>
      <c r="L32" s="1" t="s">
        <v>11</v>
      </c>
      <c r="M32" s="1"/>
      <c r="O32" s="1"/>
      <c r="P32" s="1"/>
      <c r="Q32" s="1"/>
      <c r="S32" s="2"/>
      <c r="T32" s="1"/>
      <c r="U32" s="2"/>
      <c r="V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 t="s">
        <v>15</v>
      </c>
      <c r="AN32" s="1" t="s">
        <v>13</v>
      </c>
      <c r="AO32" s="1">
        <v>360</v>
      </c>
      <c r="AP32" s="3">
        <v>0.6</v>
      </c>
      <c r="AQ32" s="1"/>
    </row>
    <row r="33" spans="1:43" ht="12.3" x14ac:dyDescent="0.4">
      <c r="A33" s="1" t="s">
        <v>91</v>
      </c>
      <c r="B33" s="1"/>
      <c r="C33" s="1" t="s">
        <v>6</v>
      </c>
      <c r="D33" s="5" t="s">
        <v>7</v>
      </c>
      <c r="E33" s="5" t="s">
        <v>463</v>
      </c>
      <c r="F33" s="4" t="s">
        <v>465</v>
      </c>
      <c r="G33" s="4" t="s">
        <v>465</v>
      </c>
      <c r="I33" s="1" t="s">
        <v>8</v>
      </c>
      <c r="J33" s="1" t="s">
        <v>9</v>
      </c>
      <c r="K33" s="4" t="s">
        <v>464</v>
      </c>
      <c r="L33" s="1" t="s">
        <v>25</v>
      </c>
      <c r="M33" s="1"/>
      <c r="O33" s="1"/>
      <c r="P33" s="1"/>
      <c r="Q33" s="1"/>
      <c r="S33" s="2"/>
      <c r="T33" s="1"/>
      <c r="U33" s="2"/>
      <c r="V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 t="s">
        <v>12</v>
      </c>
      <c r="AN33" s="1" t="s">
        <v>20</v>
      </c>
      <c r="AO33" s="1">
        <v>514</v>
      </c>
      <c r="AP33" s="3">
        <v>0.85666666666666669</v>
      </c>
      <c r="AQ33" s="1"/>
    </row>
    <row r="34" spans="1:43" ht="12.3" x14ac:dyDescent="0.4">
      <c r="A34" s="1" t="s">
        <v>91</v>
      </c>
      <c r="B34" s="1"/>
      <c r="C34" s="1" t="s">
        <v>6</v>
      </c>
      <c r="D34" s="5" t="s">
        <v>7</v>
      </c>
      <c r="E34" s="5" t="s">
        <v>463</v>
      </c>
      <c r="F34" s="4" t="s">
        <v>465</v>
      </c>
      <c r="G34" s="4" t="s">
        <v>465</v>
      </c>
      <c r="I34" s="1" t="s">
        <v>27</v>
      </c>
      <c r="J34" s="1" t="s">
        <v>9</v>
      </c>
      <c r="K34" s="4" t="s">
        <v>464</v>
      </c>
      <c r="L34" s="1" t="s">
        <v>25</v>
      </c>
      <c r="M34" s="1"/>
      <c r="O34" s="1"/>
      <c r="P34" s="1"/>
      <c r="Q34" s="1"/>
      <c r="S34" s="2"/>
      <c r="T34" s="1"/>
      <c r="U34" s="2"/>
      <c r="V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 t="s">
        <v>15</v>
      </c>
      <c r="AN34" s="1" t="s">
        <v>20</v>
      </c>
      <c r="AO34" s="1">
        <v>448</v>
      </c>
      <c r="AP34" s="3">
        <v>0.7466666666666667</v>
      </c>
      <c r="AQ34" s="1"/>
    </row>
    <row r="35" spans="1:43" ht="12.3" x14ac:dyDescent="0.4">
      <c r="A35" s="1" t="s">
        <v>92</v>
      </c>
      <c r="B35" s="1"/>
      <c r="C35" s="1" t="s">
        <v>6</v>
      </c>
      <c r="D35" s="5" t="s">
        <v>7</v>
      </c>
      <c r="E35" s="5" t="s">
        <v>463</v>
      </c>
      <c r="F35" s="4" t="s">
        <v>465</v>
      </c>
      <c r="G35" s="4" t="s">
        <v>465</v>
      </c>
      <c r="I35" s="1" t="s">
        <v>27</v>
      </c>
      <c r="J35" s="1" t="s">
        <v>9</v>
      </c>
      <c r="K35" s="4" t="s">
        <v>464</v>
      </c>
      <c r="L35" s="1" t="s">
        <v>23</v>
      </c>
      <c r="M35" s="1"/>
      <c r="O35" s="1"/>
      <c r="P35" s="1"/>
      <c r="Q35" s="1"/>
      <c r="S35" s="2"/>
      <c r="T35" s="1"/>
      <c r="U35" s="2"/>
      <c r="V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 t="s">
        <v>12</v>
      </c>
      <c r="AN35" s="1" t="s">
        <v>13</v>
      </c>
      <c r="AO35" s="1">
        <v>293</v>
      </c>
      <c r="AP35" s="3">
        <v>0.48833333333333334</v>
      </c>
      <c r="AQ35" s="1"/>
    </row>
    <row r="36" spans="1:43" ht="12.3" x14ac:dyDescent="0.4">
      <c r="A36" s="1" t="s">
        <v>92</v>
      </c>
      <c r="B36" s="1"/>
      <c r="C36" s="1" t="s">
        <v>6</v>
      </c>
      <c r="D36" s="5" t="s">
        <v>7</v>
      </c>
      <c r="E36" s="5" t="s">
        <v>463</v>
      </c>
      <c r="F36" s="4" t="s">
        <v>465</v>
      </c>
      <c r="G36" s="4" t="s">
        <v>465</v>
      </c>
      <c r="I36" s="1" t="s">
        <v>16</v>
      </c>
      <c r="J36" s="1" t="s">
        <v>10</v>
      </c>
      <c r="K36" s="4" t="s">
        <v>464</v>
      </c>
      <c r="L36" s="1" t="s">
        <v>23</v>
      </c>
      <c r="M36" s="1"/>
      <c r="O36" s="1"/>
      <c r="P36" s="1"/>
      <c r="Q36" s="1"/>
      <c r="S36" s="2"/>
      <c r="T36" s="1"/>
      <c r="U36" s="2"/>
      <c r="V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 t="s">
        <v>15</v>
      </c>
      <c r="AN36" s="1" t="s">
        <v>13</v>
      </c>
      <c r="AO36" s="1">
        <v>360</v>
      </c>
      <c r="AP36" s="3">
        <v>0.6</v>
      </c>
      <c r="AQ36" s="1"/>
    </row>
    <row r="37" spans="1:43" ht="12.3" x14ac:dyDescent="0.4">
      <c r="A37" s="1" t="s">
        <v>93</v>
      </c>
      <c r="B37" s="1"/>
      <c r="C37" s="1" t="s">
        <v>6</v>
      </c>
      <c r="D37" s="5" t="s">
        <v>7</v>
      </c>
      <c r="E37" s="5" t="s">
        <v>463</v>
      </c>
      <c r="F37" s="4" t="s">
        <v>465</v>
      </c>
      <c r="G37" s="4" t="s">
        <v>465</v>
      </c>
      <c r="I37" s="1" t="s">
        <v>16</v>
      </c>
      <c r="J37" s="1" t="s">
        <v>10</v>
      </c>
      <c r="K37" s="4" t="s">
        <v>464</v>
      </c>
      <c r="L37" s="1" t="s">
        <v>17</v>
      </c>
      <c r="M37" s="1"/>
      <c r="O37" s="1"/>
      <c r="P37" s="1"/>
      <c r="Q37" s="1"/>
      <c r="S37" s="2"/>
      <c r="T37" s="1"/>
      <c r="U37" s="2"/>
      <c r="V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 t="s">
        <v>12</v>
      </c>
      <c r="AN37" s="1" t="s">
        <v>20</v>
      </c>
      <c r="AO37" s="1">
        <v>354</v>
      </c>
      <c r="AP37" s="3">
        <v>0.59</v>
      </c>
      <c r="AQ37" s="1"/>
    </row>
    <row r="38" spans="1:43" ht="12.3" x14ac:dyDescent="0.4">
      <c r="A38" s="1" t="s">
        <v>93</v>
      </c>
      <c r="B38" s="1"/>
      <c r="C38" s="1" t="s">
        <v>6</v>
      </c>
      <c r="D38" s="5" t="s">
        <v>7</v>
      </c>
      <c r="E38" s="5" t="s">
        <v>463</v>
      </c>
      <c r="F38" s="4" t="s">
        <v>465</v>
      </c>
      <c r="G38" s="4" t="s">
        <v>465</v>
      </c>
      <c r="I38" s="1" t="s">
        <v>16</v>
      </c>
      <c r="J38" s="1" t="s">
        <v>10</v>
      </c>
      <c r="K38" s="4" t="s">
        <v>464</v>
      </c>
      <c r="L38" s="1" t="s">
        <v>17</v>
      </c>
      <c r="M38" s="1"/>
      <c r="O38" s="1"/>
      <c r="P38" s="1"/>
      <c r="Q38" s="1"/>
      <c r="S38" s="2"/>
      <c r="T38" s="1"/>
      <c r="U38" s="1"/>
      <c r="V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 t="s">
        <v>15</v>
      </c>
      <c r="AN38" s="1" t="s">
        <v>20</v>
      </c>
      <c r="AO38" s="1">
        <v>443</v>
      </c>
      <c r="AP38" s="3">
        <v>0.73833333333333329</v>
      </c>
      <c r="AQ38" s="1"/>
    </row>
    <row r="39" spans="1:43" ht="12.3" x14ac:dyDescent="0.4">
      <c r="A39" s="1" t="s">
        <v>94</v>
      </c>
      <c r="B39" s="1"/>
      <c r="C39" s="1" t="s">
        <v>6</v>
      </c>
      <c r="D39" s="5" t="s">
        <v>7</v>
      </c>
      <c r="E39" s="5" t="s">
        <v>463</v>
      </c>
      <c r="F39" s="4" t="s">
        <v>465</v>
      </c>
      <c r="G39" s="4" t="s">
        <v>465</v>
      </c>
      <c r="I39" s="1" t="s">
        <v>16</v>
      </c>
      <c r="J39" s="1" t="s">
        <v>10</v>
      </c>
      <c r="K39" s="4" t="s">
        <v>464</v>
      </c>
      <c r="L39" s="1" t="s">
        <v>24</v>
      </c>
      <c r="M39" s="1"/>
      <c r="O39" s="1"/>
      <c r="P39" s="1"/>
      <c r="Q39" s="1"/>
      <c r="S39" s="2"/>
      <c r="T39" s="1"/>
      <c r="U39" s="1"/>
      <c r="V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 t="s">
        <v>12</v>
      </c>
      <c r="AN39" s="1" t="s">
        <v>20</v>
      </c>
      <c r="AO39" s="1">
        <v>349</v>
      </c>
      <c r="AP39" s="3">
        <v>0.58166666666666667</v>
      </c>
      <c r="AQ39" s="1"/>
    </row>
    <row r="40" spans="1:43" ht="12.3" x14ac:dyDescent="0.4">
      <c r="A40" s="1" t="s">
        <v>94</v>
      </c>
      <c r="B40" s="1"/>
      <c r="C40" s="1" t="s">
        <v>6</v>
      </c>
      <c r="D40" s="5" t="s">
        <v>7</v>
      </c>
      <c r="E40" s="5" t="s">
        <v>463</v>
      </c>
      <c r="F40" s="4" t="s">
        <v>465</v>
      </c>
      <c r="G40" s="4" t="s">
        <v>465</v>
      </c>
      <c r="I40" s="1" t="s">
        <v>16</v>
      </c>
      <c r="J40" s="1" t="s">
        <v>10</v>
      </c>
      <c r="K40" s="4" t="s">
        <v>464</v>
      </c>
      <c r="L40" s="1" t="s">
        <v>24</v>
      </c>
      <c r="M40" s="1"/>
      <c r="O40" s="1"/>
      <c r="P40" s="1"/>
      <c r="Q40" s="1"/>
      <c r="S40" s="2"/>
      <c r="T40" s="1"/>
      <c r="U40" s="1"/>
      <c r="V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 t="s">
        <v>15</v>
      </c>
      <c r="AN40" s="1" t="s">
        <v>20</v>
      </c>
      <c r="AO40" s="1">
        <v>404</v>
      </c>
      <c r="AP40" s="3">
        <v>0.67333333333333334</v>
      </c>
      <c r="AQ40" s="1"/>
    </row>
    <row r="41" spans="1:43" ht="12.3" x14ac:dyDescent="0.4">
      <c r="A41" s="1" t="s">
        <v>95</v>
      </c>
      <c r="B41" s="1"/>
      <c r="C41" s="1" t="s">
        <v>6</v>
      </c>
      <c r="D41" s="5" t="s">
        <v>7</v>
      </c>
      <c r="E41" s="5" t="s">
        <v>463</v>
      </c>
      <c r="F41" s="4" t="s">
        <v>465</v>
      </c>
      <c r="G41" s="4" t="s">
        <v>465</v>
      </c>
      <c r="I41" s="1" t="s">
        <v>16</v>
      </c>
      <c r="J41" s="1" t="s">
        <v>10</v>
      </c>
      <c r="K41" s="4" t="s">
        <v>464</v>
      </c>
      <c r="L41" s="1" t="s">
        <v>24</v>
      </c>
      <c r="M41" s="1"/>
      <c r="O41" s="1"/>
      <c r="P41" s="1"/>
      <c r="Q41" s="1"/>
      <c r="S41" s="2"/>
      <c r="T41" s="1"/>
      <c r="U41" s="1"/>
      <c r="V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 t="s">
        <v>12</v>
      </c>
      <c r="AN41" s="1" t="s">
        <v>14</v>
      </c>
      <c r="AO41" s="1">
        <v>279</v>
      </c>
      <c r="AP41" s="3">
        <v>0.46500000000000002</v>
      </c>
      <c r="AQ41" s="1"/>
    </row>
    <row r="42" spans="1:43" ht="12.3" x14ac:dyDescent="0.4">
      <c r="A42" s="1" t="s">
        <v>95</v>
      </c>
      <c r="B42" s="1"/>
      <c r="C42" s="1" t="s">
        <v>6</v>
      </c>
      <c r="D42" s="5" t="s">
        <v>7</v>
      </c>
      <c r="E42" s="5" t="s">
        <v>463</v>
      </c>
      <c r="F42" s="4" t="s">
        <v>465</v>
      </c>
      <c r="G42" s="4" t="s">
        <v>465</v>
      </c>
      <c r="I42" s="1" t="s">
        <v>8</v>
      </c>
      <c r="J42" s="1" t="s">
        <v>9</v>
      </c>
      <c r="K42" s="4" t="s">
        <v>464</v>
      </c>
      <c r="L42" s="1" t="s">
        <v>24</v>
      </c>
      <c r="M42" s="1"/>
      <c r="O42" s="1"/>
      <c r="P42" s="1"/>
      <c r="Q42" s="1"/>
      <c r="S42" s="2"/>
      <c r="T42" s="1"/>
      <c r="U42" s="1"/>
      <c r="V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 t="s">
        <v>15</v>
      </c>
      <c r="AN42" s="1" t="s">
        <v>14</v>
      </c>
      <c r="AO42" s="1">
        <v>350</v>
      </c>
      <c r="AP42" s="3">
        <v>0.58333333333333337</v>
      </c>
      <c r="AQ42" s="1"/>
    </row>
    <row r="43" spans="1:43" ht="12.3" x14ac:dyDescent="0.4">
      <c r="A43" s="1" t="s">
        <v>96</v>
      </c>
      <c r="B43" s="1"/>
      <c r="C43" s="1" t="s">
        <v>6</v>
      </c>
      <c r="D43" s="5" t="s">
        <v>7</v>
      </c>
      <c r="E43" s="5" t="s">
        <v>463</v>
      </c>
      <c r="F43" s="4" t="s">
        <v>465</v>
      </c>
      <c r="G43" s="4" t="s">
        <v>465</v>
      </c>
      <c r="I43" s="1" t="s">
        <v>8</v>
      </c>
      <c r="J43" s="1" t="s">
        <v>9</v>
      </c>
      <c r="K43" s="4" t="s">
        <v>464</v>
      </c>
      <c r="L43" s="1" t="s">
        <v>22</v>
      </c>
      <c r="M43" s="1"/>
      <c r="O43" s="1"/>
      <c r="P43" s="1"/>
      <c r="Q43" s="1"/>
      <c r="S43" s="2"/>
      <c r="T43" s="1"/>
      <c r="U43" s="1"/>
      <c r="V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 t="s">
        <v>12</v>
      </c>
      <c r="AN43" s="1" t="s">
        <v>20</v>
      </c>
      <c r="AO43" s="1">
        <v>383</v>
      </c>
      <c r="AP43" s="3">
        <v>0.63833333333333331</v>
      </c>
      <c r="AQ43" s="1"/>
    </row>
    <row r="44" spans="1:43" ht="12.3" x14ac:dyDescent="0.4">
      <c r="A44" s="1" t="s">
        <v>96</v>
      </c>
      <c r="B44" s="1"/>
      <c r="C44" s="1" t="s">
        <v>6</v>
      </c>
      <c r="D44" s="5" t="s">
        <v>7</v>
      </c>
      <c r="E44" s="5" t="s">
        <v>463</v>
      </c>
      <c r="F44" s="4" t="s">
        <v>465</v>
      </c>
      <c r="G44" s="4" t="s">
        <v>465</v>
      </c>
      <c r="I44" s="1" t="s">
        <v>8</v>
      </c>
      <c r="J44" s="1" t="s">
        <v>9</v>
      </c>
      <c r="K44" s="4" t="s">
        <v>464</v>
      </c>
      <c r="L44" s="1" t="s">
        <v>22</v>
      </c>
      <c r="M44" s="1"/>
      <c r="O44" s="1"/>
      <c r="P44" s="1"/>
      <c r="Q44" s="1"/>
      <c r="S44" s="2"/>
      <c r="T44" s="1"/>
      <c r="U44" s="1"/>
      <c r="V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 t="s">
        <v>15</v>
      </c>
      <c r="AN44" s="1" t="s">
        <v>20</v>
      </c>
      <c r="AO44" s="1">
        <v>452</v>
      </c>
      <c r="AP44" s="3">
        <v>0.7533333333333333</v>
      </c>
      <c r="AQ44" s="1"/>
    </row>
    <row r="45" spans="1:43" ht="12.3" x14ac:dyDescent="0.4">
      <c r="A45" s="1" t="s">
        <v>97</v>
      </c>
      <c r="B45" s="1"/>
      <c r="C45" s="1" t="s">
        <v>6</v>
      </c>
      <c r="D45" s="5" t="s">
        <v>7</v>
      </c>
      <c r="E45" s="5" t="s">
        <v>463</v>
      </c>
      <c r="F45" s="4" t="s">
        <v>465</v>
      </c>
      <c r="G45" s="4" t="s">
        <v>465</v>
      </c>
      <c r="I45" s="1" t="s">
        <v>8</v>
      </c>
      <c r="J45" s="1" t="s">
        <v>9</v>
      </c>
      <c r="K45" s="4" t="s">
        <v>464</v>
      </c>
      <c r="L45" s="1" t="s">
        <v>28</v>
      </c>
      <c r="M45" s="1"/>
      <c r="O45" s="1"/>
      <c r="P45" s="1"/>
      <c r="Q45" s="1"/>
      <c r="S45" s="2"/>
      <c r="T45" s="1"/>
      <c r="U45" s="1"/>
      <c r="V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 t="s">
        <v>12</v>
      </c>
      <c r="AN45" s="1" t="s">
        <v>20</v>
      </c>
      <c r="AO45" s="1">
        <v>346</v>
      </c>
      <c r="AP45" s="3">
        <v>0.57666666666666666</v>
      </c>
      <c r="AQ45" s="1"/>
    </row>
    <row r="46" spans="1:43" ht="12.3" x14ac:dyDescent="0.4">
      <c r="A46" s="1" t="s">
        <v>97</v>
      </c>
      <c r="B46" s="1"/>
      <c r="C46" s="1" t="s">
        <v>6</v>
      </c>
      <c r="D46" s="5" t="s">
        <v>7</v>
      </c>
      <c r="E46" s="5" t="s">
        <v>463</v>
      </c>
      <c r="F46" s="4" t="s">
        <v>465</v>
      </c>
      <c r="G46" s="4" t="s">
        <v>465</v>
      </c>
      <c r="I46" s="1" t="s">
        <v>8</v>
      </c>
      <c r="J46" s="1" t="s">
        <v>9</v>
      </c>
      <c r="K46" s="4" t="s">
        <v>464</v>
      </c>
      <c r="L46" s="1" t="s">
        <v>28</v>
      </c>
      <c r="M46" s="1"/>
      <c r="O46" s="1"/>
      <c r="P46" s="1"/>
      <c r="Q46" s="1"/>
      <c r="S46" s="2"/>
      <c r="T46" s="1"/>
      <c r="U46" s="1"/>
      <c r="V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 t="s">
        <v>15</v>
      </c>
      <c r="AN46" s="1" t="s">
        <v>18</v>
      </c>
      <c r="AO46" s="1">
        <v>392</v>
      </c>
      <c r="AP46" s="3">
        <v>0.65333333333333332</v>
      </c>
      <c r="AQ46" s="1"/>
    </row>
    <row r="47" spans="1:43" ht="12.3" x14ac:dyDescent="0.4">
      <c r="A47" s="1" t="s">
        <v>98</v>
      </c>
      <c r="B47" s="1"/>
      <c r="C47" s="1" t="s">
        <v>6</v>
      </c>
      <c r="D47" s="5" t="s">
        <v>7</v>
      </c>
      <c r="E47" s="5" t="s">
        <v>463</v>
      </c>
      <c r="F47" s="4" t="s">
        <v>465</v>
      </c>
      <c r="G47" s="4" t="s">
        <v>465</v>
      </c>
      <c r="I47" s="1" t="s">
        <v>8</v>
      </c>
      <c r="J47" s="1" t="s">
        <v>9</v>
      </c>
      <c r="K47" s="4" t="s">
        <v>464</v>
      </c>
      <c r="L47" s="1" t="s">
        <v>28</v>
      </c>
      <c r="M47" s="1"/>
      <c r="O47" s="1"/>
      <c r="P47" s="1"/>
      <c r="Q47" s="1"/>
      <c r="S47" s="2"/>
      <c r="T47" s="1"/>
      <c r="U47" s="1"/>
      <c r="V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 t="s">
        <v>12</v>
      </c>
      <c r="AN47" s="1" t="s">
        <v>14</v>
      </c>
      <c r="AO47" s="1">
        <v>261</v>
      </c>
      <c r="AP47" s="3">
        <v>0.435</v>
      </c>
      <c r="AQ47" s="1"/>
    </row>
    <row r="48" spans="1:43" ht="12.3" x14ac:dyDescent="0.4">
      <c r="A48" s="1" t="s">
        <v>98</v>
      </c>
      <c r="B48" s="1"/>
      <c r="C48" s="1" t="s">
        <v>6</v>
      </c>
      <c r="D48" s="5" t="s">
        <v>7</v>
      </c>
      <c r="E48" s="5" t="s">
        <v>463</v>
      </c>
      <c r="F48" s="4" t="s">
        <v>465</v>
      </c>
      <c r="G48" s="4" t="s">
        <v>465</v>
      </c>
      <c r="I48" s="1" t="s">
        <v>16</v>
      </c>
      <c r="J48" s="1" t="s">
        <v>10</v>
      </c>
      <c r="K48" s="4" t="s">
        <v>464</v>
      </c>
      <c r="L48" s="1" t="s">
        <v>28</v>
      </c>
      <c r="M48" s="1"/>
      <c r="O48" s="1"/>
      <c r="P48" s="1"/>
      <c r="Q48" s="1"/>
      <c r="S48" s="2"/>
      <c r="T48" s="1"/>
      <c r="U48" s="2"/>
      <c r="V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 t="s">
        <v>15</v>
      </c>
      <c r="AN48" s="1" t="s">
        <v>14</v>
      </c>
      <c r="AO48" s="1">
        <v>337</v>
      </c>
      <c r="AP48" s="3">
        <v>0.56166666666666665</v>
      </c>
      <c r="AQ48" s="1"/>
    </row>
    <row r="49" spans="1:43" ht="12.3" x14ac:dyDescent="0.4">
      <c r="A49" s="1" t="s">
        <v>99</v>
      </c>
      <c r="B49" s="1"/>
      <c r="C49" s="1" t="s">
        <v>6</v>
      </c>
      <c r="D49" s="5" t="s">
        <v>7</v>
      </c>
      <c r="E49" s="5" t="s">
        <v>463</v>
      </c>
      <c r="F49" s="4" t="s">
        <v>465</v>
      </c>
      <c r="G49" s="4" t="s">
        <v>465</v>
      </c>
      <c r="I49" s="1" t="s">
        <v>16</v>
      </c>
      <c r="J49" s="1" t="s">
        <v>10</v>
      </c>
      <c r="K49" s="4" t="s">
        <v>464</v>
      </c>
      <c r="L49" s="1" t="s">
        <v>17</v>
      </c>
      <c r="M49" s="1"/>
      <c r="O49" s="1"/>
      <c r="P49" s="1"/>
      <c r="Q49" s="1"/>
      <c r="S49" s="2"/>
      <c r="T49" s="1"/>
      <c r="U49" s="2"/>
      <c r="V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 t="s">
        <v>12</v>
      </c>
      <c r="AN49" s="1" t="s">
        <v>20</v>
      </c>
      <c r="AO49" s="1">
        <v>423</v>
      </c>
      <c r="AP49" s="3">
        <v>0.70499999999999996</v>
      </c>
      <c r="AQ49" s="1"/>
    </row>
    <row r="50" spans="1:43" ht="12.3" x14ac:dyDescent="0.4">
      <c r="A50" s="1" t="s">
        <v>99</v>
      </c>
      <c r="B50" s="1"/>
      <c r="C50" s="1" t="s">
        <v>6</v>
      </c>
      <c r="D50" s="5" t="s">
        <v>7</v>
      </c>
      <c r="E50" s="5" t="s">
        <v>463</v>
      </c>
      <c r="F50" s="4" t="s">
        <v>465</v>
      </c>
      <c r="G50" s="4" t="s">
        <v>465</v>
      </c>
      <c r="I50" s="1" t="s">
        <v>8</v>
      </c>
      <c r="J50" s="1" t="s">
        <v>9</v>
      </c>
      <c r="K50" s="4" t="s">
        <v>464</v>
      </c>
      <c r="L50" s="1" t="s">
        <v>17</v>
      </c>
      <c r="M50" s="1"/>
      <c r="O50" s="1"/>
      <c r="P50" s="1"/>
      <c r="Q50" s="1"/>
      <c r="S50" s="2"/>
      <c r="T50" s="1"/>
      <c r="U50" s="1"/>
      <c r="V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 t="s">
        <v>15</v>
      </c>
      <c r="AN50" s="1" t="s">
        <v>20</v>
      </c>
      <c r="AO50" s="1">
        <v>448</v>
      </c>
      <c r="AP50" s="3">
        <v>0.7466666666666667</v>
      </c>
      <c r="AQ50" s="1"/>
    </row>
    <row r="51" spans="1:43" ht="12.3" x14ac:dyDescent="0.4">
      <c r="A51" s="1" t="s">
        <v>100</v>
      </c>
      <c r="B51" s="1"/>
      <c r="C51" s="1" t="s">
        <v>6</v>
      </c>
      <c r="D51" s="5" t="s">
        <v>7</v>
      </c>
      <c r="E51" s="5" t="s">
        <v>463</v>
      </c>
      <c r="F51" s="4" t="s">
        <v>465</v>
      </c>
      <c r="G51" s="4" t="s">
        <v>465</v>
      </c>
      <c r="I51" s="1" t="s">
        <v>8</v>
      </c>
      <c r="J51" s="1" t="s">
        <v>9</v>
      </c>
      <c r="K51" s="4" t="s">
        <v>464</v>
      </c>
      <c r="L51" s="1" t="s">
        <v>23</v>
      </c>
      <c r="M51" s="1"/>
      <c r="O51" s="1"/>
      <c r="P51" s="1"/>
      <c r="Q51" s="1"/>
      <c r="S51" s="2"/>
      <c r="T51" s="1"/>
      <c r="U51" s="1"/>
      <c r="V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 t="s">
        <v>12</v>
      </c>
      <c r="AN51" s="1" t="s">
        <v>20</v>
      </c>
      <c r="AO51" s="1">
        <v>383</v>
      </c>
      <c r="AP51" s="3">
        <v>0.63833333333333331</v>
      </c>
      <c r="AQ51" s="1"/>
    </row>
    <row r="52" spans="1:43" ht="12.3" x14ac:dyDescent="0.4">
      <c r="A52" s="1" t="s">
        <v>100</v>
      </c>
      <c r="B52" s="1"/>
      <c r="C52" s="1" t="s">
        <v>6</v>
      </c>
      <c r="D52" s="5" t="s">
        <v>7</v>
      </c>
      <c r="E52" s="5" t="s">
        <v>463</v>
      </c>
      <c r="F52" s="4" t="s">
        <v>465</v>
      </c>
      <c r="G52" s="4" t="s">
        <v>465</v>
      </c>
      <c r="I52" s="1" t="s">
        <v>8</v>
      </c>
      <c r="J52" s="1" t="s">
        <v>9</v>
      </c>
      <c r="K52" s="4" t="s">
        <v>464</v>
      </c>
      <c r="L52" s="1" t="s">
        <v>23</v>
      </c>
      <c r="M52" s="1"/>
      <c r="O52" s="1"/>
      <c r="P52" s="1"/>
      <c r="Q52" s="1"/>
      <c r="S52" s="1"/>
      <c r="T52" s="1"/>
      <c r="U52" s="2"/>
      <c r="V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 t="s">
        <v>15</v>
      </c>
      <c r="AN52" s="1" t="s">
        <v>20</v>
      </c>
      <c r="AO52" s="1">
        <v>418</v>
      </c>
      <c r="AP52" s="3">
        <v>0.69666666666666666</v>
      </c>
      <c r="AQ52" s="1"/>
    </row>
    <row r="53" spans="1:43" ht="12.3" x14ac:dyDescent="0.4">
      <c r="A53" s="1" t="s">
        <v>101</v>
      </c>
      <c r="B53" s="1"/>
      <c r="C53" s="1" t="s">
        <v>6</v>
      </c>
      <c r="D53" s="5" t="s">
        <v>7</v>
      </c>
      <c r="E53" s="5" t="s">
        <v>463</v>
      </c>
      <c r="F53" s="4" t="s">
        <v>465</v>
      </c>
      <c r="G53" s="4" t="s">
        <v>465</v>
      </c>
      <c r="I53" s="1" t="s">
        <v>8</v>
      </c>
      <c r="J53" s="1" t="s">
        <v>9</v>
      </c>
      <c r="K53" s="4" t="s">
        <v>464</v>
      </c>
      <c r="L53" s="1" t="s">
        <v>22</v>
      </c>
      <c r="M53" s="1"/>
      <c r="O53" s="1"/>
      <c r="P53" s="1"/>
      <c r="Q53" s="1"/>
      <c r="S53" s="1"/>
      <c r="T53" s="1"/>
      <c r="U53" s="2"/>
      <c r="V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 t="s">
        <v>12</v>
      </c>
      <c r="AN53" s="1" t="s">
        <v>14</v>
      </c>
      <c r="AO53" s="1">
        <v>276</v>
      </c>
      <c r="AP53" s="3">
        <v>0.46</v>
      </c>
      <c r="AQ53" s="1"/>
    </row>
    <row r="54" spans="1:43" ht="12.3" x14ac:dyDescent="0.4">
      <c r="A54" s="1" t="s">
        <v>101</v>
      </c>
      <c r="B54" s="1"/>
      <c r="C54" s="1" t="s">
        <v>6</v>
      </c>
      <c r="D54" s="5" t="s">
        <v>7</v>
      </c>
      <c r="E54" s="5" t="s">
        <v>463</v>
      </c>
      <c r="F54" s="4" t="s">
        <v>465</v>
      </c>
      <c r="G54" s="4" t="s">
        <v>465</v>
      </c>
      <c r="I54" s="1" t="s">
        <v>8</v>
      </c>
      <c r="J54" s="1" t="s">
        <v>9</v>
      </c>
      <c r="K54" s="4" t="s">
        <v>464</v>
      </c>
      <c r="L54" s="1" t="s">
        <v>22</v>
      </c>
      <c r="M54" s="1"/>
      <c r="O54" s="1"/>
      <c r="P54" s="1"/>
      <c r="Q54" s="1"/>
      <c r="S54" s="1"/>
      <c r="T54" s="1"/>
      <c r="U54" s="1"/>
      <c r="V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 t="s">
        <v>15</v>
      </c>
      <c r="AN54" s="1" t="s">
        <v>13</v>
      </c>
      <c r="AO54" s="1">
        <v>368</v>
      </c>
      <c r="AP54" s="3">
        <v>0.61333333333333329</v>
      </c>
      <c r="AQ54" s="1"/>
    </row>
    <row r="55" spans="1:43" ht="12.3" x14ac:dyDescent="0.4">
      <c r="A55" s="1" t="s">
        <v>102</v>
      </c>
      <c r="B55" s="1"/>
      <c r="C55" s="1" t="s">
        <v>6</v>
      </c>
      <c r="D55" s="5" t="s">
        <v>7</v>
      </c>
      <c r="E55" s="5" t="s">
        <v>463</v>
      </c>
      <c r="F55" s="4" t="s">
        <v>465</v>
      </c>
      <c r="G55" s="4" t="s">
        <v>465</v>
      </c>
      <c r="I55" s="1" t="s">
        <v>8</v>
      </c>
      <c r="J55" s="1" t="s">
        <v>9</v>
      </c>
      <c r="K55" s="4" t="s">
        <v>464</v>
      </c>
      <c r="L55" s="1" t="s">
        <v>11</v>
      </c>
      <c r="M55" s="1"/>
      <c r="O55" s="1"/>
      <c r="P55" s="1"/>
      <c r="Q55" s="1"/>
      <c r="S55" s="1"/>
      <c r="T55" s="1"/>
      <c r="U55" s="1"/>
      <c r="V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 t="s">
        <v>12</v>
      </c>
      <c r="AN55" s="1" t="s">
        <v>20</v>
      </c>
      <c r="AO55" s="1">
        <v>354</v>
      </c>
      <c r="AP55" s="3">
        <v>0.59</v>
      </c>
      <c r="AQ55" s="1"/>
    </row>
    <row r="56" spans="1:43" ht="12.3" x14ac:dyDescent="0.4">
      <c r="A56" s="1" t="s">
        <v>102</v>
      </c>
      <c r="B56" s="1"/>
      <c r="C56" s="1" t="s">
        <v>6</v>
      </c>
      <c r="D56" s="5" t="s">
        <v>7</v>
      </c>
      <c r="E56" s="5" t="s">
        <v>463</v>
      </c>
      <c r="F56" s="4" t="s">
        <v>465</v>
      </c>
      <c r="G56" s="4" t="s">
        <v>465</v>
      </c>
      <c r="I56" s="1" t="s">
        <v>8</v>
      </c>
      <c r="J56" s="1" t="s">
        <v>9</v>
      </c>
      <c r="K56" s="4" t="s">
        <v>464</v>
      </c>
      <c r="L56" s="1" t="s">
        <v>11</v>
      </c>
      <c r="M56" s="1"/>
      <c r="O56" s="1"/>
      <c r="P56" s="1"/>
      <c r="Q56" s="1"/>
      <c r="S56" s="1"/>
      <c r="T56" s="1"/>
      <c r="U56" s="2"/>
      <c r="V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 t="s">
        <v>15</v>
      </c>
      <c r="AN56" s="1" t="s">
        <v>18</v>
      </c>
      <c r="AO56" s="1">
        <v>391</v>
      </c>
      <c r="AP56" s="3">
        <v>0.65166666666666662</v>
      </c>
      <c r="AQ56" s="1"/>
    </row>
    <row r="57" spans="1:43" ht="12.3" x14ac:dyDescent="0.4">
      <c r="A57" s="1" t="s">
        <v>103</v>
      </c>
      <c r="B57" s="1"/>
      <c r="C57" s="1" t="s">
        <v>6</v>
      </c>
      <c r="D57" s="5" t="s">
        <v>7</v>
      </c>
      <c r="E57" s="5" t="s">
        <v>463</v>
      </c>
      <c r="F57" s="4" t="s">
        <v>465</v>
      </c>
      <c r="G57" s="4" t="s">
        <v>465</v>
      </c>
      <c r="I57" s="1" t="s">
        <v>8</v>
      </c>
      <c r="J57" s="1" t="s">
        <v>9</v>
      </c>
      <c r="K57" s="4" t="s">
        <v>464</v>
      </c>
      <c r="L57" s="1" t="s">
        <v>24</v>
      </c>
      <c r="M57" s="1"/>
      <c r="O57" s="1"/>
      <c r="P57" s="1"/>
      <c r="Q57" s="1"/>
      <c r="S57" s="1"/>
      <c r="T57" s="1"/>
      <c r="U57" s="2"/>
      <c r="V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 t="s">
        <v>12</v>
      </c>
      <c r="AN57" s="1" t="s">
        <v>20</v>
      </c>
      <c r="AO57" s="1">
        <v>337</v>
      </c>
      <c r="AP57" s="3">
        <v>0.56166666666666665</v>
      </c>
      <c r="AQ57" s="1"/>
    </row>
    <row r="58" spans="1:43" ht="12.3" x14ac:dyDescent="0.4">
      <c r="A58" s="1" t="s">
        <v>103</v>
      </c>
      <c r="B58" s="1"/>
      <c r="C58" s="1" t="s">
        <v>6</v>
      </c>
      <c r="D58" s="5" t="s">
        <v>7</v>
      </c>
      <c r="E58" s="5" t="s">
        <v>463</v>
      </c>
      <c r="F58" s="4" t="s">
        <v>465</v>
      </c>
      <c r="G58" s="4" t="s">
        <v>465</v>
      </c>
      <c r="I58" s="1" t="s">
        <v>8</v>
      </c>
      <c r="J58" s="1" t="s">
        <v>9</v>
      </c>
      <c r="K58" s="4" t="s">
        <v>464</v>
      </c>
      <c r="L58" s="1" t="s">
        <v>24</v>
      </c>
      <c r="M58" s="1"/>
      <c r="O58" s="1"/>
      <c r="P58" s="1"/>
      <c r="Q58" s="1"/>
      <c r="S58" s="1"/>
      <c r="T58" s="1"/>
      <c r="U58" s="2"/>
      <c r="V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 t="s">
        <v>15</v>
      </c>
      <c r="AN58" s="1" t="s">
        <v>18</v>
      </c>
      <c r="AO58" s="1">
        <v>392</v>
      </c>
      <c r="AP58" s="3">
        <v>0.65333333333333332</v>
      </c>
      <c r="AQ58" s="1"/>
    </row>
    <row r="59" spans="1:43" ht="12.3" x14ac:dyDescent="0.4">
      <c r="A59" s="1" t="s">
        <v>104</v>
      </c>
      <c r="B59" s="1"/>
      <c r="C59" s="1" t="s">
        <v>6</v>
      </c>
      <c r="D59" s="5" t="s">
        <v>7</v>
      </c>
      <c r="E59" s="5" t="s">
        <v>463</v>
      </c>
      <c r="F59" s="4" t="s">
        <v>465</v>
      </c>
      <c r="G59" s="4" t="s">
        <v>465</v>
      </c>
      <c r="I59" s="1" t="s">
        <v>8</v>
      </c>
      <c r="J59" s="1" t="s">
        <v>9</v>
      </c>
      <c r="K59" s="4" t="s">
        <v>464</v>
      </c>
      <c r="L59" s="1" t="s">
        <v>11</v>
      </c>
      <c r="M59" s="1"/>
      <c r="O59" s="1"/>
      <c r="P59" s="1"/>
      <c r="Q59" s="1"/>
      <c r="S59" s="1"/>
      <c r="T59" s="1"/>
      <c r="U59" s="2"/>
      <c r="V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 t="s">
        <v>12</v>
      </c>
      <c r="AN59" s="1" t="s">
        <v>20</v>
      </c>
      <c r="AO59" s="1">
        <v>357</v>
      </c>
      <c r="AP59" s="3">
        <v>0.59499999999999997</v>
      </c>
      <c r="AQ59" s="1"/>
    </row>
    <row r="60" spans="1:43" ht="12.3" x14ac:dyDescent="0.4">
      <c r="A60" s="1" t="s">
        <v>104</v>
      </c>
      <c r="B60" s="1"/>
      <c r="C60" s="1" t="s">
        <v>6</v>
      </c>
      <c r="D60" s="5" t="s">
        <v>7</v>
      </c>
      <c r="E60" s="5" t="s">
        <v>463</v>
      </c>
      <c r="F60" s="4" t="s">
        <v>465</v>
      </c>
      <c r="G60" s="4" t="s">
        <v>465</v>
      </c>
      <c r="I60" s="1" t="s">
        <v>16</v>
      </c>
      <c r="J60" s="1" t="s">
        <v>10</v>
      </c>
      <c r="K60" s="4" t="s">
        <v>464</v>
      </c>
      <c r="L60" s="1" t="s">
        <v>11</v>
      </c>
      <c r="M60" s="1"/>
      <c r="O60" s="1"/>
      <c r="P60" s="1"/>
      <c r="Q60" s="1"/>
      <c r="S60" s="2"/>
      <c r="T60" s="1"/>
      <c r="U60" s="1"/>
      <c r="V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 t="s">
        <v>15</v>
      </c>
      <c r="AN60" s="1" t="s">
        <v>20</v>
      </c>
      <c r="AO60" s="1">
        <v>447</v>
      </c>
      <c r="AP60" s="3">
        <v>0.745</v>
      </c>
      <c r="AQ60" s="1"/>
    </row>
    <row r="61" spans="1:43" ht="12.3" x14ac:dyDescent="0.4">
      <c r="A61" s="1" t="s">
        <v>105</v>
      </c>
      <c r="B61" s="1"/>
      <c r="C61" s="1" t="s">
        <v>6</v>
      </c>
      <c r="D61" s="5" t="s">
        <v>7</v>
      </c>
      <c r="E61" s="5" t="s">
        <v>463</v>
      </c>
      <c r="F61" s="4" t="s">
        <v>465</v>
      </c>
      <c r="G61" s="4" t="s">
        <v>465</v>
      </c>
      <c r="I61" s="1" t="s">
        <v>16</v>
      </c>
      <c r="J61" s="1" t="s">
        <v>10</v>
      </c>
      <c r="K61" s="4" t="s">
        <v>464</v>
      </c>
      <c r="L61" s="1" t="s">
        <v>28</v>
      </c>
      <c r="M61" s="1"/>
      <c r="O61" s="1"/>
      <c r="P61" s="1"/>
      <c r="Q61" s="1"/>
      <c r="S61" s="2"/>
      <c r="T61" s="1"/>
      <c r="U61" s="1"/>
      <c r="V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 t="s">
        <v>12</v>
      </c>
      <c r="AN61" s="1" t="s">
        <v>18</v>
      </c>
      <c r="AO61" s="1">
        <v>317</v>
      </c>
      <c r="AP61" s="3">
        <v>0.52833333333333332</v>
      </c>
      <c r="AQ61" s="1"/>
    </row>
    <row r="62" spans="1:43" ht="12.3" x14ac:dyDescent="0.4">
      <c r="A62" s="1" t="s">
        <v>105</v>
      </c>
      <c r="B62" s="1"/>
      <c r="C62" s="1" t="s">
        <v>6</v>
      </c>
      <c r="D62" s="5" t="s">
        <v>7</v>
      </c>
      <c r="E62" s="5" t="s">
        <v>463</v>
      </c>
      <c r="F62" s="4" t="s">
        <v>465</v>
      </c>
      <c r="G62" s="4" t="s">
        <v>465</v>
      </c>
      <c r="I62" s="1" t="s">
        <v>16</v>
      </c>
      <c r="J62" s="1" t="s">
        <v>10</v>
      </c>
      <c r="K62" s="4" t="s">
        <v>464</v>
      </c>
      <c r="L62" s="1" t="s">
        <v>28</v>
      </c>
      <c r="M62" s="1"/>
      <c r="O62" s="1"/>
      <c r="P62" s="1"/>
      <c r="Q62" s="1"/>
      <c r="S62" s="1"/>
      <c r="T62" s="1"/>
      <c r="U62" s="2"/>
      <c r="V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 t="s">
        <v>15</v>
      </c>
      <c r="AN62" s="1" t="s">
        <v>18</v>
      </c>
      <c r="AO62" s="1">
        <v>392</v>
      </c>
      <c r="AP62" s="3">
        <v>0.65333333333333332</v>
      </c>
      <c r="AQ62" s="1"/>
    </row>
    <row r="63" spans="1:43" ht="12.3" x14ac:dyDescent="0.4">
      <c r="A63" s="1" t="s">
        <v>106</v>
      </c>
      <c r="B63" s="1"/>
      <c r="C63" s="1" t="s">
        <v>6</v>
      </c>
      <c r="D63" s="5" t="s">
        <v>7</v>
      </c>
      <c r="E63" s="5" t="s">
        <v>463</v>
      </c>
      <c r="F63" s="4" t="s">
        <v>465</v>
      </c>
      <c r="G63" s="4" t="s">
        <v>465</v>
      </c>
      <c r="I63" s="1" t="s">
        <v>16</v>
      </c>
      <c r="J63" s="1" t="s">
        <v>10</v>
      </c>
      <c r="K63" s="4" t="s">
        <v>464</v>
      </c>
      <c r="L63" s="1" t="s">
        <v>25</v>
      </c>
      <c r="M63" s="1"/>
      <c r="O63" s="1"/>
      <c r="P63" s="1"/>
      <c r="Q63" s="1"/>
      <c r="S63" s="1"/>
      <c r="T63" s="1"/>
      <c r="U63" s="2"/>
      <c r="V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 t="s">
        <v>12</v>
      </c>
      <c r="AN63" s="1" t="s">
        <v>18</v>
      </c>
      <c r="AO63" s="1">
        <v>306</v>
      </c>
      <c r="AP63" s="3">
        <v>0.51</v>
      </c>
      <c r="AQ63" s="1"/>
    </row>
    <row r="64" spans="1:43" ht="12.3" x14ac:dyDescent="0.4">
      <c r="A64" s="1" t="s">
        <v>106</v>
      </c>
      <c r="B64" s="1"/>
      <c r="C64" s="1" t="s">
        <v>6</v>
      </c>
      <c r="D64" s="5" t="s">
        <v>7</v>
      </c>
      <c r="E64" s="5" t="s">
        <v>463</v>
      </c>
      <c r="F64" s="4" t="s">
        <v>465</v>
      </c>
      <c r="G64" s="4" t="s">
        <v>465</v>
      </c>
      <c r="I64" s="1" t="s">
        <v>8</v>
      </c>
      <c r="J64" s="1" t="s">
        <v>9</v>
      </c>
      <c r="K64" s="4" t="s">
        <v>464</v>
      </c>
      <c r="L64" s="1" t="s">
        <v>25</v>
      </c>
      <c r="M64" s="1"/>
      <c r="O64" s="1"/>
      <c r="P64" s="1"/>
      <c r="Q64" s="1"/>
      <c r="S64" s="2"/>
      <c r="T64" s="1"/>
      <c r="U64" s="2"/>
      <c r="V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 t="s">
        <v>15</v>
      </c>
      <c r="AN64" s="1" t="s">
        <v>14</v>
      </c>
      <c r="AO64" s="1">
        <v>348</v>
      </c>
      <c r="AP64" s="3">
        <v>0.57999999999999996</v>
      </c>
      <c r="AQ64" s="1"/>
    </row>
    <row r="65" spans="1:43" ht="12.3" x14ac:dyDescent="0.4">
      <c r="A65" s="1" t="s">
        <v>107</v>
      </c>
      <c r="B65" s="1"/>
      <c r="C65" s="1" t="s">
        <v>6</v>
      </c>
      <c r="D65" s="5" t="s">
        <v>7</v>
      </c>
      <c r="E65" s="5" t="s">
        <v>463</v>
      </c>
      <c r="F65" s="4" t="s">
        <v>465</v>
      </c>
      <c r="G65" s="4" t="s">
        <v>465</v>
      </c>
      <c r="I65" s="1" t="s">
        <v>8</v>
      </c>
      <c r="J65" s="1" t="s">
        <v>9</v>
      </c>
      <c r="K65" s="4" t="s">
        <v>464</v>
      </c>
      <c r="L65" s="1" t="s">
        <v>23</v>
      </c>
      <c r="M65" s="1"/>
      <c r="O65" s="1"/>
      <c r="P65" s="1"/>
      <c r="Q65" s="1"/>
      <c r="S65" s="2"/>
      <c r="T65" s="1"/>
      <c r="U65" s="2"/>
      <c r="V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 t="s">
        <v>12</v>
      </c>
      <c r="AN65" s="1" t="s">
        <v>13</v>
      </c>
      <c r="AO65" s="1">
        <v>280</v>
      </c>
      <c r="AP65" s="3">
        <v>0.46666666666666667</v>
      </c>
      <c r="AQ65" s="1"/>
    </row>
    <row r="66" spans="1:43" ht="12.3" x14ac:dyDescent="0.4">
      <c r="A66" s="1" t="s">
        <v>107</v>
      </c>
      <c r="B66" s="1"/>
      <c r="C66" s="1" t="s">
        <v>6</v>
      </c>
      <c r="D66" s="5" t="s">
        <v>7</v>
      </c>
      <c r="E66" s="5" t="s">
        <v>463</v>
      </c>
      <c r="F66" s="4" t="s">
        <v>465</v>
      </c>
      <c r="G66" s="4" t="s">
        <v>465</v>
      </c>
      <c r="I66" s="1" t="s">
        <v>29</v>
      </c>
      <c r="J66" s="1" t="s">
        <v>9</v>
      </c>
      <c r="K66" s="4" t="s">
        <v>464</v>
      </c>
      <c r="L66" s="1" t="s">
        <v>23</v>
      </c>
      <c r="M66" s="1"/>
      <c r="O66" s="1"/>
      <c r="P66" s="1"/>
      <c r="Q66" s="1"/>
      <c r="S66" s="2"/>
      <c r="T66" s="1"/>
      <c r="U66" s="2"/>
      <c r="V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 t="s">
        <v>15</v>
      </c>
      <c r="AN66" s="1" t="s">
        <v>14</v>
      </c>
      <c r="AO66" s="1">
        <v>321</v>
      </c>
      <c r="AP66" s="3">
        <v>0.53500000000000003</v>
      </c>
      <c r="AQ66" s="1"/>
    </row>
    <row r="67" spans="1:43" ht="12.3" x14ac:dyDescent="0.4">
      <c r="A67" s="1" t="s">
        <v>108</v>
      </c>
      <c r="B67" s="1"/>
      <c r="C67" s="1" t="s">
        <v>6</v>
      </c>
      <c r="D67" s="5" t="s">
        <v>7</v>
      </c>
      <c r="E67" s="5" t="s">
        <v>463</v>
      </c>
      <c r="F67" s="4" t="s">
        <v>465</v>
      </c>
      <c r="G67" s="4" t="s">
        <v>465</v>
      </c>
      <c r="I67" s="1" t="s">
        <v>29</v>
      </c>
      <c r="J67" s="1" t="s">
        <v>9</v>
      </c>
      <c r="K67" s="4" t="s">
        <v>464</v>
      </c>
      <c r="L67" s="1" t="s">
        <v>24</v>
      </c>
      <c r="M67" s="1"/>
      <c r="O67" s="1"/>
      <c r="P67" s="1"/>
      <c r="Q67" s="1"/>
      <c r="S67" s="2"/>
      <c r="T67" s="1"/>
      <c r="U67" s="2"/>
      <c r="V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 t="s">
        <v>12</v>
      </c>
      <c r="AN67" s="1" t="s">
        <v>20</v>
      </c>
      <c r="AO67" s="1">
        <v>376</v>
      </c>
      <c r="AP67" s="3">
        <v>0.62666666666666671</v>
      </c>
      <c r="AQ67" s="1"/>
    </row>
    <row r="68" spans="1:43" ht="12.3" x14ac:dyDescent="0.4">
      <c r="A68" s="1" t="s">
        <v>108</v>
      </c>
      <c r="B68" s="1"/>
      <c r="C68" s="1" t="s">
        <v>6</v>
      </c>
      <c r="D68" s="5" t="s">
        <v>7</v>
      </c>
      <c r="E68" s="5" t="s">
        <v>463</v>
      </c>
      <c r="F68" s="4" t="s">
        <v>465</v>
      </c>
      <c r="G68" s="4" t="s">
        <v>465</v>
      </c>
      <c r="I68" s="1" t="s">
        <v>16</v>
      </c>
      <c r="J68" s="1" t="s">
        <v>10</v>
      </c>
      <c r="K68" s="4" t="s">
        <v>464</v>
      </c>
      <c r="L68" s="1" t="s">
        <v>24</v>
      </c>
      <c r="M68" s="1"/>
      <c r="O68" s="1"/>
      <c r="P68" s="1"/>
      <c r="Q68" s="1"/>
      <c r="S68" s="2"/>
      <c r="T68" s="1"/>
      <c r="U68" s="1"/>
      <c r="V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 t="s">
        <v>15</v>
      </c>
      <c r="AN68" s="1" t="s">
        <v>18</v>
      </c>
      <c r="AO68" s="1">
        <v>390</v>
      </c>
      <c r="AP68" s="3">
        <v>0.65</v>
      </c>
      <c r="AQ68" s="1"/>
    </row>
    <row r="69" spans="1:43" ht="12.3" x14ac:dyDescent="0.4">
      <c r="A69" s="1" t="s">
        <v>109</v>
      </c>
      <c r="B69" s="1"/>
      <c r="C69" s="1" t="s">
        <v>6</v>
      </c>
      <c r="D69" s="5" t="s">
        <v>7</v>
      </c>
      <c r="E69" s="5" t="s">
        <v>463</v>
      </c>
      <c r="F69" s="4" t="s">
        <v>465</v>
      </c>
      <c r="G69" s="4" t="s">
        <v>465</v>
      </c>
      <c r="I69" s="1" t="s">
        <v>16</v>
      </c>
      <c r="J69" s="1" t="s">
        <v>10</v>
      </c>
      <c r="K69" s="4" t="s">
        <v>464</v>
      </c>
      <c r="L69" s="1" t="s">
        <v>30</v>
      </c>
      <c r="M69" s="1"/>
      <c r="O69" s="1"/>
      <c r="P69" s="1"/>
      <c r="Q69" s="1"/>
      <c r="S69" s="2"/>
      <c r="T69" s="1"/>
      <c r="U69" s="1"/>
      <c r="V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 t="s">
        <v>12</v>
      </c>
      <c r="AN69" s="1" t="s">
        <v>20</v>
      </c>
      <c r="AO69" s="1">
        <v>435</v>
      </c>
      <c r="AP69" s="3">
        <v>0.72499999999999998</v>
      </c>
      <c r="AQ69" s="1"/>
    </row>
    <row r="70" spans="1:43" ht="12.3" x14ac:dyDescent="0.4">
      <c r="A70" s="1" t="s">
        <v>109</v>
      </c>
      <c r="B70" s="1"/>
      <c r="C70" s="1" t="s">
        <v>6</v>
      </c>
      <c r="D70" s="5" t="s">
        <v>7</v>
      </c>
      <c r="E70" s="5" t="s">
        <v>463</v>
      </c>
      <c r="F70" s="4" t="s">
        <v>465</v>
      </c>
      <c r="G70" s="4" t="s">
        <v>465</v>
      </c>
      <c r="I70" s="1" t="s">
        <v>16</v>
      </c>
      <c r="J70" s="1" t="s">
        <v>9</v>
      </c>
      <c r="K70" s="4" t="s">
        <v>464</v>
      </c>
      <c r="L70" s="1" t="s">
        <v>30</v>
      </c>
      <c r="M70" s="1"/>
      <c r="O70" s="1"/>
      <c r="P70" s="1"/>
      <c r="Q70" s="1"/>
      <c r="S70" s="1"/>
      <c r="T70" s="1"/>
      <c r="U70" s="2"/>
      <c r="V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 t="s">
        <v>15</v>
      </c>
      <c r="AN70" s="1" t="s">
        <v>20</v>
      </c>
      <c r="AO70" s="1">
        <v>411</v>
      </c>
      <c r="AP70" s="3">
        <v>0.68500000000000005</v>
      </c>
      <c r="AQ70" s="1"/>
    </row>
    <row r="71" spans="1:43" ht="12.3" x14ac:dyDescent="0.4">
      <c r="A71" s="1" t="s">
        <v>110</v>
      </c>
      <c r="B71" s="1"/>
      <c r="C71" s="1" t="s">
        <v>6</v>
      </c>
      <c r="D71" s="5" t="s">
        <v>7</v>
      </c>
      <c r="E71" s="5" t="s">
        <v>463</v>
      </c>
      <c r="F71" s="4" t="s">
        <v>465</v>
      </c>
      <c r="G71" s="4" t="s">
        <v>465</v>
      </c>
      <c r="I71" s="1" t="s">
        <v>16</v>
      </c>
      <c r="J71" s="1" t="s">
        <v>9</v>
      </c>
      <c r="K71" s="4" t="s">
        <v>464</v>
      </c>
      <c r="L71" s="1" t="s">
        <v>24</v>
      </c>
      <c r="M71" s="1"/>
      <c r="O71" s="1"/>
      <c r="P71" s="1"/>
      <c r="Q71" s="1"/>
      <c r="S71" s="1"/>
      <c r="T71" s="1"/>
      <c r="U71" s="2"/>
      <c r="V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 t="s">
        <v>12</v>
      </c>
      <c r="AN71" s="1" t="s">
        <v>13</v>
      </c>
      <c r="AO71" s="1">
        <v>286</v>
      </c>
      <c r="AP71" s="3">
        <v>0.47666666666666668</v>
      </c>
      <c r="AQ71" s="1"/>
    </row>
    <row r="72" spans="1:43" ht="12.3" x14ac:dyDescent="0.4">
      <c r="A72" s="1" t="s">
        <v>110</v>
      </c>
      <c r="B72" s="1"/>
      <c r="C72" s="1" t="s">
        <v>6</v>
      </c>
      <c r="D72" s="5" t="s">
        <v>7</v>
      </c>
      <c r="E72" s="5" t="s">
        <v>463</v>
      </c>
      <c r="F72" s="4" t="s">
        <v>465</v>
      </c>
      <c r="G72" s="4" t="s">
        <v>465</v>
      </c>
      <c r="I72" s="1" t="s">
        <v>16</v>
      </c>
      <c r="J72" s="1" t="s">
        <v>10</v>
      </c>
      <c r="K72" s="4" t="s">
        <v>464</v>
      </c>
      <c r="L72" s="1" t="s">
        <v>24</v>
      </c>
      <c r="M72" s="1"/>
      <c r="O72" s="1"/>
      <c r="P72" s="1"/>
      <c r="Q72" s="1"/>
      <c r="S72" s="2"/>
      <c r="T72" s="1"/>
      <c r="U72" s="1"/>
      <c r="V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 t="s">
        <v>15</v>
      </c>
      <c r="AN72" s="1" t="s">
        <v>14</v>
      </c>
      <c r="AO72" s="1">
        <v>352</v>
      </c>
      <c r="AP72" s="3">
        <v>0.58666666666666667</v>
      </c>
      <c r="AQ72" s="1"/>
    </row>
    <row r="73" spans="1:43" ht="12.3" x14ac:dyDescent="0.4">
      <c r="A73" s="1" t="s">
        <v>111</v>
      </c>
      <c r="B73" s="1"/>
      <c r="C73" s="1" t="s">
        <v>6</v>
      </c>
      <c r="D73" s="5" t="s">
        <v>7</v>
      </c>
      <c r="E73" s="5" t="s">
        <v>463</v>
      </c>
      <c r="F73" s="4" t="s">
        <v>465</v>
      </c>
      <c r="G73" s="4" t="s">
        <v>465</v>
      </c>
      <c r="I73" s="1" t="s">
        <v>16</v>
      </c>
      <c r="J73" s="1" t="s">
        <v>10</v>
      </c>
      <c r="K73" s="4" t="s">
        <v>464</v>
      </c>
      <c r="L73" s="1" t="s">
        <v>28</v>
      </c>
      <c r="M73" s="1"/>
      <c r="O73" s="1"/>
      <c r="P73" s="1"/>
      <c r="Q73" s="1"/>
      <c r="S73" s="2"/>
      <c r="T73" s="1"/>
      <c r="U73" s="1"/>
      <c r="V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 t="s">
        <v>12</v>
      </c>
      <c r="AN73" s="1" t="s">
        <v>20</v>
      </c>
      <c r="AO73" s="1">
        <v>428</v>
      </c>
      <c r="AP73" s="3">
        <v>0.71333333333333337</v>
      </c>
      <c r="AQ73" s="1"/>
    </row>
    <row r="74" spans="1:43" ht="12.3" x14ac:dyDescent="0.4">
      <c r="A74" s="1" t="s">
        <v>111</v>
      </c>
      <c r="B74" s="1"/>
      <c r="C74" s="1" t="s">
        <v>6</v>
      </c>
      <c r="D74" s="5" t="s">
        <v>7</v>
      </c>
      <c r="E74" s="5" t="s">
        <v>463</v>
      </c>
      <c r="F74" s="4" t="s">
        <v>465</v>
      </c>
      <c r="G74" s="4" t="s">
        <v>465</v>
      </c>
      <c r="I74" s="1" t="s">
        <v>8</v>
      </c>
      <c r="J74" s="1" t="s">
        <v>9</v>
      </c>
      <c r="K74" s="4" t="s">
        <v>464</v>
      </c>
      <c r="L74" s="1" t="s">
        <v>28</v>
      </c>
      <c r="M74" s="1"/>
      <c r="O74" s="1"/>
      <c r="P74" s="1"/>
      <c r="Q74" s="1"/>
      <c r="S74" s="1"/>
      <c r="T74" s="1"/>
      <c r="U74" s="1"/>
      <c r="V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 t="s">
        <v>15</v>
      </c>
      <c r="AN74" s="1" t="s">
        <v>20</v>
      </c>
      <c r="AO74" s="1">
        <v>486</v>
      </c>
      <c r="AP74" s="3">
        <v>0.81</v>
      </c>
      <c r="AQ74" s="1"/>
    </row>
    <row r="75" spans="1:43" ht="12.3" x14ac:dyDescent="0.4">
      <c r="A75" s="1" t="s">
        <v>112</v>
      </c>
      <c r="B75" s="1"/>
      <c r="C75" s="1" t="s">
        <v>6</v>
      </c>
      <c r="D75" s="5" t="s">
        <v>7</v>
      </c>
      <c r="E75" s="5" t="s">
        <v>463</v>
      </c>
      <c r="F75" s="4" t="s">
        <v>465</v>
      </c>
      <c r="G75" s="4" t="s">
        <v>465</v>
      </c>
      <c r="I75" s="1" t="s">
        <v>8</v>
      </c>
      <c r="J75" s="1" t="s">
        <v>9</v>
      </c>
      <c r="K75" s="4" t="s">
        <v>464</v>
      </c>
      <c r="L75" s="1" t="s">
        <v>23</v>
      </c>
      <c r="M75" s="1"/>
      <c r="O75" s="1"/>
      <c r="P75" s="1"/>
      <c r="Q75" s="1"/>
      <c r="S75" s="1"/>
      <c r="T75" s="1"/>
      <c r="U75" s="1"/>
      <c r="V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 t="s">
        <v>12</v>
      </c>
      <c r="AN75" s="1" t="s">
        <v>20</v>
      </c>
      <c r="AO75" s="1">
        <v>339</v>
      </c>
      <c r="AP75" s="3">
        <v>0.56499999999999995</v>
      </c>
      <c r="AQ75" s="1"/>
    </row>
    <row r="76" spans="1:43" ht="12.3" x14ac:dyDescent="0.4">
      <c r="A76" s="1" t="s">
        <v>112</v>
      </c>
      <c r="B76" s="1"/>
      <c r="C76" s="1" t="s">
        <v>6</v>
      </c>
      <c r="D76" s="5" t="s">
        <v>7</v>
      </c>
      <c r="E76" s="5" t="s">
        <v>463</v>
      </c>
      <c r="F76" s="4" t="s">
        <v>465</v>
      </c>
      <c r="G76" s="4" t="s">
        <v>465</v>
      </c>
      <c r="I76" s="1" t="s">
        <v>8</v>
      </c>
      <c r="J76" s="1" t="s">
        <v>9</v>
      </c>
      <c r="K76" s="4" t="s">
        <v>464</v>
      </c>
      <c r="L76" s="1" t="s">
        <v>23</v>
      </c>
      <c r="M76" s="1"/>
      <c r="O76" s="1"/>
      <c r="P76" s="1"/>
      <c r="Q76" s="1"/>
      <c r="S76" s="2"/>
      <c r="T76" s="1"/>
      <c r="U76" s="1"/>
      <c r="V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 t="s">
        <v>15</v>
      </c>
      <c r="AN76" s="1" t="s">
        <v>14</v>
      </c>
      <c r="AO76" s="1">
        <v>343</v>
      </c>
      <c r="AP76" s="3">
        <v>0.57166666666666666</v>
      </c>
      <c r="AQ76" s="1"/>
    </row>
    <row r="77" spans="1:43" ht="12.3" x14ac:dyDescent="0.4">
      <c r="A77" s="1" t="s">
        <v>113</v>
      </c>
      <c r="B77" s="1"/>
      <c r="C77" s="1" t="s">
        <v>6</v>
      </c>
      <c r="D77" s="5" t="s">
        <v>7</v>
      </c>
      <c r="E77" s="5" t="s">
        <v>463</v>
      </c>
      <c r="F77" s="4" t="s">
        <v>465</v>
      </c>
      <c r="G77" s="4" t="s">
        <v>465</v>
      </c>
      <c r="I77" s="1" t="s">
        <v>8</v>
      </c>
      <c r="J77" s="1" t="s">
        <v>9</v>
      </c>
      <c r="K77" s="4" t="s">
        <v>464</v>
      </c>
      <c r="L77" s="1" t="s">
        <v>24</v>
      </c>
      <c r="M77" s="1"/>
      <c r="O77" s="1"/>
      <c r="P77" s="1"/>
      <c r="Q77" s="1"/>
      <c r="S77" s="2"/>
      <c r="T77" s="1"/>
      <c r="U77" s="1"/>
      <c r="V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 t="s">
        <v>12</v>
      </c>
      <c r="AN77" s="1" t="s">
        <v>20</v>
      </c>
      <c r="AO77" s="1">
        <v>340</v>
      </c>
      <c r="AP77" s="3">
        <v>0.56666666666666665</v>
      </c>
      <c r="AQ77" s="1"/>
    </row>
    <row r="78" spans="1:43" ht="12.3" x14ac:dyDescent="0.4">
      <c r="A78" s="1" t="s">
        <v>113</v>
      </c>
      <c r="B78" s="1"/>
      <c r="C78" s="1" t="s">
        <v>6</v>
      </c>
      <c r="D78" s="5" t="s">
        <v>7</v>
      </c>
      <c r="E78" s="5" t="s">
        <v>463</v>
      </c>
      <c r="F78" s="4" t="s">
        <v>465</v>
      </c>
      <c r="G78" s="4" t="s">
        <v>465</v>
      </c>
      <c r="I78" s="1" t="s">
        <v>8</v>
      </c>
      <c r="J78" s="1" t="s">
        <v>9</v>
      </c>
      <c r="K78" s="4" t="s">
        <v>464</v>
      </c>
      <c r="L78" s="1" t="s">
        <v>24</v>
      </c>
      <c r="M78" s="1"/>
      <c r="O78" s="1"/>
      <c r="P78" s="1"/>
      <c r="Q78" s="1"/>
      <c r="S78" s="2"/>
      <c r="T78" s="1"/>
      <c r="U78" s="1"/>
      <c r="V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 t="s">
        <v>15</v>
      </c>
      <c r="AN78" s="1" t="s">
        <v>18</v>
      </c>
      <c r="AO78" s="1">
        <v>373</v>
      </c>
      <c r="AP78" s="3">
        <v>0.6216666666666667</v>
      </c>
      <c r="AQ78" s="1"/>
    </row>
    <row r="79" spans="1:43" ht="12.3" x14ac:dyDescent="0.4">
      <c r="A79" s="1" t="s">
        <v>114</v>
      </c>
      <c r="B79" s="1"/>
      <c r="C79" s="1" t="s">
        <v>6</v>
      </c>
      <c r="D79" s="5" t="s">
        <v>7</v>
      </c>
      <c r="E79" s="5" t="s">
        <v>463</v>
      </c>
      <c r="F79" s="4" t="s">
        <v>465</v>
      </c>
      <c r="G79" s="4" t="s">
        <v>465</v>
      </c>
      <c r="I79" s="1" t="s">
        <v>8</v>
      </c>
      <c r="J79" s="1" t="s">
        <v>9</v>
      </c>
      <c r="K79" s="4" t="s">
        <v>464</v>
      </c>
      <c r="L79" s="1" t="s">
        <v>30</v>
      </c>
      <c r="M79" s="1"/>
      <c r="O79" s="1"/>
      <c r="P79" s="1"/>
      <c r="Q79" s="1"/>
      <c r="S79" s="2"/>
      <c r="T79" s="1"/>
      <c r="U79" s="1"/>
      <c r="V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 t="s">
        <v>12</v>
      </c>
      <c r="AN79" s="1" t="s">
        <v>18</v>
      </c>
      <c r="AO79" s="1">
        <v>329</v>
      </c>
      <c r="AP79" s="3">
        <v>0.54833333333333334</v>
      </c>
      <c r="AQ79" s="1"/>
    </row>
    <row r="80" spans="1:43" ht="12.3" x14ac:dyDescent="0.4">
      <c r="A80" s="1" t="s">
        <v>114</v>
      </c>
      <c r="B80" s="1"/>
      <c r="C80" s="1" t="s">
        <v>6</v>
      </c>
      <c r="D80" s="5" t="s">
        <v>7</v>
      </c>
      <c r="E80" s="5" t="s">
        <v>463</v>
      </c>
      <c r="F80" s="4" t="s">
        <v>465</v>
      </c>
      <c r="G80" s="4" t="s">
        <v>465</v>
      </c>
      <c r="I80" s="1" t="s">
        <v>8</v>
      </c>
      <c r="J80" s="1" t="s">
        <v>9</v>
      </c>
      <c r="K80" s="4" t="s">
        <v>464</v>
      </c>
      <c r="L80" s="1" t="s">
        <v>30</v>
      </c>
      <c r="M80" s="1"/>
      <c r="O80" s="1"/>
      <c r="P80" s="1"/>
      <c r="Q80" s="1"/>
      <c r="S80" s="1"/>
      <c r="T80" s="1"/>
      <c r="U80" s="2"/>
      <c r="V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 t="s">
        <v>15</v>
      </c>
      <c r="AN80" s="1" t="s">
        <v>18</v>
      </c>
      <c r="AO80" s="1">
        <v>372</v>
      </c>
      <c r="AP80" s="3">
        <v>0.62</v>
      </c>
      <c r="AQ80" s="1"/>
    </row>
    <row r="81" spans="1:43" ht="12.3" x14ac:dyDescent="0.4">
      <c r="A81" s="1" t="s">
        <v>115</v>
      </c>
      <c r="B81" s="1"/>
      <c r="C81" s="1" t="s">
        <v>6</v>
      </c>
      <c r="D81" s="5" t="s">
        <v>7</v>
      </c>
      <c r="E81" s="5" t="s">
        <v>463</v>
      </c>
      <c r="F81" s="4" t="s">
        <v>465</v>
      </c>
      <c r="G81" s="4" t="s">
        <v>465</v>
      </c>
      <c r="I81" s="1" t="s">
        <v>8</v>
      </c>
      <c r="J81" s="1" t="s">
        <v>9</v>
      </c>
      <c r="K81" s="4" t="s">
        <v>464</v>
      </c>
      <c r="L81" s="1" t="s">
        <v>26</v>
      </c>
      <c r="M81" s="1"/>
      <c r="O81" s="1"/>
      <c r="P81" s="1"/>
      <c r="Q81" s="1"/>
      <c r="S81" s="1"/>
      <c r="T81" s="1"/>
      <c r="U81" s="2"/>
      <c r="V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 t="s">
        <v>12</v>
      </c>
      <c r="AN81" s="1" t="s">
        <v>14</v>
      </c>
      <c r="AO81" s="1">
        <v>243</v>
      </c>
      <c r="AP81" s="3">
        <v>0.40500000000000003</v>
      </c>
      <c r="AQ81" s="1"/>
    </row>
    <row r="82" spans="1:43" ht="12.3" x14ac:dyDescent="0.4">
      <c r="A82" s="1" t="s">
        <v>115</v>
      </c>
      <c r="B82" s="1"/>
      <c r="C82" s="1" t="s">
        <v>6</v>
      </c>
      <c r="D82" s="5" t="s">
        <v>7</v>
      </c>
      <c r="E82" s="5" t="s">
        <v>463</v>
      </c>
      <c r="F82" s="4" t="s">
        <v>465</v>
      </c>
      <c r="G82" s="4" t="s">
        <v>465</v>
      </c>
      <c r="I82" s="1" t="s">
        <v>16</v>
      </c>
      <c r="J82" s="1" t="s">
        <v>10</v>
      </c>
      <c r="K82" s="4" t="s">
        <v>464</v>
      </c>
      <c r="L82" s="1" t="s">
        <v>26</v>
      </c>
      <c r="M82" s="1"/>
      <c r="O82" s="1"/>
      <c r="P82" s="1"/>
      <c r="Q82" s="1"/>
      <c r="S82" s="1"/>
      <c r="T82" s="1"/>
      <c r="U82" s="1"/>
      <c r="V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 t="s">
        <v>15</v>
      </c>
      <c r="AN82" s="1" t="s">
        <v>14</v>
      </c>
      <c r="AO82" s="1">
        <v>320</v>
      </c>
      <c r="AP82" s="3">
        <v>0.53333333333333333</v>
      </c>
      <c r="AQ82" s="1"/>
    </row>
    <row r="83" spans="1:43" ht="12.3" x14ac:dyDescent="0.4">
      <c r="A83" s="1" t="s">
        <v>116</v>
      </c>
      <c r="B83" s="1"/>
      <c r="C83" s="1" t="s">
        <v>6</v>
      </c>
      <c r="D83" s="5" t="s">
        <v>7</v>
      </c>
      <c r="E83" s="5" t="s">
        <v>463</v>
      </c>
      <c r="F83" s="4" t="s">
        <v>465</v>
      </c>
      <c r="G83" s="4" t="s">
        <v>465</v>
      </c>
      <c r="I83" s="1" t="s">
        <v>16</v>
      </c>
      <c r="J83" s="1" t="s">
        <v>10</v>
      </c>
      <c r="K83" s="4" t="s">
        <v>464</v>
      </c>
      <c r="L83" s="1" t="s">
        <v>23</v>
      </c>
      <c r="M83" s="1"/>
      <c r="O83" s="1"/>
      <c r="P83" s="1"/>
      <c r="Q83" s="1"/>
      <c r="S83" s="1"/>
      <c r="T83" s="1"/>
      <c r="U83" s="1"/>
      <c r="V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 t="s">
        <v>12</v>
      </c>
      <c r="AN83" s="1" t="s">
        <v>14</v>
      </c>
      <c r="AO83" s="1">
        <v>272</v>
      </c>
      <c r="AP83" s="3">
        <v>0.45333333333333331</v>
      </c>
      <c r="AQ83" s="1"/>
    </row>
    <row r="84" spans="1:43" ht="12.3" x14ac:dyDescent="0.4">
      <c r="A84" s="1" t="s">
        <v>116</v>
      </c>
      <c r="B84" s="1"/>
      <c r="C84" s="1" t="s">
        <v>6</v>
      </c>
      <c r="D84" s="5" t="s">
        <v>7</v>
      </c>
      <c r="E84" s="5" t="s">
        <v>463</v>
      </c>
      <c r="F84" s="4" t="s">
        <v>465</v>
      </c>
      <c r="G84" s="4" t="s">
        <v>465</v>
      </c>
      <c r="I84" s="1" t="s">
        <v>16</v>
      </c>
      <c r="J84" s="1" t="s">
        <v>10</v>
      </c>
      <c r="K84" s="4" t="s">
        <v>464</v>
      </c>
      <c r="L84" s="1" t="s">
        <v>23</v>
      </c>
      <c r="M84" s="1"/>
      <c r="O84" s="1"/>
      <c r="P84" s="1"/>
      <c r="Q84" s="1"/>
      <c r="S84" s="2"/>
      <c r="T84" s="1"/>
      <c r="U84" s="1"/>
      <c r="V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 t="s">
        <v>15</v>
      </c>
      <c r="AN84" s="1" t="s">
        <v>14</v>
      </c>
      <c r="AO84" s="1">
        <v>326</v>
      </c>
      <c r="AP84" s="3">
        <v>0.54333333333333333</v>
      </c>
      <c r="AQ84" s="1"/>
    </row>
    <row r="85" spans="1:43" ht="12.3" x14ac:dyDescent="0.4">
      <c r="A85" s="1" t="s">
        <v>117</v>
      </c>
      <c r="B85" s="1"/>
      <c r="C85" s="1" t="s">
        <v>6</v>
      </c>
      <c r="D85" s="5" t="s">
        <v>7</v>
      </c>
      <c r="E85" s="5" t="s">
        <v>463</v>
      </c>
      <c r="F85" s="4" t="s">
        <v>465</v>
      </c>
      <c r="G85" s="4" t="s">
        <v>465</v>
      </c>
      <c r="I85" s="1" t="s">
        <v>16</v>
      </c>
      <c r="J85" s="1" t="s">
        <v>10</v>
      </c>
      <c r="K85" s="4" t="s">
        <v>464</v>
      </c>
      <c r="L85" s="1" t="s">
        <v>11</v>
      </c>
      <c r="M85" s="1"/>
      <c r="O85" s="1"/>
      <c r="P85" s="1"/>
      <c r="Q85" s="1"/>
      <c r="S85" s="2"/>
      <c r="T85" s="1"/>
      <c r="U85" s="1"/>
      <c r="V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 t="s">
        <v>12</v>
      </c>
      <c r="AN85" s="1" t="s">
        <v>13</v>
      </c>
      <c r="AO85" s="1">
        <v>290</v>
      </c>
      <c r="AP85" s="3">
        <v>0.48333333333333334</v>
      </c>
      <c r="AQ85" s="1"/>
    </row>
    <row r="86" spans="1:43" ht="12.3" x14ac:dyDescent="0.4">
      <c r="A86" s="1" t="s">
        <v>117</v>
      </c>
      <c r="B86" s="1"/>
      <c r="C86" s="1" t="s">
        <v>6</v>
      </c>
      <c r="D86" s="5" t="s">
        <v>7</v>
      </c>
      <c r="E86" s="5" t="s">
        <v>463</v>
      </c>
      <c r="F86" s="4" t="s">
        <v>465</v>
      </c>
      <c r="G86" s="4" t="s">
        <v>465</v>
      </c>
      <c r="I86" s="1" t="s">
        <v>16</v>
      </c>
      <c r="J86" s="1" t="s">
        <v>10</v>
      </c>
      <c r="K86" s="4" t="s">
        <v>464</v>
      </c>
      <c r="L86" s="1" t="s">
        <v>11</v>
      </c>
      <c r="M86" s="1"/>
      <c r="O86" s="1"/>
      <c r="P86" s="1"/>
      <c r="Q86" s="1"/>
      <c r="S86" s="2"/>
      <c r="T86" s="1"/>
      <c r="U86" s="1"/>
      <c r="V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 t="s">
        <v>15</v>
      </c>
      <c r="AN86" s="1" t="s">
        <v>18</v>
      </c>
      <c r="AO86" s="1">
        <v>381</v>
      </c>
      <c r="AP86" s="3">
        <v>0.63500000000000001</v>
      </c>
      <c r="AQ86" s="1"/>
    </row>
    <row r="87" spans="1:43" ht="12.3" x14ac:dyDescent="0.4">
      <c r="A87" s="1" t="s">
        <v>118</v>
      </c>
      <c r="B87" s="1"/>
      <c r="C87" s="1" t="s">
        <v>6</v>
      </c>
      <c r="D87" s="5" t="s">
        <v>7</v>
      </c>
      <c r="E87" s="5" t="s">
        <v>463</v>
      </c>
      <c r="F87" s="4" t="s">
        <v>465</v>
      </c>
      <c r="G87" s="4" t="s">
        <v>465</v>
      </c>
      <c r="I87" s="1" t="s">
        <v>16</v>
      </c>
      <c r="J87" s="1" t="s">
        <v>10</v>
      </c>
      <c r="K87" s="4" t="s">
        <v>464</v>
      </c>
      <c r="L87" s="1" t="s">
        <v>24</v>
      </c>
      <c r="M87" s="1"/>
      <c r="O87" s="1"/>
      <c r="P87" s="1"/>
      <c r="Q87" s="1"/>
      <c r="S87" s="2"/>
      <c r="T87" s="1"/>
      <c r="U87" s="1"/>
      <c r="V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 t="s">
        <v>12</v>
      </c>
      <c r="AN87" s="1" t="s">
        <v>13</v>
      </c>
      <c r="AO87" s="1">
        <v>295</v>
      </c>
      <c r="AP87" s="3">
        <v>0.49166666666666664</v>
      </c>
      <c r="AQ87" s="1"/>
    </row>
    <row r="88" spans="1:43" ht="12.3" x14ac:dyDescent="0.4">
      <c r="A88" s="1" t="s">
        <v>118</v>
      </c>
      <c r="B88" s="1"/>
      <c r="C88" s="1" t="s">
        <v>6</v>
      </c>
      <c r="D88" s="5" t="s">
        <v>7</v>
      </c>
      <c r="E88" s="5" t="s">
        <v>463</v>
      </c>
      <c r="F88" s="4" t="s">
        <v>465</v>
      </c>
      <c r="G88" s="4" t="s">
        <v>465</v>
      </c>
      <c r="I88" s="1" t="s">
        <v>16</v>
      </c>
      <c r="J88" s="1" t="s">
        <v>10</v>
      </c>
      <c r="K88" s="4" t="s">
        <v>464</v>
      </c>
      <c r="L88" s="1" t="s">
        <v>24</v>
      </c>
      <c r="M88" s="1"/>
      <c r="O88" s="1"/>
      <c r="P88" s="1"/>
      <c r="Q88" s="1"/>
      <c r="S88" s="2"/>
      <c r="T88" s="1"/>
      <c r="U88" s="1"/>
      <c r="V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 t="s">
        <v>15</v>
      </c>
      <c r="AN88" s="1" t="s">
        <v>13</v>
      </c>
      <c r="AO88" s="1">
        <v>370</v>
      </c>
      <c r="AP88" s="3">
        <v>0.6166666666666667</v>
      </c>
      <c r="AQ88" s="1"/>
    </row>
    <row r="89" spans="1:43" ht="12.3" x14ac:dyDescent="0.4">
      <c r="A89" s="1" t="s">
        <v>119</v>
      </c>
      <c r="B89" s="1"/>
      <c r="C89" s="1" t="s">
        <v>6</v>
      </c>
      <c r="D89" s="5" t="s">
        <v>7</v>
      </c>
      <c r="E89" s="5" t="s">
        <v>463</v>
      </c>
      <c r="F89" s="4" t="s">
        <v>465</v>
      </c>
      <c r="G89" s="4" t="s">
        <v>465</v>
      </c>
      <c r="I89" s="1" t="s">
        <v>16</v>
      </c>
      <c r="J89" s="1" t="s">
        <v>10</v>
      </c>
      <c r="K89" s="4" t="s">
        <v>464</v>
      </c>
      <c r="L89" s="1" t="s">
        <v>30</v>
      </c>
      <c r="M89" s="1"/>
      <c r="O89" s="1"/>
      <c r="P89" s="1"/>
      <c r="Q89" s="1"/>
      <c r="S89" s="2"/>
      <c r="T89" s="1"/>
      <c r="U89" s="1"/>
      <c r="V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 t="s">
        <v>12</v>
      </c>
      <c r="AN89" s="1" t="s">
        <v>13</v>
      </c>
      <c r="AO89" s="1">
        <v>293</v>
      </c>
      <c r="AP89" s="3">
        <v>0.48833333333333334</v>
      </c>
      <c r="AQ89" s="1"/>
    </row>
    <row r="90" spans="1:43" ht="12.3" x14ac:dyDescent="0.4">
      <c r="A90" s="1" t="s">
        <v>119</v>
      </c>
      <c r="B90" s="1"/>
      <c r="C90" s="1" t="s">
        <v>6</v>
      </c>
      <c r="D90" s="5" t="s">
        <v>7</v>
      </c>
      <c r="E90" s="5" t="s">
        <v>463</v>
      </c>
      <c r="F90" s="4" t="s">
        <v>465</v>
      </c>
      <c r="G90" s="4" t="s">
        <v>465</v>
      </c>
      <c r="I90" s="1" t="s">
        <v>16</v>
      </c>
      <c r="J90" s="1" t="s">
        <v>10</v>
      </c>
      <c r="K90" s="4" t="s">
        <v>464</v>
      </c>
      <c r="L90" s="1" t="s">
        <v>30</v>
      </c>
      <c r="M90" s="1"/>
      <c r="O90" s="1"/>
      <c r="P90" s="1"/>
      <c r="Q90" s="1"/>
      <c r="S90" s="2"/>
      <c r="T90" s="1"/>
      <c r="U90" s="1"/>
      <c r="V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 t="s">
        <v>15</v>
      </c>
      <c r="AN90" s="1" t="s">
        <v>14</v>
      </c>
      <c r="AO90" s="1">
        <v>341</v>
      </c>
      <c r="AP90" s="3">
        <v>0.56833333333333336</v>
      </c>
      <c r="AQ90" s="1"/>
    </row>
    <row r="91" spans="1:43" ht="12.3" x14ac:dyDescent="0.4">
      <c r="A91" s="1" t="s">
        <v>120</v>
      </c>
      <c r="B91" s="1"/>
      <c r="C91" s="1" t="s">
        <v>6</v>
      </c>
      <c r="D91" s="5" t="s">
        <v>7</v>
      </c>
      <c r="E91" s="5" t="s">
        <v>463</v>
      </c>
      <c r="F91" s="4" t="s">
        <v>465</v>
      </c>
      <c r="G91" s="4" t="s">
        <v>465</v>
      </c>
      <c r="I91" s="1" t="s">
        <v>16</v>
      </c>
      <c r="J91" s="1" t="s">
        <v>10</v>
      </c>
      <c r="K91" s="4" t="s">
        <v>464</v>
      </c>
      <c r="L91" s="1" t="s">
        <v>23</v>
      </c>
      <c r="M91" s="1"/>
      <c r="O91" s="1"/>
      <c r="P91" s="1"/>
      <c r="Q91" s="1"/>
      <c r="S91" s="2"/>
      <c r="T91" s="1"/>
      <c r="U91" s="1"/>
      <c r="V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 t="s">
        <v>15</v>
      </c>
      <c r="AN91" s="1" t="s">
        <v>14</v>
      </c>
      <c r="AO91" s="1">
        <v>321</v>
      </c>
      <c r="AP91" s="3">
        <v>0.53500000000000003</v>
      </c>
      <c r="AQ91" s="1"/>
    </row>
    <row r="92" spans="1:43" ht="12.3" x14ac:dyDescent="0.4">
      <c r="A92" s="1" t="s">
        <v>121</v>
      </c>
      <c r="B92" s="1"/>
      <c r="C92" s="1" t="s">
        <v>6</v>
      </c>
      <c r="D92" s="5" t="s">
        <v>7</v>
      </c>
      <c r="E92" s="5" t="s">
        <v>463</v>
      </c>
      <c r="F92" s="4" t="s">
        <v>465</v>
      </c>
      <c r="G92" s="4" t="s">
        <v>465</v>
      </c>
      <c r="I92" s="1" t="s">
        <v>16</v>
      </c>
      <c r="J92" s="1" t="s">
        <v>10</v>
      </c>
      <c r="K92" s="4" t="s">
        <v>464</v>
      </c>
      <c r="L92" s="1" t="s">
        <v>30</v>
      </c>
      <c r="M92" s="1"/>
      <c r="O92" s="1"/>
      <c r="P92" s="1"/>
      <c r="Q92" s="1"/>
      <c r="S92" s="1"/>
      <c r="T92" s="1"/>
      <c r="U92" s="1"/>
      <c r="V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 t="s">
        <v>12</v>
      </c>
      <c r="AN92" s="1" t="s">
        <v>14</v>
      </c>
      <c r="AO92" s="1">
        <v>243</v>
      </c>
      <c r="AP92" s="3">
        <v>0.40500000000000003</v>
      </c>
      <c r="AQ92" s="1"/>
    </row>
    <row r="93" spans="1:43" ht="12.3" x14ac:dyDescent="0.4">
      <c r="A93" s="1" t="s">
        <v>121</v>
      </c>
      <c r="B93" s="1"/>
      <c r="C93" s="1" t="s">
        <v>6</v>
      </c>
      <c r="D93" s="5" t="s">
        <v>7</v>
      </c>
      <c r="E93" s="5" t="s">
        <v>463</v>
      </c>
      <c r="F93" s="4" t="s">
        <v>465</v>
      </c>
      <c r="G93" s="4" t="s">
        <v>465</v>
      </c>
      <c r="I93" s="1" t="s">
        <v>16</v>
      </c>
      <c r="J93" s="1" t="s">
        <v>10</v>
      </c>
      <c r="K93" s="4" t="s">
        <v>464</v>
      </c>
      <c r="L93" s="1" t="s">
        <v>30</v>
      </c>
      <c r="M93" s="1"/>
      <c r="O93" s="1"/>
      <c r="P93" s="1"/>
      <c r="Q93" s="1"/>
      <c r="S93" s="2"/>
      <c r="T93" s="1"/>
      <c r="U93" s="2"/>
      <c r="V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 t="s">
        <v>15</v>
      </c>
      <c r="AN93" s="1" t="s">
        <v>14</v>
      </c>
      <c r="AO93" s="1">
        <v>318</v>
      </c>
      <c r="AP93" s="3">
        <v>0.53</v>
      </c>
      <c r="AQ93" s="1"/>
    </row>
    <row r="94" spans="1:43" ht="12.3" x14ac:dyDescent="0.4">
      <c r="A94" s="1" t="s">
        <v>122</v>
      </c>
      <c r="B94" s="1"/>
      <c r="C94" s="1" t="s">
        <v>6</v>
      </c>
      <c r="D94" s="5" t="s">
        <v>7</v>
      </c>
      <c r="E94" s="5" t="s">
        <v>463</v>
      </c>
      <c r="F94" s="4" t="s">
        <v>465</v>
      </c>
      <c r="G94" s="4" t="s">
        <v>465</v>
      </c>
      <c r="I94" s="1" t="s">
        <v>16</v>
      </c>
      <c r="J94" s="1" t="s">
        <v>10</v>
      </c>
      <c r="K94" s="4" t="s">
        <v>464</v>
      </c>
      <c r="L94" s="1" t="s">
        <v>25</v>
      </c>
      <c r="M94" s="1"/>
      <c r="O94" s="1"/>
      <c r="P94" s="1"/>
      <c r="Q94" s="1"/>
      <c r="S94" s="2"/>
      <c r="T94" s="1"/>
      <c r="U94" s="2"/>
      <c r="V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 t="s">
        <v>12</v>
      </c>
      <c r="AN94" s="1" t="s">
        <v>20</v>
      </c>
      <c r="AO94" s="1">
        <v>340</v>
      </c>
      <c r="AP94" s="3">
        <v>0.56666666666666665</v>
      </c>
      <c r="AQ94" s="1"/>
    </row>
    <row r="95" spans="1:43" ht="12.3" x14ac:dyDescent="0.4">
      <c r="A95" s="1" t="s">
        <v>122</v>
      </c>
      <c r="B95" s="1"/>
      <c r="C95" s="1" t="s">
        <v>6</v>
      </c>
      <c r="D95" s="5" t="s">
        <v>7</v>
      </c>
      <c r="E95" s="5" t="s">
        <v>463</v>
      </c>
      <c r="F95" s="4" t="s">
        <v>465</v>
      </c>
      <c r="G95" s="4" t="s">
        <v>465</v>
      </c>
      <c r="I95" s="1" t="s">
        <v>27</v>
      </c>
      <c r="J95" s="1" t="s">
        <v>9</v>
      </c>
      <c r="K95" s="4" t="s">
        <v>464</v>
      </c>
      <c r="L95" s="1" t="s">
        <v>25</v>
      </c>
      <c r="M95" s="1"/>
      <c r="O95" s="1"/>
      <c r="P95" s="1"/>
      <c r="Q95" s="1"/>
      <c r="S95" s="2"/>
      <c r="T95" s="1"/>
      <c r="U95" s="1"/>
      <c r="V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 t="s">
        <v>15</v>
      </c>
      <c r="AN95" s="1" t="s">
        <v>18</v>
      </c>
      <c r="AO95" s="1">
        <v>380</v>
      </c>
      <c r="AP95" s="3">
        <v>0.6333333333333333</v>
      </c>
      <c r="AQ95" s="1"/>
    </row>
    <row r="96" spans="1:43" ht="12.3" x14ac:dyDescent="0.4">
      <c r="A96" s="1" t="s">
        <v>123</v>
      </c>
      <c r="B96" s="1"/>
      <c r="C96" s="1" t="s">
        <v>6</v>
      </c>
      <c r="D96" s="5" t="s">
        <v>7</v>
      </c>
      <c r="E96" s="5" t="s">
        <v>463</v>
      </c>
      <c r="F96" s="4" t="s">
        <v>465</v>
      </c>
      <c r="G96" s="4" t="s">
        <v>465</v>
      </c>
      <c r="I96" s="1" t="s">
        <v>27</v>
      </c>
      <c r="J96" s="1" t="s">
        <v>9</v>
      </c>
      <c r="K96" s="4" t="s">
        <v>464</v>
      </c>
      <c r="L96" s="1" t="s">
        <v>25</v>
      </c>
      <c r="M96" s="1"/>
      <c r="O96" s="1"/>
      <c r="P96" s="1"/>
      <c r="Q96" s="1"/>
      <c r="S96" s="2"/>
      <c r="T96" s="1"/>
      <c r="U96" s="1"/>
      <c r="V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 t="s">
        <v>12</v>
      </c>
      <c r="AN96" s="1" t="s">
        <v>20</v>
      </c>
      <c r="AO96" s="1">
        <v>375</v>
      </c>
      <c r="AP96" s="3">
        <v>0.625</v>
      </c>
      <c r="AQ96" s="1"/>
    </row>
    <row r="97" spans="1:43" ht="12.3" x14ac:dyDescent="0.4">
      <c r="A97" s="1" t="s">
        <v>123</v>
      </c>
      <c r="B97" s="1"/>
      <c r="C97" s="1" t="s">
        <v>6</v>
      </c>
      <c r="D97" s="5" t="s">
        <v>7</v>
      </c>
      <c r="E97" s="5" t="s">
        <v>463</v>
      </c>
      <c r="F97" s="4" t="s">
        <v>465</v>
      </c>
      <c r="G97" s="4" t="s">
        <v>465</v>
      </c>
      <c r="I97" s="1" t="s">
        <v>27</v>
      </c>
      <c r="J97" s="1" t="s">
        <v>9</v>
      </c>
      <c r="K97" s="4" t="s">
        <v>464</v>
      </c>
      <c r="L97" s="1" t="s">
        <v>25</v>
      </c>
      <c r="M97" s="1"/>
      <c r="O97" s="1"/>
      <c r="P97" s="1"/>
      <c r="Q97" s="1"/>
      <c r="S97" s="2"/>
      <c r="T97" s="1"/>
      <c r="U97" s="1"/>
      <c r="V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 t="s">
        <v>15</v>
      </c>
      <c r="AN97" s="1" t="s">
        <v>20</v>
      </c>
      <c r="AO97" s="1">
        <v>393</v>
      </c>
      <c r="AP97" s="3">
        <v>0.65500000000000003</v>
      </c>
      <c r="AQ97" s="1"/>
    </row>
    <row r="98" spans="1:43" ht="12.3" x14ac:dyDescent="0.4">
      <c r="A98" s="1" t="s">
        <v>124</v>
      </c>
      <c r="B98" s="1"/>
      <c r="C98" s="1" t="s">
        <v>6</v>
      </c>
      <c r="D98" s="5" t="s">
        <v>7</v>
      </c>
      <c r="E98" s="5" t="s">
        <v>463</v>
      </c>
      <c r="F98" s="4" t="s">
        <v>465</v>
      </c>
      <c r="G98" s="4" t="s">
        <v>465</v>
      </c>
      <c r="I98" s="1" t="s">
        <v>27</v>
      </c>
      <c r="J98" s="1" t="s">
        <v>9</v>
      </c>
      <c r="K98" s="4" t="s">
        <v>464</v>
      </c>
      <c r="L98" s="1" t="s">
        <v>19</v>
      </c>
      <c r="M98" s="1"/>
      <c r="O98" s="1"/>
      <c r="P98" s="1"/>
      <c r="Q98" s="1"/>
      <c r="S98" s="2"/>
      <c r="T98" s="1"/>
      <c r="U98" s="1"/>
      <c r="V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 t="s">
        <v>12</v>
      </c>
      <c r="AN98" s="1" t="s">
        <v>20</v>
      </c>
      <c r="AO98" s="1">
        <v>353</v>
      </c>
      <c r="AP98" s="3">
        <v>0.58833333333333337</v>
      </c>
      <c r="AQ98" s="1"/>
    </row>
    <row r="99" spans="1:43" ht="12.3" x14ac:dyDescent="0.4">
      <c r="A99" s="1" t="s">
        <v>124</v>
      </c>
      <c r="B99" s="1"/>
      <c r="C99" s="1" t="s">
        <v>6</v>
      </c>
      <c r="D99" s="5" t="s">
        <v>7</v>
      </c>
      <c r="E99" s="5" t="s">
        <v>463</v>
      </c>
      <c r="F99" s="4" t="s">
        <v>465</v>
      </c>
      <c r="G99" s="4" t="s">
        <v>465</v>
      </c>
      <c r="I99" s="1" t="s">
        <v>16</v>
      </c>
      <c r="J99" s="1" t="s">
        <v>10</v>
      </c>
      <c r="K99" s="4" t="s">
        <v>464</v>
      </c>
      <c r="L99" s="1" t="s">
        <v>19</v>
      </c>
      <c r="M99" s="1"/>
      <c r="O99" s="1"/>
      <c r="P99" s="1"/>
      <c r="Q99" s="1"/>
      <c r="S99" s="2"/>
      <c r="T99" s="1"/>
      <c r="U99" s="2"/>
      <c r="V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 t="s">
        <v>15</v>
      </c>
      <c r="AN99" s="1" t="s">
        <v>18</v>
      </c>
      <c r="AO99" s="1">
        <v>390</v>
      </c>
      <c r="AP99" s="3">
        <v>0.65</v>
      </c>
      <c r="AQ99" s="1"/>
    </row>
    <row r="100" spans="1:43" ht="12.3" x14ac:dyDescent="0.4">
      <c r="A100" s="1" t="s">
        <v>125</v>
      </c>
      <c r="B100" s="1"/>
      <c r="C100" s="1" t="s">
        <v>6</v>
      </c>
      <c r="D100" s="5" t="s">
        <v>7</v>
      </c>
      <c r="E100" s="5" t="s">
        <v>463</v>
      </c>
      <c r="F100" s="4" t="s">
        <v>465</v>
      </c>
      <c r="G100" s="4" t="s">
        <v>465</v>
      </c>
      <c r="I100" s="1" t="s">
        <v>16</v>
      </c>
      <c r="J100" s="1" t="s">
        <v>10</v>
      </c>
      <c r="K100" s="4" t="s">
        <v>464</v>
      </c>
      <c r="L100" s="1" t="s">
        <v>25</v>
      </c>
      <c r="M100" s="1"/>
      <c r="O100" s="1"/>
      <c r="P100" s="1"/>
      <c r="Q100" s="1"/>
      <c r="S100" s="2"/>
      <c r="T100" s="1"/>
      <c r="U100" s="2"/>
      <c r="V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 t="s">
        <v>12</v>
      </c>
      <c r="AN100" s="1" t="s">
        <v>14</v>
      </c>
      <c r="AO100" s="1">
        <v>253</v>
      </c>
      <c r="AP100" s="3">
        <v>0.42166666666666669</v>
      </c>
      <c r="AQ100" s="1"/>
    </row>
    <row r="101" spans="1:43" ht="12.3" x14ac:dyDescent="0.4">
      <c r="A101" s="1" t="s">
        <v>125</v>
      </c>
      <c r="B101" s="1"/>
      <c r="C101" s="1" t="s">
        <v>6</v>
      </c>
      <c r="D101" s="5" t="s">
        <v>7</v>
      </c>
      <c r="E101" s="5" t="s">
        <v>463</v>
      </c>
      <c r="F101" s="4" t="s">
        <v>465</v>
      </c>
      <c r="G101" s="4" t="s">
        <v>465</v>
      </c>
      <c r="I101" s="1" t="s">
        <v>16</v>
      </c>
      <c r="J101" s="1" t="s">
        <v>10</v>
      </c>
      <c r="K101" s="4" t="s">
        <v>464</v>
      </c>
      <c r="L101" s="1" t="s">
        <v>25</v>
      </c>
      <c r="M101" s="1"/>
      <c r="O101" s="1"/>
      <c r="P101" s="1"/>
      <c r="Q101" s="1"/>
      <c r="S101" s="1"/>
      <c r="T101" s="1"/>
      <c r="U101" s="1"/>
      <c r="V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 t="s">
        <v>15</v>
      </c>
      <c r="AN101" s="1" t="s">
        <v>14</v>
      </c>
      <c r="AO101" s="1">
        <v>330</v>
      </c>
      <c r="AP101" s="3">
        <v>0.55000000000000004</v>
      </c>
      <c r="AQ101" s="1"/>
    </row>
    <row r="102" spans="1:43" ht="12.3" x14ac:dyDescent="0.4">
      <c r="A102" s="1" t="s">
        <v>126</v>
      </c>
      <c r="B102" s="1"/>
      <c r="C102" s="1" t="s">
        <v>6</v>
      </c>
      <c r="D102" s="5" t="s">
        <v>7</v>
      </c>
      <c r="E102" s="5" t="s">
        <v>463</v>
      </c>
      <c r="F102" s="4" t="s">
        <v>465</v>
      </c>
      <c r="G102" s="4" t="s">
        <v>465</v>
      </c>
      <c r="I102" s="1" t="s">
        <v>16</v>
      </c>
      <c r="J102" s="1" t="s">
        <v>10</v>
      </c>
      <c r="K102" s="4" t="s">
        <v>464</v>
      </c>
      <c r="L102" s="1" t="s">
        <v>26</v>
      </c>
      <c r="M102" s="1"/>
      <c r="O102" s="1"/>
      <c r="P102" s="1"/>
      <c r="Q102" s="1"/>
      <c r="S102" s="1"/>
      <c r="T102" s="1"/>
      <c r="U102" s="1"/>
      <c r="V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 t="s">
        <v>12</v>
      </c>
      <c r="AN102" s="1" t="s">
        <v>14</v>
      </c>
      <c r="AO102" s="1">
        <v>253</v>
      </c>
      <c r="AP102" s="3">
        <v>0.42166666666666669</v>
      </c>
      <c r="AQ102" s="1"/>
    </row>
    <row r="103" spans="1:43" ht="12.3" x14ac:dyDescent="0.4">
      <c r="A103" s="1" t="s">
        <v>126</v>
      </c>
      <c r="B103" s="1"/>
      <c r="C103" s="1" t="s">
        <v>6</v>
      </c>
      <c r="D103" s="5" t="s">
        <v>7</v>
      </c>
      <c r="E103" s="5" t="s">
        <v>463</v>
      </c>
      <c r="F103" s="4" t="s">
        <v>465</v>
      </c>
      <c r="G103" s="4" t="s">
        <v>465</v>
      </c>
      <c r="I103" s="1" t="s">
        <v>16</v>
      </c>
      <c r="J103" s="1" t="s">
        <v>10</v>
      </c>
      <c r="K103" s="4" t="s">
        <v>464</v>
      </c>
      <c r="L103" s="1" t="s">
        <v>26</v>
      </c>
      <c r="M103" s="1"/>
      <c r="O103" s="1"/>
      <c r="P103" s="1"/>
      <c r="Q103" s="1"/>
      <c r="S103" s="1"/>
      <c r="T103" s="1"/>
      <c r="U103" s="1"/>
      <c r="V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 t="s">
        <v>15</v>
      </c>
      <c r="AN103" s="1" t="s">
        <v>20</v>
      </c>
      <c r="AO103" s="1">
        <v>393</v>
      </c>
      <c r="AP103" s="3">
        <v>0.65500000000000003</v>
      </c>
      <c r="AQ103" s="1"/>
    </row>
    <row r="104" spans="1:43" ht="12.3" x14ac:dyDescent="0.4">
      <c r="A104" s="1" t="s">
        <v>127</v>
      </c>
      <c r="B104" s="1"/>
      <c r="C104" s="1" t="s">
        <v>6</v>
      </c>
      <c r="D104" s="5" t="s">
        <v>7</v>
      </c>
      <c r="E104" s="5" t="s">
        <v>463</v>
      </c>
      <c r="F104" s="4" t="s">
        <v>465</v>
      </c>
      <c r="G104" s="4" t="s">
        <v>465</v>
      </c>
      <c r="I104" s="1" t="s">
        <v>16</v>
      </c>
      <c r="J104" s="1" t="s">
        <v>10</v>
      </c>
      <c r="K104" s="4" t="s">
        <v>464</v>
      </c>
      <c r="L104" s="1" t="s">
        <v>23</v>
      </c>
      <c r="M104" s="1"/>
      <c r="O104" s="1"/>
      <c r="P104" s="1"/>
      <c r="Q104" s="1"/>
      <c r="S104" s="1"/>
      <c r="T104" s="1"/>
      <c r="U104" s="1"/>
      <c r="V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 t="s">
        <v>12</v>
      </c>
      <c r="AN104" s="1" t="s">
        <v>20</v>
      </c>
      <c r="AO104" s="1">
        <v>345</v>
      </c>
      <c r="AP104" s="3">
        <v>0.57499999999999996</v>
      </c>
      <c r="AQ104" s="1"/>
    </row>
    <row r="105" spans="1:43" ht="12.3" x14ac:dyDescent="0.4">
      <c r="A105" s="1" t="s">
        <v>127</v>
      </c>
      <c r="B105" s="1"/>
      <c r="C105" s="1" t="s">
        <v>6</v>
      </c>
      <c r="D105" s="5" t="s">
        <v>7</v>
      </c>
      <c r="E105" s="5" t="s">
        <v>463</v>
      </c>
      <c r="F105" s="4" t="s">
        <v>465</v>
      </c>
      <c r="G105" s="4" t="s">
        <v>465</v>
      </c>
      <c r="I105" s="1" t="s">
        <v>8</v>
      </c>
      <c r="J105" s="1" t="s">
        <v>9</v>
      </c>
      <c r="K105" s="4" t="s">
        <v>464</v>
      </c>
      <c r="L105" s="1" t="s">
        <v>23</v>
      </c>
      <c r="M105" s="1"/>
      <c r="O105" s="1"/>
      <c r="P105" s="1"/>
      <c r="Q105" s="1"/>
      <c r="S105" s="1"/>
      <c r="T105" s="1"/>
      <c r="U105" s="2"/>
      <c r="V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 t="s">
        <v>15</v>
      </c>
      <c r="AN105" s="1" t="s">
        <v>13</v>
      </c>
      <c r="AO105" s="1">
        <v>370</v>
      </c>
      <c r="AP105" s="3">
        <v>0.6166666666666667</v>
      </c>
      <c r="AQ105" s="1"/>
    </row>
    <row r="106" spans="1:43" ht="12.3" x14ac:dyDescent="0.4">
      <c r="A106" s="1" t="s">
        <v>128</v>
      </c>
      <c r="B106" s="1"/>
      <c r="C106" s="1" t="s">
        <v>6</v>
      </c>
      <c r="D106" s="5" t="s">
        <v>7</v>
      </c>
      <c r="E106" s="5" t="s">
        <v>463</v>
      </c>
      <c r="F106" s="4" t="s">
        <v>465</v>
      </c>
      <c r="G106" s="4" t="s">
        <v>465</v>
      </c>
      <c r="I106" s="1" t="s">
        <v>8</v>
      </c>
      <c r="J106" s="1" t="s">
        <v>9</v>
      </c>
      <c r="K106" s="4" t="s">
        <v>464</v>
      </c>
      <c r="L106" s="1" t="s">
        <v>30</v>
      </c>
      <c r="M106" s="1"/>
      <c r="O106" s="1"/>
      <c r="P106" s="1"/>
      <c r="Q106" s="1"/>
      <c r="S106" s="1"/>
      <c r="T106" s="1"/>
      <c r="U106" s="2"/>
      <c r="V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 t="s">
        <v>12</v>
      </c>
      <c r="AN106" s="1" t="s">
        <v>18</v>
      </c>
      <c r="AO106" s="1">
        <v>328</v>
      </c>
      <c r="AP106" s="3">
        <v>0.54666666666666663</v>
      </c>
      <c r="AQ106" s="1"/>
    </row>
    <row r="107" spans="1:43" ht="12.3" x14ac:dyDescent="0.4">
      <c r="A107" s="1" t="s">
        <v>128</v>
      </c>
      <c r="B107" s="1"/>
      <c r="C107" s="1" t="s">
        <v>6</v>
      </c>
      <c r="D107" s="5" t="s">
        <v>7</v>
      </c>
      <c r="E107" s="5" t="s">
        <v>463</v>
      </c>
      <c r="F107" s="4" t="s">
        <v>465</v>
      </c>
      <c r="G107" s="4" t="s">
        <v>465</v>
      </c>
      <c r="I107" s="1" t="s">
        <v>8</v>
      </c>
      <c r="J107" s="1" t="s">
        <v>9</v>
      </c>
      <c r="K107" s="4" t="s">
        <v>464</v>
      </c>
      <c r="L107" s="1" t="s">
        <v>30</v>
      </c>
      <c r="M107" s="1"/>
      <c r="O107" s="1"/>
      <c r="P107" s="1"/>
      <c r="Q107" s="1"/>
      <c r="S107" s="2"/>
      <c r="T107" s="1"/>
      <c r="U107" s="2"/>
      <c r="V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 t="s">
        <v>15</v>
      </c>
      <c r="AN107" s="1" t="s">
        <v>18</v>
      </c>
      <c r="AO107" s="1">
        <v>388</v>
      </c>
      <c r="AP107" s="3">
        <v>0.64666666666666661</v>
      </c>
      <c r="AQ107" s="1"/>
    </row>
    <row r="108" spans="1:43" ht="12.3" x14ac:dyDescent="0.4">
      <c r="A108" s="1" t="s">
        <v>129</v>
      </c>
      <c r="B108" s="1"/>
      <c r="C108" s="1" t="s">
        <v>6</v>
      </c>
      <c r="D108" s="5" t="s">
        <v>7</v>
      </c>
      <c r="E108" s="5" t="s">
        <v>463</v>
      </c>
      <c r="F108" s="4" t="s">
        <v>465</v>
      </c>
      <c r="G108" s="4" t="s">
        <v>465</v>
      </c>
      <c r="I108" s="1" t="s">
        <v>8</v>
      </c>
      <c r="J108" s="1" t="s">
        <v>9</v>
      </c>
      <c r="K108" s="4" t="s">
        <v>464</v>
      </c>
      <c r="L108" s="1" t="s">
        <v>19</v>
      </c>
      <c r="M108" s="1"/>
      <c r="O108" s="1"/>
      <c r="P108" s="1"/>
      <c r="Q108" s="1"/>
      <c r="S108" s="2"/>
      <c r="T108" s="1"/>
      <c r="U108" s="2"/>
      <c r="V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 t="s">
        <v>12</v>
      </c>
      <c r="AN108" s="1" t="s">
        <v>20</v>
      </c>
      <c r="AO108" s="1">
        <v>375</v>
      </c>
      <c r="AP108" s="3">
        <v>0.625</v>
      </c>
      <c r="AQ108" s="1"/>
    </row>
    <row r="109" spans="1:43" ht="12.3" x14ac:dyDescent="0.4">
      <c r="A109" s="1" t="s">
        <v>129</v>
      </c>
      <c r="B109" s="1"/>
      <c r="C109" s="1" t="s">
        <v>6</v>
      </c>
      <c r="D109" s="5" t="s">
        <v>7</v>
      </c>
      <c r="E109" s="5" t="s">
        <v>463</v>
      </c>
      <c r="F109" s="4" t="s">
        <v>465</v>
      </c>
      <c r="G109" s="4" t="s">
        <v>465</v>
      </c>
      <c r="I109" s="1" t="s">
        <v>8</v>
      </c>
      <c r="J109" s="1" t="s">
        <v>9</v>
      </c>
      <c r="K109" s="4" t="s">
        <v>464</v>
      </c>
      <c r="L109" s="1" t="s">
        <v>19</v>
      </c>
      <c r="M109" s="1"/>
      <c r="O109" s="1"/>
      <c r="P109" s="1"/>
      <c r="Q109" s="1"/>
      <c r="S109" s="2"/>
      <c r="T109" s="1"/>
      <c r="U109" s="1"/>
      <c r="V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 t="s">
        <v>15</v>
      </c>
      <c r="AN109" s="1" t="s">
        <v>20</v>
      </c>
      <c r="AO109" s="1">
        <v>415</v>
      </c>
      <c r="AP109" s="3">
        <v>0.69166666666666665</v>
      </c>
      <c r="AQ109" s="1"/>
    </row>
    <row r="110" spans="1:43" ht="12.3" x14ac:dyDescent="0.4">
      <c r="A110" s="1" t="s">
        <v>130</v>
      </c>
      <c r="B110" s="1"/>
      <c r="C110" s="1" t="s">
        <v>6</v>
      </c>
      <c r="D110" s="5" t="s">
        <v>7</v>
      </c>
      <c r="E110" s="5" t="s">
        <v>463</v>
      </c>
      <c r="F110" s="4" t="s">
        <v>465</v>
      </c>
      <c r="G110" s="4" t="s">
        <v>465</v>
      </c>
      <c r="I110" s="1" t="s">
        <v>8</v>
      </c>
      <c r="J110" s="1" t="s">
        <v>9</v>
      </c>
      <c r="K110" s="4" t="s">
        <v>464</v>
      </c>
      <c r="L110" s="1" t="s">
        <v>21</v>
      </c>
      <c r="M110" s="1"/>
      <c r="O110" s="1"/>
      <c r="P110" s="1"/>
      <c r="Q110" s="1"/>
      <c r="S110" s="2"/>
      <c r="T110" s="1"/>
      <c r="U110" s="1"/>
      <c r="V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 t="s">
        <v>12</v>
      </c>
      <c r="AN110" s="1" t="s">
        <v>20</v>
      </c>
      <c r="AO110" s="1">
        <v>398</v>
      </c>
      <c r="AP110" s="3">
        <v>0.66333333333333333</v>
      </c>
      <c r="AQ110" s="1"/>
    </row>
    <row r="111" spans="1:43" ht="12.3" x14ac:dyDescent="0.4">
      <c r="A111" s="1" t="s">
        <v>130</v>
      </c>
      <c r="B111" s="1"/>
      <c r="C111" s="1" t="s">
        <v>6</v>
      </c>
      <c r="D111" s="5" t="s">
        <v>7</v>
      </c>
      <c r="E111" s="5" t="s">
        <v>463</v>
      </c>
      <c r="F111" s="4" t="s">
        <v>465</v>
      </c>
      <c r="G111" s="4" t="s">
        <v>465</v>
      </c>
      <c r="I111" s="1" t="s">
        <v>29</v>
      </c>
      <c r="J111" s="1" t="s">
        <v>9</v>
      </c>
      <c r="K111" s="4" t="s">
        <v>464</v>
      </c>
      <c r="L111" s="1" t="s">
        <v>21</v>
      </c>
      <c r="M111" s="1"/>
      <c r="O111" s="1"/>
      <c r="P111" s="1"/>
      <c r="Q111" s="1"/>
      <c r="S111" s="2"/>
      <c r="T111" s="1"/>
      <c r="U111" s="1"/>
      <c r="V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 t="s">
        <v>15</v>
      </c>
      <c r="AN111" s="1" t="s">
        <v>20</v>
      </c>
      <c r="AO111" s="1">
        <v>414</v>
      </c>
      <c r="AP111" s="3">
        <v>0.69</v>
      </c>
      <c r="AQ111" s="1"/>
    </row>
    <row r="112" spans="1:43" ht="12.3" x14ac:dyDescent="0.4">
      <c r="A112" s="1" t="s">
        <v>131</v>
      </c>
      <c r="B112" s="1"/>
      <c r="C112" s="1" t="s">
        <v>6</v>
      </c>
      <c r="D112" s="5" t="s">
        <v>7</v>
      </c>
      <c r="E112" s="5" t="s">
        <v>463</v>
      </c>
      <c r="F112" s="4" t="s">
        <v>465</v>
      </c>
      <c r="G112" s="4" t="s">
        <v>465</v>
      </c>
      <c r="I112" s="1" t="s">
        <v>29</v>
      </c>
      <c r="J112" s="1" t="s">
        <v>9</v>
      </c>
      <c r="K112" s="4" t="s">
        <v>464</v>
      </c>
      <c r="L112" s="1" t="s">
        <v>28</v>
      </c>
      <c r="M112" s="1"/>
      <c r="O112" s="1"/>
      <c r="P112" s="1"/>
      <c r="Q112" s="1"/>
      <c r="S112" s="2"/>
      <c r="T112" s="1"/>
      <c r="U112" s="1"/>
      <c r="V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 t="s">
        <v>12</v>
      </c>
      <c r="AN112" s="1" t="s">
        <v>13</v>
      </c>
      <c r="AO112" s="1">
        <v>300</v>
      </c>
      <c r="AP112" s="3">
        <v>0.5</v>
      </c>
      <c r="AQ112" s="1"/>
    </row>
    <row r="113" spans="1:43" ht="12.3" x14ac:dyDescent="0.4">
      <c r="A113" s="1" t="s">
        <v>131</v>
      </c>
      <c r="B113" s="1"/>
      <c r="C113" s="1" t="s">
        <v>6</v>
      </c>
      <c r="D113" s="5" t="s">
        <v>7</v>
      </c>
      <c r="E113" s="5" t="s">
        <v>463</v>
      </c>
      <c r="F113" s="4" t="s">
        <v>465</v>
      </c>
      <c r="G113" s="4" t="s">
        <v>465</v>
      </c>
      <c r="I113" s="1" t="s">
        <v>16</v>
      </c>
      <c r="J113" s="1" t="s">
        <v>10</v>
      </c>
      <c r="K113" s="4" t="s">
        <v>464</v>
      </c>
      <c r="L113" s="1" t="s">
        <v>28</v>
      </c>
      <c r="M113" s="1"/>
      <c r="O113" s="1"/>
      <c r="P113" s="1"/>
      <c r="Q113" s="1"/>
      <c r="S113" s="2"/>
      <c r="T113" s="1"/>
      <c r="U113" s="2"/>
      <c r="V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 t="s">
        <v>15</v>
      </c>
      <c r="AN113" s="1" t="s">
        <v>14</v>
      </c>
      <c r="AO113" s="1">
        <v>338</v>
      </c>
      <c r="AP113" s="3">
        <v>0.56333333333333335</v>
      </c>
      <c r="AQ113" s="1"/>
    </row>
    <row r="114" spans="1:43" ht="12.3" x14ac:dyDescent="0.4">
      <c r="A114" s="1" t="s">
        <v>132</v>
      </c>
      <c r="B114" s="1"/>
      <c r="C114" s="1" t="s">
        <v>6</v>
      </c>
      <c r="D114" s="5" t="s">
        <v>7</v>
      </c>
      <c r="E114" s="5" t="s">
        <v>463</v>
      </c>
      <c r="F114" s="4" t="s">
        <v>465</v>
      </c>
      <c r="G114" s="4" t="s">
        <v>465</v>
      </c>
      <c r="I114" s="1" t="s">
        <v>16</v>
      </c>
      <c r="J114" s="1" t="s">
        <v>10</v>
      </c>
      <c r="K114" s="4" t="s">
        <v>464</v>
      </c>
      <c r="L114" s="1" t="s">
        <v>26</v>
      </c>
      <c r="M114" s="1"/>
      <c r="O114" s="1"/>
      <c r="P114" s="1"/>
      <c r="Q114" s="1"/>
      <c r="S114" s="2"/>
      <c r="T114" s="1"/>
      <c r="U114" s="2"/>
      <c r="V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 t="s">
        <v>12</v>
      </c>
      <c r="AN114" s="1" t="s">
        <v>14</v>
      </c>
      <c r="AO114" s="1">
        <v>247</v>
      </c>
      <c r="AP114" s="3">
        <v>0.41166666666666668</v>
      </c>
      <c r="AQ114" s="1"/>
    </row>
    <row r="115" spans="1:43" ht="12.3" x14ac:dyDescent="0.4">
      <c r="A115" s="1" t="s">
        <v>132</v>
      </c>
      <c r="B115" s="1"/>
      <c r="C115" s="1" t="s">
        <v>6</v>
      </c>
      <c r="D115" s="5" t="s">
        <v>7</v>
      </c>
      <c r="E115" s="5" t="s">
        <v>463</v>
      </c>
      <c r="F115" s="4" t="s">
        <v>465</v>
      </c>
      <c r="G115" s="4" t="s">
        <v>465</v>
      </c>
      <c r="I115" s="1" t="s">
        <v>16</v>
      </c>
      <c r="J115" s="1" t="s">
        <v>10</v>
      </c>
      <c r="K115" s="4" t="s">
        <v>464</v>
      </c>
      <c r="L115" s="1" t="s">
        <v>26</v>
      </c>
      <c r="M115" s="1"/>
      <c r="O115" s="1"/>
      <c r="P115" s="1"/>
      <c r="Q115" s="1"/>
      <c r="S115" s="2"/>
      <c r="T115" s="1"/>
      <c r="U115" s="1"/>
      <c r="V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 t="s">
        <v>15</v>
      </c>
      <c r="AN115" s="1" t="s">
        <v>14</v>
      </c>
      <c r="AO115" s="1">
        <v>324</v>
      </c>
      <c r="AP115" s="3">
        <v>0.54</v>
      </c>
      <c r="AQ115" s="1"/>
    </row>
    <row r="116" spans="1:43" ht="12.3" x14ac:dyDescent="0.4">
      <c r="A116" s="1" t="s">
        <v>133</v>
      </c>
      <c r="B116" s="1"/>
      <c r="C116" s="1" t="s">
        <v>6</v>
      </c>
      <c r="D116" s="5" t="s">
        <v>7</v>
      </c>
      <c r="E116" s="5" t="s">
        <v>463</v>
      </c>
      <c r="F116" s="4" t="s">
        <v>465</v>
      </c>
      <c r="G116" s="4" t="s">
        <v>465</v>
      </c>
      <c r="I116" s="1" t="s">
        <v>16</v>
      </c>
      <c r="J116" s="1" t="s">
        <v>10</v>
      </c>
      <c r="K116" s="4" t="s">
        <v>464</v>
      </c>
      <c r="L116" s="1" t="s">
        <v>24</v>
      </c>
      <c r="M116" s="1"/>
      <c r="O116" s="1"/>
      <c r="P116" s="1"/>
      <c r="Q116" s="1"/>
      <c r="S116" s="2"/>
      <c r="T116" s="1"/>
      <c r="U116" s="1"/>
      <c r="V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 t="s">
        <v>12</v>
      </c>
      <c r="AN116" s="1" t="s">
        <v>14</v>
      </c>
      <c r="AO116" s="1">
        <v>258</v>
      </c>
      <c r="AP116" s="3">
        <v>0.43</v>
      </c>
      <c r="AQ116" s="1"/>
    </row>
    <row r="117" spans="1:43" ht="12.3" x14ac:dyDescent="0.4">
      <c r="A117" s="1" t="s">
        <v>133</v>
      </c>
      <c r="B117" s="1"/>
      <c r="C117" s="1" t="s">
        <v>6</v>
      </c>
      <c r="D117" s="5" t="s">
        <v>7</v>
      </c>
      <c r="E117" s="5" t="s">
        <v>463</v>
      </c>
      <c r="F117" s="4" t="s">
        <v>465</v>
      </c>
      <c r="G117" s="4" t="s">
        <v>465</v>
      </c>
      <c r="I117" s="1" t="s">
        <v>16</v>
      </c>
      <c r="J117" s="1" t="s">
        <v>10</v>
      </c>
      <c r="K117" s="4" t="s">
        <v>464</v>
      </c>
      <c r="L117" s="1" t="s">
        <v>24</v>
      </c>
      <c r="M117" s="1"/>
      <c r="O117" s="1"/>
      <c r="P117" s="1"/>
      <c r="Q117" s="1"/>
      <c r="S117" s="1"/>
      <c r="T117" s="1"/>
      <c r="U117" s="1"/>
      <c r="V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 t="s">
        <v>15</v>
      </c>
      <c r="AN117" s="1" t="s">
        <v>13</v>
      </c>
      <c r="AO117" s="1">
        <v>362</v>
      </c>
      <c r="AP117" s="3">
        <v>0.60333333333333339</v>
      </c>
      <c r="AQ117" s="1"/>
    </row>
    <row r="118" spans="1:43" ht="12.3" x14ac:dyDescent="0.4">
      <c r="A118" s="1" t="s">
        <v>134</v>
      </c>
      <c r="B118" s="1"/>
      <c r="C118" s="1" t="s">
        <v>6</v>
      </c>
      <c r="D118" s="5" t="s">
        <v>7</v>
      </c>
      <c r="E118" s="5" t="s">
        <v>463</v>
      </c>
      <c r="F118" s="4" t="s">
        <v>465</v>
      </c>
      <c r="G118" s="4" t="s">
        <v>465</v>
      </c>
      <c r="I118" s="1" t="s">
        <v>16</v>
      </c>
      <c r="J118" s="1" t="s">
        <v>10</v>
      </c>
      <c r="K118" s="4" t="s">
        <v>464</v>
      </c>
      <c r="L118" s="1" t="s">
        <v>28</v>
      </c>
      <c r="M118" s="1"/>
      <c r="O118" s="1"/>
      <c r="P118" s="1"/>
      <c r="Q118" s="1"/>
      <c r="S118" s="1"/>
      <c r="T118" s="1"/>
      <c r="U118" s="1"/>
      <c r="V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 t="s">
        <v>12</v>
      </c>
      <c r="AN118" s="1" t="s">
        <v>18</v>
      </c>
      <c r="AO118" s="1">
        <v>323</v>
      </c>
      <c r="AP118" s="3">
        <v>0.53833333333333333</v>
      </c>
      <c r="AQ118" s="1"/>
    </row>
    <row r="119" spans="1:43" ht="12.3" x14ac:dyDescent="0.4">
      <c r="A119" s="1" t="s">
        <v>134</v>
      </c>
      <c r="B119" s="1"/>
      <c r="C119" s="1" t="s">
        <v>6</v>
      </c>
      <c r="D119" s="5" t="s">
        <v>7</v>
      </c>
      <c r="E119" s="5" t="s">
        <v>463</v>
      </c>
      <c r="F119" s="4" t="s">
        <v>465</v>
      </c>
      <c r="G119" s="4" t="s">
        <v>465</v>
      </c>
      <c r="I119" s="1" t="s">
        <v>16</v>
      </c>
      <c r="J119" s="1" t="s">
        <v>10</v>
      </c>
      <c r="K119" s="4" t="s">
        <v>464</v>
      </c>
      <c r="L119" s="1" t="s">
        <v>28</v>
      </c>
      <c r="M119" s="1"/>
      <c r="O119" s="1"/>
      <c r="P119" s="1"/>
      <c r="Q119" s="1"/>
      <c r="S119" s="2"/>
      <c r="T119" s="1"/>
      <c r="U119" s="2"/>
      <c r="V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 t="s">
        <v>15</v>
      </c>
      <c r="AN119" s="1" t="s">
        <v>13</v>
      </c>
      <c r="AO119" s="1">
        <v>357</v>
      </c>
      <c r="AP119" s="3">
        <v>0.59499999999999997</v>
      </c>
      <c r="AQ119" s="1"/>
    </row>
    <row r="120" spans="1:43" ht="12.3" x14ac:dyDescent="0.4">
      <c r="A120" s="1" t="s">
        <v>135</v>
      </c>
      <c r="B120" s="1"/>
      <c r="C120" s="1" t="s">
        <v>6</v>
      </c>
      <c r="D120" s="5" t="s">
        <v>7</v>
      </c>
      <c r="E120" s="5" t="s">
        <v>463</v>
      </c>
      <c r="F120" s="4" t="s">
        <v>465</v>
      </c>
      <c r="G120" s="4" t="s">
        <v>465</v>
      </c>
      <c r="I120" s="1" t="s">
        <v>16</v>
      </c>
      <c r="J120" s="1" t="s">
        <v>10</v>
      </c>
      <c r="K120" s="4" t="s">
        <v>464</v>
      </c>
      <c r="L120" s="1" t="s">
        <v>17</v>
      </c>
      <c r="M120" s="1"/>
      <c r="O120" s="1"/>
      <c r="P120" s="1"/>
      <c r="Q120" s="1"/>
      <c r="S120" s="2"/>
      <c r="T120" s="1"/>
      <c r="U120" s="2"/>
      <c r="V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 t="s">
        <v>12</v>
      </c>
      <c r="AN120" s="1" t="s">
        <v>18</v>
      </c>
      <c r="AO120" s="1">
        <v>331</v>
      </c>
      <c r="AP120" s="3">
        <v>0.55166666666666664</v>
      </c>
      <c r="AQ120" s="1"/>
    </row>
    <row r="121" spans="1:43" ht="12.3" x14ac:dyDescent="0.4">
      <c r="A121" s="1" t="s">
        <v>135</v>
      </c>
      <c r="B121" s="1"/>
      <c r="C121" s="1" t="s">
        <v>6</v>
      </c>
      <c r="D121" s="5" t="s">
        <v>7</v>
      </c>
      <c r="E121" s="5" t="s">
        <v>463</v>
      </c>
      <c r="F121" s="4" t="s">
        <v>465</v>
      </c>
      <c r="G121" s="4" t="s">
        <v>465</v>
      </c>
      <c r="I121" s="1" t="s">
        <v>16</v>
      </c>
      <c r="J121" s="1" t="s">
        <v>10</v>
      </c>
      <c r="K121" s="4" t="s">
        <v>464</v>
      </c>
      <c r="L121" s="1" t="s">
        <v>17</v>
      </c>
      <c r="M121" s="1"/>
      <c r="O121" s="1"/>
      <c r="P121" s="1"/>
      <c r="Q121" s="1"/>
      <c r="S121" s="2"/>
      <c r="T121" s="1"/>
      <c r="U121" s="2"/>
      <c r="V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 t="s">
        <v>15</v>
      </c>
      <c r="AN121" s="1" t="s">
        <v>20</v>
      </c>
      <c r="AO121" s="1">
        <v>444</v>
      </c>
      <c r="AP121" s="3">
        <v>0.74</v>
      </c>
      <c r="AQ121" s="1"/>
    </row>
    <row r="122" spans="1:43" ht="12.3" x14ac:dyDescent="0.4">
      <c r="A122" s="1" t="s">
        <v>136</v>
      </c>
      <c r="B122" s="1"/>
      <c r="C122" s="1" t="s">
        <v>6</v>
      </c>
      <c r="D122" s="5" t="s">
        <v>7</v>
      </c>
      <c r="E122" s="5" t="s">
        <v>463</v>
      </c>
      <c r="F122" s="4" t="s">
        <v>465</v>
      </c>
      <c r="G122" s="4" t="s">
        <v>465</v>
      </c>
      <c r="I122" s="1" t="s">
        <v>16</v>
      </c>
      <c r="J122" s="1" t="s">
        <v>10</v>
      </c>
      <c r="K122" s="4" t="s">
        <v>464</v>
      </c>
      <c r="L122" s="1" t="s">
        <v>22</v>
      </c>
      <c r="M122" s="1"/>
      <c r="O122" s="1"/>
      <c r="P122" s="1"/>
      <c r="Q122" s="1"/>
      <c r="S122" s="2"/>
      <c r="T122" s="1"/>
      <c r="U122" s="2"/>
      <c r="V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 t="s">
        <v>12</v>
      </c>
      <c r="AN122" s="1" t="s">
        <v>13</v>
      </c>
      <c r="AO122" s="1">
        <v>291</v>
      </c>
      <c r="AP122" s="3">
        <v>0.48499999999999999</v>
      </c>
      <c r="AQ122" s="1"/>
    </row>
    <row r="123" spans="1:43" ht="12.3" x14ac:dyDescent="0.4">
      <c r="A123" s="1" t="s">
        <v>136</v>
      </c>
      <c r="B123" s="1"/>
      <c r="C123" s="1" t="s">
        <v>6</v>
      </c>
      <c r="D123" s="5" t="s">
        <v>7</v>
      </c>
      <c r="E123" s="5" t="s">
        <v>463</v>
      </c>
      <c r="F123" s="4" t="s">
        <v>465</v>
      </c>
      <c r="G123" s="4" t="s">
        <v>465</v>
      </c>
      <c r="I123" s="1" t="s">
        <v>16</v>
      </c>
      <c r="J123" s="1" t="s">
        <v>10</v>
      </c>
      <c r="K123" s="4" t="s">
        <v>464</v>
      </c>
      <c r="L123" s="1" t="s">
        <v>22</v>
      </c>
      <c r="M123" s="1"/>
      <c r="O123" s="1"/>
      <c r="P123" s="1"/>
      <c r="Q123" s="1"/>
      <c r="S123" s="2"/>
      <c r="T123" s="1"/>
      <c r="U123" s="1"/>
      <c r="V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 t="s">
        <v>15</v>
      </c>
      <c r="AN123" s="1" t="s">
        <v>14</v>
      </c>
      <c r="AO123" s="1">
        <v>328</v>
      </c>
      <c r="AP123" s="3">
        <v>0.54666666666666663</v>
      </c>
      <c r="AQ123" s="1"/>
    </row>
    <row r="124" spans="1:43" ht="12.3" x14ac:dyDescent="0.4">
      <c r="A124" s="1" t="s">
        <v>137</v>
      </c>
      <c r="B124" s="1"/>
      <c r="C124" s="1" t="s">
        <v>6</v>
      </c>
      <c r="D124" s="5" t="s">
        <v>7</v>
      </c>
      <c r="E124" s="5" t="s">
        <v>463</v>
      </c>
      <c r="F124" s="4" t="s">
        <v>465</v>
      </c>
      <c r="G124" s="4" t="s">
        <v>465</v>
      </c>
      <c r="I124" s="1" t="s">
        <v>16</v>
      </c>
      <c r="J124" s="1" t="s">
        <v>10</v>
      </c>
      <c r="K124" s="4" t="s">
        <v>464</v>
      </c>
      <c r="L124" s="1" t="s">
        <v>11</v>
      </c>
      <c r="M124" s="1"/>
      <c r="O124" s="1"/>
      <c r="P124" s="1"/>
      <c r="Q124" s="1"/>
      <c r="S124" s="2"/>
      <c r="T124" s="1"/>
      <c r="U124" s="1"/>
      <c r="V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 t="s">
        <v>12</v>
      </c>
      <c r="AN124" s="1" t="s">
        <v>18</v>
      </c>
      <c r="AO124" s="1">
        <v>331</v>
      </c>
      <c r="AP124" s="3">
        <v>0.55166666666666664</v>
      </c>
      <c r="AQ124" s="1"/>
    </row>
    <row r="125" spans="1:43" ht="12.3" x14ac:dyDescent="0.4">
      <c r="A125" s="1" t="s">
        <v>137</v>
      </c>
      <c r="B125" s="1"/>
      <c r="C125" s="1" t="s">
        <v>6</v>
      </c>
      <c r="D125" s="5" t="s">
        <v>7</v>
      </c>
      <c r="E125" s="5" t="s">
        <v>463</v>
      </c>
      <c r="F125" s="4" t="s">
        <v>465</v>
      </c>
      <c r="G125" s="4" t="s">
        <v>465</v>
      </c>
      <c r="I125" s="1" t="s">
        <v>16</v>
      </c>
      <c r="J125" s="1" t="s">
        <v>10</v>
      </c>
      <c r="K125" s="4" t="s">
        <v>464</v>
      </c>
      <c r="L125" s="1" t="s">
        <v>11</v>
      </c>
      <c r="M125" s="1"/>
      <c r="O125" s="1"/>
      <c r="P125" s="1"/>
      <c r="Q125" s="1"/>
      <c r="S125" s="2"/>
      <c r="T125" s="1"/>
      <c r="U125" s="2"/>
      <c r="V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 t="s">
        <v>15</v>
      </c>
      <c r="AN125" s="1" t="s">
        <v>13</v>
      </c>
      <c r="AO125" s="1">
        <v>370</v>
      </c>
      <c r="AP125" s="3">
        <v>0.6166666666666667</v>
      </c>
      <c r="AQ125" s="1"/>
    </row>
    <row r="126" spans="1:43" ht="12.3" x14ac:dyDescent="0.4">
      <c r="A126" s="1" t="s">
        <v>138</v>
      </c>
      <c r="B126" s="1"/>
      <c r="C126" s="1" t="s">
        <v>6</v>
      </c>
      <c r="D126" s="5" t="s">
        <v>7</v>
      </c>
      <c r="E126" s="5" t="s">
        <v>463</v>
      </c>
      <c r="F126" s="4" t="s">
        <v>465</v>
      </c>
      <c r="G126" s="4" t="s">
        <v>465</v>
      </c>
      <c r="I126" s="1" t="s">
        <v>16</v>
      </c>
      <c r="J126" s="1" t="s">
        <v>10</v>
      </c>
      <c r="K126" s="4" t="s">
        <v>464</v>
      </c>
      <c r="L126" s="1" t="s">
        <v>19</v>
      </c>
      <c r="M126" s="1"/>
      <c r="O126" s="1"/>
      <c r="P126" s="1"/>
      <c r="Q126" s="1"/>
      <c r="S126" s="2"/>
      <c r="T126" s="1"/>
      <c r="U126" s="2"/>
      <c r="V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 t="s">
        <v>12</v>
      </c>
      <c r="AN126" s="1" t="s">
        <v>13</v>
      </c>
      <c r="AO126" s="1">
        <v>282</v>
      </c>
      <c r="AP126" s="3">
        <v>0.47</v>
      </c>
      <c r="AQ126" s="1"/>
    </row>
    <row r="127" spans="1:43" ht="12.3" x14ac:dyDescent="0.4">
      <c r="A127" s="1" t="s">
        <v>138</v>
      </c>
      <c r="B127" s="1"/>
      <c r="C127" s="1" t="s">
        <v>6</v>
      </c>
      <c r="D127" s="5" t="s">
        <v>7</v>
      </c>
      <c r="E127" s="5" t="s">
        <v>463</v>
      </c>
      <c r="F127" s="4" t="s">
        <v>465</v>
      </c>
      <c r="G127" s="4" t="s">
        <v>465</v>
      </c>
      <c r="I127" s="1" t="s">
        <v>8</v>
      </c>
      <c r="J127" s="1" t="s">
        <v>9</v>
      </c>
      <c r="K127" s="4" t="s">
        <v>464</v>
      </c>
      <c r="L127" s="1" t="s">
        <v>19</v>
      </c>
      <c r="M127" s="1"/>
      <c r="O127" s="1"/>
      <c r="P127" s="1"/>
      <c r="Q127" s="1"/>
      <c r="S127" s="1"/>
      <c r="T127" s="1"/>
      <c r="U127" s="1"/>
      <c r="V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 t="s">
        <v>15</v>
      </c>
      <c r="AN127" s="1" t="s">
        <v>18</v>
      </c>
      <c r="AO127" s="1">
        <v>375</v>
      </c>
      <c r="AP127" s="3">
        <v>0.625</v>
      </c>
      <c r="AQ127" s="1"/>
    </row>
    <row r="128" spans="1:43" ht="12.3" x14ac:dyDescent="0.4">
      <c r="A128" s="1" t="s">
        <v>139</v>
      </c>
      <c r="B128" s="1"/>
      <c r="C128" s="1" t="s">
        <v>6</v>
      </c>
      <c r="D128" s="5" t="s">
        <v>7</v>
      </c>
      <c r="E128" s="5" t="s">
        <v>463</v>
      </c>
      <c r="F128" s="4" t="s">
        <v>465</v>
      </c>
      <c r="G128" s="4" t="s">
        <v>465</v>
      </c>
      <c r="I128" s="1" t="s">
        <v>8</v>
      </c>
      <c r="J128" s="1" t="s">
        <v>9</v>
      </c>
      <c r="K128" s="4" t="s">
        <v>464</v>
      </c>
      <c r="L128" s="1" t="s">
        <v>25</v>
      </c>
      <c r="M128" s="1"/>
      <c r="O128" s="1"/>
      <c r="P128" s="1"/>
      <c r="Q128" s="1"/>
      <c r="S128" s="1"/>
      <c r="T128" s="1"/>
      <c r="U128" s="1"/>
      <c r="V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 t="s">
        <v>12</v>
      </c>
      <c r="AN128" s="1" t="s">
        <v>14</v>
      </c>
      <c r="AO128" s="1">
        <v>266</v>
      </c>
      <c r="AP128" s="3">
        <v>0.44333333333333336</v>
      </c>
      <c r="AQ128" s="1"/>
    </row>
    <row r="129" spans="1:43" ht="12.3" x14ac:dyDescent="0.4">
      <c r="A129" s="1" t="s">
        <v>139</v>
      </c>
      <c r="B129" s="1"/>
      <c r="C129" s="1" t="s">
        <v>6</v>
      </c>
      <c r="D129" s="5" t="s">
        <v>7</v>
      </c>
      <c r="E129" s="5" t="s">
        <v>463</v>
      </c>
      <c r="F129" s="4" t="s">
        <v>465</v>
      </c>
      <c r="G129" s="4" t="s">
        <v>465</v>
      </c>
      <c r="I129" s="1" t="s">
        <v>16</v>
      </c>
      <c r="J129" s="1" t="s">
        <v>10</v>
      </c>
      <c r="K129" s="4" t="s">
        <v>464</v>
      </c>
      <c r="L129" s="1" t="s">
        <v>25</v>
      </c>
      <c r="M129" s="1"/>
      <c r="O129" s="1"/>
      <c r="P129" s="1"/>
      <c r="Q129" s="1"/>
      <c r="S129" s="2"/>
      <c r="T129" s="1"/>
      <c r="U129" s="1"/>
      <c r="V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 t="s">
        <v>15</v>
      </c>
      <c r="AN129" s="1" t="s">
        <v>18</v>
      </c>
      <c r="AO129" s="1">
        <v>373</v>
      </c>
      <c r="AP129" s="3">
        <v>0.6216666666666667</v>
      </c>
      <c r="AQ129" s="1"/>
    </row>
    <row r="130" spans="1:43" ht="12.3" x14ac:dyDescent="0.4">
      <c r="A130" s="1" t="s">
        <v>140</v>
      </c>
      <c r="B130" s="1"/>
      <c r="C130" s="1" t="s">
        <v>6</v>
      </c>
      <c r="D130" s="5" t="s">
        <v>7</v>
      </c>
      <c r="E130" s="5" t="s">
        <v>463</v>
      </c>
      <c r="F130" s="4" t="s">
        <v>465</v>
      </c>
      <c r="G130" s="4" t="s">
        <v>465</v>
      </c>
      <c r="I130" s="1" t="s">
        <v>16</v>
      </c>
      <c r="J130" s="1" t="s">
        <v>10</v>
      </c>
      <c r="K130" s="4" t="s">
        <v>464</v>
      </c>
      <c r="L130" s="1" t="s">
        <v>23</v>
      </c>
      <c r="M130" s="1"/>
      <c r="O130" s="1"/>
      <c r="P130" s="1"/>
      <c r="Q130" s="1"/>
      <c r="S130" s="2"/>
      <c r="T130" s="1"/>
      <c r="U130" s="1"/>
      <c r="V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 t="s">
        <v>12</v>
      </c>
      <c r="AN130" s="1" t="s">
        <v>20</v>
      </c>
      <c r="AO130" s="1">
        <v>338</v>
      </c>
      <c r="AP130" s="3">
        <v>0.56333333333333335</v>
      </c>
      <c r="AQ130" s="1"/>
    </row>
    <row r="131" spans="1:43" ht="12.3" x14ac:dyDescent="0.4">
      <c r="A131" s="1" t="s">
        <v>140</v>
      </c>
      <c r="B131" s="1"/>
      <c r="C131" s="1" t="s">
        <v>6</v>
      </c>
      <c r="D131" s="5" t="s">
        <v>7</v>
      </c>
      <c r="E131" s="5" t="s">
        <v>463</v>
      </c>
      <c r="F131" s="4" t="s">
        <v>465</v>
      </c>
      <c r="G131" s="4" t="s">
        <v>465</v>
      </c>
      <c r="I131" s="1" t="s">
        <v>16</v>
      </c>
      <c r="J131" s="1" t="s">
        <v>10</v>
      </c>
      <c r="K131" s="4" t="s">
        <v>464</v>
      </c>
      <c r="L131" s="1" t="s">
        <v>23</v>
      </c>
      <c r="M131" s="1"/>
      <c r="O131" s="1"/>
      <c r="P131" s="1"/>
      <c r="Q131" s="1"/>
      <c r="S131" s="2"/>
      <c r="T131" s="1"/>
      <c r="U131" s="2"/>
      <c r="V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 t="s">
        <v>15</v>
      </c>
      <c r="AN131" s="1" t="s">
        <v>18</v>
      </c>
      <c r="AO131" s="1">
        <v>376</v>
      </c>
      <c r="AP131" s="3">
        <v>0.62666666666666671</v>
      </c>
      <c r="AQ131" s="1"/>
    </row>
    <row r="132" spans="1:43" ht="12.3" x14ac:dyDescent="0.4">
      <c r="A132" s="1" t="s">
        <v>141</v>
      </c>
      <c r="B132" s="1"/>
      <c r="C132" s="1" t="s">
        <v>6</v>
      </c>
      <c r="D132" s="5" t="s">
        <v>7</v>
      </c>
      <c r="E132" s="5" t="s">
        <v>463</v>
      </c>
      <c r="F132" s="4" t="s">
        <v>465</v>
      </c>
      <c r="G132" s="4" t="s">
        <v>465</v>
      </c>
      <c r="I132" s="1" t="s">
        <v>16</v>
      </c>
      <c r="J132" s="1" t="s">
        <v>10</v>
      </c>
      <c r="K132" s="4" t="s">
        <v>464</v>
      </c>
      <c r="L132" s="1" t="s">
        <v>11</v>
      </c>
      <c r="M132" s="1"/>
      <c r="O132" s="1"/>
      <c r="P132" s="1"/>
      <c r="Q132" s="1"/>
      <c r="S132" s="2"/>
      <c r="T132" s="1"/>
      <c r="U132" s="2"/>
      <c r="V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 t="s">
        <v>12</v>
      </c>
      <c r="AN132" s="1" t="s">
        <v>14</v>
      </c>
      <c r="AO132" s="1">
        <v>252</v>
      </c>
      <c r="AP132" s="3">
        <v>0.42</v>
      </c>
      <c r="AQ132" s="1"/>
    </row>
    <row r="133" spans="1:43" ht="12.3" x14ac:dyDescent="0.4">
      <c r="A133" s="1" t="s">
        <v>141</v>
      </c>
      <c r="B133" s="1"/>
      <c r="C133" s="1" t="s">
        <v>6</v>
      </c>
      <c r="D133" s="5" t="s">
        <v>7</v>
      </c>
      <c r="E133" s="5" t="s">
        <v>463</v>
      </c>
      <c r="F133" s="4" t="s">
        <v>465</v>
      </c>
      <c r="G133" s="4" t="s">
        <v>465</v>
      </c>
      <c r="I133" s="1" t="s">
        <v>16</v>
      </c>
      <c r="J133" s="1" t="s">
        <v>10</v>
      </c>
      <c r="K133" s="4" t="s">
        <v>464</v>
      </c>
      <c r="L133" s="1" t="s">
        <v>11</v>
      </c>
      <c r="M133" s="1"/>
      <c r="O133" s="1"/>
      <c r="P133" s="1"/>
      <c r="Q133" s="1"/>
      <c r="S133" s="2"/>
      <c r="T133" s="1"/>
      <c r="U133" s="1"/>
      <c r="V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 t="s">
        <v>15</v>
      </c>
      <c r="AN133" s="1" t="s">
        <v>14</v>
      </c>
      <c r="AO133" s="1">
        <v>325</v>
      </c>
      <c r="AP133" s="3">
        <v>0.54166666666666663</v>
      </c>
      <c r="AQ133" s="1"/>
    </row>
    <row r="134" spans="1:43" ht="12.3" x14ac:dyDescent="0.4">
      <c r="A134" s="1" t="s">
        <v>142</v>
      </c>
      <c r="B134" s="1"/>
      <c r="C134" s="1" t="s">
        <v>6</v>
      </c>
      <c r="D134" s="5" t="s">
        <v>7</v>
      </c>
      <c r="E134" s="5" t="s">
        <v>463</v>
      </c>
      <c r="F134" s="4" t="s">
        <v>465</v>
      </c>
      <c r="G134" s="4" t="s">
        <v>465</v>
      </c>
      <c r="I134" s="1" t="s">
        <v>16</v>
      </c>
      <c r="J134" s="1" t="s">
        <v>10</v>
      </c>
      <c r="K134" s="4" t="s">
        <v>464</v>
      </c>
      <c r="L134" s="1" t="s">
        <v>28</v>
      </c>
      <c r="M134" s="1"/>
      <c r="O134" s="1"/>
      <c r="P134" s="1"/>
      <c r="Q134" s="1"/>
      <c r="S134" s="2"/>
      <c r="T134" s="1"/>
      <c r="U134" s="1"/>
      <c r="V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 t="s">
        <v>12</v>
      </c>
      <c r="AN134" s="1" t="s">
        <v>14</v>
      </c>
      <c r="AO134" s="1">
        <v>279</v>
      </c>
      <c r="AP134" s="3">
        <v>0.46500000000000002</v>
      </c>
      <c r="AQ134" s="1"/>
    </row>
    <row r="135" spans="1:43" ht="12.3" x14ac:dyDescent="0.4">
      <c r="A135" s="1" t="s">
        <v>142</v>
      </c>
      <c r="B135" s="1"/>
      <c r="C135" s="1" t="s">
        <v>6</v>
      </c>
      <c r="D135" s="5" t="s">
        <v>7</v>
      </c>
      <c r="E135" s="5" t="s">
        <v>463</v>
      </c>
      <c r="F135" s="4" t="s">
        <v>465</v>
      </c>
      <c r="G135" s="4" t="s">
        <v>465</v>
      </c>
      <c r="I135" s="1" t="s">
        <v>16</v>
      </c>
      <c r="J135" s="1" t="s">
        <v>10</v>
      </c>
      <c r="K135" s="4" t="s">
        <v>464</v>
      </c>
      <c r="L135" s="1" t="s">
        <v>28</v>
      </c>
      <c r="M135" s="1"/>
      <c r="O135" s="1"/>
      <c r="P135" s="1"/>
      <c r="Q135" s="1"/>
      <c r="S135" s="1"/>
      <c r="T135" s="1"/>
      <c r="U135" s="1"/>
      <c r="V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 t="s">
        <v>15</v>
      </c>
      <c r="AN135" s="1" t="s">
        <v>14</v>
      </c>
      <c r="AO135" s="1">
        <v>329</v>
      </c>
      <c r="AP135" s="3">
        <v>0.54833333333333334</v>
      </c>
      <c r="AQ135" s="1"/>
    </row>
    <row r="136" spans="1:43" ht="12.3" x14ac:dyDescent="0.4">
      <c r="A136" s="1" t="s">
        <v>143</v>
      </c>
      <c r="B136" s="1"/>
      <c r="C136" s="1" t="s">
        <v>6</v>
      </c>
      <c r="D136" s="5" t="s">
        <v>7</v>
      </c>
      <c r="E136" s="5" t="s">
        <v>463</v>
      </c>
      <c r="F136" s="4" t="s">
        <v>465</v>
      </c>
      <c r="G136" s="4" t="s">
        <v>465</v>
      </c>
      <c r="I136" s="1" t="s">
        <v>16</v>
      </c>
      <c r="J136" s="1" t="s">
        <v>10</v>
      </c>
      <c r="K136" s="4" t="s">
        <v>464</v>
      </c>
      <c r="L136" s="1" t="s">
        <v>25</v>
      </c>
      <c r="M136" s="1"/>
      <c r="O136" s="1"/>
      <c r="P136" s="1"/>
      <c r="Q136" s="1"/>
      <c r="S136" s="1"/>
      <c r="T136" s="1"/>
      <c r="U136" s="1"/>
      <c r="V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 t="s">
        <v>15</v>
      </c>
      <c r="AN136" s="1" t="s">
        <v>14</v>
      </c>
      <c r="AO136" s="1">
        <v>321</v>
      </c>
      <c r="AP136" s="3">
        <v>0.53500000000000003</v>
      </c>
      <c r="AQ136" s="1"/>
    </row>
    <row r="137" spans="1:43" ht="12.3" x14ac:dyDescent="0.4">
      <c r="A137" s="1" t="s">
        <v>144</v>
      </c>
      <c r="B137" s="1"/>
      <c r="C137" s="1" t="s">
        <v>6</v>
      </c>
      <c r="D137" s="5" t="s">
        <v>7</v>
      </c>
      <c r="E137" s="5" t="s">
        <v>463</v>
      </c>
      <c r="F137" s="4" t="s">
        <v>465</v>
      </c>
      <c r="G137" s="4" t="s">
        <v>465</v>
      </c>
      <c r="I137" s="1" t="s">
        <v>16</v>
      </c>
      <c r="J137" s="1" t="s">
        <v>10</v>
      </c>
      <c r="K137" s="4" t="s">
        <v>464</v>
      </c>
      <c r="L137" s="1" t="s">
        <v>25</v>
      </c>
      <c r="M137" s="1"/>
      <c r="O137" s="1"/>
      <c r="P137" s="1"/>
      <c r="Q137" s="1"/>
      <c r="S137" s="2"/>
      <c r="T137" s="1"/>
      <c r="U137" s="2"/>
      <c r="V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 t="s">
        <v>15</v>
      </c>
      <c r="AN137" s="1" t="s">
        <v>20</v>
      </c>
      <c r="AO137" s="1">
        <v>412</v>
      </c>
      <c r="AP137" s="3">
        <v>0.68666666666666665</v>
      </c>
      <c r="AQ137" s="1"/>
    </row>
    <row r="138" spans="1:43" ht="12.3" x14ac:dyDescent="0.4">
      <c r="A138" s="1" t="s">
        <v>145</v>
      </c>
      <c r="B138" s="1"/>
      <c r="C138" s="1" t="s">
        <v>6</v>
      </c>
      <c r="D138" s="5" t="s">
        <v>7</v>
      </c>
      <c r="E138" s="5" t="s">
        <v>463</v>
      </c>
      <c r="F138" s="4" t="s">
        <v>465</v>
      </c>
      <c r="G138" s="4" t="s">
        <v>465</v>
      </c>
      <c r="I138" s="1" t="s">
        <v>16</v>
      </c>
      <c r="J138" s="1" t="s">
        <v>10</v>
      </c>
      <c r="K138" s="4" t="s">
        <v>464</v>
      </c>
      <c r="L138" s="1" t="s">
        <v>26</v>
      </c>
      <c r="M138" s="1"/>
      <c r="O138" s="1"/>
      <c r="P138" s="1"/>
      <c r="Q138" s="1"/>
      <c r="S138" s="2"/>
      <c r="T138" s="1"/>
      <c r="U138" s="1"/>
      <c r="V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 t="s">
        <v>12</v>
      </c>
      <c r="AN138" s="1" t="s">
        <v>14</v>
      </c>
      <c r="AO138" s="1">
        <v>269</v>
      </c>
      <c r="AP138" s="3">
        <v>0.44833333333333331</v>
      </c>
      <c r="AQ138" s="1"/>
    </row>
    <row r="139" spans="1:43" ht="12.3" x14ac:dyDescent="0.4">
      <c r="A139" s="1" t="s">
        <v>145</v>
      </c>
      <c r="B139" s="1"/>
      <c r="C139" s="1" t="s">
        <v>6</v>
      </c>
      <c r="D139" s="5" t="s">
        <v>7</v>
      </c>
      <c r="E139" s="5" t="s">
        <v>463</v>
      </c>
      <c r="F139" s="4" t="s">
        <v>465</v>
      </c>
      <c r="G139" s="4" t="s">
        <v>465</v>
      </c>
      <c r="I139" s="1" t="s">
        <v>29</v>
      </c>
      <c r="J139" s="1" t="s">
        <v>9</v>
      </c>
      <c r="K139" s="4" t="s">
        <v>464</v>
      </c>
      <c r="L139" s="1" t="s">
        <v>26</v>
      </c>
      <c r="M139" s="1"/>
      <c r="O139" s="1"/>
      <c r="P139" s="1"/>
      <c r="Q139" s="1"/>
      <c r="S139" s="2"/>
      <c r="T139" s="1"/>
      <c r="U139" s="2"/>
      <c r="V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 t="s">
        <v>15</v>
      </c>
      <c r="AN139" s="1" t="s">
        <v>14</v>
      </c>
      <c r="AO139" s="1">
        <v>336</v>
      </c>
      <c r="AP139" s="3">
        <v>0.56000000000000005</v>
      </c>
      <c r="AQ139" s="1"/>
    </row>
    <row r="140" spans="1:43" ht="12.3" x14ac:dyDescent="0.4">
      <c r="A140" s="1" t="s">
        <v>146</v>
      </c>
      <c r="B140" s="1"/>
      <c r="C140" s="1" t="s">
        <v>6</v>
      </c>
      <c r="D140" s="5" t="s">
        <v>7</v>
      </c>
      <c r="E140" s="5" t="s">
        <v>463</v>
      </c>
      <c r="F140" s="4" t="s">
        <v>465</v>
      </c>
      <c r="G140" s="4" t="s">
        <v>465</v>
      </c>
      <c r="I140" s="1" t="s">
        <v>29</v>
      </c>
      <c r="J140" s="1" t="s">
        <v>9</v>
      </c>
      <c r="K140" s="4" t="s">
        <v>464</v>
      </c>
      <c r="L140" s="1" t="s">
        <v>19</v>
      </c>
      <c r="M140" s="1"/>
      <c r="O140" s="1"/>
      <c r="P140" s="1"/>
      <c r="Q140" s="1"/>
      <c r="S140" s="2"/>
      <c r="T140" s="1"/>
      <c r="U140" s="2"/>
      <c r="V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 t="s">
        <v>12</v>
      </c>
      <c r="AN140" s="1" t="s">
        <v>14</v>
      </c>
      <c r="AO140" s="1">
        <v>245</v>
      </c>
      <c r="AP140" s="3">
        <v>0.40833333333333333</v>
      </c>
      <c r="AQ140" s="1"/>
    </row>
    <row r="141" spans="1:43" ht="12.3" x14ac:dyDescent="0.4">
      <c r="A141" s="1" t="s">
        <v>146</v>
      </c>
      <c r="B141" s="1"/>
      <c r="C141" s="1" t="s">
        <v>6</v>
      </c>
      <c r="D141" s="5" t="s">
        <v>7</v>
      </c>
      <c r="E141" s="5" t="s">
        <v>463</v>
      </c>
      <c r="F141" s="4" t="s">
        <v>465</v>
      </c>
      <c r="G141" s="4" t="s">
        <v>465</v>
      </c>
      <c r="I141" s="1" t="s">
        <v>16</v>
      </c>
      <c r="J141" s="1" t="s">
        <v>10</v>
      </c>
      <c r="K141" s="4" t="s">
        <v>464</v>
      </c>
      <c r="L141" s="1" t="s">
        <v>19</v>
      </c>
      <c r="M141" s="1"/>
      <c r="O141" s="1"/>
      <c r="P141" s="1"/>
      <c r="Q141" s="1"/>
      <c r="S141" s="1"/>
      <c r="T141" s="1"/>
      <c r="U141" s="1"/>
      <c r="V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 t="s">
        <v>15</v>
      </c>
      <c r="AN141" s="1" t="s">
        <v>14</v>
      </c>
      <c r="AO141" s="1">
        <v>322</v>
      </c>
      <c r="AP141" s="3">
        <v>0.53666666666666663</v>
      </c>
      <c r="AQ141" s="1"/>
    </row>
    <row r="142" spans="1:43" ht="12.3" x14ac:dyDescent="0.4">
      <c r="A142" s="1" t="s">
        <v>147</v>
      </c>
      <c r="B142" s="1"/>
      <c r="C142" s="1" t="s">
        <v>6</v>
      </c>
      <c r="D142" s="5" t="s">
        <v>7</v>
      </c>
      <c r="E142" s="5" t="s">
        <v>463</v>
      </c>
      <c r="F142" s="4" t="s">
        <v>465</v>
      </c>
      <c r="G142" s="4" t="s">
        <v>465</v>
      </c>
      <c r="I142" s="1" t="s">
        <v>16</v>
      </c>
      <c r="J142" s="1" t="s">
        <v>10</v>
      </c>
      <c r="K142" s="4" t="s">
        <v>464</v>
      </c>
      <c r="L142" s="1" t="s">
        <v>26</v>
      </c>
      <c r="M142" s="1"/>
      <c r="O142" s="1"/>
      <c r="P142" s="1"/>
      <c r="Q142" s="1"/>
      <c r="S142" s="1"/>
      <c r="T142" s="1"/>
      <c r="U142" s="1"/>
      <c r="V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 t="s">
        <v>12</v>
      </c>
      <c r="AN142" s="1" t="s">
        <v>18</v>
      </c>
      <c r="AO142" s="1">
        <v>306</v>
      </c>
      <c r="AP142" s="3">
        <v>0.51</v>
      </c>
      <c r="AQ142" s="1"/>
    </row>
    <row r="143" spans="1:43" ht="12.3" x14ac:dyDescent="0.4">
      <c r="A143" s="1" t="s">
        <v>147</v>
      </c>
      <c r="B143" s="1"/>
      <c r="C143" s="1" t="s">
        <v>6</v>
      </c>
      <c r="D143" s="5" t="s">
        <v>7</v>
      </c>
      <c r="E143" s="5" t="s">
        <v>463</v>
      </c>
      <c r="F143" s="4" t="s">
        <v>465</v>
      </c>
      <c r="G143" s="4" t="s">
        <v>465</v>
      </c>
      <c r="I143" s="1" t="s">
        <v>16</v>
      </c>
      <c r="J143" s="1" t="s">
        <v>10</v>
      </c>
      <c r="K143" s="4" t="s">
        <v>464</v>
      </c>
      <c r="L143" s="1" t="s">
        <v>26</v>
      </c>
      <c r="M143" s="1"/>
      <c r="O143" s="1"/>
      <c r="P143" s="1"/>
      <c r="Q143" s="1"/>
      <c r="S143" s="2"/>
      <c r="T143" s="1"/>
      <c r="U143" s="1"/>
      <c r="V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 t="s">
        <v>15</v>
      </c>
      <c r="AN143" s="1" t="s">
        <v>13</v>
      </c>
      <c r="AO143" s="1">
        <v>356</v>
      </c>
      <c r="AP143" s="3">
        <v>0.59333333333333338</v>
      </c>
      <c r="AQ143" s="1"/>
    </row>
    <row r="144" spans="1:43" ht="12.3" x14ac:dyDescent="0.4">
      <c r="A144" s="1" t="s">
        <v>148</v>
      </c>
      <c r="B144" s="1"/>
      <c r="C144" s="1" t="s">
        <v>6</v>
      </c>
      <c r="D144" s="5" t="s">
        <v>7</v>
      </c>
      <c r="E144" s="5" t="s">
        <v>463</v>
      </c>
      <c r="F144" s="4" t="s">
        <v>465</v>
      </c>
      <c r="G144" s="4" t="s">
        <v>465</v>
      </c>
      <c r="I144" s="1" t="s">
        <v>16</v>
      </c>
      <c r="J144" s="1" t="s">
        <v>10</v>
      </c>
      <c r="K144" s="4" t="s">
        <v>464</v>
      </c>
      <c r="L144" s="1" t="s">
        <v>11</v>
      </c>
      <c r="M144" s="1"/>
      <c r="O144" s="1"/>
      <c r="P144" s="1"/>
      <c r="Q144" s="1"/>
      <c r="S144" s="2"/>
      <c r="T144" s="1"/>
      <c r="U144" s="1"/>
      <c r="V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 t="s">
        <v>12</v>
      </c>
      <c r="AN144" s="1" t="s">
        <v>14</v>
      </c>
      <c r="AO144" s="1">
        <v>260</v>
      </c>
      <c r="AP144" s="3">
        <v>0.43333333333333335</v>
      </c>
      <c r="AQ144" s="1"/>
    </row>
    <row r="145" spans="1:43" ht="12.3" x14ac:dyDescent="0.4">
      <c r="A145" s="1" t="s">
        <v>148</v>
      </c>
      <c r="B145" s="1"/>
      <c r="C145" s="1" t="s">
        <v>6</v>
      </c>
      <c r="D145" s="5" t="s">
        <v>7</v>
      </c>
      <c r="E145" s="5" t="s">
        <v>463</v>
      </c>
      <c r="F145" s="4" t="s">
        <v>465</v>
      </c>
      <c r="G145" s="4" t="s">
        <v>465</v>
      </c>
      <c r="I145" s="1" t="s">
        <v>16</v>
      </c>
      <c r="J145" s="1" t="s">
        <v>10</v>
      </c>
      <c r="K145" s="4" t="s">
        <v>464</v>
      </c>
      <c r="L145" s="1" t="s">
        <v>11</v>
      </c>
      <c r="M145" s="1"/>
      <c r="O145" s="1"/>
      <c r="P145" s="1"/>
      <c r="Q145" s="1"/>
      <c r="S145" s="1"/>
      <c r="T145" s="1"/>
      <c r="U145" s="1"/>
      <c r="V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 t="s">
        <v>15</v>
      </c>
      <c r="AN145" s="1" t="s">
        <v>14</v>
      </c>
      <c r="AO145" s="1">
        <v>352</v>
      </c>
      <c r="AP145" s="3">
        <v>0.58666666666666667</v>
      </c>
      <c r="AQ145" s="1"/>
    </row>
    <row r="146" spans="1:43" ht="12.3" x14ac:dyDescent="0.4">
      <c r="A146" s="1" t="s">
        <v>149</v>
      </c>
      <c r="B146" s="1"/>
      <c r="C146" s="1" t="s">
        <v>6</v>
      </c>
      <c r="D146" s="5" t="s">
        <v>7</v>
      </c>
      <c r="E146" s="5" t="s">
        <v>463</v>
      </c>
      <c r="F146" s="4" t="s">
        <v>465</v>
      </c>
      <c r="G146" s="4" t="s">
        <v>465</v>
      </c>
      <c r="I146" s="1" t="s">
        <v>16</v>
      </c>
      <c r="J146" s="1" t="s">
        <v>10</v>
      </c>
      <c r="K146" s="4" t="s">
        <v>464</v>
      </c>
      <c r="L146" s="1" t="s">
        <v>19</v>
      </c>
      <c r="M146" s="1"/>
      <c r="O146" s="1"/>
      <c r="P146" s="1"/>
      <c r="Q146" s="1"/>
      <c r="S146" s="1"/>
      <c r="T146" s="1"/>
      <c r="U146" s="1"/>
      <c r="V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 t="s">
        <v>15</v>
      </c>
      <c r="AN146" s="1" t="s">
        <v>14</v>
      </c>
      <c r="AO146" s="1">
        <v>321</v>
      </c>
      <c r="AP146" s="3">
        <v>0.53500000000000003</v>
      </c>
      <c r="AQ146" s="1"/>
    </row>
    <row r="147" spans="1:43" ht="12.3" x14ac:dyDescent="0.4">
      <c r="A147" s="1" t="s">
        <v>150</v>
      </c>
      <c r="B147" s="1"/>
      <c r="C147" s="1" t="s">
        <v>6</v>
      </c>
      <c r="D147" s="5" t="s">
        <v>7</v>
      </c>
      <c r="E147" s="5" t="s">
        <v>463</v>
      </c>
      <c r="F147" s="4" t="s">
        <v>465</v>
      </c>
      <c r="G147" s="4" t="s">
        <v>465</v>
      </c>
      <c r="I147" s="1" t="s">
        <v>8</v>
      </c>
      <c r="J147" s="1" t="s">
        <v>9</v>
      </c>
      <c r="K147" s="4" t="s">
        <v>464</v>
      </c>
      <c r="L147" s="1" t="s">
        <v>11</v>
      </c>
      <c r="M147" s="1"/>
      <c r="O147" s="1"/>
      <c r="P147" s="1"/>
      <c r="Q147" s="1"/>
      <c r="S147" s="2"/>
      <c r="T147" s="1"/>
      <c r="U147" s="1"/>
      <c r="V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 t="s">
        <v>12</v>
      </c>
      <c r="AN147" s="1" t="s">
        <v>20</v>
      </c>
      <c r="AO147" s="1">
        <v>336</v>
      </c>
      <c r="AP147" s="3">
        <v>0.56000000000000005</v>
      </c>
      <c r="AQ147" s="1"/>
    </row>
    <row r="148" spans="1:43" ht="12.3" x14ac:dyDescent="0.4">
      <c r="A148" s="1" t="s">
        <v>150</v>
      </c>
      <c r="B148" s="1"/>
      <c r="C148" s="1" t="s">
        <v>6</v>
      </c>
      <c r="D148" s="5" t="s">
        <v>7</v>
      </c>
      <c r="E148" s="5" t="s">
        <v>463</v>
      </c>
      <c r="F148" s="4" t="s">
        <v>465</v>
      </c>
      <c r="G148" s="4" t="s">
        <v>465</v>
      </c>
      <c r="I148" s="1" t="s">
        <v>8</v>
      </c>
      <c r="J148" s="1" t="s">
        <v>9</v>
      </c>
      <c r="K148" s="4" t="s">
        <v>464</v>
      </c>
      <c r="L148" s="1" t="s">
        <v>11</v>
      </c>
      <c r="M148" s="1"/>
      <c r="O148" s="1"/>
      <c r="P148" s="1"/>
      <c r="Q148" s="1"/>
      <c r="S148" s="2"/>
      <c r="T148" s="1"/>
      <c r="U148" s="1"/>
      <c r="V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 t="s">
        <v>15</v>
      </c>
      <c r="AN148" s="1" t="s">
        <v>20</v>
      </c>
      <c r="AO148" s="1">
        <v>408</v>
      </c>
      <c r="AP148" s="3">
        <v>0.68</v>
      </c>
      <c r="AQ148" s="1"/>
    </row>
    <row r="149" spans="1:43" ht="12.3" x14ac:dyDescent="0.4">
      <c r="A149" s="1" t="s">
        <v>151</v>
      </c>
      <c r="B149" s="1"/>
      <c r="C149" s="1" t="s">
        <v>6</v>
      </c>
      <c r="D149" s="5" t="s">
        <v>7</v>
      </c>
      <c r="E149" s="5" t="s">
        <v>463</v>
      </c>
      <c r="F149" s="4" t="s">
        <v>465</v>
      </c>
      <c r="G149" s="4" t="s">
        <v>465</v>
      </c>
      <c r="I149" s="1" t="s">
        <v>8</v>
      </c>
      <c r="J149" s="1" t="s">
        <v>9</v>
      </c>
      <c r="K149" s="4" t="s">
        <v>464</v>
      </c>
      <c r="L149" s="1" t="s">
        <v>22</v>
      </c>
      <c r="M149" s="1"/>
      <c r="O149" s="1"/>
      <c r="P149" s="1"/>
      <c r="Q149" s="1"/>
      <c r="S149" s="2"/>
      <c r="T149" s="1"/>
      <c r="U149" s="1"/>
      <c r="V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 t="s">
        <v>15</v>
      </c>
      <c r="AN149" s="1" t="s">
        <v>14</v>
      </c>
      <c r="AO149" s="1">
        <v>350</v>
      </c>
      <c r="AP149" s="3">
        <v>0.58333333333333337</v>
      </c>
      <c r="AQ149" s="1"/>
    </row>
    <row r="150" spans="1:43" ht="12.3" x14ac:dyDescent="0.4">
      <c r="A150" s="1" t="s">
        <v>152</v>
      </c>
      <c r="B150" s="1"/>
      <c r="C150" s="1" t="s">
        <v>6</v>
      </c>
      <c r="D150" s="5" t="s">
        <v>7</v>
      </c>
      <c r="E150" s="5" t="s">
        <v>463</v>
      </c>
      <c r="F150" s="4" t="s">
        <v>465</v>
      </c>
      <c r="G150" s="4" t="s">
        <v>465</v>
      </c>
      <c r="I150" s="1" t="s">
        <v>8</v>
      </c>
      <c r="J150" s="1" t="s">
        <v>9</v>
      </c>
      <c r="K150" s="4" t="s">
        <v>464</v>
      </c>
      <c r="L150" s="1" t="s">
        <v>24</v>
      </c>
      <c r="M150" s="1"/>
      <c r="O150" s="1"/>
      <c r="P150" s="1"/>
      <c r="Q150" s="1"/>
      <c r="S150" s="1"/>
      <c r="T150" s="1"/>
      <c r="U150" s="1"/>
      <c r="V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 t="s">
        <v>12</v>
      </c>
      <c r="AN150" s="1" t="s">
        <v>18</v>
      </c>
      <c r="AO150" s="1">
        <v>306</v>
      </c>
      <c r="AP150" s="3">
        <v>0.51</v>
      </c>
      <c r="AQ150" s="1"/>
    </row>
    <row r="151" spans="1:43" ht="12.3" x14ac:dyDescent="0.4">
      <c r="A151" s="1" t="s">
        <v>152</v>
      </c>
      <c r="B151" s="1"/>
      <c r="C151" s="1" t="s">
        <v>6</v>
      </c>
      <c r="D151" s="5" t="s">
        <v>7</v>
      </c>
      <c r="E151" s="5" t="s">
        <v>463</v>
      </c>
      <c r="F151" s="4" t="s">
        <v>465</v>
      </c>
      <c r="G151" s="4" t="s">
        <v>465</v>
      </c>
      <c r="I151" s="1" t="s">
        <v>16</v>
      </c>
      <c r="J151" s="1" t="s">
        <v>9</v>
      </c>
      <c r="K151" s="4" t="s">
        <v>464</v>
      </c>
      <c r="L151" s="1" t="s">
        <v>24</v>
      </c>
      <c r="M151" s="1"/>
      <c r="O151" s="1"/>
      <c r="P151" s="1"/>
      <c r="Q151" s="1"/>
      <c r="S151" s="2"/>
      <c r="T151" s="1"/>
      <c r="U151" s="1"/>
      <c r="V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 t="s">
        <v>15</v>
      </c>
      <c r="AN151" s="1" t="s">
        <v>13</v>
      </c>
      <c r="AO151" s="1">
        <v>363</v>
      </c>
      <c r="AP151" s="3">
        <v>0.60499999999999998</v>
      </c>
      <c r="AQ151" s="1"/>
    </row>
    <row r="152" spans="1:43" ht="12.3" x14ac:dyDescent="0.4">
      <c r="A152" s="1" t="s">
        <v>153</v>
      </c>
      <c r="B152" s="1"/>
      <c r="C152" s="1" t="s">
        <v>6</v>
      </c>
      <c r="D152" s="5" t="s">
        <v>7</v>
      </c>
      <c r="E152" s="5" t="s">
        <v>463</v>
      </c>
      <c r="F152" s="4" t="s">
        <v>465</v>
      </c>
      <c r="G152" s="4" t="s">
        <v>465</v>
      </c>
      <c r="I152" s="1" t="s">
        <v>16</v>
      </c>
      <c r="J152" s="1" t="s">
        <v>9</v>
      </c>
      <c r="K152" s="4" t="s">
        <v>464</v>
      </c>
      <c r="L152" s="1" t="s">
        <v>21</v>
      </c>
      <c r="M152" s="1"/>
      <c r="O152" s="1"/>
      <c r="P152" s="1"/>
      <c r="Q152" s="1"/>
      <c r="S152" s="2"/>
      <c r="T152" s="1"/>
      <c r="U152" s="1"/>
      <c r="V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 t="s">
        <v>12</v>
      </c>
      <c r="AN152" s="1" t="s">
        <v>20</v>
      </c>
      <c r="AO152" s="1">
        <v>563</v>
      </c>
      <c r="AP152" s="3">
        <v>0.93833333333333335</v>
      </c>
      <c r="AQ152" s="1"/>
    </row>
    <row r="153" spans="1:43" ht="12.3" x14ac:dyDescent="0.4">
      <c r="A153" s="1" t="s">
        <v>153</v>
      </c>
      <c r="B153" s="1"/>
      <c r="C153" s="1" t="s">
        <v>6</v>
      </c>
      <c r="D153" s="5" t="s">
        <v>7</v>
      </c>
      <c r="E153" s="5" t="s">
        <v>463</v>
      </c>
      <c r="F153" s="4" t="s">
        <v>465</v>
      </c>
      <c r="G153" s="4" t="s">
        <v>465</v>
      </c>
      <c r="I153" s="1" t="s">
        <v>8</v>
      </c>
      <c r="J153" s="1" t="s">
        <v>9</v>
      </c>
      <c r="K153" s="4" t="s">
        <v>464</v>
      </c>
      <c r="L153" s="1" t="s">
        <v>21</v>
      </c>
      <c r="M153" s="1"/>
      <c r="O153" s="1"/>
      <c r="P153" s="1"/>
      <c r="Q153" s="1"/>
      <c r="S153" s="2"/>
      <c r="T153" s="1"/>
      <c r="U153" s="1"/>
      <c r="V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 t="s">
        <v>15</v>
      </c>
      <c r="AN153" s="1" t="s">
        <v>20</v>
      </c>
      <c r="AO153" s="1">
        <v>465</v>
      </c>
      <c r="AP153" s="3">
        <v>0.77500000000000002</v>
      </c>
      <c r="AQ153" s="1"/>
    </row>
    <row r="154" spans="1:43" ht="12.3" x14ac:dyDescent="0.4">
      <c r="A154" s="1" t="s">
        <v>154</v>
      </c>
      <c r="B154" s="1"/>
      <c r="C154" s="1" t="s">
        <v>6</v>
      </c>
      <c r="D154" s="5" t="s">
        <v>7</v>
      </c>
      <c r="E154" s="5" t="s">
        <v>463</v>
      </c>
      <c r="F154" s="4" t="s">
        <v>465</v>
      </c>
      <c r="G154" s="4" t="s">
        <v>465</v>
      </c>
      <c r="I154" s="1" t="s">
        <v>8</v>
      </c>
      <c r="J154" s="1" t="s">
        <v>9</v>
      </c>
      <c r="K154" s="4" t="s">
        <v>464</v>
      </c>
      <c r="L154" s="1" t="s">
        <v>17</v>
      </c>
      <c r="M154" s="1"/>
      <c r="O154" s="1"/>
      <c r="P154" s="1"/>
      <c r="Q154" s="1"/>
      <c r="S154" s="2"/>
      <c r="T154" s="1"/>
      <c r="U154" s="1"/>
      <c r="V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 t="s">
        <v>12</v>
      </c>
      <c r="AN154" s="1" t="s">
        <v>20</v>
      </c>
      <c r="AO154" s="1">
        <v>373</v>
      </c>
      <c r="AP154" s="3">
        <v>0.6216666666666667</v>
      </c>
      <c r="AQ154" s="1"/>
    </row>
    <row r="155" spans="1:43" ht="12.3" x14ac:dyDescent="0.4">
      <c r="A155" s="1" t="s">
        <v>154</v>
      </c>
      <c r="B155" s="1"/>
      <c r="C155" s="1" t="s">
        <v>6</v>
      </c>
      <c r="D155" s="5" t="s">
        <v>7</v>
      </c>
      <c r="E155" s="5" t="s">
        <v>463</v>
      </c>
      <c r="F155" s="4" t="s">
        <v>465</v>
      </c>
      <c r="G155" s="4" t="s">
        <v>465</v>
      </c>
      <c r="I155" s="1" t="s">
        <v>16</v>
      </c>
      <c r="J155" s="1" t="s">
        <v>10</v>
      </c>
      <c r="K155" s="4" t="s">
        <v>464</v>
      </c>
      <c r="L155" s="1" t="s">
        <v>17</v>
      </c>
      <c r="M155" s="1"/>
      <c r="O155" s="1"/>
      <c r="P155" s="1"/>
      <c r="Q155" s="1"/>
      <c r="S155" s="2"/>
      <c r="T155" s="1"/>
      <c r="U155" s="2"/>
      <c r="V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 t="s">
        <v>15</v>
      </c>
      <c r="AN155" s="1" t="s">
        <v>20</v>
      </c>
      <c r="AO155" s="1">
        <v>410</v>
      </c>
      <c r="AP155" s="3">
        <v>0.68333333333333335</v>
      </c>
      <c r="AQ155" s="1"/>
    </row>
    <row r="156" spans="1:43" ht="12.3" x14ac:dyDescent="0.4">
      <c r="A156" s="1" t="s">
        <v>155</v>
      </c>
      <c r="B156" s="1"/>
      <c r="C156" s="1" t="s">
        <v>6</v>
      </c>
      <c r="D156" s="5" t="s">
        <v>7</v>
      </c>
      <c r="E156" s="5" t="s">
        <v>463</v>
      </c>
      <c r="F156" s="4" t="s">
        <v>465</v>
      </c>
      <c r="G156" s="4" t="s">
        <v>465</v>
      </c>
      <c r="I156" s="1" t="s">
        <v>16</v>
      </c>
      <c r="J156" s="1" t="s">
        <v>10</v>
      </c>
      <c r="K156" s="4" t="s">
        <v>464</v>
      </c>
      <c r="L156" s="1" t="s">
        <v>28</v>
      </c>
      <c r="M156" s="1"/>
      <c r="O156" s="1"/>
      <c r="P156" s="1"/>
      <c r="Q156" s="1"/>
      <c r="S156" s="2"/>
      <c r="T156" s="1"/>
      <c r="U156" s="2"/>
      <c r="V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 t="s">
        <v>12</v>
      </c>
      <c r="AN156" s="1" t="s">
        <v>14</v>
      </c>
      <c r="AO156" s="1">
        <v>249</v>
      </c>
      <c r="AP156" s="3">
        <v>0.41499999999999998</v>
      </c>
      <c r="AQ156" s="1"/>
    </row>
    <row r="157" spans="1:43" ht="12.3" x14ac:dyDescent="0.4">
      <c r="A157" s="1" t="s">
        <v>155</v>
      </c>
      <c r="B157" s="1"/>
      <c r="C157" s="1" t="s">
        <v>6</v>
      </c>
      <c r="D157" s="5" t="s">
        <v>7</v>
      </c>
      <c r="E157" s="5" t="s">
        <v>463</v>
      </c>
      <c r="F157" s="4" t="s">
        <v>465</v>
      </c>
      <c r="G157" s="4" t="s">
        <v>465</v>
      </c>
      <c r="I157" s="1" t="s">
        <v>16</v>
      </c>
      <c r="J157" s="1" t="s">
        <v>10</v>
      </c>
      <c r="K157" s="4" t="s">
        <v>464</v>
      </c>
      <c r="L157" s="1" t="s">
        <v>28</v>
      </c>
      <c r="M157" s="1"/>
      <c r="O157" s="1"/>
      <c r="P157" s="1"/>
      <c r="Q157" s="1"/>
      <c r="S157" s="1"/>
      <c r="T157" s="1"/>
      <c r="U157" s="2"/>
      <c r="V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 t="s">
        <v>15</v>
      </c>
      <c r="AN157" s="1" t="s">
        <v>13</v>
      </c>
      <c r="AO157" s="1">
        <v>369</v>
      </c>
      <c r="AP157" s="3">
        <v>0.61499999999999999</v>
      </c>
      <c r="AQ157" s="1"/>
    </row>
    <row r="158" spans="1:43" ht="12.3" x14ac:dyDescent="0.4">
      <c r="A158" s="1" t="s">
        <v>156</v>
      </c>
      <c r="B158" s="1"/>
      <c r="C158" s="1" t="s">
        <v>6</v>
      </c>
      <c r="D158" s="5" t="s">
        <v>7</v>
      </c>
      <c r="E158" s="5" t="s">
        <v>463</v>
      </c>
      <c r="F158" s="4" t="s">
        <v>465</v>
      </c>
      <c r="G158" s="4" t="s">
        <v>465</v>
      </c>
      <c r="I158" s="1" t="s">
        <v>16</v>
      </c>
      <c r="J158" s="1" t="s">
        <v>10</v>
      </c>
      <c r="K158" s="4" t="s">
        <v>464</v>
      </c>
      <c r="L158" s="1" t="s">
        <v>23</v>
      </c>
      <c r="M158" s="1"/>
      <c r="O158" s="1"/>
      <c r="P158" s="1"/>
      <c r="Q158" s="1"/>
      <c r="S158" s="1"/>
      <c r="T158" s="1"/>
      <c r="U158" s="2"/>
      <c r="V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 t="s">
        <v>12</v>
      </c>
      <c r="AN158" s="1" t="s">
        <v>13</v>
      </c>
      <c r="AO158" s="1">
        <v>285</v>
      </c>
      <c r="AP158" s="3">
        <v>0.47499999999999998</v>
      </c>
      <c r="AQ158" s="1"/>
    </row>
    <row r="159" spans="1:43" ht="12.3" x14ac:dyDescent="0.4">
      <c r="A159" s="1" t="s">
        <v>156</v>
      </c>
      <c r="B159" s="1"/>
      <c r="C159" s="1" t="s">
        <v>6</v>
      </c>
      <c r="D159" s="5" t="s">
        <v>7</v>
      </c>
      <c r="E159" s="5" t="s">
        <v>463</v>
      </c>
      <c r="F159" s="4" t="s">
        <v>465</v>
      </c>
      <c r="G159" s="4" t="s">
        <v>465</v>
      </c>
      <c r="I159" s="1" t="s">
        <v>16</v>
      </c>
      <c r="J159" s="1" t="s">
        <v>10</v>
      </c>
      <c r="K159" s="4" t="s">
        <v>464</v>
      </c>
      <c r="L159" s="1" t="s">
        <v>23</v>
      </c>
      <c r="M159" s="1"/>
      <c r="O159" s="1"/>
      <c r="P159" s="1"/>
      <c r="Q159" s="1"/>
      <c r="S159" s="2"/>
      <c r="T159" s="1"/>
      <c r="U159" s="1"/>
      <c r="V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 t="s">
        <v>15</v>
      </c>
      <c r="AN159" s="1" t="s">
        <v>14</v>
      </c>
      <c r="AO159" s="1">
        <v>351</v>
      </c>
      <c r="AP159" s="3">
        <v>0.58499999999999996</v>
      </c>
      <c r="AQ159" s="1"/>
    </row>
    <row r="160" spans="1:43" ht="12.3" x14ac:dyDescent="0.4">
      <c r="A160" s="1" t="s">
        <v>157</v>
      </c>
      <c r="B160" s="1"/>
      <c r="C160" s="1" t="s">
        <v>6</v>
      </c>
      <c r="D160" s="5" t="s">
        <v>7</v>
      </c>
      <c r="E160" s="5" t="s">
        <v>463</v>
      </c>
      <c r="F160" s="4" t="s">
        <v>465</v>
      </c>
      <c r="G160" s="4" t="s">
        <v>465</v>
      </c>
      <c r="I160" s="1" t="s">
        <v>16</v>
      </c>
      <c r="J160" s="1" t="s">
        <v>10</v>
      </c>
      <c r="K160" s="4" t="s">
        <v>464</v>
      </c>
      <c r="L160" s="1" t="s">
        <v>23</v>
      </c>
      <c r="M160" s="1"/>
      <c r="O160" s="1"/>
      <c r="P160" s="1"/>
      <c r="Q160" s="1"/>
      <c r="S160" s="2"/>
      <c r="T160" s="1"/>
      <c r="U160" s="1"/>
      <c r="V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 t="s">
        <v>12</v>
      </c>
      <c r="AN160" s="1" t="s">
        <v>14</v>
      </c>
      <c r="AO160" s="1">
        <v>273</v>
      </c>
      <c r="AP160" s="3">
        <v>0.45500000000000002</v>
      </c>
      <c r="AQ160" s="1"/>
    </row>
    <row r="161" spans="1:43" ht="12.3" x14ac:dyDescent="0.4">
      <c r="A161" s="1" t="s">
        <v>157</v>
      </c>
      <c r="B161" s="1"/>
      <c r="C161" s="1" t="s">
        <v>6</v>
      </c>
      <c r="D161" s="5" t="s">
        <v>7</v>
      </c>
      <c r="E161" s="5" t="s">
        <v>463</v>
      </c>
      <c r="F161" s="4" t="s">
        <v>465</v>
      </c>
      <c r="G161" s="4" t="s">
        <v>465</v>
      </c>
      <c r="I161" s="1" t="s">
        <v>8</v>
      </c>
      <c r="J161" s="1" t="s">
        <v>9</v>
      </c>
      <c r="K161" s="4" t="s">
        <v>464</v>
      </c>
      <c r="L161" s="1" t="s">
        <v>23</v>
      </c>
      <c r="M161" s="1"/>
      <c r="O161" s="1"/>
      <c r="P161" s="1"/>
      <c r="Q161" s="1"/>
      <c r="S161" s="2"/>
      <c r="T161" s="1"/>
      <c r="U161" s="1"/>
      <c r="V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 t="s">
        <v>15</v>
      </c>
      <c r="AN161" s="1" t="s">
        <v>13</v>
      </c>
      <c r="AO161" s="1">
        <v>358</v>
      </c>
      <c r="AP161" s="3">
        <v>0.59666666666666668</v>
      </c>
      <c r="AQ161" s="1"/>
    </row>
    <row r="162" spans="1:43" ht="12.3" x14ac:dyDescent="0.4">
      <c r="A162" s="1" t="s">
        <v>158</v>
      </c>
      <c r="B162" s="1"/>
      <c r="C162" s="1" t="s">
        <v>6</v>
      </c>
      <c r="D162" s="5" t="s">
        <v>7</v>
      </c>
      <c r="E162" s="5" t="s">
        <v>463</v>
      </c>
      <c r="F162" s="4" t="s">
        <v>465</v>
      </c>
      <c r="G162" s="4" t="s">
        <v>465</v>
      </c>
      <c r="I162" s="1" t="s">
        <v>8</v>
      </c>
      <c r="J162" s="1" t="s">
        <v>9</v>
      </c>
      <c r="K162" s="4" t="s">
        <v>464</v>
      </c>
      <c r="L162" s="1" t="s">
        <v>31</v>
      </c>
      <c r="M162" s="1"/>
      <c r="O162" s="1"/>
      <c r="P162" s="1"/>
      <c r="Q162" s="1"/>
      <c r="S162" s="2"/>
      <c r="T162" s="1"/>
      <c r="U162" s="1"/>
      <c r="V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 t="s">
        <v>12</v>
      </c>
      <c r="AN162" s="1" t="s">
        <v>14</v>
      </c>
      <c r="AO162" s="1">
        <v>243</v>
      </c>
      <c r="AP162" s="3">
        <v>0.40500000000000003</v>
      </c>
      <c r="AQ162" s="1"/>
    </row>
    <row r="163" spans="1:43" ht="12.3" x14ac:dyDescent="0.4">
      <c r="A163" s="1" t="s">
        <v>159</v>
      </c>
      <c r="B163" s="1"/>
      <c r="C163" s="1" t="s">
        <v>6</v>
      </c>
      <c r="D163" s="5" t="s">
        <v>7</v>
      </c>
      <c r="E163" s="5" t="s">
        <v>463</v>
      </c>
      <c r="F163" s="4" t="s">
        <v>465</v>
      </c>
      <c r="G163" s="4" t="s">
        <v>465</v>
      </c>
      <c r="I163" s="1" t="s">
        <v>16</v>
      </c>
      <c r="J163" s="1" t="s">
        <v>10</v>
      </c>
      <c r="K163" s="4" t="s">
        <v>464</v>
      </c>
      <c r="O163" s="1"/>
      <c r="P163" s="1"/>
      <c r="Q163" s="1"/>
      <c r="S163" s="1"/>
      <c r="T163" s="1"/>
      <c r="U163" s="2"/>
      <c r="V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 t="s">
        <v>12</v>
      </c>
      <c r="AN163" s="1" t="s">
        <v>14</v>
      </c>
      <c r="AO163" s="1">
        <v>254</v>
      </c>
      <c r="AP163" s="3">
        <v>0.42333333333333334</v>
      </c>
      <c r="AQ163" s="1"/>
    </row>
    <row r="164" spans="1:43" ht="12.3" x14ac:dyDescent="0.4">
      <c r="A164" s="1" t="s">
        <v>160</v>
      </c>
      <c r="B164" s="1"/>
      <c r="C164" s="1" t="s">
        <v>6</v>
      </c>
      <c r="D164" s="5" t="s">
        <v>7</v>
      </c>
      <c r="E164" s="5" t="s">
        <v>463</v>
      </c>
      <c r="F164" s="4" t="s">
        <v>465</v>
      </c>
      <c r="G164" s="4" t="s">
        <v>465</v>
      </c>
      <c r="I164" s="1" t="s">
        <v>16</v>
      </c>
      <c r="J164" s="1" t="s">
        <v>10</v>
      </c>
      <c r="K164" s="4" t="s">
        <v>464</v>
      </c>
      <c r="L164" s="1" t="s">
        <v>23</v>
      </c>
      <c r="M164" s="1"/>
      <c r="O164" s="1"/>
      <c r="P164" s="1"/>
      <c r="Q164" s="1"/>
      <c r="S164" s="2"/>
      <c r="T164" s="1"/>
      <c r="U164" s="1"/>
      <c r="V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 t="s">
        <v>12</v>
      </c>
      <c r="AN164" s="1" t="s">
        <v>20</v>
      </c>
      <c r="AO164" s="1">
        <v>387</v>
      </c>
      <c r="AP164" s="3">
        <v>0.64500000000000002</v>
      </c>
      <c r="AQ164" s="1"/>
    </row>
    <row r="165" spans="1:43" ht="12.3" x14ac:dyDescent="0.4">
      <c r="A165" s="1" t="s">
        <v>160</v>
      </c>
      <c r="B165" s="1"/>
      <c r="C165" s="1" t="s">
        <v>6</v>
      </c>
      <c r="D165" s="5" t="s">
        <v>7</v>
      </c>
      <c r="E165" s="5" t="s">
        <v>463</v>
      </c>
      <c r="F165" s="4" t="s">
        <v>465</v>
      </c>
      <c r="G165" s="4" t="s">
        <v>465</v>
      </c>
      <c r="I165" s="1" t="s">
        <v>8</v>
      </c>
      <c r="J165" s="1" t="s">
        <v>9</v>
      </c>
      <c r="K165" s="4" t="s">
        <v>464</v>
      </c>
      <c r="L165" s="1" t="s">
        <v>23</v>
      </c>
      <c r="M165" s="1"/>
      <c r="O165" s="1"/>
      <c r="P165" s="1"/>
      <c r="Q165" s="1"/>
      <c r="S165" s="2"/>
      <c r="T165" s="1"/>
      <c r="U165" s="1"/>
      <c r="V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 t="s">
        <v>15</v>
      </c>
      <c r="AN165" s="1" t="s">
        <v>20</v>
      </c>
      <c r="AO165" s="1">
        <v>418</v>
      </c>
      <c r="AP165" s="3">
        <v>0.69666666666666666</v>
      </c>
      <c r="AQ165" s="1"/>
    </row>
    <row r="166" spans="1:43" ht="12.3" x14ac:dyDescent="0.4">
      <c r="A166" s="1" t="s">
        <v>161</v>
      </c>
      <c r="B166" s="1"/>
      <c r="C166" s="1" t="s">
        <v>6</v>
      </c>
      <c r="D166" s="5" t="s">
        <v>7</v>
      </c>
      <c r="E166" s="5" t="s">
        <v>463</v>
      </c>
      <c r="F166" s="4" t="s">
        <v>465</v>
      </c>
      <c r="G166" s="4" t="s">
        <v>465</v>
      </c>
      <c r="I166" s="1" t="s">
        <v>8</v>
      </c>
      <c r="J166" s="1" t="s">
        <v>9</v>
      </c>
      <c r="K166" s="4" t="s">
        <v>464</v>
      </c>
      <c r="L166" s="1" t="s">
        <v>22</v>
      </c>
      <c r="M166" s="1"/>
      <c r="O166" s="1"/>
      <c r="P166" s="1"/>
      <c r="Q166" s="1"/>
      <c r="S166" s="2"/>
      <c r="T166" s="1"/>
      <c r="U166" s="1"/>
      <c r="V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 t="s">
        <v>12</v>
      </c>
      <c r="AN166" s="1" t="s">
        <v>20</v>
      </c>
      <c r="AO166" s="1">
        <v>339</v>
      </c>
      <c r="AP166" s="3">
        <v>0.56499999999999995</v>
      </c>
      <c r="AQ166" s="1"/>
    </row>
    <row r="167" spans="1:43" ht="12.3" x14ac:dyDescent="0.4">
      <c r="A167" s="1" t="s">
        <v>161</v>
      </c>
      <c r="B167" s="1"/>
      <c r="C167" s="1" t="s">
        <v>6</v>
      </c>
      <c r="D167" s="5" t="s">
        <v>7</v>
      </c>
      <c r="E167" s="5" t="s">
        <v>463</v>
      </c>
      <c r="F167" s="4" t="s">
        <v>465</v>
      </c>
      <c r="G167" s="4" t="s">
        <v>465</v>
      </c>
      <c r="I167" s="1" t="s">
        <v>8</v>
      </c>
      <c r="J167" s="1" t="s">
        <v>9</v>
      </c>
      <c r="K167" s="4" t="s">
        <v>464</v>
      </c>
      <c r="L167" s="1" t="s">
        <v>22</v>
      </c>
      <c r="M167" s="1"/>
      <c r="O167" s="1"/>
      <c r="P167" s="1"/>
      <c r="Q167" s="1"/>
      <c r="S167" s="2"/>
      <c r="T167" s="1"/>
      <c r="U167" s="1"/>
      <c r="V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 t="s">
        <v>15</v>
      </c>
      <c r="AN167" s="1" t="s">
        <v>20</v>
      </c>
      <c r="AO167" s="1">
        <v>393</v>
      </c>
      <c r="AP167" s="3">
        <v>0.65500000000000003</v>
      </c>
      <c r="AQ167" s="1"/>
    </row>
    <row r="168" spans="1:43" ht="12.3" x14ac:dyDescent="0.4">
      <c r="A168" s="1" t="s">
        <v>162</v>
      </c>
      <c r="B168" s="1"/>
      <c r="C168" s="1" t="s">
        <v>6</v>
      </c>
      <c r="D168" s="5" t="s">
        <v>7</v>
      </c>
      <c r="E168" s="5" t="s">
        <v>463</v>
      </c>
      <c r="F168" s="4" t="s">
        <v>465</v>
      </c>
      <c r="G168" s="4" t="s">
        <v>465</v>
      </c>
      <c r="I168" s="1" t="s">
        <v>8</v>
      </c>
      <c r="J168" s="1" t="s">
        <v>9</v>
      </c>
      <c r="K168" s="4" t="s">
        <v>464</v>
      </c>
      <c r="L168" s="1" t="s">
        <v>21</v>
      </c>
      <c r="M168" s="1"/>
      <c r="O168" s="1"/>
      <c r="P168" s="1"/>
      <c r="Q168" s="1"/>
      <c r="S168" s="2"/>
      <c r="T168" s="1"/>
      <c r="U168" s="1"/>
      <c r="V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 t="s">
        <v>12</v>
      </c>
      <c r="AN168" s="1" t="s">
        <v>18</v>
      </c>
      <c r="AO168" s="1">
        <v>313</v>
      </c>
      <c r="AP168" s="3">
        <v>0.52166666666666661</v>
      </c>
      <c r="AQ168" s="1"/>
    </row>
    <row r="169" spans="1:43" ht="12.3" x14ac:dyDescent="0.4">
      <c r="A169" s="1" t="s">
        <v>162</v>
      </c>
      <c r="B169" s="1"/>
      <c r="C169" s="1" t="s">
        <v>6</v>
      </c>
      <c r="D169" s="5" t="s">
        <v>7</v>
      </c>
      <c r="E169" s="5" t="s">
        <v>463</v>
      </c>
      <c r="F169" s="4" t="s">
        <v>465</v>
      </c>
      <c r="G169" s="4" t="s">
        <v>465</v>
      </c>
      <c r="I169" s="1" t="s">
        <v>8</v>
      </c>
      <c r="J169" s="1" t="s">
        <v>9</v>
      </c>
      <c r="K169" s="4" t="s">
        <v>464</v>
      </c>
      <c r="L169" s="1" t="s">
        <v>21</v>
      </c>
      <c r="M169" s="1"/>
      <c r="O169" s="1"/>
      <c r="P169" s="1"/>
      <c r="Q169" s="1"/>
      <c r="S169" s="2"/>
      <c r="T169" s="1"/>
      <c r="U169" s="1"/>
      <c r="V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 t="s">
        <v>15</v>
      </c>
      <c r="AN169" s="1" t="s">
        <v>18</v>
      </c>
      <c r="AO169" s="1">
        <v>388</v>
      </c>
      <c r="AP169" s="3">
        <v>0.64666666666666661</v>
      </c>
      <c r="AQ169" s="1"/>
    </row>
    <row r="170" spans="1:43" ht="12.3" x14ac:dyDescent="0.4">
      <c r="A170" s="1" t="s">
        <v>163</v>
      </c>
      <c r="B170" s="1"/>
      <c r="C170" s="1" t="s">
        <v>6</v>
      </c>
      <c r="D170" s="5" t="s">
        <v>7</v>
      </c>
      <c r="E170" s="5" t="s">
        <v>463</v>
      </c>
      <c r="F170" s="4" t="s">
        <v>465</v>
      </c>
      <c r="G170" s="4" t="s">
        <v>465</v>
      </c>
      <c r="I170" s="1" t="s">
        <v>8</v>
      </c>
      <c r="J170" s="1" t="s">
        <v>9</v>
      </c>
      <c r="K170" s="4" t="s">
        <v>464</v>
      </c>
      <c r="L170" s="1" t="s">
        <v>17</v>
      </c>
      <c r="M170" s="1"/>
      <c r="O170" s="1"/>
      <c r="P170" s="1"/>
      <c r="Q170" s="1"/>
      <c r="S170" s="2"/>
      <c r="T170" s="1"/>
      <c r="U170" s="1"/>
      <c r="V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 t="s">
        <v>12</v>
      </c>
      <c r="AN170" s="1" t="s">
        <v>14</v>
      </c>
      <c r="AO170" s="1">
        <v>262</v>
      </c>
      <c r="AP170" s="3">
        <v>0.43666666666666665</v>
      </c>
      <c r="AQ170" s="1"/>
    </row>
    <row r="171" spans="1:43" ht="12.3" x14ac:dyDescent="0.4">
      <c r="A171" s="1" t="s">
        <v>163</v>
      </c>
      <c r="B171" s="1"/>
      <c r="C171" s="1" t="s">
        <v>6</v>
      </c>
      <c r="D171" s="5" t="s">
        <v>7</v>
      </c>
      <c r="E171" s="5" t="s">
        <v>463</v>
      </c>
      <c r="F171" s="4" t="s">
        <v>465</v>
      </c>
      <c r="G171" s="4" t="s">
        <v>465</v>
      </c>
      <c r="I171" s="1" t="s">
        <v>8</v>
      </c>
      <c r="J171" s="1" t="s">
        <v>9</v>
      </c>
      <c r="K171" s="4" t="s">
        <v>464</v>
      </c>
      <c r="L171" s="1" t="s">
        <v>17</v>
      </c>
      <c r="M171" s="1"/>
      <c r="O171" s="1"/>
      <c r="P171" s="1"/>
      <c r="Q171" s="1"/>
      <c r="S171" s="2"/>
      <c r="T171" s="1"/>
      <c r="U171" s="1"/>
      <c r="V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 t="s">
        <v>15</v>
      </c>
      <c r="AN171" s="1" t="s">
        <v>14</v>
      </c>
      <c r="AO171" s="1">
        <v>353</v>
      </c>
      <c r="AP171" s="3">
        <v>0.58833333333333337</v>
      </c>
      <c r="AQ171" s="1"/>
    </row>
    <row r="172" spans="1:43" ht="12.3" x14ac:dyDescent="0.4">
      <c r="A172" s="1" t="s">
        <v>164</v>
      </c>
      <c r="B172" s="1"/>
      <c r="C172" s="1" t="s">
        <v>6</v>
      </c>
      <c r="D172" s="5" t="s">
        <v>7</v>
      </c>
      <c r="E172" s="5" t="s">
        <v>463</v>
      </c>
      <c r="F172" s="4" t="s">
        <v>465</v>
      </c>
      <c r="G172" s="4" t="s">
        <v>465</v>
      </c>
      <c r="I172" s="1" t="s">
        <v>8</v>
      </c>
      <c r="J172" s="1" t="s">
        <v>9</v>
      </c>
      <c r="K172" s="4" t="s">
        <v>464</v>
      </c>
      <c r="L172" s="1" t="s">
        <v>21</v>
      </c>
      <c r="M172" s="1"/>
      <c r="O172" s="1"/>
      <c r="P172" s="1"/>
      <c r="Q172" s="1"/>
      <c r="S172" s="2"/>
      <c r="T172" s="1"/>
      <c r="U172" s="1"/>
      <c r="V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 t="s">
        <v>12</v>
      </c>
      <c r="AN172" s="1" t="s">
        <v>20</v>
      </c>
      <c r="AO172" s="1">
        <v>418</v>
      </c>
      <c r="AP172" s="3">
        <v>0.69666666666666666</v>
      </c>
      <c r="AQ172" s="1"/>
    </row>
    <row r="173" spans="1:43" ht="12.3" x14ac:dyDescent="0.4">
      <c r="A173" s="1" t="s">
        <v>164</v>
      </c>
      <c r="B173" s="1"/>
      <c r="C173" s="1" t="s">
        <v>6</v>
      </c>
      <c r="D173" s="5" t="s">
        <v>7</v>
      </c>
      <c r="E173" s="5" t="s">
        <v>463</v>
      </c>
      <c r="F173" s="4" t="s">
        <v>465</v>
      </c>
      <c r="G173" s="4" t="s">
        <v>465</v>
      </c>
      <c r="I173" s="1" t="s">
        <v>16</v>
      </c>
      <c r="J173" s="1" t="s">
        <v>10</v>
      </c>
      <c r="K173" s="4" t="s">
        <v>464</v>
      </c>
      <c r="L173" s="1" t="s">
        <v>21</v>
      </c>
      <c r="M173" s="1"/>
      <c r="O173" s="1"/>
      <c r="P173" s="1"/>
      <c r="Q173" s="1"/>
      <c r="S173" s="2"/>
      <c r="T173" s="1"/>
      <c r="U173" s="1"/>
      <c r="V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 t="s">
        <v>15</v>
      </c>
      <c r="AN173" s="1" t="s">
        <v>20</v>
      </c>
      <c r="AO173" s="1">
        <v>466</v>
      </c>
      <c r="AP173" s="3">
        <v>0.77666666666666662</v>
      </c>
      <c r="AQ173" s="1"/>
    </row>
    <row r="174" spans="1:43" ht="12.3" x14ac:dyDescent="0.4">
      <c r="A174" s="1" t="s">
        <v>165</v>
      </c>
      <c r="B174" s="1"/>
      <c r="C174" s="1" t="s">
        <v>6</v>
      </c>
      <c r="D174" s="5" t="s">
        <v>7</v>
      </c>
      <c r="E174" s="5" t="s">
        <v>463</v>
      </c>
      <c r="F174" s="4" t="s">
        <v>465</v>
      </c>
      <c r="G174" s="4" t="s">
        <v>465</v>
      </c>
      <c r="I174" s="1" t="s">
        <v>16</v>
      </c>
      <c r="J174" s="1" t="s">
        <v>10</v>
      </c>
      <c r="K174" s="4" t="s">
        <v>464</v>
      </c>
      <c r="L174" s="1" t="s">
        <v>25</v>
      </c>
      <c r="M174" s="1"/>
      <c r="O174" s="1"/>
      <c r="P174" s="1"/>
      <c r="Q174" s="1"/>
      <c r="S174" s="2"/>
      <c r="T174" s="1"/>
      <c r="U174" s="1"/>
      <c r="V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 t="s">
        <v>12</v>
      </c>
      <c r="AN174" s="1" t="s">
        <v>14</v>
      </c>
      <c r="AO174" s="1">
        <v>270</v>
      </c>
      <c r="AP174" s="3">
        <v>0.45</v>
      </c>
      <c r="AQ174" s="1"/>
    </row>
    <row r="175" spans="1:43" ht="12.3" x14ac:dyDescent="0.4">
      <c r="A175" s="1" t="s">
        <v>165</v>
      </c>
      <c r="B175" s="1"/>
      <c r="C175" s="1" t="s">
        <v>6</v>
      </c>
      <c r="D175" s="5" t="s">
        <v>7</v>
      </c>
      <c r="E175" s="5" t="s">
        <v>463</v>
      </c>
      <c r="F175" s="4" t="s">
        <v>465</v>
      </c>
      <c r="G175" s="4" t="s">
        <v>465</v>
      </c>
      <c r="I175" s="1" t="s">
        <v>29</v>
      </c>
      <c r="J175" s="1" t="s">
        <v>9</v>
      </c>
      <c r="K175" s="4" t="s">
        <v>464</v>
      </c>
      <c r="L175" s="1" t="s">
        <v>25</v>
      </c>
      <c r="M175" s="1"/>
      <c r="O175" s="1"/>
      <c r="P175" s="1"/>
      <c r="Q175" s="1"/>
      <c r="S175" s="1"/>
      <c r="T175" s="1"/>
      <c r="U175" s="2"/>
      <c r="V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 t="s">
        <v>15</v>
      </c>
      <c r="AN175" s="1" t="s">
        <v>14</v>
      </c>
      <c r="AO175" s="1">
        <v>340</v>
      </c>
      <c r="AP175" s="3">
        <v>0.56666666666666665</v>
      </c>
      <c r="AQ175" s="1"/>
    </row>
    <row r="176" spans="1:43" ht="12.3" x14ac:dyDescent="0.4">
      <c r="A176" s="1" t="s">
        <v>166</v>
      </c>
      <c r="B176" s="1"/>
      <c r="C176" s="1" t="s">
        <v>6</v>
      </c>
      <c r="D176" s="5" t="s">
        <v>7</v>
      </c>
      <c r="E176" s="5" t="s">
        <v>463</v>
      </c>
      <c r="F176" s="4" t="s">
        <v>465</v>
      </c>
      <c r="G176" s="4" t="s">
        <v>465</v>
      </c>
      <c r="I176" s="1" t="s">
        <v>29</v>
      </c>
      <c r="J176" s="1" t="s">
        <v>9</v>
      </c>
      <c r="K176" s="4" t="s">
        <v>464</v>
      </c>
      <c r="L176" s="1" t="s">
        <v>30</v>
      </c>
      <c r="M176" s="1"/>
      <c r="O176" s="1"/>
      <c r="P176" s="1"/>
      <c r="Q176" s="1"/>
      <c r="S176" s="1"/>
      <c r="T176" s="1"/>
      <c r="U176" s="2"/>
      <c r="V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 t="s">
        <v>12</v>
      </c>
      <c r="AN176" s="1" t="s">
        <v>18</v>
      </c>
      <c r="AO176" s="1">
        <v>327</v>
      </c>
      <c r="AP176" s="3">
        <v>0.54500000000000004</v>
      </c>
      <c r="AQ176" s="1"/>
    </row>
    <row r="177" spans="1:43" ht="12.3" x14ac:dyDescent="0.4">
      <c r="A177" s="1" t="s">
        <v>166</v>
      </c>
      <c r="B177" s="1"/>
      <c r="C177" s="1" t="s">
        <v>6</v>
      </c>
      <c r="D177" s="5" t="s">
        <v>7</v>
      </c>
      <c r="E177" s="5" t="s">
        <v>463</v>
      </c>
      <c r="F177" s="4" t="s">
        <v>465</v>
      </c>
      <c r="G177" s="4" t="s">
        <v>465</v>
      </c>
      <c r="I177" s="1" t="s">
        <v>29</v>
      </c>
      <c r="J177" s="1" t="s">
        <v>9</v>
      </c>
      <c r="K177" s="4" t="s">
        <v>464</v>
      </c>
      <c r="L177" s="1" t="s">
        <v>30</v>
      </c>
      <c r="M177" s="1"/>
      <c r="O177" s="1"/>
      <c r="P177" s="1"/>
      <c r="Q177" s="1"/>
      <c r="S177" s="2"/>
      <c r="T177" s="1"/>
      <c r="U177" s="1"/>
      <c r="V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 t="s">
        <v>15</v>
      </c>
      <c r="AN177" s="1" t="s">
        <v>18</v>
      </c>
      <c r="AO177" s="1">
        <v>386</v>
      </c>
      <c r="AP177" s="3">
        <v>0.64333333333333331</v>
      </c>
      <c r="AQ177" s="1"/>
    </row>
    <row r="178" spans="1:43" ht="12.3" x14ac:dyDescent="0.4">
      <c r="A178" s="1" t="s">
        <v>167</v>
      </c>
      <c r="B178" s="1"/>
      <c r="C178" s="1" t="s">
        <v>6</v>
      </c>
      <c r="D178" s="5" t="s">
        <v>7</v>
      </c>
      <c r="E178" s="5" t="s">
        <v>463</v>
      </c>
      <c r="F178" s="4" t="s">
        <v>465</v>
      </c>
      <c r="G178" s="4" t="s">
        <v>465</v>
      </c>
      <c r="I178" s="1" t="s">
        <v>29</v>
      </c>
      <c r="J178" s="1" t="s">
        <v>9</v>
      </c>
      <c r="K178" s="4" t="s">
        <v>464</v>
      </c>
      <c r="L178" s="1" t="s">
        <v>24</v>
      </c>
      <c r="M178" s="1"/>
      <c r="O178" s="1"/>
      <c r="P178" s="1"/>
      <c r="Q178" s="1"/>
      <c r="S178" s="2"/>
      <c r="T178" s="1"/>
      <c r="U178" s="1"/>
      <c r="V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 t="s">
        <v>12</v>
      </c>
      <c r="AN178" s="1" t="s">
        <v>20</v>
      </c>
      <c r="AO178" s="1">
        <v>346</v>
      </c>
      <c r="AP178" s="3">
        <v>0.57666666666666666</v>
      </c>
      <c r="AQ178" s="1"/>
    </row>
    <row r="179" spans="1:43" ht="12.3" x14ac:dyDescent="0.4">
      <c r="A179" s="1" t="s">
        <v>167</v>
      </c>
      <c r="B179" s="1"/>
      <c r="C179" s="1" t="s">
        <v>6</v>
      </c>
      <c r="D179" s="5" t="s">
        <v>7</v>
      </c>
      <c r="E179" s="5" t="s">
        <v>463</v>
      </c>
      <c r="F179" s="4" t="s">
        <v>465</v>
      </c>
      <c r="G179" s="4" t="s">
        <v>465</v>
      </c>
      <c r="I179" s="1" t="s">
        <v>8</v>
      </c>
      <c r="J179" s="1" t="s">
        <v>9</v>
      </c>
      <c r="K179" s="4" t="s">
        <v>464</v>
      </c>
      <c r="L179" s="1" t="s">
        <v>24</v>
      </c>
      <c r="M179" s="1"/>
      <c r="O179" s="1"/>
      <c r="P179" s="1"/>
      <c r="Q179" s="1"/>
      <c r="S179" s="2"/>
      <c r="T179" s="1"/>
      <c r="U179" s="1"/>
      <c r="V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 t="s">
        <v>15</v>
      </c>
      <c r="AN179" s="1" t="s">
        <v>18</v>
      </c>
      <c r="AO179" s="1">
        <v>389</v>
      </c>
      <c r="AP179" s="3">
        <v>0.64833333333333332</v>
      </c>
      <c r="AQ179" s="1"/>
    </row>
    <row r="180" spans="1:43" ht="12.3" x14ac:dyDescent="0.4">
      <c r="A180" s="1" t="s">
        <v>168</v>
      </c>
      <c r="B180" s="1"/>
      <c r="C180" s="1" t="s">
        <v>6</v>
      </c>
      <c r="D180" s="5" t="s">
        <v>7</v>
      </c>
      <c r="E180" s="5" t="s">
        <v>463</v>
      </c>
      <c r="F180" s="4" t="s">
        <v>465</v>
      </c>
      <c r="G180" s="4" t="s">
        <v>465</v>
      </c>
      <c r="I180" s="1" t="s">
        <v>8</v>
      </c>
      <c r="J180" s="1" t="s">
        <v>9</v>
      </c>
      <c r="K180" s="4" t="s">
        <v>464</v>
      </c>
      <c r="L180" s="1" t="s">
        <v>28</v>
      </c>
      <c r="M180" s="1"/>
      <c r="O180" s="1"/>
      <c r="P180" s="1"/>
      <c r="Q180" s="1"/>
      <c r="S180" s="2"/>
      <c r="T180" s="1"/>
      <c r="U180" s="1"/>
      <c r="V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 t="s">
        <v>12</v>
      </c>
      <c r="AN180" s="1" t="s">
        <v>13</v>
      </c>
      <c r="AO180" s="1">
        <v>302</v>
      </c>
      <c r="AP180" s="3">
        <v>0.5033333333333333</v>
      </c>
      <c r="AQ180" s="1"/>
    </row>
    <row r="181" spans="1:43" ht="12.3" x14ac:dyDescent="0.4">
      <c r="A181" s="1" t="s">
        <v>168</v>
      </c>
      <c r="B181" s="1"/>
      <c r="C181" s="1" t="s">
        <v>6</v>
      </c>
      <c r="D181" s="5" t="s">
        <v>7</v>
      </c>
      <c r="E181" s="5" t="s">
        <v>463</v>
      </c>
      <c r="F181" s="4" t="s">
        <v>465</v>
      </c>
      <c r="G181" s="4" t="s">
        <v>465</v>
      </c>
      <c r="I181" s="1" t="s">
        <v>16</v>
      </c>
      <c r="J181" s="1" t="s">
        <v>10</v>
      </c>
      <c r="K181" s="4" t="s">
        <v>464</v>
      </c>
      <c r="L181" s="1" t="s">
        <v>28</v>
      </c>
      <c r="M181" s="1"/>
      <c r="O181" s="1"/>
      <c r="P181" s="1"/>
      <c r="Q181" s="1"/>
      <c r="S181" s="2"/>
      <c r="T181" s="1"/>
      <c r="U181" s="1"/>
      <c r="V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 t="s">
        <v>15</v>
      </c>
      <c r="AN181" s="1" t="s">
        <v>13</v>
      </c>
      <c r="AO181" s="1">
        <v>367</v>
      </c>
      <c r="AP181" s="3">
        <v>0.61166666666666669</v>
      </c>
      <c r="AQ181" s="1"/>
    </row>
    <row r="182" spans="1:43" ht="12.3" x14ac:dyDescent="0.4">
      <c r="A182" s="1" t="s">
        <v>169</v>
      </c>
      <c r="B182" s="1"/>
      <c r="C182" s="1" t="s">
        <v>6</v>
      </c>
      <c r="D182" s="5" t="s">
        <v>7</v>
      </c>
      <c r="E182" s="5" t="s">
        <v>463</v>
      </c>
      <c r="F182" s="4" t="s">
        <v>465</v>
      </c>
      <c r="G182" s="4" t="s">
        <v>465</v>
      </c>
      <c r="I182" s="1" t="s">
        <v>16</v>
      </c>
      <c r="J182" s="1" t="s">
        <v>10</v>
      </c>
      <c r="K182" s="4" t="s">
        <v>464</v>
      </c>
      <c r="L182" s="1" t="s">
        <v>26</v>
      </c>
      <c r="M182" s="1"/>
      <c r="O182" s="1"/>
      <c r="P182" s="1"/>
      <c r="Q182" s="1"/>
      <c r="S182" s="2"/>
      <c r="T182" s="1"/>
      <c r="U182" s="1"/>
      <c r="V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 t="s">
        <v>12</v>
      </c>
      <c r="AN182" s="1" t="s">
        <v>18</v>
      </c>
      <c r="AO182" s="1">
        <v>308</v>
      </c>
      <c r="AP182" s="3">
        <v>0.51333333333333331</v>
      </c>
      <c r="AQ182" s="1"/>
    </row>
    <row r="183" spans="1:43" ht="12.3" x14ac:dyDescent="0.4">
      <c r="A183" s="1" t="s">
        <v>169</v>
      </c>
      <c r="B183" s="1"/>
      <c r="C183" s="1" t="s">
        <v>6</v>
      </c>
      <c r="D183" s="5" t="s">
        <v>7</v>
      </c>
      <c r="E183" s="5" t="s">
        <v>463</v>
      </c>
      <c r="F183" s="4" t="s">
        <v>465</v>
      </c>
      <c r="G183" s="4" t="s">
        <v>465</v>
      </c>
      <c r="I183" s="1" t="s">
        <v>8</v>
      </c>
      <c r="J183" s="1" t="s">
        <v>9</v>
      </c>
      <c r="K183" s="4" t="s">
        <v>464</v>
      </c>
      <c r="L183" s="1" t="s">
        <v>26</v>
      </c>
      <c r="M183" s="1"/>
      <c r="O183" s="1"/>
      <c r="P183" s="1"/>
      <c r="Q183" s="1"/>
      <c r="S183" s="1"/>
      <c r="T183" s="1"/>
      <c r="U183" s="2"/>
      <c r="V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 t="s">
        <v>15</v>
      </c>
      <c r="AN183" s="1" t="s">
        <v>14</v>
      </c>
      <c r="AO183" s="1">
        <v>341</v>
      </c>
      <c r="AP183" s="3">
        <v>0.56833333333333336</v>
      </c>
      <c r="AQ183" s="1"/>
    </row>
    <row r="184" spans="1:43" ht="12.3" x14ac:dyDescent="0.4">
      <c r="A184" s="1" t="s">
        <v>170</v>
      </c>
      <c r="B184" s="1"/>
      <c r="C184" s="1" t="s">
        <v>6</v>
      </c>
      <c r="D184" s="5" t="s">
        <v>7</v>
      </c>
      <c r="E184" s="5" t="s">
        <v>463</v>
      </c>
      <c r="F184" s="4" t="s">
        <v>465</v>
      </c>
      <c r="G184" s="4" t="s">
        <v>465</v>
      </c>
      <c r="I184" s="1" t="s">
        <v>8</v>
      </c>
      <c r="J184" s="1" t="s">
        <v>9</v>
      </c>
      <c r="K184" s="4" t="s">
        <v>464</v>
      </c>
      <c r="L184" s="1" t="s">
        <v>23</v>
      </c>
      <c r="M184" s="1"/>
      <c r="O184" s="1"/>
      <c r="P184" s="1"/>
      <c r="Q184" s="1"/>
      <c r="S184" s="1"/>
      <c r="T184" s="1"/>
      <c r="U184" s="2"/>
      <c r="V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 t="s">
        <v>12</v>
      </c>
      <c r="AN184" s="1" t="s">
        <v>18</v>
      </c>
      <c r="AO184" s="1">
        <v>327</v>
      </c>
      <c r="AP184" s="3">
        <v>0.54500000000000004</v>
      </c>
      <c r="AQ184" s="1"/>
    </row>
    <row r="185" spans="1:43" ht="12.3" x14ac:dyDescent="0.4">
      <c r="A185" s="1" t="s">
        <v>170</v>
      </c>
      <c r="B185" s="1"/>
      <c r="C185" s="1" t="s">
        <v>6</v>
      </c>
      <c r="D185" s="5" t="s">
        <v>7</v>
      </c>
      <c r="E185" s="5" t="s">
        <v>463</v>
      </c>
      <c r="F185" s="4" t="s">
        <v>465</v>
      </c>
      <c r="G185" s="4" t="s">
        <v>465</v>
      </c>
      <c r="I185" s="1" t="s">
        <v>16</v>
      </c>
      <c r="J185" s="1" t="s">
        <v>10</v>
      </c>
      <c r="K185" s="4" t="s">
        <v>464</v>
      </c>
      <c r="L185" s="1" t="s">
        <v>23</v>
      </c>
      <c r="M185" s="1"/>
      <c r="O185" s="1"/>
      <c r="P185" s="1"/>
      <c r="Q185" s="1"/>
      <c r="S185" s="2"/>
      <c r="T185" s="1"/>
      <c r="U185" s="2"/>
      <c r="V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 t="s">
        <v>15</v>
      </c>
      <c r="AN185" s="1" t="s">
        <v>18</v>
      </c>
      <c r="AO185" s="1">
        <v>382</v>
      </c>
      <c r="AP185" s="3">
        <v>0.63666666666666671</v>
      </c>
      <c r="AQ185" s="1"/>
    </row>
    <row r="186" spans="1:43" ht="12.3" x14ac:dyDescent="0.4">
      <c r="A186" s="1" t="s">
        <v>171</v>
      </c>
      <c r="B186" s="1"/>
      <c r="C186" s="1" t="s">
        <v>6</v>
      </c>
      <c r="D186" s="5" t="s">
        <v>7</v>
      </c>
      <c r="E186" s="5" t="s">
        <v>463</v>
      </c>
      <c r="F186" s="4" t="s">
        <v>465</v>
      </c>
      <c r="G186" s="4" t="s">
        <v>465</v>
      </c>
      <c r="I186" s="1" t="s">
        <v>16</v>
      </c>
      <c r="J186" s="1" t="s">
        <v>10</v>
      </c>
      <c r="K186" s="4" t="s">
        <v>464</v>
      </c>
      <c r="L186" s="1" t="s">
        <v>17</v>
      </c>
      <c r="M186" s="1"/>
      <c r="O186" s="1"/>
      <c r="P186" s="1"/>
      <c r="Q186" s="1"/>
      <c r="S186" s="2"/>
      <c r="T186" s="1"/>
      <c r="U186" s="2"/>
      <c r="V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 t="s">
        <v>12</v>
      </c>
      <c r="AN186" s="1" t="s">
        <v>20</v>
      </c>
      <c r="AO186" s="1">
        <v>402</v>
      </c>
      <c r="AP186" s="3">
        <v>0.67</v>
      </c>
      <c r="AQ186" s="1"/>
    </row>
    <row r="187" spans="1:43" ht="12.3" x14ac:dyDescent="0.4">
      <c r="A187" s="1" t="s">
        <v>171</v>
      </c>
      <c r="B187" s="1"/>
      <c r="C187" s="1" t="s">
        <v>6</v>
      </c>
      <c r="D187" s="5" t="s">
        <v>7</v>
      </c>
      <c r="E187" s="5" t="s">
        <v>463</v>
      </c>
      <c r="F187" s="4" t="s">
        <v>465</v>
      </c>
      <c r="G187" s="4" t="s">
        <v>465</v>
      </c>
      <c r="I187" s="1" t="s">
        <v>29</v>
      </c>
      <c r="J187" s="1" t="s">
        <v>9</v>
      </c>
      <c r="K187" s="4" t="s">
        <v>464</v>
      </c>
      <c r="L187" s="1" t="s">
        <v>17</v>
      </c>
      <c r="M187" s="1"/>
      <c r="O187" s="1"/>
      <c r="P187" s="1"/>
      <c r="Q187" s="1"/>
      <c r="S187" s="2"/>
      <c r="T187" s="1"/>
      <c r="U187" s="1"/>
      <c r="V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 t="s">
        <v>15</v>
      </c>
      <c r="AN187" s="1" t="s">
        <v>20</v>
      </c>
      <c r="AO187" s="1">
        <v>429</v>
      </c>
      <c r="AP187" s="3">
        <v>0.71499999999999997</v>
      </c>
      <c r="AQ187" s="1"/>
    </row>
    <row r="188" spans="1:43" ht="12.3" x14ac:dyDescent="0.4">
      <c r="A188" s="1" t="s">
        <v>172</v>
      </c>
      <c r="B188" s="1"/>
      <c r="C188" s="1" t="s">
        <v>6</v>
      </c>
      <c r="D188" s="5" t="s">
        <v>7</v>
      </c>
      <c r="E188" s="5" t="s">
        <v>463</v>
      </c>
      <c r="F188" s="4" t="s">
        <v>465</v>
      </c>
      <c r="G188" s="4" t="s">
        <v>465</v>
      </c>
      <c r="I188" s="1" t="s">
        <v>29</v>
      </c>
      <c r="J188" s="1" t="s">
        <v>9</v>
      </c>
      <c r="K188" s="4" t="s">
        <v>464</v>
      </c>
      <c r="L188" s="1" t="s">
        <v>11</v>
      </c>
      <c r="M188" s="1"/>
      <c r="O188" s="1"/>
      <c r="P188" s="1"/>
      <c r="Q188" s="1"/>
      <c r="S188" s="2"/>
      <c r="T188" s="1"/>
      <c r="U188" s="1"/>
      <c r="V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 t="s">
        <v>12</v>
      </c>
      <c r="AN188" s="1" t="s">
        <v>18</v>
      </c>
      <c r="AO188" s="1">
        <v>317</v>
      </c>
      <c r="AP188" s="3">
        <v>0.52833333333333332</v>
      </c>
      <c r="AQ188" s="1"/>
    </row>
    <row r="189" spans="1:43" ht="12.3" x14ac:dyDescent="0.4">
      <c r="A189" s="1" t="s">
        <v>172</v>
      </c>
      <c r="B189" s="1"/>
      <c r="C189" s="1" t="s">
        <v>6</v>
      </c>
      <c r="D189" s="5" t="s">
        <v>7</v>
      </c>
      <c r="E189" s="5" t="s">
        <v>463</v>
      </c>
      <c r="F189" s="4" t="s">
        <v>465</v>
      </c>
      <c r="G189" s="4" t="s">
        <v>465</v>
      </c>
      <c r="I189" s="1" t="s">
        <v>8</v>
      </c>
      <c r="J189" s="1" t="s">
        <v>9</v>
      </c>
      <c r="K189" s="4" t="s">
        <v>464</v>
      </c>
      <c r="L189" s="1" t="s">
        <v>11</v>
      </c>
      <c r="M189" s="1"/>
      <c r="O189" s="1"/>
      <c r="P189" s="1"/>
      <c r="Q189" s="1"/>
      <c r="S189" s="1"/>
      <c r="T189" s="1"/>
      <c r="U189" s="2"/>
      <c r="V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 t="s">
        <v>15</v>
      </c>
      <c r="AN189" s="1" t="s">
        <v>13</v>
      </c>
      <c r="AO189" s="1">
        <v>364</v>
      </c>
      <c r="AP189" s="3">
        <v>0.60666666666666669</v>
      </c>
      <c r="AQ189" s="1"/>
    </row>
    <row r="190" spans="1:43" ht="12.3" x14ac:dyDescent="0.4">
      <c r="A190" s="1" t="s">
        <v>173</v>
      </c>
      <c r="B190" s="1"/>
      <c r="C190" s="1" t="s">
        <v>6</v>
      </c>
      <c r="D190" s="5" t="s">
        <v>7</v>
      </c>
      <c r="E190" s="5" t="s">
        <v>463</v>
      </c>
      <c r="F190" s="4" t="s">
        <v>465</v>
      </c>
      <c r="G190" s="4" t="s">
        <v>465</v>
      </c>
      <c r="I190" s="1" t="s">
        <v>8</v>
      </c>
      <c r="J190" s="1" t="s">
        <v>9</v>
      </c>
      <c r="K190" s="4" t="s">
        <v>464</v>
      </c>
      <c r="L190" s="1" t="s">
        <v>30</v>
      </c>
      <c r="M190" s="1"/>
      <c r="O190" s="1"/>
      <c r="P190" s="1"/>
      <c r="Q190" s="1"/>
      <c r="S190" s="1"/>
      <c r="T190" s="1"/>
      <c r="U190" s="2"/>
      <c r="V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 t="s">
        <v>15</v>
      </c>
      <c r="AN190" s="1" t="s">
        <v>14</v>
      </c>
      <c r="AO190" s="1">
        <v>324</v>
      </c>
      <c r="AP190" s="3">
        <v>0.54</v>
      </c>
      <c r="AQ190" s="1"/>
    </row>
    <row r="191" spans="1:43" ht="12.3" x14ac:dyDescent="0.4">
      <c r="A191" s="1" t="s">
        <v>174</v>
      </c>
      <c r="B191" s="1"/>
      <c r="C191" s="1" t="s">
        <v>6</v>
      </c>
      <c r="D191" s="5" t="s">
        <v>7</v>
      </c>
      <c r="E191" s="5" t="s">
        <v>463</v>
      </c>
      <c r="F191" s="4" t="s">
        <v>465</v>
      </c>
      <c r="G191" s="4" t="s">
        <v>465</v>
      </c>
      <c r="I191" s="1" t="s">
        <v>8</v>
      </c>
      <c r="J191" s="1" t="s">
        <v>9</v>
      </c>
      <c r="K191" s="4" t="s">
        <v>464</v>
      </c>
      <c r="L191" s="1" t="s">
        <v>21</v>
      </c>
      <c r="M191" s="1"/>
      <c r="O191" s="1"/>
      <c r="P191" s="1"/>
      <c r="Q191" s="1"/>
      <c r="S191" s="1"/>
      <c r="T191" s="1"/>
      <c r="U191" s="1"/>
      <c r="V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 t="s">
        <v>12</v>
      </c>
      <c r="AN191" s="1" t="s">
        <v>20</v>
      </c>
      <c r="AO191" s="1">
        <v>377</v>
      </c>
      <c r="AP191" s="3">
        <v>0.6283333333333333</v>
      </c>
      <c r="AQ191" s="1"/>
    </row>
    <row r="192" spans="1:43" ht="12.3" x14ac:dyDescent="0.4">
      <c r="A192" s="1" t="s">
        <v>174</v>
      </c>
      <c r="B192" s="1"/>
      <c r="C192" s="1" t="s">
        <v>6</v>
      </c>
      <c r="D192" s="5" t="s">
        <v>7</v>
      </c>
      <c r="E192" s="5" t="s">
        <v>463</v>
      </c>
      <c r="F192" s="4" t="s">
        <v>465</v>
      </c>
      <c r="G192" s="4" t="s">
        <v>465</v>
      </c>
      <c r="I192" s="1" t="s">
        <v>16</v>
      </c>
      <c r="J192" s="1" t="s">
        <v>10</v>
      </c>
      <c r="K192" s="4" t="s">
        <v>464</v>
      </c>
      <c r="L192" s="1" t="s">
        <v>21</v>
      </c>
      <c r="M192" s="1"/>
      <c r="O192" s="1"/>
      <c r="P192" s="1"/>
      <c r="Q192" s="1"/>
      <c r="S192" s="2"/>
      <c r="T192" s="1"/>
      <c r="U192" s="1"/>
      <c r="V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 t="s">
        <v>15</v>
      </c>
      <c r="AN192" s="1" t="s">
        <v>20</v>
      </c>
      <c r="AO192" s="1">
        <v>429</v>
      </c>
      <c r="AP192" s="3">
        <v>0.71499999999999997</v>
      </c>
      <c r="AQ192" s="1"/>
    </row>
    <row r="193" spans="1:43" ht="12.3" x14ac:dyDescent="0.4">
      <c r="A193" s="1" t="s">
        <v>175</v>
      </c>
      <c r="B193" s="1"/>
      <c r="C193" s="1" t="s">
        <v>6</v>
      </c>
      <c r="D193" s="5" t="s">
        <v>7</v>
      </c>
      <c r="E193" s="5" t="s">
        <v>463</v>
      </c>
      <c r="F193" s="4" t="s">
        <v>465</v>
      </c>
      <c r="G193" s="4" t="s">
        <v>465</v>
      </c>
      <c r="I193" s="1" t="s">
        <v>16</v>
      </c>
      <c r="J193" s="1" t="s">
        <v>10</v>
      </c>
      <c r="K193" s="4" t="s">
        <v>464</v>
      </c>
      <c r="L193" s="1" t="s">
        <v>19</v>
      </c>
      <c r="M193" s="1"/>
      <c r="O193" s="1"/>
      <c r="P193" s="1"/>
      <c r="Q193" s="1"/>
      <c r="S193" s="2"/>
      <c r="T193" s="1"/>
      <c r="U193" s="1"/>
      <c r="V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 t="s">
        <v>12</v>
      </c>
      <c r="AN193" s="1" t="s">
        <v>14</v>
      </c>
      <c r="AO193" s="1">
        <v>245</v>
      </c>
      <c r="AP193" s="3">
        <v>0.40833333333333333</v>
      </c>
      <c r="AQ193" s="1"/>
    </row>
    <row r="194" spans="1:43" ht="12.3" x14ac:dyDescent="0.4">
      <c r="A194" s="1" t="s">
        <v>175</v>
      </c>
      <c r="B194" s="1"/>
      <c r="C194" s="1" t="s">
        <v>6</v>
      </c>
      <c r="D194" s="5" t="s">
        <v>7</v>
      </c>
      <c r="E194" s="5" t="s">
        <v>463</v>
      </c>
      <c r="F194" s="4" t="s">
        <v>465</v>
      </c>
      <c r="G194" s="4" t="s">
        <v>465</v>
      </c>
      <c r="I194" s="1" t="s">
        <v>16</v>
      </c>
      <c r="J194" s="1" t="s">
        <v>9</v>
      </c>
      <c r="K194" s="4" t="s">
        <v>464</v>
      </c>
      <c r="L194" s="1" t="s">
        <v>19</v>
      </c>
      <c r="M194" s="1"/>
      <c r="O194" s="1"/>
      <c r="P194" s="1"/>
      <c r="Q194" s="1"/>
      <c r="S194" s="1"/>
      <c r="T194" s="1"/>
      <c r="U194" s="2"/>
      <c r="V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 t="s">
        <v>15</v>
      </c>
      <c r="AN194" s="1" t="s">
        <v>14</v>
      </c>
      <c r="AO194" s="1">
        <v>323</v>
      </c>
      <c r="AP194" s="3">
        <v>0.53833333333333333</v>
      </c>
      <c r="AQ194" s="1"/>
    </row>
    <row r="195" spans="1:43" ht="12.3" x14ac:dyDescent="0.4">
      <c r="A195" s="1" t="s">
        <v>176</v>
      </c>
      <c r="B195" s="1"/>
      <c r="C195" s="1" t="s">
        <v>6</v>
      </c>
      <c r="D195" s="5" t="s">
        <v>7</v>
      </c>
      <c r="E195" s="5" t="s">
        <v>463</v>
      </c>
      <c r="F195" s="4" t="s">
        <v>465</v>
      </c>
      <c r="G195" s="4" t="s">
        <v>465</v>
      </c>
      <c r="I195" s="1" t="s">
        <v>16</v>
      </c>
      <c r="J195" s="1" t="s">
        <v>9</v>
      </c>
      <c r="K195" s="4" t="s">
        <v>464</v>
      </c>
      <c r="L195" s="1" t="s">
        <v>26</v>
      </c>
      <c r="M195" s="1"/>
      <c r="O195" s="1"/>
      <c r="P195" s="1"/>
      <c r="Q195" s="1"/>
      <c r="S195" s="1"/>
      <c r="T195" s="1"/>
      <c r="U195" s="2"/>
      <c r="V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 t="s">
        <v>12</v>
      </c>
      <c r="AN195" s="1" t="s">
        <v>18</v>
      </c>
      <c r="AO195" s="1">
        <v>321</v>
      </c>
      <c r="AP195" s="3">
        <v>0.53500000000000003</v>
      </c>
      <c r="AQ195" s="1"/>
    </row>
    <row r="196" spans="1:43" ht="12.3" x14ac:dyDescent="0.4">
      <c r="A196" s="1" t="s">
        <v>176</v>
      </c>
      <c r="B196" s="1"/>
      <c r="C196" s="1" t="s">
        <v>6</v>
      </c>
      <c r="D196" s="5" t="s">
        <v>7</v>
      </c>
      <c r="E196" s="5" t="s">
        <v>463</v>
      </c>
      <c r="F196" s="4" t="s">
        <v>465</v>
      </c>
      <c r="G196" s="4" t="s">
        <v>465</v>
      </c>
      <c r="I196" s="1" t="s">
        <v>16</v>
      </c>
      <c r="J196" s="1" t="s">
        <v>10</v>
      </c>
      <c r="K196" s="4" t="s">
        <v>464</v>
      </c>
      <c r="L196" s="1" t="s">
        <v>26</v>
      </c>
      <c r="M196" s="1"/>
      <c r="O196" s="1"/>
      <c r="P196" s="1"/>
      <c r="Q196" s="1"/>
      <c r="S196" s="2"/>
      <c r="T196" s="1"/>
      <c r="U196" s="1"/>
      <c r="V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 t="s">
        <v>15</v>
      </c>
      <c r="AN196" s="1" t="s">
        <v>13</v>
      </c>
      <c r="AO196" s="1">
        <v>369</v>
      </c>
      <c r="AP196" s="3">
        <v>0.61499999999999999</v>
      </c>
      <c r="AQ196" s="1"/>
    </row>
    <row r="197" spans="1:43" ht="12.3" x14ac:dyDescent="0.4">
      <c r="A197" s="1" t="s">
        <v>177</v>
      </c>
      <c r="B197" s="1"/>
      <c r="C197" s="1" t="s">
        <v>6</v>
      </c>
      <c r="D197" s="5" t="s">
        <v>7</v>
      </c>
      <c r="E197" s="5" t="s">
        <v>463</v>
      </c>
      <c r="F197" s="4" t="s">
        <v>465</v>
      </c>
      <c r="G197" s="4" t="s">
        <v>465</v>
      </c>
      <c r="I197" s="1" t="s">
        <v>16</v>
      </c>
      <c r="J197" s="1" t="s">
        <v>10</v>
      </c>
      <c r="K197" s="4" t="s">
        <v>464</v>
      </c>
      <c r="L197" s="1" t="s">
        <v>26</v>
      </c>
      <c r="M197" s="1"/>
      <c r="O197" s="1"/>
      <c r="P197" s="1"/>
      <c r="Q197" s="1"/>
      <c r="S197" s="2"/>
      <c r="T197" s="1"/>
      <c r="U197" s="1"/>
      <c r="V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 t="s">
        <v>12</v>
      </c>
      <c r="AN197" s="1" t="s">
        <v>14</v>
      </c>
      <c r="AO197" s="1">
        <v>254</v>
      </c>
      <c r="AP197" s="3">
        <v>0.42333333333333334</v>
      </c>
      <c r="AQ197" s="1"/>
    </row>
    <row r="198" spans="1:43" ht="12.3" x14ac:dyDescent="0.4">
      <c r="A198" s="1" t="s">
        <v>177</v>
      </c>
      <c r="B198" s="1"/>
      <c r="C198" s="1" t="s">
        <v>6</v>
      </c>
      <c r="D198" s="5" t="s">
        <v>7</v>
      </c>
      <c r="E198" s="5" t="s">
        <v>463</v>
      </c>
      <c r="F198" s="4" t="s">
        <v>465</v>
      </c>
      <c r="G198" s="4" t="s">
        <v>465</v>
      </c>
      <c r="I198" s="1" t="s">
        <v>8</v>
      </c>
      <c r="J198" s="1" t="s">
        <v>9</v>
      </c>
      <c r="K198" s="4" t="s">
        <v>464</v>
      </c>
      <c r="L198" s="1" t="s">
        <v>26</v>
      </c>
      <c r="M198" s="1"/>
      <c r="O198" s="1"/>
      <c r="P198" s="1"/>
      <c r="Q198" s="1"/>
      <c r="S198" s="1"/>
      <c r="T198" s="1"/>
      <c r="U198" s="2"/>
      <c r="V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 t="s">
        <v>15</v>
      </c>
      <c r="AN198" s="1" t="s">
        <v>14</v>
      </c>
      <c r="AO198" s="1">
        <v>336</v>
      </c>
      <c r="AP198" s="3">
        <v>0.56000000000000005</v>
      </c>
      <c r="AQ198" s="1"/>
    </row>
    <row r="199" spans="1:43" ht="12.3" x14ac:dyDescent="0.4">
      <c r="A199" s="1" t="s">
        <v>178</v>
      </c>
      <c r="B199" s="1"/>
      <c r="C199" s="1" t="s">
        <v>6</v>
      </c>
      <c r="D199" s="5" t="s">
        <v>7</v>
      </c>
      <c r="E199" s="5" t="s">
        <v>463</v>
      </c>
      <c r="F199" s="4" t="s">
        <v>465</v>
      </c>
      <c r="G199" s="4" t="s">
        <v>465</v>
      </c>
      <c r="I199" s="1" t="s">
        <v>8</v>
      </c>
      <c r="J199" s="1" t="s">
        <v>9</v>
      </c>
      <c r="K199" s="4" t="s">
        <v>464</v>
      </c>
      <c r="L199" s="1" t="s">
        <v>11</v>
      </c>
      <c r="M199" s="1"/>
      <c r="O199" s="1"/>
      <c r="P199" s="1"/>
      <c r="Q199" s="1"/>
      <c r="S199" s="1"/>
      <c r="T199" s="1"/>
      <c r="U199" s="2"/>
      <c r="V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 t="s">
        <v>12</v>
      </c>
      <c r="AN199" s="1" t="s">
        <v>20</v>
      </c>
      <c r="AO199" s="1">
        <v>335</v>
      </c>
      <c r="AP199" s="3">
        <v>0.55833333333333335</v>
      </c>
      <c r="AQ199" s="1"/>
    </row>
    <row r="200" spans="1:43" ht="12.3" x14ac:dyDescent="0.4">
      <c r="A200" s="1" t="s">
        <v>178</v>
      </c>
      <c r="B200" s="1"/>
      <c r="C200" s="1" t="s">
        <v>6</v>
      </c>
      <c r="D200" s="5" t="s">
        <v>7</v>
      </c>
      <c r="E200" s="5" t="s">
        <v>463</v>
      </c>
      <c r="F200" s="4" t="s">
        <v>465</v>
      </c>
      <c r="G200" s="4" t="s">
        <v>465</v>
      </c>
      <c r="I200" s="1" t="s">
        <v>8</v>
      </c>
      <c r="J200" s="1" t="s">
        <v>9</v>
      </c>
      <c r="K200" s="4" t="s">
        <v>464</v>
      </c>
      <c r="L200" s="1" t="s">
        <v>11</v>
      </c>
      <c r="M200" s="1"/>
      <c r="O200" s="1"/>
      <c r="P200" s="1"/>
      <c r="Q200" s="1"/>
      <c r="S200" s="2"/>
      <c r="T200" s="1"/>
      <c r="U200" s="1"/>
      <c r="V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 t="s">
        <v>15</v>
      </c>
      <c r="AN200" s="1" t="s">
        <v>18</v>
      </c>
      <c r="AO200" s="1">
        <v>390</v>
      </c>
      <c r="AP200" s="3">
        <v>0.65</v>
      </c>
      <c r="AQ200" s="1"/>
    </row>
    <row r="201" spans="1:43" ht="12.3" x14ac:dyDescent="0.4">
      <c r="A201" s="1" t="s">
        <v>179</v>
      </c>
      <c r="B201" s="1"/>
      <c r="C201" s="1" t="s">
        <v>6</v>
      </c>
      <c r="D201" s="5" t="s">
        <v>7</v>
      </c>
      <c r="E201" s="5" t="s">
        <v>463</v>
      </c>
      <c r="F201" s="4" t="s">
        <v>465</v>
      </c>
      <c r="G201" s="4" t="s">
        <v>465</v>
      </c>
      <c r="I201" s="1" t="s">
        <v>8</v>
      </c>
      <c r="J201" s="1" t="s">
        <v>9</v>
      </c>
      <c r="K201" s="4" t="s">
        <v>464</v>
      </c>
      <c r="L201" s="1" t="s">
        <v>21</v>
      </c>
      <c r="M201" s="1"/>
      <c r="O201" s="1"/>
      <c r="P201" s="1"/>
      <c r="Q201" s="1"/>
      <c r="S201" s="2"/>
      <c r="T201" s="1"/>
      <c r="U201" s="1"/>
      <c r="V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 t="s">
        <v>12</v>
      </c>
      <c r="AN201" s="1" t="s">
        <v>20</v>
      </c>
      <c r="AO201" s="1">
        <v>359</v>
      </c>
      <c r="AP201" s="3">
        <v>0.59833333333333338</v>
      </c>
      <c r="AQ201" s="1"/>
    </row>
    <row r="202" spans="1:43" ht="12.3" x14ac:dyDescent="0.4">
      <c r="A202" s="1" t="s">
        <v>179</v>
      </c>
      <c r="B202" s="1"/>
      <c r="C202" s="1" t="s">
        <v>6</v>
      </c>
      <c r="D202" s="5" t="s">
        <v>7</v>
      </c>
      <c r="E202" s="5" t="s">
        <v>463</v>
      </c>
      <c r="F202" s="4" t="s">
        <v>465</v>
      </c>
      <c r="G202" s="4" t="s">
        <v>465</v>
      </c>
      <c r="I202" s="1" t="s">
        <v>16</v>
      </c>
      <c r="J202" s="1" t="s">
        <v>10</v>
      </c>
      <c r="K202" s="4" t="s">
        <v>464</v>
      </c>
      <c r="L202" s="1" t="s">
        <v>21</v>
      </c>
      <c r="M202" s="1"/>
      <c r="O202" s="1"/>
      <c r="P202" s="1"/>
      <c r="Q202" s="1"/>
      <c r="S202" s="2"/>
      <c r="T202" s="1"/>
      <c r="U202" s="1"/>
      <c r="V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 t="s">
        <v>15</v>
      </c>
      <c r="AN202" s="1" t="s">
        <v>20</v>
      </c>
      <c r="AO202" s="1">
        <v>423</v>
      </c>
      <c r="AP202" s="3">
        <v>0.70499999999999996</v>
      </c>
      <c r="AQ202" s="1"/>
    </row>
    <row r="203" spans="1:43" ht="12.3" x14ac:dyDescent="0.4">
      <c r="A203" s="1" t="s">
        <v>180</v>
      </c>
      <c r="B203" s="1"/>
      <c r="C203" s="1" t="s">
        <v>6</v>
      </c>
      <c r="D203" s="5" t="s">
        <v>7</v>
      </c>
      <c r="E203" s="5" t="s">
        <v>463</v>
      </c>
      <c r="F203" s="4" t="s">
        <v>465</v>
      </c>
      <c r="G203" s="4" t="s">
        <v>465</v>
      </c>
      <c r="I203" s="1" t="s">
        <v>16</v>
      </c>
      <c r="J203" s="1" t="s">
        <v>10</v>
      </c>
      <c r="K203" s="4" t="s">
        <v>464</v>
      </c>
      <c r="L203" s="1" t="s">
        <v>30</v>
      </c>
      <c r="M203" s="1"/>
      <c r="O203" s="1"/>
      <c r="P203" s="1"/>
      <c r="Q203" s="1"/>
      <c r="S203" s="2"/>
      <c r="T203" s="1"/>
      <c r="U203" s="1"/>
      <c r="V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 t="s">
        <v>12</v>
      </c>
      <c r="AN203" s="1" t="s">
        <v>13</v>
      </c>
      <c r="AO203" s="1">
        <v>298</v>
      </c>
      <c r="AP203" s="3">
        <v>0.49666666666666665</v>
      </c>
      <c r="AQ203" s="1"/>
    </row>
    <row r="204" spans="1:43" ht="12.3" x14ac:dyDescent="0.4">
      <c r="A204" s="1" t="s">
        <v>181</v>
      </c>
      <c r="B204" s="1"/>
      <c r="C204" s="1" t="s">
        <v>6</v>
      </c>
      <c r="D204" s="5" t="s">
        <v>7</v>
      </c>
      <c r="E204" s="5" t="s">
        <v>463</v>
      </c>
      <c r="F204" s="4" t="s">
        <v>465</v>
      </c>
      <c r="G204" s="4" t="s">
        <v>465</v>
      </c>
      <c r="I204" s="1" t="s">
        <v>16</v>
      </c>
      <c r="J204" s="1" t="s">
        <v>10</v>
      </c>
      <c r="K204" s="4" t="s">
        <v>464</v>
      </c>
      <c r="L204" s="1" t="s">
        <v>23</v>
      </c>
      <c r="M204" s="1"/>
      <c r="O204" s="1"/>
      <c r="P204" s="1"/>
      <c r="Q204" s="1"/>
      <c r="S204" s="2"/>
      <c r="T204" s="1"/>
      <c r="U204" s="2"/>
      <c r="V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 t="s">
        <v>12</v>
      </c>
      <c r="AN204" s="1" t="s">
        <v>20</v>
      </c>
      <c r="AO204" s="1">
        <v>390</v>
      </c>
      <c r="AP204" s="3">
        <v>0.65</v>
      </c>
      <c r="AQ204" s="1"/>
    </row>
    <row r="205" spans="1:43" ht="12.3" x14ac:dyDescent="0.4">
      <c r="A205" s="1" t="s">
        <v>181</v>
      </c>
      <c r="B205" s="1"/>
      <c r="C205" s="1" t="s">
        <v>6</v>
      </c>
      <c r="D205" s="5" t="s">
        <v>7</v>
      </c>
      <c r="E205" s="5" t="s">
        <v>463</v>
      </c>
      <c r="F205" s="4" t="s">
        <v>465</v>
      </c>
      <c r="G205" s="4" t="s">
        <v>465</v>
      </c>
      <c r="I205" s="1" t="s">
        <v>16</v>
      </c>
      <c r="J205" s="1" t="s">
        <v>10</v>
      </c>
      <c r="K205" s="4" t="s">
        <v>464</v>
      </c>
      <c r="L205" s="1" t="s">
        <v>23</v>
      </c>
      <c r="M205" s="1"/>
      <c r="O205" s="1"/>
      <c r="P205" s="1"/>
      <c r="Q205" s="1"/>
      <c r="S205" s="2"/>
      <c r="T205" s="1"/>
      <c r="U205" s="2"/>
      <c r="V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 t="s">
        <v>15</v>
      </c>
      <c r="AN205" s="1" t="s">
        <v>20</v>
      </c>
      <c r="AO205" s="1">
        <v>416</v>
      </c>
      <c r="AP205" s="3">
        <v>0.69333333333333336</v>
      </c>
      <c r="AQ205" s="1"/>
    </row>
    <row r="206" spans="1:43" ht="12.3" x14ac:dyDescent="0.4">
      <c r="A206" s="1" t="s">
        <v>182</v>
      </c>
      <c r="B206" s="1"/>
      <c r="C206" s="1" t="s">
        <v>6</v>
      </c>
      <c r="D206" s="5" t="s">
        <v>7</v>
      </c>
      <c r="E206" s="5" t="s">
        <v>463</v>
      </c>
      <c r="F206" s="4" t="s">
        <v>465</v>
      </c>
      <c r="G206" s="4" t="s">
        <v>465</v>
      </c>
      <c r="I206" s="1" t="s">
        <v>16</v>
      </c>
      <c r="J206" s="1" t="s">
        <v>10</v>
      </c>
      <c r="K206" s="4" t="s">
        <v>464</v>
      </c>
      <c r="L206" s="1" t="s">
        <v>25</v>
      </c>
      <c r="M206" s="1"/>
      <c r="O206" s="1"/>
      <c r="P206" s="1"/>
      <c r="Q206" s="1"/>
      <c r="S206" s="2"/>
      <c r="T206" s="1"/>
      <c r="U206" s="2"/>
      <c r="V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 t="s">
        <v>12</v>
      </c>
      <c r="AN206" s="1" t="s">
        <v>20</v>
      </c>
      <c r="AO206" s="1">
        <v>337</v>
      </c>
      <c r="AP206" s="3">
        <v>0.56166666666666665</v>
      </c>
      <c r="AQ206" s="1"/>
    </row>
    <row r="207" spans="1:43" ht="12.3" x14ac:dyDescent="0.4">
      <c r="A207" s="1" t="s">
        <v>182</v>
      </c>
      <c r="B207" s="1"/>
      <c r="C207" s="1" t="s">
        <v>6</v>
      </c>
      <c r="D207" s="5" t="s">
        <v>7</v>
      </c>
      <c r="E207" s="5" t="s">
        <v>463</v>
      </c>
      <c r="F207" s="4" t="s">
        <v>465</v>
      </c>
      <c r="G207" s="4" t="s">
        <v>465</v>
      </c>
      <c r="I207" s="1" t="s">
        <v>16</v>
      </c>
      <c r="J207" s="1" t="s">
        <v>10</v>
      </c>
      <c r="K207" s="4" t="s">
        <v>464</v>
      </c>
      <c r="L207" s="1" t="s">
        <v>25</v>
      </c>
      <c r="M207" s="1"/>
      <c r="O207" s="1"/>
      <c r="P207" s="1"/>
      <c r="Q207" s="1"/>
      <c r="S207" s="2"/>
      <c r="T207" s="1"/>
      <c r="U207" s="1"/>
      <c r="V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 t="s">
        <v>15</v>
      </c>
      <c r="AN207" s="1" t="s">
        <v>18</v>
      </c>
      <c r="AO207" s="1">
        <v>373</v>
      </c>
      <c r="AP207" s="3">
        <v>0.6216666666666667</v>
      </c>
      <c r="AQ207" s="1"/>
    </row>
    <row r="208" spans="1:43" ht="12.3" x14ac:dyDescent="0.4">
      <c r="A208" s="1" t="s">
        <v>183</v>
      </c>
      <c r="B208" s="1"/>
      <c r="C208" s="1" t="s">
        <v>6</v>
      </c>
      <c r="D208" s="5" t="s">
        <v>7</v>
      </c>
      <c r="E208" s="5" t="s">
        <v>463</v>
      </c>
      <c r="F208" s="4" t="s">
        <v>465</v>
      </c>
      <c r="G208" s="4" t="s">
        <v>465</v>
      </c>
      <c r="I208" s="1" t="s">
        <v>16</v>
      </c>
      <c r="J208" s="1" t="s">
        <v>10</v>
      </c>
      <c r="K208" s="4" t="s">
        <v>464</v>
      </c>
      <c r="L208" s="1" t="s">
        <v>24</v>
      </c>
      <c r="M208" s="1"/>
      <c r="O208" s="1"/>
      <c r="P208" s="1"/>
      <c r="Q208" s="1"/>
      <c r="S208" s="2"/>
      <c r="T208" s="1"/>
      <c r="U208" s="1"/>
      <c r="V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 t="s">
        <v>12</v>
      </c>
      <c r="AN208" s="1" t="s">
        <v>20</v>
      </c>
      <c r="AO208" s="1">
        <v>374</v>
      </c>
      <c r="AP208" s="3">
        <v>0.62333333333333329</v>
      </c>
      <c r="AQ208" s="1"/>
    </row>
    <row r="209" spans="1:43" ht="12.3" x14ac:dyDescent="0.4">
      <c r="A209" s="1" t="s">
        <v>183</v>
      </c>
      <c r="B209" s="1"/>
      <c r="C209" s="1" t="s">
        <v>6</v>
      </c>
      <c r="D209" s="5" t="s">
        <v>7</v>
      </c>
      <c r="E209" s="5" t="s">
        <v>463</v>
      </c>
      <c r="F209" s="4" t="s">
        <v>465</v>
      </c>
      <c r="G209" s="4" t="s">
        <v>465</v>
      </c>
      <c r="I209" s="1" t="s">
        <v>16</v>
      </c>
      <c r="J209" s="1" t="s">
        <v>10</v>
      </c>
      <c r="K209" s="4" t="s">
        <v>464</v>
      </c>
      <c r="L209" s="1" t="s">
        <v>24</v>
      </c>
      <c r="M209" s="1"/>
      <c r="O209" s="1"/>
      <c r="P209" s="1"/>
      <c r="Q209" s="1"/>
      <c r="S209" s="2"/>
      <c r="T209" s="1"/>
      <c r="U209" s="1"/>
      <c r="V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 t="s">
        <v>15</v>
      </c>
      <c r="AN209" s="1" t="s">
        <v>20</v>
      </c>
      <c r="AO209" s="1">
        <v>401</v>
      </c>
      <c r="AP209" s="3">
        <v>0.66833333333333333</v>
      </c>
      <c r="AQ209" s="1"/>
    </row>
    <row r="210" spans="1:43" ht="12.3" x14ac:dyDescent="0.4">
      <c r="A210" s="1" t="s">
        <v>184</v>
      </c>
      <c r="B210" s="1"/>
      <c r="C210" s="1" t="s">
        <v>6</v>
      </c>
      <c r="D210" s="5" t="s">
        <v>7</v>
      </c>
      <c r="E210" s="5" t="s">
        <v>463</v>
      </c>
      <c r="F210" s="4" t="s">
        <v>465</v>
      </c>
      <c r="G210" s="4" t="s">
        <v>465</v>
      </c>
      <c r="I210" s="1" t="s">
        <v>16</v>
      </c>
      <c r="J210" s="1" t="s">
        <v>10</v>
      </c>
      <c r="K210" s="4" t="s">
        <v>464</v>
      </c>
      <c r="L210" s="1" t="s">
        <v>17</v>
      </c>
      <c r="M210" s="1"/>
      <c r="O210" s="1"/>
      <c r="P210" s="1"/>
      <c r="Q210" s="1"/>
      <c r="S210" s="2"/>
      <c r="T210" s="1"/>
      <c r="U210" s="1"/>
      <c r="V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 t="s">
        <v>12</v>
      </c>
      <c r="AN210" s="1" t="s">
        <v>18</v>
      </c>
      <c r="AO210" s="1">
        <v>321</v>
      </c>
      <c r="AP210" s="3">
        <v>0.53500000000000003</v>
      </c>
      <c r="AQ210" s="1"/>
    </row>
    <row r="211" spans="1:43" ht="12.3" x14ac:dyDescent="0.4">
      <c r="A211" s="1" t="s">
        <v>184</v>
      </c>
      <c r="B211" s="1"/>
      <c r="C211" s="1" t="s">
        <v>6</v>
      </c>
      <c r="D211" s="5" t="s">
        <v>7</v>
      </c>
      <c r="E211" s="5" t="s">
        <v>463</v>
      </c>
      <c r="F211" s="4" t="s">
        <v>465</v>
      </c>
      <c r="G211" s="4" t="s">
        <v>465</v>
      </c>
      <c r="I211" s="1" t="s">
        <v>16</v>
      </c>
      <c r="J211" s="1" t="s">
        <v>10</v>
      </c>
      <c r="K211" s="4" t="s">
        <v>464</v>
      </c>
      <c r="L211" s="1" t="s">
        <v>17</v>
      </c>
      <c r="M211" s="1"/>
      <c r="O211" s="1"/>
      <c r="P211" s="1"/>
      <c r="Q211" s="1"/>
      <c r="S211" s="2"/>
      <c r="T211" s="1"/>
      <c r="U211" s="2"/>
      <c r="V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 t="s">
        <v>15</v>
      </c>
      <c r="AN211" s="1" t="s">
        <v>13</v>
      </c>
      <c r="AO211" s="1">
        <v>363</v>
      </c>
      <c r="AP211" s="3">
        <v>0.60499999999999998</v>
      </c>
      <c r="AQ211" s="1"/>
    </row>
    <row r="212" spans="1:43" ht="12.3" x14ac:dyDescent="0.4">
      <c r="A212" s="1" t="s">
        <v>185</v>
      </c>
      <c r="B212" s="1"/>
      <c r="C212" s="1" t="s">
        <v>6</v>
      </c>
      <c r="D212" s="5" t="s">
        <v>7</v>
      </c>
      <c r="E212" s="5" t="s">
        <v>463</v>
      </c>
      <c r="F212" s="4" t="s">
        <v>465</v>
      </c>
      <c r="G212" s="4" t="s">
        <v>465</v>
      </c>
      <c r="I212" s="1" t="s">
        <v>16</v>
      </c>
      <c r="J212" s="1" t="s">
        <v>10</v>
      </c>
      <c r="K212" s="4" t="s">
        <v>464</v>
      </c>
      <c r="L212" s="1" t="s">
        <v>19</v>
      </c>
      <c r="M212" s="1"/>
      <c r="O212" s="1"/>
      <c r="P212" s="1"/>
      <c r="Q212" s="1"/>
      <c r="S212" s="2"/>
      <c r="T212" s="1"/>
      <c r="U212" s="2"/>
      <c r="V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 t="s">
        <v>12</v>
      </c>
      <c r="AN212" s="1" t="s">
        <v>14</v>
      </c>
      <c r="AO212" s="1">
        <v>277</v>
      </c>
      <c r="AP212" s="3">
        <v>0.46166666666666667</v>
      </c>
      <c r="AQ212" s="1"/>
    </row>
    <row r="213" spans="1:43" ht="12.3" x14ac:dyDescent="0.4">
      <c r="A213" s="1" t="s">
        <v>186</v>
      </c>
      <c r="B213" s="1"/>
      <c r="C213" s="1" t="s">
        <v>6</v>
      </c>
      <c r="D213" s="5" t="s">
        <v>7</v>
      </c>
      <c r="E213" s="5" t="s">
        <v>463</v>
      </c>
      <c r="F213" s="4" t="s">
        <v>465</v>
      </c>
      <c r="G213" s="4" t="s">
        <v>465</v>
      </c>
      <c r="I213" s="1" t="s">
        <v>16</v>
      </c>
      <c r="J213" s="1" t="s">
        <v>10</v>
      </c>
      <c r="K213" s="4" t="s">
        <v>464</v>
      </c>
      <c r="L213" s="1" t="s">
        <v>26</v>
      </c>
      <c r="M213" s="1"/>
      <c r="O213" s="1"/>
      <c r="P213" s="1"/>
      <c r="Q213" s="1"/>
      <c r="S213" s="1"/>
      <c r="T213" s="1"/>
      <c r="U213" s="2"/>
      <c r="V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 t="s">
        <v>12</v>
      </c>
      <c r="AN213" s="1" t="s">
        <v>14</v>
      </c>
      <c r="AO213" s="1">
        <v>258</v>
      </c>
      <c r="AP213" s="3">
        <v>0.43</v>
      </c>
      <c r="AQ213" s="1"/>
    </row>
    <row r="214" spans="1:43" ht="12.3" x14ac:dyDescent="0.4">
      <c r="A214" s="1" t="s">
        <v>186</v>
      </c>
      <c r="B214" s="1"/>
      <c r="C214" s="1" t="s">
        <v>6</v>
      </c>
      <c r="D214" s="5" t="s">
        <v>7</v>
      </c>
      <c r="E214" s="5" t="s">
        <v>463</v>
      </c>
      <c r="F214" s="4" t="s">
        <v>465</v>
      </c>
      <c r="G214" s="4" t="s">
        <v>465</v>
      </c>
      <c r="I214" s="1" t="s">
        <v>8</v>
      </c>
      <c r="J214" s="1" t="s">
        <v>9</v>
      </c>
      <c r="K214" s="4" t="s">
        <v>464</v>
      </c>
      <c r="L214" s="1" t="s">
        <v>26</v>
      </c>
      <c r="M214" s="1"/>
      <c r="O214" s="1"/>
      <c r="P214" s="1"/>
      <c r="Q214" s="1"/>
      <c r="S214" s="1"/>
      <c r="T214" s="1"/>
      <c r="U214" s="1"/>
      <c r="V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 t="s">
        <v>15</v>
      </c>
      <c r="AN214" s="1" t="s">
        <v>14</v>
      </c>
      <c r="AO214" s="1">
        <v>335</v>
      </c>
      <c r="AP214" s="3">
        <v>0.55833333333333335</v>
      </c>
      <c r="AQ214" s="1"/>
    </row>
    <row r="215" spans="1:43" ht="12.3" x14ac:dyDescent="0.4">
      <c r="A215" s="1" t="s">
        <v>187</v>
      </c>
      <c r="B215" s="1"/>
      <c r="C215" s="1" t="s">
        <v>6</v>
      </c>
      <c r="D215" s="5" t="s">
        <v>7</v>
      </c>
      <c r="E215" s="5" t="s">
        <v>463</v>
      </c>
      <c r="F215" s="4" t="s">
        <v>465</v>
      </c>
      <c r="G215" s="4" t="s">
        <v>465</v>
      </c>
      <c r="I215" s="1" t="s">
        <v>8</v>
      </c>
      <c r="J215" s="1" t="s">
        <v>9</v>
      </c>
      <c r="K215" s="4" t="s">
        <v>464</v>
      </c>
      <c r="L215" s="1" t="s">
        <v>19</v>
      </c>
      <c r="M215" s="1"/>
      <c r="O215" s="1"/>
      <c r="P215" s="1"/>
      <c r="Q215" s="1"/>
      <c r="S215" s="1"/>
      <c r="T215" s="1"/>
      <c r="U215" s="1"/>
      <c r="V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 t="s">
        <v>12</v>
      </c>
      <c r="AN215" s="1" t="s">
        <v>13</v>
      </c>
      <c r="AO215" s="1">
        <v>280</v>
      </c>
      <c r="AP215" s="3">
        <v>0.46666666666666667</v>
      </c>
      <c r="AQ215" s="1"/>
    </row>
    <row r="216" spans="1:43" ht="12.3" x14ac:dyDescent="0.4">
      <c r="A216" s="1" t="s">
        <v>187</v>
      </c>
      <c r="B216" s="1"/>
      <c r="C216" s="1" t="s">
        <v>6</v>
      </c>
      <c r="D216" s="5" t="s">
        <v>7</v>
      </c>
      <c r="E216" s="5" t="s">
        <v>463</v>
      </c>
      <c r="F216" s="4" t="s">
        <v>465</v>
      </c>
      <c r="G216" s="4" t="s">
        <v>465</v>
      </c>
      <c r="I216" s="1" t="s">
        <v>8</v>
      </c>
      <c r="J216" s="1" t="s">
        <v>9</v>
      </c>
      <c r="K216" s="4" t="s">
        <v>464</v>
      </c>
      <c r="L216" s="1" t="s">
        <v>19</v>
      </c>
      <c r="M216" s="1"/>
      <c r="O216" s="1"/>
      <c r="P216" s="1"/>
      <c r="Q216" s="1"/>
      <c r="S216" s="1"/>
      <c r="T216" s="1"/>
      <c r="U216" s="1"/>
      <c r="V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 t="s">
        <v>15</v>
      </c>
      <c r="AN216" s="1" t="s">
        <v>14</v>
      </c>
      <c r="AO216" s="1">
        <v>333</v>
      </c>
      <c r="AP216" s="3">
        <v>0.55500000000000005</v>
      </c>
      <c r="AQ216" s="1"/>
    </row>
    <row r="217" spans="1:43" ht="12.3" x14ac:dyDescent="0.4">
      <c r="A217" s="1" t="s">
        <v>188</v>
      </c>
      <c r="B217" s="1"/>
      <c r="C217" s="1" t="s">
        <v>6</v>
      </c>
      <c r="D217" s="5" t="s">
        <v>7</v>
      </c>
      <c r="E217" s="5" t="s">
        <v>463</v>
      </c>
      <c r="F217" s="4" t="s">
        <v>465</v>
      </c>
      <c r="G217" s="4" t="s">
        <v>465</v>
      </c>
      <c r="I217" s="1" t="s">
        <v>8</v>
      </c>
      <c r="J217" s="1" t="s">
        <v>9</v>
      </c>
      <c r="K217" s="4" t="s">
        <v>464</v>
      </c>
      <c r="L217" s="1" t="s">
        <v>24</v>
      </c>
      <c r="M217" s="1"/>
      <c r="O217" s="1"/>
      <c r="P217" s="1"/>
      <c r="Q217" s="1"/>
      <c r="S217" s="1"/>
      <c r="T217" s="1"/>
      <c r="U217" s="1"/>
      <c r="V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 t="s">
        <v>12</v>
      </c>
      <c r="AN217" s="1" t="s">
        <v>13</v>
      </c>
      <c r="AO217" s="1">
        <v>288</v>
      </c>
      <c r="AP217" s="3">
        <v>0.48</v>
      </c>
      <c r="AQ217" s="1"/>
    </row>
    <row r="218" spans="1:43" ht="12.3" x14ac:dyDescent="0.4">
      <c r="A218" s="1" t="s">
        <v>188</v>
      </c>
      <c r="B218" s="1"/>
      <c r="C218" s="1" t="s">
        <v>6</v>
      </c>
      <c r="D218" s="5" t="s">
        <v>7</v>
      </c>
      <c r="E218" s="5" t="s">
        <v>463</v>
      </c>
      <c r="F218" s="4" t="s">
        <v>465</v>
      </c>
      <c r="G218" s="4" t="s">
        <v>465</v>
      </c>
      <c r="I218" s="1" t="s">
        <v>16</v>
      </c>
      <c r="J218" s="1" t="s">
        <v>10</v>
      </c>
      <c r="K218" s="4" t="s">
        <v>464</v>
      </c>
      <c r="L218" s="1" t="s">
        <v>24</v>
      </c>
      <c r="M218" s="1"/>
      <c r="O218" s="1"/>
      <c r="P218" s="1"/>
      <c r="Q218" s="1"/>
      <c r="S218" s="2"/>
      <c r="T218" s="1"/>
      <c r="U218" s="1"/>
      <c r="V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 t="s">
        <v>15</v>
      </c>
      <c r="AN218" s="1" t="s">
        <v>13</v>
      </c>
      <c r="AO218" s="1">
        <v>357</v>
      </c>
      <c r="AP218" s="3">
        <v>0.59499999999999997</v>
      </c>
      <c r="AQ218" s="1"/>
    </row>
    <row r="219" spans="1:43" ht="12.3" x14ac:dyDescent="0.4">
      <c r="A219" s="1" t="s">
        <v>189</v>
      </c>
      <c r="B219" s="1"/>
      <c r="C219" s="1" t="s">
        <v>6</v>
      </c>
      <c r="D219" s="5" t="s">
        <v>7</v>
      </c>
      <c r="E219" s="5" t="s">
        <v>463</v>
      </c>
      <c r="F219" s="4" t="s">
        <v>465</v>
      </c>
      <c r="G219" s="4" t="s">
        <v>465</v>
      </c>
      <c r="I219" s="1" t="s">
        <v>16</v>
      </c>
      <c r="J219" s="1" t="s">
        <v>10</v>
      </c>
      <c r="K219" s="4" t="s">
        <v>464</v>
      </c>
      <c r="L219" s="1" t="s">
        <v>26</v>
      </c>
      <c r="M219" s="1"/>
      <c r="O219" s="1"/>
      <c r="P219" s="1"/>
      <c r="Q219" s="1"/>
      <c r="S219" s="2"/>
      <c r="T219" s="1"/>
      <c r="U219" s="1"/>
      <c r="V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 t="s">
        <v>12</v>
      </c>
      <c r="AN219" s="1" t="s">
        <v>13</v>
      </c>
      <c r="AO219" s="1">
        <v>292</v>
      </c>
      <c r="AP219" s="3">
        <v>0.48666666666666669</v>
      </c>
      <c r="AQ219" s="1"/>
    </row>
    <row r="220" spans="1:43" ht="12.3" x14ac:dyDescent="0.4">
      <c r="A220" s="1" t="s">
        <v>189</v>
      </c>
      <c r="B220" s="1"/>
      <c r="C220" s="1" t="s">
        <v>6</v>
      </c>
      <c r="D220" s="5" t="s">
        <v>7</v>
      </c>
      <c r="E220" s="5" t="s">
        <v>463</v>
      </c>
      <c r="F220" s="4" t="s">
        <v>465</v>
      </c>
      <c r="G220" s="4" t="s">
        <v>465</v>
      </c>
      <c r="I220" s="1" t="s">
        <v>16</v>
      </c>
      <c r="J220" s="1" t="s">
        <v>10</v>
      </c>
      <c r="K220" s="4" t="s">
        <v>464</v>
      </c>
      <c r="L220" s="1" t="s">
        <v>26</v>
      </c>
      <c r="M220" s="1"/>
      <c r="O220" s="1"/>
      <c r="P220" s="1"/>
      <c r="Q220" s="1"/>
      <c r="S220" s="1"/>
      <c r="T220" s="1"/>
      <c r="U220" s="2"/>
      <c r="V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 t="s">
        <v>15</v>
      </c>
      <c r="AN220" s="1" t="s">
        <v>14</v>
      </c>
      <c r="AO220" s="1">
        <v>339</v>
      </c>
      <c r="AP220" s="3">
        <v>0.56499999999999995</v>
      </c>
      <c r="AQ220" s="1"/>
    </row>
    <row r="221" spans="1:43" ht="12.3" x14ac:dyDescent="0.4">
      <c r="A221" s="1" t="s">
        <v>190</v>
      </c>
      <c r="B221" s="1"/>
      <c r="C221" s="1" t="s">
        <v>6</v>
      </c>
      <c r="D221" s="5" t="s">
        <v>7</v>
      </c>
      <c r="E221" s="5" t="s">
        <v>463</v>
      </c>
      <c r="F221" s="4" t="s">
        <v>465</v>
      </c>
      <c r="G221" s="4" t="s">
        <v>465</v>
      </c>
      <c r="I221" s="1" t="s">
        <v>16</v>
      </c>
      <c r="J221" s="1" t="s">
        <v>10</v>
      </c>
      <c r="K221" s="4" t="s">
        <v>464</v>
      </c>
      <c r="L221" s="1" t="s">
        <v>28</v>
      </c>
      <c r="M221" s="1"/>
      <c r="O221" s="1"/>
      <c r="P221" s="1"/>
      <c r="Q221" s="1"/>
      <c r="S221" s="1"/>
      <c r="T221" s="1"/>
      <c r="U221" s="2"/>
      <c r="V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 t="s">
        <v>12</v>
      </c>
      <c r="AN221" s="1" t="s">
        <v>13</v>
      </c>
      <c r="AO221" s="1">
        <v>299</v>
      </c>
      <c r="AP221" s="3">
        <v>0.49833333333333335</v>
      </c>
      <c r="AQ221" s="1"/>
    </row>
    <row r="222" spans="1:43" ht="12.3" x14ac:dyDescent="0.4">
      <c r="A222" s="1" t="s">
        <v>190</v>
      </c>
      <c r="B222" s="1"/>
      <c r="C222" s="1" t="s">
        <v>6</v>
      </c>
      <c r="D222" s="5" t="s">
        <v>7</v>
      </c>
      <c r="E222" s="5" t="s">
        <v>463</v>
      </c>
      <c r="F222" s="4" t="s">
        <v>465</v>
      </c>
      <c r="G222" s="4" t="s">
        <v>465</v>
      </c>
      <c r="I222" s="1" t="s">
        <v>16</v>
      </c>
      <c r="J222" s="1" t="s">
        <v>10</v>
      </c>
      <c r="K222" s="4" t="s">
        <v>464</v>
      </c>
      <c r="L222" s="1" t="s">
        <v>28</v>
      </c>
      <c r="M222" s="1"/>
      <c r="O222" s="1"/>
      <c r="P222" s="1"/>
      <c r="Q222" s="1"/>
      <c r="S222" s="2"/>
      <c r="T222" s="1"/>
      <c r="U222" s="1"/>
      <c r="V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 t="s">
        <v>15</v>
      </c>
      <c r="AN222" s="1" t="s">
        <v>14</v>
      </c>
      <c r="AO222" s="1">
        <v>350</v>
      </c>
      <c r="AP222" s="3">
        <v>0.58333333333333337</v>
      </c>
      <c r="AQ222" s="1"/>
    </row>
    <row r="223" spans="1:43" ht="12.3" x14ac:dyDescent="0.4">
      <c r="A223" s="1" t="s">
        <v>191</v>
      </c>
      <c r="B223" s="1"/>
      <c r="C223" s="1" t="s">
        <v>6</v>
      </c>
      <c r="D223" s="5" t="s">
        <v>7</v>
      </c>
      <c r="E223" s="5" t="s">
        <v>463</v>
      </c>
      <c r="F223" s="4" t="s">
        <v>465</v>
      </c>
      <c r="G223" s="4" t="s">
        <v>465</v>
      </c>
      <c r="I223" s="1" t="s">
        <v>16</v>
      </c>
      <c r="J223" s="1" t="s">
        <v>10</v>
      </c>
      <c r="K223" s="4" t="s">
        <v>464</v>
      </c>
      <c r="L223" s="1" t="s">
        <v>26</v>
      </c>
      <c r="M223" s="1"/>
      <c r="O223" s="1"/>
      <c r="P223" s="1"/>
      <c r="Q223" s="1"/>
      <c r="S223" s="2"/>
      <c r="T223" s="1"/>
      <c r="U223" s="1"/>
      <c r="V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 t="s">
        <v>12</v>
      </c>
      <c r="AN223" s="1" t="s">
        <v>20</v>
      </c>
      <c r="AO223" s="1">
        <v>356</v>
      </c>
      <c r="AP223" s="3">
        <v>0.59333333333333338</v>
      </c>
      <c r="AQ223" s="1"/>
    </row>
    <row r="224" spans="1:43" ht="12.3" x14ac:dyDescent="0.4">
      <c r="A224" s="1" t="s">
        <v>191</v>
      </c>
      <c r="B224" s="1"/>
      <c r="C224" s="1" t="s">
        <v>6</v>
      </c>
      <c r="D224" s="5" t="s">
        <v>7</v>
      </c>
      <c r="E224" s="5" t="s">
        <v>463</v>
      </c>
      <c r="F224" s="4" t="s">
        <v>465</v>
      </c>
      <c r="G224" s="4" t="s">
        <v>465</v>
      </c>
      <c r="I224" s="1" t="s">
        <v>16</v>
      </c>
      <c r="J224" s="1" t="s">
        <v>10</v>
      </c>
      <c r="K224" s="4" t="s">
        <v>464</v>
      </c>
      <c r="L224" s="1" t="s">
        <v>26</v>
      </c>
      <c r="M224" s="1"/>
      <c r="O224" s="1"/>
      <c r="P224" s="1"/>
      <c r="Q224" s="1"/>
      <c r="S224" s="2"/>
      <c r="T224" s="1"/>
      <c r="U224" s="1"/>
      <c r="V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 t="s">
        <v>15</v>
      </c>
      <c r="AN224" s="1" t="s">
        <v>20</v>
      </c>
      <c r="AO224" s="1">
        <v>402</v>
      </c>
      <c r="AP224" s="3">
        <v>0.67</v>
      </c>
      <c r="AQ224" s="1"/>
    </row>
    <row r="225" spans="1:43" ht="12.3" x14ac:dyDescent="0.4">
      <c r="A225" s="1" t="s">
        <v>192</v>
      </c>
      <c r="B225" s="1"/>
      <c r="C225" s="1" t="s">
        <v>6</v>
      </c>
      <c r="D225" s="5" t="s">
        <v>7</v>
      </c>
      <c r="E225" s="5" t="s">
        <v>463</v>
      </c>
      <c r="F225" s="4" t="s">
        <v>465</v>
      </c>
      <c r="G225" s="4" t="s">
        <v>465</v>
      </c>
      <c r="I225" s="1" t="s">
        <v>16</v>
      </c>
      <c r="J225" s="1" t="s">
        <v>10</v>
      </c>
      <c r="K225" s="4" t="s">
        <v>464</v>
      </c>
      <c r="L225" s="1" t="s">
        <v>22</v>
      </c>
      <c r="M225" s="1"/>
      <c r="O225" s="1"/>
      <c r="P225" s="1"/>
      <c r="Q225" s="1"/>
      <c r="S225" s="2"/>
      <c r="T225" s="1"/>
      <c r="U225" s="1"/>
      <c r="V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 t="s">
        <v>15</v>
      </c>
      <c r="AN225" s="1" t="s">
        <v>13</v>
      </c>
      <c r="AO225" s="1">
        <v>367</v>
      </c>
      <c r="AP225" s="3">
        <v>0.61166666666666669</v>
      </c>
      <c r="AQ225" s="1"/>
    </row>
    <row r="226" spans="1:43" ht="12.3" x14ac:dyDescent="0.4">
      <c r="A226" s="1" t="s">
        <v>193</v>
      </c>
      <c r="B226" s="1"/>
      <c r="C226" s="1" t="s">
        <v>6</v>
      </c>
      <c r="D226" s="5" t="s">
        <v>7</v>
      </c>
      <c r="E226" s="5" t="s">
        <v>463</v>
      </c>
      <c r="F226" s="4" t="s">
        <v>465</v>
      </c>
      <c r="G226" s="4" t="s">
        <v>465</v>
      </c>
      <c r="I226" s="1" t="s">
        <v>16</v>
      </c>
      <c r="J226" s="1" t="s">
        <v>10</v>
      </c>
      <c r="K226" s="4" t="s">
        <v>464</v>
      </c>
      <c r="L226" s="1" t="s">
        <v>24</v>
      </c>
      <c r="M226" s="1"/>
      <c r="O226" s="1"/>
      <c r="P226" s="1"/>
      <c r="Q226" s="1"/>
      <c r="S226" s="1"/>
      <c r="T226" s="1"/>
      <c r="U226" s="1"/>
      <c r="V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 t="s">
        <v>12</v>
      </c>
      <c r="AN226" s="1" t="s">
        <v>13</v>
      </c>
      <c r="AO226" s="1">
        <v>294</v>
      </c>
      <c r="AP226" s="3">
        <v>0.49</v>
      </c>
      <c r="AQ226" s="1"/>
    </row>
    <row r="227" spans="1:43" ht="12.3" x14ac:dyDescent="0.4">
      <c r="A227" s="1" t="s">
        <v>193</v>
      </c>
      <c r="B227" s="1"/>
      <c r="C227" s="1" t="s">
        <v>6</v>
      </c>
      <c r="D227" s="5" t="s">
        <v>7</v>
      </c>
      <c r="E227" s="5" t="s">
        <v>463</v>
      </c>
      <c r="F227" s="4" t="s">
        <v>465</v>
      </c>
      <c r="G227" s="4" t="s">
        <v>465</v>
      </c>
      <c r="I227" s="1" t="s">
        <v>16</v>
      </c>
      <c r="J227" s="1" t="s">
        <v>10</v>
      </c>
      <c r="K227" s="4" t="s">
        <v>464</v>
      </c>
      <c r="L227" s="1" t="s">
        <v>24</v>
      </c>
      <c r="M227" s="1"/>
      <c r="O227" s="1"/>
      <c r="P227" s="1"/>
      <c r="Q227" s="1"/>
      <c r="S227" s="2"/>
      <c r="T227" s="1"/>
      <c r="U227" s="2"/>
      <c r="V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 t="s">
        <v>15</v>
      </c>
      <c r="AN227" s="1" t="s">
        <v>13</v>
      </c>
      <c r="AO227" s="1">
        <v>360</v>
      </c>
      <c r="AP227" s="3">
        <v>0.6</v>
      </c>
      <c r="AQ227" s="1"/>
    </row>
    <row r="228" spans="1:43" ht="12.3" x14ac:dyDescent="0.4">
      <c r="A228" s="1" t="s">
        <v>194</v>
      </c>
      <c r="B228" s="1"/>
      <c r="C228" s="1" t="s">
        <v>6</v>
      </c>
      <c r="D228" s="5" t="s">
        <v>7</v>
      </c>
      <c r="E228" s="5" t="s">
        <v>463</v>
      </c>
      <c r="F228" s="4" t="s">
        <v>465</v>
      </c>
      <c r="G228" s="4" t="s">
        <v>465</v>
      </c>
      <c r="I228" s="1" t="s">
        <v>16</v>
      </c>
      <c r="J228" s="1" t="s">
        <v>10</v>
      </c>
      <c r="K228" s="4" t="s">
        <v>464</v>
      </c>
      <c r="L228" s="1" t="s">
        <v>11</v>
      </c>
      <c r="M228" s="1"/>
      <c r="O228" s="1"/>
      <c r="P228" s="1"/>
      <c r="Q228" s="1"/>
      <c r="S228" s="2"/>
      <c r="T228" s="1"/>
      <c r="U228" s="2"/>
      <c r="V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 t="s">
        <v>12</v>
      </c>
      <c r="AN228" s="1" t="s">
        <v>20</v>
      </c>
      <c r="AO228" s="1">
        <v>334</v>
      </c>
      <c r="AP228" s="3">
        <v>0.55666666666666664</v>
      </c>
      <c r="AQ228" s="1"/>
    </row>
    <row r="229" spans="1:43" ht="12.3" x14ac:dyDescent="0.4">
      <c r="A229" s="1" t="s">
        <v>194</v>
      </c>
      <c r="B229" s="1"/>
      <c r="C229" s="1" t="s">
        <v>6</v>
      </c>
      <c r="D229" s="5" t="s">
        <v>7</v>
      </c>
      <c r="E229" s="5" t="s">
        <v>463</v>
      </c>
      <c r="F229" s="4" t="s">
        <v>465</v>
      </c>
      <c r="G229" s="4" t="s">
        <v>465</v>
      </c>
      <c r="I229" s="1" t="s">
        <v>16</v>
      </c>
      <c r="J229" s="1" t="s">
        <v>10</v>
      </c>
      <c r="K229" s="4" t="s">
        <v>464</v>
      </c>
      <c r="L229" s="1" t="s">
        <v>11</v>
      </c>
      <c r="M229" s="1"/>
      <c r="O229" s="1"/>
      <c r="P229" s="1"/>
      <c r="Q229" s="1"/>
      <c r="S229" s="2"/>
      <c r="T229" s="1"/>
      <c r="U229" s="1"/>
      <c r="V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 t="s">
        <v>15</v>
      </c>
      <c r="AN229" s="1" t="s">
        <v>18</v>
      </c>
      <c r="AO229" s="1">
        <v>380</v>
      </c>
      <c r="AP229" s="3">
        <v>0.6333333333333333</v>
      </c>
      <c r="AQ229" s="1"/>
    </row>
    <row r="230" spans="1:43" ht="12.3" x14ac:dyDescent="0.4">
      <c r="A230" s="1" t="s">
        <v>195</v>
      </c>
      <c r="B230" s="1"/>
      <c r="C230" s="1" t="s">
        <v>6</v>
      </c>
      <c r="D230" s="5" t="s">
        <v>7</v>
      </c>
      <c r="E230" s="5" t="s">
        <v>463</v>
      </c>
      <c r="F230" s="4" t="s">
        <v>465</v>
      </c>
      <c r="G230" s="4" t="s">
        <v>465</v>
      </c>
      <c r="I230" s="1" t="s">
        <v>16</v>
      </c>
      <c r="J230" s="1" t="s">
        <v>10</v>
      </c>
      <c r="K230" s="4" t="s">
        <v>464</v>
      </c>
      <c r="L230" s="1" t="s">
        <v>28</v>
      </c>
      <c r="M230" s="1"/>
      <c r="O230" s="1"/>
      <c r="P230" s="1"/>
      <c r="Q230" s="1"/>
      <c r="S230" s="2"/>
      <c r="T230" s="1"/>
      <c r="U230" s="1"/>
      <c r="V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 t="s">
        <v>12</v>
      </c>
      <c r="AN230" s="1" t="s">
        <v>13</v>
      </c>
      <c r="AO230" s="1">
        <v>301</v>
      </c>
      <c r="AP230" s="3">
        <v>0.50166666666666671</v>
      </c>
      <c r="AQ230" s="1"/>
    </row>
    <row r="231" spans="1:43" ht="12.3" x14ac:dyDescent="0.4">
      <c r="A231" s="1" t="s">
        <v>195</v>
      </c>
      <c r="B231" s="1"/>
      <c r="C231" s="1" t="s">
        <v>6</v>
      </c>
      <c r="D231" s="5" t="s">
        <v>7</v>
      </c>
      <c r="E231" s="5" t="s">
        <v>463</v>
      </c>
      <c r="F231" s="4" t="s">
        <v>465</v>
      </c>
      <c r="G231" s="4" t="s">
        <v>465</v>
      </c>
      <c r="I231" s="1" t="s">
        <v>16</v>
      </c>
      <c r="J231" s="1" t="s">
        <v>10</v>
      </c>
      <c r="K231" s="4" t="s">
        <v>464</v>
      </c>
      <c r="L231" s="1" t="s">
        <v>28</v>
      </c>
      <c r="M231" s="1"/>
      <c r="O231" s="1"/>
      <c r="P231" s="1"/>
      <c r="Q231" s="1"/>
      <c r="S231" s="1"/>
      <c r="T231" s="1"/>
      <c r="U231" s="1"/>
      <c r="V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 t="s">
        <v>15</v>
      </c>
      <c r="AN231" s="1" t="s">
        <v>13</v>
      </c>
      <c r="AO231" s="1">
        <v>362</v>
      </c>
      <c r="AP231" s="3">
        <v>0.60333333333333339</v>
      </c>
      <c r="AQ231" s="1"/>
    </row>
    <row r="232" spans="1:43" ht="12.3" x14ac:dyDescent="0.4">
      <c r="A232" s="1" t="s">
        <v>196</v>
      </c>
      <c r="B232" s="1"/>
      <c r="C232" s="1" t="s">
        <v>6</v>
      </c>
      <c r="D232" s="5" t="s">
        <v>7</v>
      </c>
      <c r="E232" s="5" t="s">
        <v>463</v>
      </c>
      <c r="F232" s="4" t="s">
        <v>465</v>
      </c>
      <c r="G232" s="4" t="s">
        <v>465</v>
      </c>
      <c r="I232" s="1" t="s">
        <v>16</v>
      </c>
      <c r="J232" s="1" t="s">
        <v>10</v>
      </c>
      <c r="K232" s="4" t="s">
        <v>464</v>
      </c>
      <c r="L232" s="1" t="s">
        <v>11</v>
      </c>
      <c r="M232" s="1"/>
      <c r="O232" s="1"/>
      <c r="P232" s="1"/>
      <c r="Q232" s="1"/>
      <c r="S232" s="1"/>
      <c r="T232" s="1"/>
      <c r="U232" s="1"/>
      <c r="V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 t="s">
        <v>12</v>
      </c>
      <c r="AN232" s="1" t="s">
        <v>13</v>
      </c>
      <c r="AO232" s="1">
        <v>299</v>
      </c>
      <c r="AP232" s="3">
        <v>0.49833333333333335</v>
      </c>
      <c r="AQ232" s="1"/>
    </row>
    <row r="233" spans="1:43" ht="12.3" x14ac:dyDescent="0.4">
      <c r="A233" s="1" t="s">
        <v>196</v>
      </c>
      <c r="B233" s="1"/>
      <c r="C233" s="1" t="s">
        <v>6</v>
      </c>
      <c r="D233" s="5" t="s">
        <v>7</v>
      </c>
      <c r="E233" s="5" t="s">
        <v>463</v>
      </c>
      <c r="F233" s="4" t="s">
        <v>465</v>
      </c>
      <c r="G233" s="4" t="s">
        <v>465</v>
      </c>
      <c r="I233" s="1" t="s">
        <v>16</v>
      </c>
      <c r="J233" s="1" t="s">
        <v>10</v>
      </c>
      <c r="K233" s="4" t="s">
        <v>464</v>
      </c>
      <c r="L233" s="1" t="s">
        <v>11</v>
      </c>
      <c r="M233" s="1"/>
      <c r="O233" s="1"/>
      <c r="P233" s="1"/>
      <c r="Q233" s="1"/>
      <c r="S233" s="2"/>
      <c r="T233" s="1"/>
      <c r="U233" s="2"/>
      <c r="V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 t="s">
        <v>15</v>
      </c>
      <c r="AN233" s="1" t="s">
        <v>14</v>
      </c>
      <c r="AO233" s="1">
        <v>344</v>
      </c>
      <c r="AP233" s="3">
        <v>0.57333333333333336</v>
      </c>
      <c r="AQ233" s="1"/>
    </row>
    <row r="234" spans="1:43" ht="12.3" x14ac:dyDescent="0.4">
      <c r="A234" s="1" t="s">
        <v>197</v>
      </c>
      <c r="B234" s="1"/>
      <c r="C234" s="1" t="s">
        <v>6</v>
      </c>
      <c r="D234" s="5" t="s">
        <v>7</v>
      </c>
      <c r="E234" s="5" t="s">
        <v>463</v>
      </c>
      <c r="F234" s="4" t="s">
        <v>465</v>
      </c>
      <c r="G234" s="4" t="s">
        <v>465</v>
      </c>
      <c r="I234" s="1" t="s">
        <v>16</v>
      </c>
      <c r="J234" s="1" t="s">
        <v>10</v>
      </c>
      <c r="K234" s="4" t="s">
        <v>464</v>
      </c>
      <c r="L234" s="1" t="s">
        <v>11</v>
      </c>
      <c r="M234" s="1"/>
      <c r="O234" s="1"/>
      <c r="P234" s="1"/>
      <c r="Q234" s="1"/>
      <c r="S234" s="2"/>
      <c r="T234" s="1"/>
      <c r="U234" s="2"/>
      <c r="V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 t="s">
        <v>12</v>
      </c>
      <c r="AN234" s="1" t="s">
        <v>20</v>
      </c>
      <c r="AO234" s="1">
        <v>395</v>
      </c>
      <c r="AP234" s="3">
        <v>0.65833333333333333</v>
      </c>
      <c r="AQ234" s="1"/>
    </row>
    <row r="235" spans="1:43" ht="12.3" x14ac:dyDescent="0.4">
      <c r="A235" s="1" t="s">
        <v>197</v>
      </c>
      <c r="B235" s="1"/>
      <c r="C235" s="1" t="s">
        <v>6</v>
      </c>
      <c r="D235" s="5" t="s">
        <v>7</v>
      </c>
      <c r="E235" s="5" t="s">
        <v>463</v>
      </c>
      <c r="F235" s="4" t="s">
        <v>465</v>
      </c>
      <c r="G235" s="4" t="s">
        <v>465</v>
      </c>
      <c r="I235" s="1" t="s">
        <v>8</v>
      </c>
      <c r="J235" s="1" t="s">
        <v>9</v>
      </c>
      <c r="K235" s="4" t="s">
        <v>464</v>
      </c>
      <c r="L235" s="1" t="s">
        <v>11</v>
      </c>
      <c r="M235" s="1"/>
      <c r="O235" s="1"/>
      <c r="P235" s="1"/>
      <c r="Q235" s="1"/>
      <c r="S235" s="2"/>
      <c r="T235" s="1"/>
      <c r="U235" s="2"/>
      <c r="V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 t="s">
        <v>15</v>
      </c>
      <c r="AN235" s="1" t="s">
        <v>20</v>
      </c>
      <c r="AO235" s="1">
        <v>401</v>
      </c>
      <c r="AP235" s="3">
        <v>0.66833333333333333</v>
      </c>
      <c r="AQ235" s="1"/>
    </row>
    <row r="236" spans="1:43" ht="12.3" x14ac:dyDescent="0.4">
      <c r="A236" s="1" t="s">
        <v>198</v>
      </c>
      <c r="B236" s="1"/>
      <c r="C236" s="1" t="s">
        <v>6</v>
      </c>
      <c r="D236" s="5" t="s">
        <v>7</v>
      </c>
      <c r="E236" s="5" t="s">
        <v>463</v>
      </c>
      <c r="F236" s="4" t="s">
        <v>465</v>
      </c>
      <c r="G236" s="4" t="s">
        <v>465</v>
      </c>
      <c r="I236" s="1" t="s">
        <v>8</v>
      </c>
      <c r="J236" s="1" t="s">
        <v>9</v>
      </c>
      <c r="K236" s="4" t="s">
        <v>464</v>
      </c>
      <c r="L236" s="1" t="s">
        <v>25</v>
      </c>
      <c r="M236" s="1"/>
      <c r="O236" s="1"/>
      <c r="P236" s="1"/>
      <c r="Q236" s="1"/>
      <c r="S236" s="2"/>
      <c r="T236" s="1"/>
      <c r="U236" s="2"/>
      <c r="V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 t="s">
        <v>12</v>
      </c>
      <c r="AN236" s="1" t="s">
        <v>14</v>
      </c>
      <c r="AO236" s="1">
        <v>272</v>
      </c>
      <c r="AP236" s="3">
        <v>0.45333333333333331</v>
      </c>
      <c r="AQ236" s="1"/>
    </row>
    <row r="237" spans="1:43" ht="12.3" x14ac:dyDescent="0.4">
      <c r="A237" s="1" t="s">
        <v>198</v>
      </c>
      <c r="B237" s="1"/>
      <c r="C237" s="1" t="s">
        <v>6</v>
      </c>
      <c r="D237" s="5" t="s">
        <v>7</v>
      </c>
      <c r="E237" s="5" t="s">
        <v>463</v>
      </c>
      <c r="F237" s="4" t="s">
        <v>465</v>
      </c>
      <c r="G237" s="4" t="s">
        <v>465</v>
      </c>
      <c r="I237" s="1" t="s">
        <v>8</v>
      </c>
      <c r="J237" s="1" t="s">
        <v>9</v>
      </c>
      <c r="K237" s="4" t="s">
        <v>464</v>
      </c>
      <c r="L237" s="1" t="s">
        <v>25</v>
      </c>
      <c r="M237" s="1"/>
      <c r="O237" s="1"/>
      <c r="P237" s="1"/>
      <c r="Q237" s="1"/>
      <c r="S237" s="2"/>
      <c r="T237" s="1"/>
      <c r="U237" s="1"/>
      <c r="V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 t="s">
        <v>15</v>
      </c>
      <c r="AN237" s="1" t="s">
        <v>14</v>
      </c>
      <c r="AO237" s="1">
        <v>337</v>
      </c>
      <c r="AP237" s="3">
        <v>0.56166666666666665</v>
      </c>
      <c r="AQ237" s="1"/>
    </row>
    <row r="238" spans="1:43" ht="12.3" x14ac:dyDescent="0.4">
      <c r="A238" s="1" t="s">
        <v>199</v>
      </c>
      <c r="B238" s="1"/>
      <c r="C238" s="1" t="s">
        <v>6</v>
      </c>
      <c r="D238" s="5" t="s">
        <v>7</v>
      </c>
      <c r="E238" s="5" t="s">
        <v>463</v>
      </c>
      <c r="F238" s="4" t="s">
        <v>465</v>
      </c>
      <c r="G238" s="4" t="s">
        <v>465</v>
      </c>
      <c r="I238" s="1" t="s">
        <v>8</v>
      </c>
      <c r="J238" s="1" t="s">
        <v>9</v>
      </c>
      <c r="K238" s="4" t="s">
        <v>464</v>
      </c>
      <c r="L238" s="1" t="s">
        <v>23</v>
      </c>
      <c r="M238" s="1"/>
      <c r="O238" s="1"/>
      <c r="P238" s="1"/>
      <c r="Q238" s="1"/>
      <c r="S238" s="2"/>
      <c r="T238" s="1"/>
      <c r="U238" s="1"/>
      <c r="V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 t="s">
        <v>12</v>
      </c>
      <c r="AN238" s="1" t="s">
        <v>20</v>
      </c>
      <c r="AO238" s="1">
        <v>390</v>
      </c>
      <c r="AP238" s="3">
        <v>0.65</v>
      </c>
      <c r="AQ238" s="1"/>
    </row>
    <row r="239" spans="1:43" ht="12.3" x14ac:dyDescent="0.4">
      <c r="A239" s="1" t="s">
        <v>199</v>
      </c>
      <c r="B239" s="1"/>
      <c r="C239" s="1" t="s">
        <v>6</v>
      </c>
      <c r="D239" s="5" t="s">
        <v>7</v>
      </c>
      <c r="E239" s="5" t="s">
        <v>463</v>
      </c>
      <c r="F239" s="4" t="s">
        <v>465</v>
      </c>
      <c r="G239" s="4" t="s">
        <v>465</v>
      </c>
      <c r="I239" s="1" t="s">
        <v>8</v>
      </c>
      <c r="J239" s="1" t="s">
        <v>9</v>
      </c>
      <c r="K239" s="4" t="s">
        <v>464</v>
      </c>
      <c r="L239" s="1" t="s">
        <v>23</v>
      </c>
      <c r="M239" s="1"/>
      <c r="O239" s="1"/>
      <c r="P239" s="1"/>
      <c r="Q239" s="1"/>
      <c r="S239" s="2"/>
      <c r="T239" s="1"/>
      <c r="U239" s="1"/>
      <c r="V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 t="s">
        <v>15</v>
      </c>
      <c r="AN239" s="1" t="s">
        <v>20</v>
      </c>
      <c r="AO239" s="1">
        <v>406</v>
      </c>
      <c r="AP239" s="3">
        <v>0.67666666666666664</v>
      </c>
      <c r="AQ239" s="1"/>
    </row>
    <row r="240" spans="1:43" ht="12.3" x14ac:dyDescent="0.4">
      <c r="A240" s="1" t="s">
        <v>200</v>
      </c>
      <c r="B240" s="1"/>
      <c r="C240" s="1" t="s">
        <v>6</v>
      </c>
      <c r="D240" s="5" t="s">
        <v>7</v>
      </c>
      <c r="E240" s="5" t="s">
        <v>463</v>
      </c>
      <c r="F240" s="4" t="s">
        <v>465</v>
      </c>
      <c r="G240" s="4" t="s">
        <v>465</v>
      </c>
      <c r="I240" s="1" t="s">
        <v>8</v>
      </c>
      <c r="J240" s="1" t="s">
        <v>9</v>
      </c>
      <c r="K240" s="4" t="s">
        <v>464</v>
      </c>
      <c r="L240" s="1" t="s">
        <v>25</v>
      </c>
      <c r="M240" s="1"/>
      <c r="O240" s="1"/>
      <c r="P240" s="1"/>
      <c r="Q240" s="1"/>
      <c r="S240" s="2"/>
      <c r="T240" s="1"/>
      <c r="U240" s="1"/>
      <c r="V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 t="s">
        <v>12</v>
      </c>
      <c r="AN240" s="1" t="s">
        <v>18</v>
      </c>
      <c r="AO240" s="1">
        <v>330</v>
      </c>
      <c r="AP240" s="3">
        <v>0.55000000000000004</v>
      </c>
      <c r="AQ240" s="1"/>
    </row>
    <row r="241" spans="1:43" ht="12.3" x14ac:dyDescent="0.4">
      <c r="A241" s="1" t="s">
        <v>200</v>
      </c>
      <c r="B241" s="1"/>
      <c r="C241" s="1" t="s">
        <v>6</v>
      </c>
      <c r="D241" s="5" t="s">
        <v>7</v>
      </c>
      <c r="E241" s="5" t="s">
        <v>463</v>
      </c>
      <c r="F241" s="4" t="s">
        <v>465</v>
      </c>
      <c r="G241" s="4" t="s">
        <v>465</v>
      </c>
      <c r="I241" s="1" t="s">
        <v>8</v>
      </c>
      <c r="J241" s="1" t="s">
        <v>9</v>
      </c>
      <c r="K241" s="4" t="s">
        <v>464</v>
      </c>
      <c r="L241" s="1" t="s">
        <v>25</v>
      </c>
      <c r="M241" s="1"/>
      <c r="O241" s="1"/>
      <c r="P241" s="1"/>
      <c r="Q241" s="1"/>
      <c r="S241" s="1"/>
      <c r="T241" s="1"/>
      <c r="U241" s="1"/>
      <c r="V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 t="s">
        <v>15</v>
      </c>
      <c r="AN241" s="1" t="s">
        <v>14</v>
      </c>
      <c r="AO241" s="1">
        <v>347</v>
      </c>
      <c r="AP241" s="3">
        <v>0.57833333333333337</v>
      </c>
      <c r="AQ241" s="1"/>
    </row>
    <row r="242" spans="1:43" ht="12.3" x14ac:dyDescent="0.4">
      <c r="A242" s="1" t="s">
        <v>201</v>
      </c>
      <c r="B242" s="1"/>
      <c r="C242" s="1" t="s">
        <v>6</v>
      </c>
      <c r="D242" s="5" t="s">
        <v>7</v>
      </c>
      <c r="E242" s="5" t="s">
        <v>463</v>
      </c>
      <c r="F242" s="4" t="s">
        <v>465</v>
      </c>
      <c r="G242" s="4" t="s">
        <v>465</v>
      </c>
      <c r="I242" s="1" t="s">
        <v>8</v>
      </c>
      <c r="J242" s="1" t="s">
        <v>9</v>
      </c>
      <c r="K242" s="4" t="s">
        <v>464</v>
      </c>
      <c r="L242" s="1" t="s">
        <v>30</v>
      </c>
      <c r="M242" s="1"/>
      <c r="O242" s="1"/>
      <c r="P242" s="1"/>
      <c r="Q242" s="1"/>
      <c r="S242" s="1"/>
      <c r="T242" s="1"/>
      <c r="U242" s="1"/>
      <c r="V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 t="s">
        <v>12</v>
      </c>
      <c r="AN242" s="1" t="s">
        <v>20</v>
      </c>
      <c r="AO242" s="1">
        <v>360</v>
      </c>
      <c r="AP242" s="3">
        <v>0.6</v>
      </c>
      <c r="AQ242" s="1"/>
    </row>
    <row r="243" spans="1:43" ht="12.3" x14ac:dyDescent="0.4">
      <c r="A243" s="1" t="s">
        <v>201</v>
      </c>
      <c r="B243" s="1"/>
      <c r="C243" s="1" t="s">
        <v>6</v>
      </c>
      <c r="D243" s="5" t="s">
        <v>7</v>
      </c>
      <c r="E243" s="5" t="s">
        <v>463</v>
      </c>
      <c r="F243" s="4" t="s">
        <v>465</v>
      </c>
      <c r="G243" s="4" t="s">
        <v>465</v>
      </c>
      <c r="I243" s="1" t="s">
        <v>16</v>
      </c>
      <c r="J243" s="1" t="s">
        <v>10</v>
      </c>
      <c r="K243" s="4" t="s">
        <v>464</v>
      </c>
      <c r="L243" s="1" t="s">
        <v>30</v>
      </c>
      <c r="M243" s="1"/>
      <c r="O243" s="1"/>
      <c r="P243" s="1"/>
      <c r="Q243" s="1"/>
      <c r="S243" s="2"/>
      <c r="T243" s="1"/>
      <c r="U243" s="2"/>
      <c r="V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 t="s">
        <v>15</v>
      </c>
      <c r="AN243" s="1" t="s">
        <v>20</v>
      </c>
      <c r="AO243" s="1">
        <v>402</v>
      </c>
      <c r="AP243" s="3">
        <v>0.67</v>
      </c>
      <c r="AQ243" s="1"/>
    </row>
    <row r="244" spans="1:43" ht="12.3" x14ac:dyDescent="0.4">
      <c r="A244" s="1" t="s">
        <v>202</v>
      </c>
      <c r="B244" s="1"/>
      <c r="C244" s="1" t="s">
        <v>6</v>
      </c>
      <c r="D244" s="5" t="s">
        <v>7</v>
      </c>
      <c r="E244" s="5" t="s">
        <v>463</v>
      </c>
      <c r="F244" s="4" t="s">
        <v>465</v>
      </c>
      <c r="G244" s="4" t="s">
        <v>465</v>
      </c>
      <c r="I244" s="1" t="s">
        <v>16</v>
      </c>
      <c r="J244" s="1" t="s">
        <v>10</v>
      </c>
      <c r="K244" s="4" t="s">
        <v>464</v>
      </c>
      <c r="L244" s="1" t="s">
        <v>22</v>
      </c>
      <c r="M244" s="1"/>
      <c r="O244" s="1"/>
      <c r="P244" s="1"/>
      <c r="Q244" s="1"/>
      <c r="S244" s="2"/>
      <c r="T244" s="1"/>
      <c r="U244" s="2"/>
      <c r="V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 t="s">
        <v>12</v>
      </c>
      <c r="AN244" s="1" t="s">
        <v>18</v>
      </c>
      <c r="AO244" s="1">
        <v>328</v>
      </c>
      <c r="AP244" s="3">
        <v>0.54666666666666663</v>
      </c>
      <c r="AQ244" s="1"/>
    </row>
    <row r="245" spans="1:43" ht="12.3" x14ac:dyDescent="0.4">
      <c r="A245" s="1" t="s">
        <v>202</v>
      </c>
      <c r="B245" s="1"/>
      <c r="C245" s="1" t="s">
        <v>6</v>
      </c>
      <c r="D245" s="5" t="s">
        <v>7</v>
      </c>
      <c r="E245" s="5" t="s">
        <v>463</v>
      </c>
      <c r="F245" s="4" t="s">
        <v>465</v>
      </c>
      <c r="G245" s="4" t="s">
        <v>465</v>
      </c>
      <c r="I245" s="1" t="s">
        <v>16</v>
      </c>
      <c r="J245" s="1" t="s">
        <v>10</v>
      </c>
      <c r="K245" s="4" t="s">
        <v>464</v>
      </c>
      <c r="L245" s="1" t="s">
        <v>22</v>
      </c>
      <c r="M245" s="1"/>
      <c r="O245" s="1"/>
      <c r="P245" s="1"/>
      <c r="Q245" s="1"/>
      <c r="S245" s="1"/>
      <c r="T245" s="1"/>
      <c r="U245" s="1"/>
      <c r="V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 t="s">
        <v>15</v>
      </c>
      <c r="AN245" s="1" t="s">
        <v>14</v>
      </c>
      <c r="AO245" s="1">
        <v>318</v>
      </c>
      <c r="AP245" s="3">
        <v>0.53</v>
      </c>
      <c r="AQ245" s="1"/>
    </row>
    <row r="246" spans="1:43" ht="12.3" x14ac:dyDescent="0.4">
      <c r="A246" s="1" t="s">
        <v>203</v>
      </c>
      <c r="B246" s="1"/>
      <c r="C246" s="1" t="s">
        <v>6</v>
      </c>
      <c r="D246" s="5" t="s">
        <v>7</v>
      </c>
      <c r="E246" s="5" t="s">
        <v>463</v>
      </c>
      <c r="F246" s="4" t="s">
        <v>465</v>
      </c>
      <c r="G246" s="4" t="s">
        <v>465</v>
      </c>
      <c r="I246" s="1" t="s">
        <v>16</v>
      </c>
      <c r="J246" s="1" t="s">
        <v>10</v>
      </c>
      <c r="K246" s="4" t="s">
        <v>464</v>
      </c>
      <c r="L246" s="1" t="s">
        <v>19</v>
      </c>
      <c r="M246" s="1"/>
      <c r="O246" s="1"/>
      <c r="P246" s="1"/>
      <c r="Q246" s="1"/>
      <c r="S246" s="1"/>
      <c r="T246" s="1"/>
      <c r="U246" s="1"/>
      <c r="V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 t="s">
        <v>12</v>
      </c>
      <c r="AN246" s="1" t="s">
        <v>20</v>
      </c>
      <c r="AO246" s="1">
        <v>378</v>
      </c>
      <c r="AP246" s="3">
        <v>0.63</v>
      </c>
      <c r="AQ246" s="1"/>
    </row>
    <row r="247" spans="1:43" ht="12.3" x14ac:dyDescent="0.4">
      <c r="A247" s="1" t="s">
        <v>203</v>
      </c>
      <c r="B247" s="1"/>
      <c r="C247" s="1" t="s">
        <v>6</v>
      </c>
      <c r="D247" s="5" t="s">
        <v>7</v>
      </c>
      <c r="E247" s="5" t="s">
        <v>463</v>
      </c>
      <c r="F247" s="4" t="s">
        <v>465</v>
      </c>
      <c r="G247" s="4" t="s">
        <v>465</v>
      </c>
      <c r="I247" s="1" t="s">
        <v>8</v>
      </c>
      <c r="J247" s="1" t="s">
        <v>9</v>
      </c>
      <c r="K247" s="4" t="s">
        <v>464</v>
      </c>
      <c r="L247" s="1" t="s">
        <v>19</v>
      </c>
      <c r="M247" s="1"/>
      <c r="O247" s="1"/>
      <c r="P247" s="1"/>
      <c r="Q247" s="1"/>
      <c r="S247" s="2"/>
      <c r="T247" s="1"/>
      <c r="U247" s="1"/>
      <c r="V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 t="s">
        <v>15</v>
      </c>
      <c r="AN247" s="1" t="s">
        <v>20</v>
      </c>
      <c r="AO247" s="1">
        <v>402</v>
      </c>
      <c r="AP247" s="3">
        <v>0.67</v>
      </c>
      <c r="AQ247" s="1"/>
    </row>
    <row r="248" spans="1:43" ht="12.3" x14ac:dyDescent="0.4">
      <c r="A248" s="1" t="s">
        <v>204</v>
      </c>
      <c r="B248" s="1"/>
      <c r="C248" s="1" t="s">
        <v>6</v>
      </c>
      <c r="D248" s="5" t="s">
        <v>7</v>
      </c>
      <c r="E248" s="5" t="s">
        <v>463</v>
      </c>
      <c r="F248" s="4" t="s">
        <v>465</v>
      </c>
      <c r="G248" s="4" t="s">
        <v>465</v>
      </c>
      <c r="I248" s="1" t="s">
        <v>8</v>
      </c>
      <c r="J248" s="1" t="s">
        <v>9</v>
      </c>
      <c r="K248" s="4" t="s">
        <v>464</v>
      </c>
      <c r="L248" s="1" t="s">
        <v>28</v>
      </c>
      <c r="M248" s="1"/>
      <c r="O248" s="1"/>
      <c r="P248" s="1"/>
      <c r="Q248" s="1"/>
      <c r="S248" s="2"/>
      <c r="T248" s="1"/>
      <c r="U248" s="1"/>
      <c r="V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 t="s">
        <v>12</v>
      </c>
      <c r="AN248" s="1" t="s">
        <v>20</v>
      </c>
      <c r="AO248" s="1">
        <v>339</v>
      </c>
      <c r="AP248" s="3">
        <v>0.56499999999999995</v>
      </c>
      <c r="AQ248" s="1"/>
    </row>
    <row r="249" spans="1:43" ht="12.3" x14ac:dyDescent="0.4">
      <c r="A249" s="1" t="s">
        <v>204</v>
      </c>
      <c r="B249" s="1"/>
      <c r="C249" s="1" t="s">
        <v>6</v>
      </c>
      <c r="D249" s="5" t="s">
        <v>7</v>
      </c>
      <c r="E249" s="5" t="s">
        <v>463</v>
      </c>
      <c r="F249" s="4" t="s">
        <v>465</v>
      </c>
      <c r="G249" s="4" t="s">
        <v>465</v>
      </c>
      <c r="I249" s="1" t="s">
        <v>16</v>
      </c>
      <c r="J249" s="1" t="s">
        <v>9</v>
      </c>
      <c r="K249" s="4" t="s">
        <v>464</v>
      </c>
      <c r="L249" s="1" t="s">
        <v>28</v>
      </c>
      <c r="M249" s="1"/>
      <c r="O249" s="1"/>
      <c r="P249" s="1"/>
      <c r="Q249" s="1"/>
      <c r="S249" s="1"/>
      <c r="T249" s="1"/>
      <c r="U249" s="2"/>
      <c r="V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 t="s">
        <v>15</v>
      </c>
      <c r="AN249" s="1" t="s">
        <v>18</v>
      </c>
      <c r="AO249" s="1">
        <v>383</v>
      </c>
      <c r="AP249" s="3">
        <v>0.63833333333333331</v>
      </c>
      <c r="AQ249" s="1"/>
    </row>
    <row r="250" spans="1:43" ht="12.3" x14ac:dyDescent="0.4">
      <c r="A250" s="1" t="s">
        <v>205</v>
      </c>
      <c r="B250" s="1"/>
      <c r="C250" s="1" t="s">
        <v>6</v>
      </c>
      <c r="D250" s="5" t="s">
        <v>7</v>
      </c>
      <c r="E250" s="5" t="s">
        <v>463</v>
      </c>
      <c r="F250" s="4" t="s">
        <v>465</v>
      </c>
      <c r="G250" s="4" t="s">
        <v>465</v>
      </c>
      <c r="I250" s="1" t="s">
        <v>16</v>
      </c>
      <c r="J250" s="1" t="s">
        <v>9</v>
      </c>
      <c r="K250" s="4" t="s">
        <v>464</v>
      </c>
      <c r="L250" s="1" t="s">
        <v>30</v>
      </c>
      <c r="M250" s="1"/>
      <c r="O250" s="1"/>
      <c r="P250" s="1"/>
      <c r="Q250" s="1"/>
      <c r="S250" s="1"/>
      <c r="T250" s="1"/>
      <c r="U250" s="2"/>
      <c r="V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 t="s">
        <v>12</v>
      </c>
      <c r="AN250" s="1" t="s">
        <v>18</v>
      </c>
      <c r="AO250" s="1">
        <v>321</v>
      </c>
      <c r="AP250" s="3">
        <v>0.53500000000000003</v>
      </c>
      <c r="AQ250" s="1"/>
    </row>
    <row r="251" spans="1:43" ht="12.3" x14ac:dyDescent="0.4">
      <c r="A251" s="1" t="s">
        <v>205</v>
      </c>
      <c r="B251" s="1"/>
      <c r="C251" s="1" t="s">
        <v>6</v>
      </c>
      <c r="D251" s="5" t="s">
        <v>7</v>
      </c>
      <c r="E251" s="5" t="s">
        <v>463</v>
      </c>
      <c r="F251" s="4" t="s">
        <v>465</v>
      </c>
      <c r="G251" s="4" t="s">
        <v>465</v>
      </c>
      <c r="I251" s="1" t="s">
        <v>16</v>
      </c>
      <c r="J251" s="1" t="s">
        <v>10</v>
      </c>
      <c r="K251" s="4" t="s">
        <v>464</v>
      </c>
      <c r="L251" s="1" t="s">
        <v>30</v>
      </c>
      <c r="M251" s="1"/>
      <c r="O251" s="1"/>
      <c r="P251" s="1"/>
      <c r="Q251" s="1"/>
      <c r="S251" s="2"/>
      <c r="T251" s="1"/>
      <c r="U251" s="1"/>
      <c r="V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 t="s">
        <v>15</v>
      </c>
      <c r="AN251" s="1" t="s">
        <v>13</v>
      </c>
      <c r="AO251" s="1">
        <v>362</v>
      </c>
      <c r="AP251" s="3">
        <v>0.60333333333333339</v>
      </c>
      <c r="AQ251" s="1"/>
    </row>
    <row r="252" spans="1:43" ht="12.3" x14ac:dyDescent="0.4">
      <c r="A252" s="1" t="s">
        <v>206</v>
      </c>
      <c r="B252" s="1"/>
      <c r="C252" s="1" t="s">
        <v>6</v>
      </c>
      <c r="D252" s="5" t="s">
        <v>7</v>
      </c>
      <c r="E252" s="5" t="s">
        <v>463</v>
      </c>
      <c r="F252" s="4" t="s">
        <v>465</v>
      </c>
      <c r="G252" s="4" t="s">
        <v>465</v>
      </c>
      <c r="I252" s="1" t="s">
        <v>16</v>
      </c>
      <c r="J252" s="1" t="s">
        <v>10</v>
      </c>
      <c r="K252" s="4" t="s">
        <v>464</v>
      </c>
      <c r="L252" s="1" t="s">
        <v>22</v>
      </c>
      <c r="M252" s="1"/>
      <c r="O252" s="1"/>
      <c r="P252" s="1"/>
      <c r="Q252" s="1"/>
      <c r="S252" s="2"/>
      <c r="T252" s="1"/>
      <c r="U252" s="1"/>
      <c r="V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 t="s">
        <v>12</v>
      </c>
      <c r="AN252" s="1" t="s">
        <v>20</v>
      </c>
      <c r="AO252" s="1">
        <v>348</v>
      </c>
      <c r="AP252" s="3">
        <v>0.57999999999999996</v>
      </c>
      <c r="AQ252" s="1"/>
    </row>
    <row r="253" spans="1:43" ht="12.3" x14ac:dyDescent="0.4">
      <c r="A253" s="1" t="s">
        <v>206</v>
      </c>
      <c r="B253" s="1"/>
      <c r="C253" s="1" t="s">
        <v>6</v>
      </c>
      <c r="D253" s="5" t="s">
        <v>7</v>
      </c>
      <c r="E253" s="5" t="s">
        <v>463</v>
      </c>
      <c r="F253" s="4" t="s">
        <v>465</v>
      </c>
      <c r="G253" s="4" t="s">
        <v>465</v>
      </c>
      <c r="I253" s="1" t="s">
        <v>8</v>
      </c>
      <c r="J253" s="1" t="s">
        <v>9</v>
      </c>
      <c r="K253" s="4" t="s">
        <v>464</v>
      </c>
      <c r="L253" s="1" t="s">
        <v>22</v>
      </c>
      <c r="M253" s="1"/>
      <c r="O253" s="1"/>
      <c r="P253" s="1"/>
      <c r="Q253" s="1"/>
      <c r="S253" s="1"/>
      <c r="T253" s="1"/>
      <c r="U253" s="2"/>
      <c r="V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 t="s">
        <v>15</v>
      </c>
      <c r="AN253" s="1" t="s">
        <v>18</v>
      </c>
      <c r="AO253" s="1">
        <v>391</v>
      </c>
      <c r="AP253" s="3">
        <v>0.65166666666666662</v>
      </c>
      <c r="AQ253" s="1"/>
    </row>
    <row r="254" spans="1:43" ht="12.3" x14ac:dyDescent="0.4">
      <c r="A254" s="1" t="s">
        <v>207</v>
      </c>
      <c r="B254" s="1"/>
      <c r="C254" s="1" t="s">
        <v>6</v>
      </c>
      <c r="D254" s="5" t="s">
        <v>7</v>
      </c>
      <c r="E254" s="5" t="s">
        <v>463</v>
      </c>
      <c r="F254" s="4" t="s">
        <v>465</v>
      </c>
      <c r="G254" s="4" t="s">
        <v>465</v>
      </c>
      <c r="I254" s="1" t="s">
        <v>8</v>
      </c>
      <c r="J254" s="1" t="s">
        <v>9</v>
      </c>
      <c r="K254" s="4" t="s">
        <v>464</v>
      </c>
      <c r="L254" s="1" t="s">
        <v>17</v>
      </c>
      <c r="M254" s="1"/>
      <c r="O254" s="1"/>
      <c r="P254" s="1"/>
      <c r="Q254" s="1"/>
      <c r="S254" s="1"/>
      <c r="T254" s="1"/>
      <c r="U254" s="2"/>
      <c r="V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 t="s">
        <v>12</v>
      </c>
      <c r="AN254" s="1" t="s">
        <v>20</v>
      </c>
      <c r="AO254" s="1">
        <v>335</v>
      </c>
      <c r="AP254" s="3">
        <v>0.55833333333333335</v>
      </c>
      <c r="AQ254" s="1"/>
    </row>
    <row r="255" spans="1:43" ht="12.3" x14ac:dyDescent="0.4">
      <c r="A255" s="1" t="s">
        <v>207</v>
      </c>
      <c r="B255" s="1"/>
      <c r="C255" s="1" t="s">
        <v>6</v>
      </c>
      <c r="D255" s="5" t="s">
        <v>7</v>
      </c>
      <c r="E255" s="5" t="s">
        <v>463</v>
      </c>
      <c r="F255" s="4" t="s">
        <v>465</v>
      </c>
      <c r="G255" s="4" t="s">
        <v>465</v>
      </c>
      <c r="I255" s="1" t="s">
        <v>16</v>
      </c>
      <c r="J255" s="1" t="s">
        <v>10</v>
      </c>
      <c r="K255" s="4" t="s">
        <v>464</v>
      </c>
      <c r="L255" s="1" t="s">
        <v>17</v>
      </c>
      <c r="M255" s="1"/>
      <c r="O255" s="1"/>
      <c r="P255" s="1"/>
      <c r="Q255" s="1"/>
      <c r="S255" s="2"/>
      <c r="T255" s="1"/>
      <c r="U255" s="1"/>
      <c r="V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 t="s">
        <v>15</v>
      </c>
      <c r="AN255" s="1" t="s">
        <v>20</v>
      </c>
      <c r="AO255" s="1">
        <v>402</v>
      </c>
      <c r="AP255" s="3">
        <v>0.67</v>
      </c>
      <c r="AQ255" s="1"/>
    </row>
    <row r="256" spans="1:43" ht="12.3" x14ac:dyDescent="0.4">
      <c r="A256" s="1" t="s">
        <v>208</v>
      </c>
      <c r="B256" s="1"/>
      <c r="C256" s="1" t="s">
        <v>6</v>
      </c>
      <c r="D256" s="5" t="s">
        <v>7</v>
      </c>
      <c r="E256" s="5" t="s">
        <v>463</v>
      </c>
      <c r="F256" s="4" t="s">
        <v>465</v>
      </c>
      <c r="G256" s="4" t="s">
        <v>465</v>
      </c>
      <c r="I256" s="1" t="s">
        <v>16</v>
      </c>
      <c r="J256" s="1" t="s">
        <v>10</v>
      </c>
      <c r="K256" s="4" t="s">
        <v>464</v>
      </c>
      <c r="L256" s="1" t="s">
        <v>24</v>
      </c>
      <c r="M256" s="1"/>
      <c r="O256" s="1"/>
      <c r="P256" s="1"/>
      <c r="Q256" s="1"/>
      <c r="S256" s="2"/>
      <c r="T256" s="1"/>
      <c r="U256" s="1"/>
      <c r="V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 t="s">
        <v>12</v>
      </c>
      <c r="AN256" s="1" t="s">
        <v>20</v>
      </c>
      <c r="AO256" s="1">
        <v>499</v>
      </c>
      <c r="AP256" s="3">
        <v>0.83166666666666667</v>
      </c>
      <c r="AQ256" s="1"/>
    </row>
    <row r="257" spans="1:43" ht="12.3" x14ac:dyDescent="0.4">
      <c r="A257" s="1" t="s">
        <v>208</v>
      </c>
      <c r="B257" s="1"/>
      <c r="C257" s="1" t="s">
        <v>6</v>
      </c>
      <c r="D257" s="5" t="s">
        <v>7</v>
      </c>
      <c r="E257" s="5" t="s">
        <v>463</v>
      </c>
      <c r="F257" s="4" t="s">
        <v>465</v>
      </c>
      <c r="G257" s="4" t="s">
        <v>465</v>
      </c>
      <c r="I257" s="1" t="s">
        <v>16</v>
      </c>
      <c r="J257" s="1" t="s">
        <v>10</v>
      </c>
      <c r="K257" s="4" t="s">
        <v>464</v>
      </c>
      <c r="L257" s="1" t="s">
        <v>24</v>
      </c>
      <c r="M257" s="1"/>
      <c r="O257" s="1"/>
      <c r="P257" s="1"/>
      <c r="Q257" s="1"/>
      <c r="S257" s="2"/>
      <c r="T257" s="1"/>
      <c r="U257" s="2"/>
      <c r="V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 t="s">
        <v>15</v>
      </c>
      <c r="AN257" s="1" t="s">
        <v>20</v>
      </c>
      <c r="AO257" s="1">
        <v>548</v>
      </c>
      <c r="AP257" s="3">
        <v>0.91333333333333333</v>
      </c>
      <c r="AQ257" s="1"/>
    </row>
    <row r="258" spans="1:43" ht="12.3" x14ac:dyDescent="0.4">
      <c r="A258" s="1" t="s">
        <v>209</v>
      </c>
      <c r="B258" s="1"/>
      <c r="C258" s="1" t="s">
        <v>6</v>
      </c>
      <c r="D258" s="5" t="s">
        <v>7</v>
      </c>
      <c r="E258" s="5" t="s">
        <v>463</v>
      </c>
      <c r="F258" s="4" t="s">
        <v>465</v>
      </c>
      <c r="G258" s="4" t="s">
        <v>465</v>
      </c>
      <c r="I258" s="1" t="s">
        <v>16</v>
      </c>
      <c r="J258" s="1" t="s">
        <v>10</v>
      </c>
      <c r="K258" s="4" t="s">
        <v>464</v>
      </c>
      <c r="L258" s="1" t="s">
        <v>26</v>
      </c>
      <c r="M258" s="1"/>
      <c r="O258" s="1"/>
      <c r="P258" s="1"/>
      <c r="Q258" s="1"/>
      <c r="S258" s="2"/>
      <c r="T258" s="1"/>
      <c r="U258" s="2"/>
      <c r="V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 t="s">
        <v>12</v>
      </c>
      <c r="AN258" s="1" t="s">
        <v>18</v>
      </c>
      <c r="AO258" s="1">
        <v>320</v>
      </c>
      <c r="AP258" s="3">
        <v>0.53333333333333333</v>
      </c>
      <c r="AQ258" s="1"/>
    </row>
    <row r="259" spans="1:43" ht="12.3" x14ac:dyDescent="0.4">
      <c r="A259" s="1" t="s">
        <v>209</v>
      </c>
      <c r="B259" s="1"/>
      <c r="C259" s="1" t="s">
        <v>6</v>
      </c>
      <c r="D259" s="5" t="s">
        <v>7</v>
      </c>
      <c r="E259" s="5" t="s">
        <v>463</v>
      </c>
      <c r="F259" s="4" t="s">
        <v>465</v>
      </c>
      <c r="G259" s="4" t="s">
        <v>465</v>
      </c>
      <c r="I259" s="1" t="s">
        <v>16</v>
      </c>
      <c r="J259" s="1" t="s">
        <v>9</v>
      </c>
      <c r="K259" s="4" t="s">
        <v>464</v>
      </c>
      <c r="L259" s="1" t="s">
        <v>26</v>
      </c>
      <c r="M259" s="1"/>
      <c r="O259" s="1"/>
      <c r="P259" s="1"/>
      <c r="Q259" s="1"/>
      <c r="S259" s="2"/>
      <c r="T259" s="1"/>
      <c r="U259" s="1"/>
      <c r="V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 t="s">
        <v>15</v>
      </c>
      <c r="AN259" s="1" t="s">
        <v>18</v>
      </c>
      <c r="AO259" s="1">
        <v>392</v>
      </c>
      <c r="AP259" s="3">
        <v>0.65333333333333332</v>
      </c>
      <c r="AQ259" s="1"/>
    </row>
    <row r="260" spans="1:43" ht="12.3" x14ac:dyDescent="0.4">
      <c r="A260" s="1" t="s">
        <v>210</v>
      </c>
      <c r="B260" s="1"/>
      <c r="C260" s="1" t="s">
        <v>6</v>
      </c>
      <c r="D260" s="5" t="s">
        <v>7</v>
      </c>
      <c r="E260" s="5" t="s">
        <v>463</v>
      </c>
      <c r="F260" s="4" t="s">
        <v>465</v>
      </c>
      <c r="G260" s="4" t="s">
        <v>465</v>
      </c>
      <c r="I260" s="1" t="s">
        <v>16</v>
      </c>
      <c r="J260" s="1" t="s">
        <v>9</v>
      </c>
      <c r="K260" s="4" t="s">
        <v>464</v>
      </c>
      <c r="L260" s="1" t="s">
        <v>11</v>
      </c>
      <c r="M260" s="1"/>
      <c r="O260" s="1"/>
      <c r="P260" s="1"/>
      <c r="Q260" s="1"/>
      <c r="S260" s="2"/>
      <c r="T260" s="1"/>
      <c r="U260" s="1"/>
      <c r="V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 t="s">
        <v>12</v>
      </c>
      <c r="AN260" s="1" t="s">
        <v>20</v>
      </c>
      <c r="AO260" s="1">
        <v>449</v>
      </c>
      <c r="AP260" s="3">
        <v>0.74833333333333329</v>
      </c>
      <c r="AQ260" s="1"/>
    </row>
    <row r="261" spans="1:43" ht="12.3" x14ac:dyDescent="0.4">
      <c r="A261" s="1" t="s">
        <v>210</v>
      </c>
      <c r="B261" s="1"/>
      <c r="C261" s="1" t="s">
        <v>6</v>
      </c>
      <c r="D261" s="5" t="s">
        <v>7</v>
      </c>
      <c r="E261" s="5" t="s">
        <v>463</v>
      </c>
      <c r="F261" s="4" t="s">
        <v>465</v>
      </c>
      <c r="G261" s="4" t="s">
        <v>465</v>
      </c>
      <c r="I261" s="1" t="s">
        <v>16</v>
      </c>
      <c r="J261" s="1" t="s">
        <v>10</v>
      </c>
      <c r="K261" s="4" t="s">
        <v>464</v>
      </c>
      <c r="L261" s="1" t="s">
        <v>11</v>
      </c>
      <c r="M261" s="1"/>
      <c r="O261" s="1"/>
      <c r="P261" s="1"/>
      <c r="Q261" s="1"/>
      <c r="S261" s="2"/>
      <c r="T261" s="1"/>
      <c r="U261" s="1"/>
      <c r="V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 t="s">
        <v>15</v>
      </c>
      <c r="AN261" s="1" t="s">
        <v>20</v>
      </c>
      <c r="AO261" s="1">
        <v>430</v>
      </c>
      <c r="AP261" s="3">
        <v>0.71666666666666667</v>
      </c>
      <c r="AQ261" s="1"/>
    </row>
    <row r="262" spans="1:43" ht="12.3" x14ac:dyDescent="0.4">
      <c r="A262" s="1" t="s">
        <v>211</v>
      </c>
      <c r="B262" s="1"/>
      <c r="C262" s="1" t="s">
        <v>6</v>
      </c>
      <c r="D262" s="5" t="s">
        <v>7</v>
      </c>
      <c r="E262" s="5" t="s">
        <v>463</v>
      </c>
      <c r="F262" s="4" t="s">
        <v>465</v>
      </c>
      <c r="G262" s="4" t="s">
        <v>465</v>
      </c>
      <c r="I262" s="1" t="s">
        <v>16</v>
      </c>
      <c r="J262" s="1" t="s">
        <v>10</v>
      </c>
      <c r="K262" s="4" t="s">
        <v>464</v>
      </c>
      <c r="L262" s="1" t="s">
        <v>11</v>
      </c>
      <c r="M262" s="1"/>
      <c r="O262" s="1"/>
      <c r="P262" s="1"/>
      <c r="Q262" s="1"/>
      <c r="S262" s="2"/>
      <c r="T262" s="1"/>
      <c r="U262" s="1"/>
      <c r="V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 t="s">
        <v>12</v>
      </c>
      <c r="AN262" s="1" t="s">
        <v>14</v>
      </c>
      <c r="AO262" s="1">
        <v>275</v>
      </c>
      <c r="AP262" s="3">
        <v>0.45833333333333331</v>
      </c>
      <c r="AQ262" s="1"/>
    </row>
    <row r="263" spans="1:43" ht="12.3" x14ac:dyDescent="0.4">
      <c r="A263" s="1" t="s">
        <v>211</v>
      </c>
      <c r="B263" s="1"/>
      <c r="C263" s="1" t="s">
        <v>6</v>
      </c>
      <c r="D263" s="5" t="s">
        <v>7</v>
      </c>
      <c r="E263" s="5" t="s">
        <v>463</v>
      </c>
      <c r="F263" s="4" t="s">
        <v>465</v>
      </c>
      <c r="G263" s="4" t="s">
        <v>465</v>
      </c>
      <c r="I263" s="1" t="s">
        <v>29</v>
      </c>
      <c r="J263" s="1" t="s">
        <v>9</v>
      </c>
      <c r="K263" s="4" t="s">
        <v>464</v>
      </c>
      <c r="L263" s="1" t="s">
        <v>11</v>
      </c>
      <c r="M263" s="1"/>
      <c r="O263" s="1"/>
      <c r="P263" s="1"/>
      <c r="Q263" s="1"/>
      <c r="S263" s="1"/>
      <c r="T263" s="1"/>
      <c r="U263" s="1"/>
      <c r="V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 t="s">
        <v>15</v>
      </c>
      <c r="AN263" s="1" t="s">
        <v>13</v>
      </c>
      <c r="AO263" s="1">
        <v>361</v>
      </c>
      <c r="AP263" s="3">
        <v>0.60166666666666668</v>
      </c>
      <c r="AQ263" s="1"/>
    </row>
    <row r="264" spans="1:43" ht="12.3" x14ac:dyDescent="0.4">
      <c r="A264" s="1" t="s">
        <v>212</v>
      </c>
      <c r="B264" s="1"/>
      <c r="C264" s="1" t="s">
        <v>6</v>
      </c>
      <c r="D264" s="5" t="s">
        <v>7</v>
      </c>
      <c r="E264" s="5" t="s">
        <v>463</v>
      </c>
      <c r="F264" s="4" t="s">
        <v>465</v>
      </c>
      <c r="G264" s="4" t="s">
        <v>465</v>
      </c>
      <c r="I264" s="1" t="s">
        <v>29</v>
      </c>
      <c r="J264" s="1" t="s">
        <v>9</v>
      </c>
      <c r="K264" s="4" t="s">
        <v>464</v>
      </c>
      <c r="O264" s="1"/>
      <c r="P264" s="1"/>
      <c r="Q264" s="1"/>
      <c r="S264" s="1"/>
      <c r="T264" s="1"/>
      <c r="U264" s="1"/>
      <c r="V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 t="s">
        <v>12</v>
      </c>
      <c r="AN264" s="1" t="s">
        <v>14</v>
      </c>
      <c r="AO264" s="1">
        <v>247</v>
      </c>
      <c r="AP264" s="3">
        <v>0.41166666666666668</v>
      </c>
      <c r="AQ264" s="1"/>
    </row>
    <row r="265" spans="1:43" ht="12.3" x14ac:dyDescent="0.4">
      <c r="A265" s="1" t="s">
        <v>213</v>
      </c>
      <c r="B265" s="1"/>
      <c r="C265" s="1" t="s">
        <v>6</v>
      </c>
      <c r="D265" s="5" t="s">
        <v>7</v>
      </c>
      <c r="E265" s="5" t="s">
        <v>463</v>
      </c>
      <c r="F265" s="4" t="s">
        <v>465</v>
      </c>
      <c r="G265" s="4" t="s">
        <v>465</v>
      </c>
      <c r="I265" s="1" t="s">
        <v>8</v>
      </c>
      <c r="J265" s="1" t="s">
        <v>9</v>
      </c>
      <c r="K265" s="4" t="s">
        <v>464</v>
      </c>
      <c r="L265" s="1" t="s">
        <v>26</v>
      </c>
      <c r="M265" s="1"/>
      <c r="O265" s="1"/>
      <c r="P265" s="1"/>
      <c r="Q265" s="1"/>
      <c r="S265" s="1"/>
      <c r="T265" s="1"/>
      <c r="U265" s="1"/>
      <c r="V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 t="s">
        <v>12</v>
      </c>
      <c r="AN265" s="1" t="s">
        <v>14</v>
      </c>
      <c r="AO265" s="1">
        <v>272</v>
      </c>
      <c r="AP265" s="3">
        <v>0.45333333333333331</v>
      </c>
      <c r="AQ265" s="1"/>
    </row>
    <row r="266" spans="1:43" ht="12.3" x14ac:dyDescent="0.4">
      <c r="A266" s="1" t="s">
        <v>213</v>
      </c>
      <c r="B266" s="1"/>
      <c r="C266" s="1" t="s">
        <v>6</v>
      </c>
      <c r="D266" s="5" t="s">
        <v>7</v>
      </c>
      <c r="E266" s="5" t="s">
        <v>463</v>
      </c>
      <c r="F266" s="4" t="s">
        <v>465</v>
      </c>
      <c r="G266" s="4" t="s">
        <v>465</v>
      </c>
      <c r="I266" s="1" t="s">
        <v>16</v>
      </c>
      <c r="J266" s="1" t="s">
        <v>10</v>
      </c>
      <c r="K266" s="4" t="s">
        <v>464</v>
      </c>
      <c r="L266" s="1" t="s">
        <v>26</v>
      </c>
      <c r="M266" s="1"/>
      <c r="O266" s="1"/>
      <c r="P266" s="1"/>
      <c r="Q266" s="1"/>
      <c r="S266" s="1"/>
      <c r="T266" s="1"/>
      <c r="U266" s="1"/>
      <c r="V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 t="s">
        <v>15</v>
      </c>
      <c r="AN266" s="1" t="s">
        <v>13</v>
      </c>
      <c r="AO266" s="1">
        <v>358</v>
      </c>
      <c r="AP266" s="3">
        <v>0.59666666666666668</v>
      </c>
      <c r="AQ266" s="1"/>
    </row>
    <row r="267" spans="1:43" ht="12.3" x14ac:dyDescent="0.4">
      <c r="A267" s="1" t="s">
        <v>214</v>
      </c>
      <c r="B267" s="1"/>
      <c r="C267" s="1" t="s">
        <v>6</v>
      </c>
      <c r="D267" s="5" t="s">
        <v>7</v>
      </c>
      <c r="E267" s="5" t="s">
        <v>463</v>
      </c>
      <c r="F267" s="4" t="s">
        <v>465</v>
      </c>
      <c r="G267" s="4" t="s">
        <v>465</v>
      </c>
      <c r="I267" s="1" t="s">
        <v>16</v>
      </c>
      <c r="J267" s="1" t="s">
        <v>10</v>
      </c>
      <c r="K267" s="4" t="s">
        <v>464</v>
      </c>
      <c r="L267" s="1" t="s">
        <v>19</v>
      </c>
      <c r="M267" s="1"/>
      <c r="O267" s="1"/>
      <c r="P267" s="1"/>
      <c r="Q267" s="1"/>
      <c r="S267" s="1"/>
      <c r="T267" s="1"/>
      <c r="U267" s="1"/>
      <c r="V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 t="s">
        <v>12</v>
      </c>
      <c r="AN267" s="1" t="s">
        <v>13</v>
      </c>
      <c r="AO267" s="1">
        <v>303</v>
      </c>
      <c r="AP267" s="3">
        <v>0.505</v>
      </c>
      <c r="AQ267" s="1"/>
    </row>
    <row r="268" spans="1:43" ht="12.3" x14ac:dyDescent="0.4">
      <c r="A268" s="1" t="s">
        <v>214</v>
      </c>
      <c r="B268" s="1"/>
      <c r="C268" s="1" t="s">
        <v>6</v>
      </c>
      <c r="D268" s="5" t="s">
        <v>7</v>
      </c>
      <c r="E268" s="5" t="s">
        <v>463</v>
      </c>
      <c r="F268" s="4" t="s">
        <v>465</v>
      </c>
      <c r="G268" s="4" t="s">
        <v>465</v>
      </c>
      <c r="I268" s="1" t="s">
        <v>16</v>
      </c>
      <c r="J268" s="1" t="s">
        <v>10</v>
      </c>
      <c r="K268" s="4" t="s">
        <v>464</v>
      </c>
      <c r="L268" s="1" t="s">
        <v>19</v>
      </c>
      <c r="M268" s="1"/>
      <c r="O268" s="1"/>
      <c r="P268" s="1"/>
      <c r="Q268" s="1"/>
      <c r="S268" s="2"/>
      <c r="T268" s="1"/>
      <c r="U268" s="2"/>
      <c r="V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 t="s">
        <v>15</v>
      </c>
      <c r="AN268" s="1" t="s">
        <v>14</v>
      </c>
      <c r="AO268" s="1">
        <v>355</v>
      </c>
      <c r="AP268" s="3">
        <v>0.59166666666666667</v>
      </c>
      <c r="AQ268" s="1"/>
    </row>
    <row r="269" spans="1:43" ht="12.3" x14ac:dyDescent="0.4">
      <c r="A269" s="1" t="s">
        <v>215</v>
      </c>
      <c r="B269" s="1"/>
      <c r="C269" s="1" t="s">
        <v>6</v>
      </c>
      <c r="D269" s="5" t="s">
        <v>7</v>
      </c>
      <c r="E269" s="5" t="s">
        <v>463</v>
      </c>
      <c r="F269" s="4" t="s">
        <v>465</v>
      </c>
      <c r="G269" s="4" t="s">
        <v>465</v>
      </c>
      <c r="I269" s="1" t="s">
        <v>16</v>
      </c>
      <c r="J269" s="1" t="s">
        <v>10</v>
      </c>
      <c r="K269" s="4" t="s">
        <v>464</v>
      </c>
      <c r="L269" s="1" t="s">
        <v>23</v>
      </c>
      <c r="M269" s="1"/>
      <c r="O269" s="1"/>
      <c r="P269" s="1"/>
      <c r="Q269" s="1"/>
      <c r="S269" s="2"/>
      <c r="T269" s="1"/>
      <c r="U269" s="2"/>
      <c r="V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 t="s">
        <v>12</v>
      </c>
      <c r="AN269" s="1" t="s">
        <v>14</v>
      </c>
      <c r="AO269" s="1">
        <v>256</v>
      </c>
      <c r="AP269" s="3">
        <v>0.42666666666666669</v>
      </c>
      <c r="AQ269" s="1"/>
    </row>
    <row r="270" spans="1:43" ht="12.3" x14ac:dyDescent="0.4">
      <c r="A270" s="1" t="s">
        <v>215</v>
      </c>
      <c r="B270" s="1"/>
      <c r="C270" s="1" t="s">
        <v>6</v>
      </c>
      <c r="D270" s="5" t="s">
        <v>7</v>
      </c>
      <c r="E270" s="5" t="s">
        <v>463</v>
      </c>
      <c r="F270" s="4" t="s">
        <v>465</v>
      </c>
      <c r="G270" s="4" t="s">
        <v>465</v>
      </c>
      <c r="I270" s="1" t="s">
        <v>16</v>
      </c>
      <c r="J270" s="1" t="s">
        <v>10</v>
      </c>
      <c r="K270" s="4" t="s">
        <v>464</v>
      </c>
      <c r="L270" s="1" t="s">
        <v>23</v>
      </c>
      <c r="M270" s="1"/>
      <c r="O270" s="1"/>
      <c r="P270" s="1"/>
      <c r="Q270" s="1"/>
      <c r="S270" s="2"/>
      <c r="T270" s="1"/>
      <c r="U270" s="2"/>
      <c r="V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 t="s">
        <v>15</v>
      </c>
      <c r="AN270" s="1" t="s">
        <v>14</v>
      </c>
      <c r="AO270" s="1">
        <v>329</v>
      </c>
      <c r="AP270" s="3">
        <v>0.54833333333333334</v>
      </c>
      <c r="AQ270" s="1"/>
    </row>
    <row r="271" spans="1:43" ht="12.3" x14ac:dyDescent="0.4">
      <c r="A271" s="1" t="s">
        <v>216</v>
      </c>
      <c r="B271" s="1"/>
      <c r="C271" s="1" t="s">
        <v>6</v>
      </c>
      <c r="D271" s="5" t="s">
        <v>7</v>
      </c>
      <c r="E271" s="5" t="s">
        <v>463</v>
      </c>
      <c r="F271" s="4" t="s">
        <v>465</v>
      </c>
      <c r="G271" s="4" t="s">
        <v>465</v>
      </c>
      <c r="I271" s="1" t="s">
        <v>16</v>
      </c>
      <c r="J271" s="1" t="s">
        <v>10</v>
      </c>
      <c r="K271" s="4" t="s">
        <v>464</v>
      </c>
      <c r="L271" s="1" t="s">
        <v>28</v>
      </c>
      <c r="M271" s="1"/>
      <c r="O271" s="1"/>
      <c r="P271" s="1"/>
      <c r="Q271" s="1"/>
      <c r="S271" s="2"/>
      <c r="T271" s="1"/>
      <c r="U271" s="2"/>
      <c r="V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 t="s">
        <v>12</v>
      </c>
      <c r="AN271" s="1" t="s">
        <v>18</v>
      </c>
      <c r="AO271" s="1">
        <v>326</v>
      </c>
      <c r="AP271" s="3">
        <v>0.54333333333333333</v>
      </c>
      <c r="AQ271" s="1"/>
    </row>
    <row r="272" spans="1:43" ht="12.3" x14ac:dyDescent="0.4">
      <c r="A272" s="1" t="s">
        <v>216</v>
      </c>
      <c r="B272" s="1"/>
      <c r="C272" s="1" t="s">
        <v>6</v>
      </c>
      <c r="D272" s="5" t="s">
        <v>7</v>
      </c>
      <c r="E272" s="5" t="s">
        <v>463</v>
      </c>
      <c r="F272" s="4" t="s">
        <v>465</v>
      </c>
      <c r="G272" s="4" t="s">
        <v>465</v>
      </c>
      <c r="I272" s="1" t="s">
        <v>8</v>
      </c>
      <c r="J272" s="1" t="s">
        <v>9</v>
      </c>
      <c r="K272" s="4" t="s">
        <v>464</v>
      </c>
      <c r="L272" s="1" t="s">
        <v>28</v>
      </c>
      <c r="M272" s="1"/>
      <c r="O272" s="1"/>
      <c r="P272" s="1"/>
      <c r="Q272" s="1"/>
      <c r="S272" s="2"/>
      <c r="T272" s="1"/>
      <c r="U272" s="2"/>
      <c r="V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 t="s">
        <v>15</v>
      </c>
      <c r="AN272" s="1" t="s">
        <v>18</v>
      </c>
      <c r="AO272" s="1">
        <v>380</v>
      </c>
      <c r="AP272" s="3">
        <v>0.6333333333333333</v>
      </c>
      <c r="AQ272" s="1"/>
    </row>
    <row r="273" spans="1:43" ht="12.3" x14ac:dyDescent="0.4">
      <c r="A273" s="1" t="s">
        <v>217</v>
      </c>
      <c r="B273" s="1"/>
      <c r="C273" s="1" t="s">
        <v>6</v>
      </c>
      <c r="D273" s="5" t="s">
        <v>7</v>
      </c>
      <c r="E273" s="5" t="s">
        <v>463</v>
      </c>
      <c r="F273" s="4" t="s">
        <v>465</v>
      </c>
      <c r="G273" s="4" t="s">
        <v>465</v>
      </c>
      <c r="I273" s="1" t="s">
        <v>8</v>
      </c>
      <c r="J273" s="1" t="s">
        <v>9</v>
      </c>
      <c r="K273" s="4" t="s">
        <v>464</v>
      </c>
      <c r="L273" s="1" t="s">
        <v>22</v>
      </c>
      <c r="M273" s="1"/>
      <c r="O273" s="1"/>
      <c r="P273" s="1"/>
      <c r="Q273" s="1"/>
      <c r="S273" s="2"/>
      <c r="T273" s="1"/>
      <c r="U273" s="2"/>
      <c r="V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 t="s">
        <v>12</v>
      </c>
      <c r="AN273" s="1" t="s">
        <v>13</v>
      </c>
      <c r="AO273" s="1">
        <v>299</v>
      </c>
      <c r="AP273" s="3">
        <v>0.49833333333333335</v>
      </c>
      <c r="AQ273" s="1"/>
    </row>
    <row r="274" spans="1:43" ht="12.3" x14ac:dyDescent="0.4">
      <c r="A274" s="1" t="s">
        <v>217</v>
      </c>
      <c r="B274" s="1"/>
      <c r="C274" s="1" t="s">
        <v>6</v>
      </c>
      <c r="D274" s="5" t="s">
        <v>7</v>
      </c>
      <c r="E274" s="5" t="s">
        <v>463</v>
      </c>
      <c r="F274" s="4" t="s">
        <v>465</v>
      </c>
      <c r="G274" s="4" t="s">
        <v>465</v>
      </c>
      <c r="I274" s="1" t="s">
        <v>8</v>
      </c>
      <c r="J274" s="1" t="s">
        <v>9</v>
      </c>
      <c r="K274" s="4" t="s">
        <v>464</v>
      </c>
      <c r="L274" s="1" t="s">
        <v>22</v>
      </c>
      <c r="M274" s="1"/>
      <c r="O274" s="1"/>
      <c r="P274" s="1"/>
      <c r="Q274" s="1"/>
      <c r="S274" s="1"/>
      <c r="T274" s="1"/>
      <c r="U274" s="2"/>
      <c r="V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 t="s">
        <v>15</v>
      </c>
      <c r="AN274" s="1" t="s">
        <v>14</v>
      </c>
      <c r="AO274" s="1">
        <v>339</v>
      </c>
      <c r="AP274" s="3">
        <v>0.56499999999999995</v>
      </c>
      <c r="AQ274" s="1"/>
    </row>
    <row r="275" spans="1:43" ht="12.3" x14ac:dyDescent="0.4">
      <c r="A275" s="1" t="s">
        <v>218</v>
      </c>
      <c r="B275" s="1"/>
      <c r="C275" s="1" t="s">
        <v>6</v>
      </c>
      <c r="D275" s="5" t="s">
        <v>7</v>
      </c>
      <c r="E275" s="5" t="s">
        <v>463</v>
      </c>
      <c r="F275" s="4" t="s">
        <v>465</v>
      </c>
      <c r="G275" s="4" t="s">
        <v>465</v>
      </c>
      <c r="I275" s="1" t="s">
        <v>8</v>
      </c>
      <c r="J275" s="1" t="s">
        <v>9</v>
      </c>
      <c r="K275" s="4" t="s">
        <v>464</v>
      </c>
      <c r="L275" s="1" t="s">
        <v>21</v>
      </c>
      <c r="M275" s="1"/>
      <c r="O275" s="1"/>
      <c r="P275" s="1"/>
      <c r="Q275" s="1"/>
      <c r="S275" s="1"/>
      <c r="T275" s="1"/>
      <c r="U275" s="2"/>
      <c r="V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 t="s">
        <v>12</v>
      </c>
      <c r="AN275" s="1" t="s">
        <v>20</v>
      </c>
      <c r="AO275" s="1">
        <v>356</v>
      </c>
      <c r="AP275" s="3">
        <v>0.59333333333333338</v>
      </c>
      <c r="AQ275" s="1"/>
    </row>
    <row r="276" spans="1:43" ht="12.3" x14ac:dyDescent="0.4">
      <c r="A276" s="1" t="s">
        <v>218</v>
      </c>
      <c r="B276" s="1"/>
      <c r="C276" s="1" t="s">
        <v>6</v>
      </c>
      <c r="D276" s="5" t="s">
        <v>7</v>
      </c>
      <c r="E276" s="5" t="s">
        <v>463</v>
      </c>
      <c r="F276" s="4" t="s">
        <v>465</v>
      </c>
      <c r="G276" s="4" t="s">
        <v>465</v>
      </c>
      <c r="I276" s="1" t="s">
        <v>29</v>
      </c>
      <c r="J276" s="1" t="s">
        <v>9</v>
      </c>
      <c r="K276" s="4" t="s">
        <v>464</v>
      </c>
      <c r="L276" s="1" t="s">
        <v>21</v>
      </c>
      <c r="M276" s="1"/>
      <c r="O276" s="1"/>
      <c r="P276" s="1"/>
      <c r="Q276" s="1"/>
      <c r="S276" s="2"/>
      <c r="T276" s="1"/>
      <c r="U276" s="1"/>
      <c r="V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 t="s">
        <v>15</v>
      </c>
      <c r="AN276" s="1" t="s">
        <v>20</v>
      </c>
      <c r="AO276" s="1">
        <v>415</v>
      </c>
      <c r="AP276" s="3">
        <v>0.69166666666666665</v>
      </c>
      <c r="AQ276" s="1"/>
    </row>
    <row r="277" spans="1:43" ht="12.3" x14ac:dyDescent="0.4">
      <c r="A277" s="1" t="s">
        <v>219</v>
      </c>
      <c r="B277" s="1"/>
      <c r="C277" s="1" t="s">
        <v>6</v>
      </c>
      <c r="D277" s="5" t="s">
        <v>7</v>
      </c>
      <c r="E277" s="5" t="s">
        <v>463</v>
      </c>
      <c r="F277" s="4" t="s">
        <v>465</v>
      </c>
      <c r="G277" s="4" t="s">
        <v>465</v>
      </c>
      <c r="I277" s="1" t="s">
        <v>29</v>
      </c>
      <c r="J277" s="1" t="s">
        <v>9</v>
      </c>
      <c r="K277" s="4" t="s">
        <v>464</v>
      </c>
      <c r="L277" s="1" t="s">
        <v>23</v>
      </c>
      <c r="M277" s="1"/>
      <c r="O277" s="1"/>
      <c r="P277" s="1"/>
      <c r="Q277" s="1"/>
      <c r="S277" s="2"/>
      <c r="T277" s="1"/>
      <c r="U277" s="1"/>
      <c r="V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 t="s">
        <v>12</v>
      </c>
      <c r="AN277" s="1" t="s">
        <v>13</v>
      </c>
      <c r="AO277" s="1">
        <v>299</v>
      </c>
      <c r="AP277" s="3">
        <v>0.49833333333333335</v>
      </c>
      <c r="AQ277" s="1"/>
    </row>
    <row r="278" spans="1:43" ht="12.3" x14ac:dyDescent="0.4">
      <c r="A278" s="1" t="s">
        <v>220</v>
      </c>
      <c r="B278" s="1"/>
      <c r="C278" s="1" t="s">
        <v>6</v>
      </c>
      <c r="D278" s="5" t="s">
        <v>7</v>
      </c>
      <c r="E278" s="5" t="s">
        <v>463</v>
      </c>
      <c r="F278" s="4" t="s">
        <v>465</v>
      </c>
      <c r="G278" s="4" t="s">
        <v>465</v>
      </c>
      <c r="I278" s="1" t="s">
        <v>8</v>
      </c>
      <c r="J278" s="1" t="s">
        <v>9</v>
      </c>
      <c r="K278" s="4" t="s">
        <v>464</v>
      </c>
      <c r="L278" s="1" t="s">
        <v>26</v>
      </c>
      <c r="M278" s="1"/>
      <c r="O278" s="1"/>
      <c r="P278" s="1"/>
      <c r="Q278" s="1"/>
      <c r="S278" s="2"/>
      <c r="T278" s="1"/>
      <c r="U278" s="1"/>
      <c r="V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 t="s">
        <v>12</v>
      </c>
      <c r="AN278" s="1" t="s">
        <v>13</v>
      </c>
      <c r="AO278" s="1">
        <v>298</v>
      </c>
      <c r="AP278" s="3">
        <v>0.49666666666666665</v>
      </c>
      <c r="AQ278" s="1"/>
    </row>
    <row r="279" spans="1:43" ht="12.3" x14ac:dyDescent="0.4">
      <c r="A279" s="1" t="s">
        <v>220</v>
      </c>
      <c r="B279" s="1"/>
      <c r="C279" s="1" t="s">
        <v>6</v>
      </c>
      <c r="D279" s="5" t="s">
        <v>7</v>
      </c>
      <c r="E279" s="5" t="s">
        <v>463</v>
      </c>
      <c r="F279" s="4" t="s">
        <v>465</v>
      </c>
      <c r="G279" s="4" t="s">
        <v>465</v>
      </c>
      <c r="I279" s="1" t="s">
        <v>16</v>
      </c>
      <c r="J279" s="1" t="s">
        <v>10</v>
      </c>
      <c r="K279" s="4" t="s">
        <v>464</v>
      </c>
      <c r="L279" s="1" t="s">
        <v>26</v>
      </c>
      <c r="M279" s="1"/>
      <c r="O279" s="1"/>
      <c r="P279" s="1"/>
      <c r="Q279" s="1"/>
      <c r="S279" s="2"/>
      <c r="T279" s="1"/>
      <c r="U279" s="1"/>
      <c r="V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 t="s">
        <v>15</v>
      </c>
      <c r="AN279" s="1" t="s">
        <v>13</v>
      </c>
      <c r="AO279" s="1">
        <v>360</v>
      </c>
      <c r="AP279" s="3">
        <v>0.6</v>
      </c>
      <c r="AQ279" s="1"/>
    </row>
    <row r="280" spans="1:43" ht="12.3" x14ac:dyDescent="0.4">
      <c r="A280" s="1" t="s">
        <v>221</v>
      </c>
      <c r="B280" s="1"/>
      <c r="C280" s="1" t="s">
        <v>6</v>
      </c>
      <c r="D280" s="5" t="s">
        <v>7</v>
      </c>
      <c r="E280" s="5" t="s">
        <v>463</v>
      </c>
      <c r="F280" s="4" t="s">
        <v>465</v>
      </c>
      <c r="G280" s="4" t="s">
        <v>465</v>
      </c>
      <c r="I280" s="1" t="s">
        <v>16</v>
      </c>
      <c r="J280" s="1" t="s">
        <v>10</v>
      </c>
      <c r="K280" s="4" t="s">
        <v>464</v>
      </c>
      <c r="L280" s="1" t="s">
        <v>22</v>
      </c>
      <c r="M280" s="1"/>
      <c r="O280" s="1"/>
      <c r="P280" s="1"/>
      <c r="Q280" s="1"/>
      <c r="S280" s="2"/>
      <c r="T280" s="1"/>
      <c r="U280" s="1"/>
      <c r="V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 t="s">
        <v>12</v>
      </c>
      <c r="AN280" s="1" t="s">
        <v>14</v>
      </c>
      <c r="AO280" s="1">
        <v>258</v>
      </c>
      <c r="AP280" s="3">
        <v>0.43</v>
      </c>
      <c r="AQ280" s="1"/>
    </row>
    <row r="281" spans="1:43" ht="12.3" x14ac:dyDescent="0.4">
      <c r="A281" s="1" t="s">
        <v>221</v>
      </c>
      <c r="B281" s="1"/>
      <c r="C281" s="1" t="s">
        <v>6</v>
      </c>
      <c r="D281" s="5" t="s">
        <v>7</v>
      </c>
      <c r="E281" s="5" t="s">
        <v>463</v>
      </c>
      <c r="F281" s="4" t="s">
        <v>465</v>
      </c>
      <c r="G281" s="4" t="s">
        <v>465</v>
      </c>
      <c r="I281" s="1" t="s">
        <v>16</v>
      </c>
      <c r="J281" s="1" t="s">
        <v>10</v>
      </c>
      <c r="K281" s="4" t="s">
        <v>464</v>
      </c>
      <c r="L281" s="1" t="s">
        <v>22</v>
      </c>
      <c r="M281" s="1"/>
      <c r="O281" s="1"/>
      <c r="P281" s="1"/>
      <c r="Q281" s="1"/>
      <c r="S281" s="2"/>
      <c r="T281" s="1"/>
      <c r="U281" s="1"/>
      <c r="V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 t="s">
        <v>15</v>
      </c>
      <c r="AN281" s="1" t="s">
        <v>14</v>
      </c>
      <c r="AO281" s="1">
        <v>342</v>
      </c>
      <c r="AP281" s="3">
        <v>0.56999999999999995</v>
      </c>
      <c r="AQ281" s="1"/>
    </row>
    <row r="282" spans="1:43" ht="12.3" x14ac:dyDescent="0.4">
      <c r="A282" s="1" t="s">
        <v>222</v>
      </c>
      <c r="B282" s="1"/>
      <c r="C282" s="1" t="s">
        <v>6</v>
      </c>
      <c r="D282" s="5" t="s">
        <v>7</v>
      </c>
      <c r="E282" s="5" t="s">
        <v>463</v>
      </c>
      <c r="F282" s="4" t="s">
        <v>465</v>
      </c>
      <c r="G282" s="4" t="s">
        <v>465</v>
      </c>
      <c r="I282" s="1" t="s">
        <v>16</v>
      </c>
      <c r="J282" s="1" t="s">
        <v>10</v>
      </c>
      <c r="K282" s="4" t="s">
        <v>464</v>
      </c>
      <c r="L282" s="1" t="s">
        <v>22</v>
      </c>
      <c r="M282" s="1"/>
      <c r="O282" s="1"/>
      <c r="P282" s="1"/>
      <c r="Q282" s="1"/>
      <c r="S282" s="2"/>
      <c r="T282" s="1"/>
      <c r="U282" s="1"/>
      <c r="V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 t="s">
        <v>12</v>
      </c>
      <c r="AN282" s="1" t="s">
        <v>14</v>
      </c>
      <c r="AO282" s="1">
        <v>251</v>
      </c>
      <c r="AP282" s="3">
        <v>0.41833333333333333</v>
      </c>
      <c r="AQ282" s="1"/>
    </row>
    <row r="283" spans="1:43" ht="12.3" x14ac:dyDescent="0.4">
      <c r="A283" s="1" t="s">
        <v>222</v>
      </c>
      <c r="B283" s="1"/>
      <c r="C283" s="1" t="s">
        <v>6</v>
      </c>
      <c r="D283" s="5" t="s">
        <v>7</v>
      </c>
      <c r="E283" s="5" t="s">
        <v>463</v>
      </c>
      <c r="F283" s="4" t="s">
        <v>465</v>
      </c>
      <c r="G283" s="4" t="s">
        <v>465</v>
      </c>
      <c r="I283" s="1" t="s">
        <v>16</v>
      </c>
      <c r="J283" s="1" t="s">
        <v>10</v>
      </c>
      <c r="K283" s="4" t="s">
        <v>464</v>
      </c>
      <c r="L283" s="1" t="s">
        <v>22</v>
      </c>
      <c r="M283" s="1"/>
      <c r="O283" s="1"/>
      <c r="P283" s="1"/>
      <c r="Q283" s="1"/>
      <c r="S283" s="2"/>
      <c r="T283" s="1"/>
      <c r="U283" s="1"/>
      <c r="V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 t="s">
        <v>15</v>
      </c>
      <c r="AN283" s="1" t="s">
        <v>14</v>
      </c>
      <c r="AO283" s="1">
        <v>347</v>
      </c>
      <c r="AP283" s="3">
        <v>0.57833333333333337</v>
      </c>
      <c r="AQ283" s="1"/>
    </row>
    <row r="284" spans="1:43" ht="12.3" x14ac:dyDescent="0.4">
      <c r="A284" s="1" t="s">
        <v>223</v>
      </c>
      <c r="B284" s="1"/>
      <c r="C284" s="1" t="s">
        <v>6</v>
      </c>
      <c r="D284" s="5" t="s">
        <v>7</v>
      </c>
      <c r="E284" s="5" t="s">
        <v>463</v>
      </c>
      <c r="F284" s="4" t="s">
        <v>465</v>
      </c>
      <c r="G284" s="4" t="s">
        <v>465</v>
      </c>
      <c r="I284" s="1" t="s">
        <v>16</v>
      </c>
      <c r="J284" s="1" t="s">
        <v>10</v>
      </c>
      <c r="K284" s="4" t="s">
        <v>464</v>
      </c>
      <c r="L284" s="1" t="s">
        <v>17</v>
      </c>
      <c r="M284" s="1"/>
      <c r="O284" s="1"/>
      <c r="P284" s="1"/>
      <c r="Q284" s="1"/>
      <c r="S284" s="2"/>
      <c r="T284" s="1"/>
      <c r="U284" s="1"/>
      <c r="V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 t="s">
        <v>12</v>
      </c>
      <c r="AN284" s="1" t="s">
        <v>20</v>
      </c>
      <c r="AO284" s="1">
        <v>384</v>
      </c>
      <c r="AP284" s="3">
        <v>0.64</v>
      </c>
      <c r="AQ284" s="1"/>
    </row>
    <row r="285" spans="1:43" ht="12.3" x14ac:dyDescent="0.4">
      <c r="A285" s="1" t="s">
        <v>223</v>
      </c>
      <c r="B285" s="1"/>
      <c r="C285" s="1" t="s">
        <v>6</v>
      </c>
      <c r="D285" s="5" t="s">
        <v>7</v>
      </c>
      <c r="E285" s="5" t="s">
        <v>463</v>
      </c>
      <c r="F285" s="4" t="s">
        <v>465</v>
      </c>
      <c r="G285" s="4" t="s">
        <v>465</v>
      </c>
      <c r="I285" s="1" t="s">
        <v>16</v>
      </c>
      <c r="J285" s="1" t="s">
        <v>10</v>
      </c>
      <c r="K285" s="4" t="s">
        <v>464</v>
      </c>
      <c r="L285" s="1" t="s">
        <v>17</v>
      </c>
      <c r="M285" s="1"/>
      <c r="O285" s="1"/>
      <c r="P285" s="1"/>
      <c r="Q285" s="1"/>
      <c r="S285" s="2"/>
      <c r="T285" s="1"/>
      <c r="U285" s="1"/>
      <c r="V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 t="s">
        <v>15</v>
      </c>
      <c r="AN285" s="1" t="s">
        <v>20</v>
      </c>
      <c r="AO285" s="1">
        <v>402</v>
      </c>
      <c r="AP285" s="3">
        <v>0.67</v>
      </c>
      <c r="AQ285" s="1"/>
    </row>
    <row r="286" spans="1:43" ht="12.3" x14ac:dyDescent="0.4">
      <c r="A286" s="1" t="s">
        <v>224</v>
      </c>
      <c r="B286" s="1"/>
      <c r="C286" s="1" t="s">
        <v>6</v>
      </c>
      <c r="D286" s="5" t="s">
        <v>7</v>
      </c>
      <c r="E286" s="5" t="s">
        <v>463</v>
      </c>
      <c r="F286" s="4" t="s">
        <v>465</v>
      </c>
      <c r="G286" s="4" t="s">
        <v>465</v>
      </c>
      <c r="I286" s="1" t="s">
        <v>16</v>
      </c>
      <c r="J286" s="1" t="s">
        <v>10</v>
      </c>
      <c r="K286" s="4" t="s">
        <v>464</v>
      </c>
      <c r="L286" s="1" t="s">
        <v>24</v>
      </c>
      <c r="M286" s="1"/>
      <c r="O286" s="1"/>
      <c r="P286" s="1"/>
      <c r="Q286" s="1"/>
      <c r="S286" s="2"/>
      <c r="T286" s="1"/>
      <c r="U286" s="1"/>
      <c r="V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 t="s">
        <v>12</v>
      </c>
      <c r="AN286" s="1" t="s">
        <v>14</v>
      </c>
      <c r="AO286" s="1">
        <v>260</v>
      </c>
      <c r="AP286" s="3">
        <v>0.43333333333333335</v>
      </c>
      <c r="AQ286" s="1"/>
    </row>
    <row r="287" spans="1:43" ht="12.3" x14ac:dyDescent="0.4">
      <c r="A287" s="1" t="s">
        <v>224</v>
      </c>
      <c r="B287" s="1"/>
      <c r="C287" s="1" t="s">
        <v>6</v>
      </c>
      <c r="D287" s="5" t="s">
        <v>7</v>
      </c>
      <c r="E287" s="5" t="s">
        <v>463</v>
      </c>
      <c r="F287" s="4" t="s">
        <v>465</v>
      </c>
      <c r="G287" s="4" t="s">
        <v>465</v>
      </c>
      <c r="I287" s="1" t="s">
        <v>16</v>
      </c>
      <c r="J287" s="1" t="s">
        <v>10</v>
      </c>
      <c r="K287" s="4" t="s">
        <v>464</v>
      </c>
      <c r="L287" s="1" t="s">
        <v>24</v>
      </c>
      <c r="M287" s="1"/>
      <c r="O287" s="1"/>
      <c r="P287" s="1"/>
      <c r="Q287" s="1"/>
      <c r="S287" s="2"/>
      <c r="T287" s="1"/>
      <c r="U287" s="2"/>
      <c r="V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 t="s">
        <v>15</v>
      </c>
      <c r="AN287" s="1" t="s">
        <v>14</v>
      </c>
      <c r="AO287" s="1">
        <v>339</v>
      </c>
      <c r="AP287" s="3">
        <v>0.56499999999999995</v>
      </c>
      <c r="AQ287" s="1"/>
    </row>
    <row r="288" spans="1:43" ht="12.3" x14ac:dyDescent="0.4">
      <c r="A288" s="1" t="s">
        <v>225</v>
      </c>
      <c r="B288" s="1"/>
      <c r="C288" s="1" t="s">
        <v>6</v>
      </c>
      <c r="D288" s="5" t="s">
        <v>7</v>
      </c>
      <c r="E288" s="5" t="s">
        <v>463</v>
      </c>
      <c r="F288" s="4" t="s">
        <v>465</v>
      </c>
      <c r="G288" s="4" t="s">
        <v>465</v>
      </c>
      <c r="I288" s="1" t="s">
        <v>16</v>
      </c>
      <c r="J288" s="1" t="s">
        <v>10</v>
      </c>
      <c r="K288" s="4" t="s">
        <v>464</v>
      </c>
      <c r="L288" s="1" t="s">
        <v>24</v>
      </c>
      <c r="M288" s="1"/>
      <c r="O288" s="1"/>
      <c r="P288" s="1"/>
      <c r="Q288" s="1"/>
      <c r="S288" s="2"/>
      <c r="T288" s="1"/>
      <c r="U288" s="2"/>
      <c r="V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 t="s">
        <v>12</v>
      </c>
      <c r="AN288" s="1" t="s">
        <v>20</v>
      </c>
      <c r="AO288" s="1">
        <v>333</v>
      </c>
      <c r="AP288" s="3">
        <v>0.55500000000000005</v>
      </c>
      <c r="AQ288" s="1"/>
    </row>
    <row r="289" spans="1:43" ht="12.3" x14ac:dyDescent="0.4">
      <c r="A289" s="1" t="s">
        <v>225</v>
      </c>
      <c r="B289" s="1"/>
      <c r="C289" s="1" t="s">
        <v>6</v>
      </c>
      <c r="D289" s="5" t="s">
        <v>7</v>
      </c>
      <c r="E289" s="5" t="s">
        <v>463</v>
      </c>
      <c r="F289" s="4" t="s">
        <v>465</v>
      </c>
      <c r="G289" s="4" t="s">
        <v>465</v>
      </c>
      <c r="I289" s="1" t="s">
        <v>8</v>
      </c>
      <c r="J289" s="1" t="s">
        <v>9</v>
      </c>
      <c r="K289" s="4" t="s">
        <v>464</v>
      </c>
      <c r="L289" s="1" t="s">
        <v>24</v>
      </c>
      <c r="M289" s="1"/>
      <c r="O289" s="1"/>
      <c r="P289" s="1"/>
      <c r="Q289" s="1"/>
      <c r="S289" s="2"/>
      <c r="T289" s="1"/>
      <c r="U289" s="2"/>
      <c r="V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 t="s">
        <v>15</v>
      </c>
      <c r="AN289" s="1" t="s">
        <v>18</v>
      </c>
      <c r="AO289" s="1">
        <v>372</v>
      </c>
      <c r="AP289" s="3">
        <v>0.62</v>
      </c>
      <c r="AQ289" s="1"/>
    </row>
    <row r="290" spans="1:43" ht="12.3" x14ac:dyDescent="0.4">
      <c r="A290" s="1" t="s">
        <v>226</v>
      </c>
      <c r="B290" s="1"/>
      <c r="C290" s="1" t="s">
        <v>6</v>
      </c>
      <c r="D290" s="5" t="s">
        <v>7</v>
      </c>
      <c r="E290" s="5" t="s">
        <v>463</v>
      </c>
      <c r="F290" s="4" t="s">
        <v>465</v>
      </c>
      <c r="G290" s="4" t="s">
        <v>465</v>
      </c>
      <c r="I290" s="1" t="s">
        <v>8</v>
      </c>
      <c r="J290" s="1" t="s">
        <v>9</v>
      </c>
      <c r="K290" s="4" t="s">
        <v>464</v>
      </c>
      <c r="L290" s="1" t="s">
        <v>24</v>
      </c>
      <c r="M290" s="1"/>
      <c r="O290" s="1"/>
      <c r="P290" s="1"/>
      <c r="Q290" s="1"/>
      <c r="S290" s="2"/>
      <c r="T290" s="1"/>
      <c r="U290" s="2"/>
      <c r="V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 t="s">
        <v>12</v>
      </c>
      <c r="AN290" s="1" t="s">
        <v>14</v>
      </c>
      <c r="AO290" s="1">
        <v>243</v>
      </c>
      <c r="AP290" s="3">
        <v>0.40500000000000003</v>
      </c>
      <c r="AQ290" s="1"/>
    </row>
    <row r="291" spans="1:43" ht="12.3" x14ac:dyDescent="0.4">
      <c r="A291" s="1" t="s">
        <v>226</v>
      </c>
      <c r="B291" s="1"/>
      <c r="C291" s="1" t="s">
        <v>6</v>
      </c>
      <c r="D291" s="5" t="s">
        <v>7</v>
      </c>
      <c r="E291" s="5" t="s">
        <v>463</v>
      </c>
      <c r="F291" s="4" t="s">
        <v>465</v>
      </c>
      <c r="G291" s="4" t="s">
        <v>465</v>
      </c>
      <c r="I291" s="1" t="s">
        <v>16</v>
      </c>
      <c r="J291" s="1" t="s">
        <v>10</v>
      </c>
      <c r="K291" s="4" t="s">
        <v>464</v>
      </c>
      <c r="L291" s="1" t="s">
        <v>24</v>
      </c>
      <c r="M291" s="1"/>
      <c r="O291" s="1"/>
      <c r="P291" s="1"/>
      <c r="Q291" s="1"/>
      <c r="S291" s="1"/>
      <c r="T291" s="1"/>
      <c r="U291" s="1"/>
      <c r="V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 t="s">
        <v>15</v>
      </c>
      <c r="AN291" s="1" t="s">
        <v>14</v>
      </c>
      <c r="AO291" s="1">
        <v>318</v>
      </c>
      <c r="AP291" s="3">
        <v>0.53</v>
      </c>
      <c r="AQ291" s="1"/>
    </row>
    <row r="292" spans="1:43" ht="12.3" x14ac:dyDescent="0.4">
      <c r="A292" s="1" t="s">
        <v>227</v>
      </c>
      <c r="B292" s="1"/>
      <c r="C292" s="1" t="s">
        <v>6</v>
      </c>
      <c r="D292" s="5" t="s">
        <v>7</v>
      </c>
      <c r="E292" s="5" t="s">
        <v>463</v>
      </c>
      <c r="F292" s="4" t="s">
        <v>465</v>
      </c>
      <c r="G292" s="4" t="s">
        <v>465</v>
      </c>
      <c r="I292" s="1" t="s">
        <v>16</v>
      </c>
      <c r="J292" s="1" t="s">
        <v>10</v>
      </c>
      <c r="K292" s="4" t="s">
        <v>464</v>
      </c>
      <c r="L292" s="1" t="s">
        <v>22</v>
      </c>
      <c r="M292" s="1"/>
      <c r="O292" s="1"/>
      <c r="P292" s="1"/>
      <c r="Q292" s="1"/>
      <c r="S292" s="1"/>
      <c r="T292" s="1"/>
      <c r="U292" s="1"/>
      <c r="V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 t="s">
        <v>12</v>
      </c>
      <c r="AN292" s="1" t="s">
        <v>18</v>
      </c>
      <c r="AO292" s="1">
        <v>306</v>
      </c>
      <c r="AP292" s="3">
        <v>0.51</v>
      </c>
      <c r="AQ292" s="1"/>
    </row>
    <row r="293" spans="1:43" ht="12.3" x14ac:dyDescent="0.4">
      <c r="A293" s="1" t="s">
        <v>227</v>
      </c>
      <c r="B293" s="1"/>
      <c r="C293" s="1" t="s">
        <v>6</v>
      </c>
      <c r="D293" s="5" t="s">
        <v>7</v>
      </c>
      <c r="E293" s="5" t="s">
        <v>463</v>
      </c>
      <c r="F293" s="4" t="s">
        <v>465</v>
      </c>
      <c r="G293" s="4" t="s">
        <v>465</v>
      </c>
      <c r="I293" s="1" t="s">
        <v>8</v>
      </c>
      <c r="J293" s="1" t="s">
        <v>9</v>
      </c>
      <c r="K293" s="4" t="s">
        <v>464</v>
      </c>
      <c r="L293" s="1" t="s">
        <v>22</v>
      </c>
      <c r="M293" s="1"/>
      <c r="O293" s="1"/>
      <c r="P293" s="1"/>
      <c r="Q293" s="1"/>
      <c r="S293" s="1"/>
      <c r="T293" s="1"/>
      <c r="U293" s="1"/>
      <c r="V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 t="s">
        <v>15</v>
      </c>
      <c r="AN293" s="1" t="s">
        <v>14</v>
      </c>
      <c r="AO293" s="1">
        <v>349</v>
      </c>
      <c r="AP293" s="3">
        <v>0.58166666666666667</v>
      </c>
      <c r="AQ293" s="1"/>
    </row>
    <row r="294" spans="1:43" ht="12.3" x14ac:dyDescent="0.4">
      <c r="A294" s="1" t="s">
        <v>228</v>
      </c>
      <c r="B294" s="1"/>
      <c r="C294" s="1" t="s">
        <v>6</v>
      </c>
      <c r="D294" s="5" t="s">
        <v>7</v>
      </c>
      <c r="E294" s="5" t="s">
        <v>463</v>
      </c>
      <c r="F294" s="4" t="s">
        <v>465</v>
      </c>
      <c r="G294" s="4" t="s">
        <v>465</v>
      </c>
      <c r="I294" s="1" t="s">
        <v>8</v>
      </c>
      <c r="J294" s="1" t="s">
        <v>9</v>
      </c>
      <c r="K294" s="4" t="s">
        <v>464</v>
      </c>
      <c r="L294" s="1" t="s">
        <v>32</v>
      </c>
      <c r="M294" s="1"/>
      <c r="O294" s="1"/>
      <c r="P294" s="1"/>
      <c r="Q294" s="1"/>
      <c r="S294" s="1"/>
      <c r="T294" s="1"/>
      <c r="U294" s="1"/>
      <c r="V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 t="s">
        <v>12</v>
      </c>
      <c r="AN294" s="1" t="s">
        <v>14</v>
      </c>
      <c r="AO294" s="1">
        <v>243</v>
      </c>
      <c r="AP294" s="3">
        <v>0.40500000000000003</v>
      </c>
      <c r="AQ294" s="1"/>
    </row>
    <row r="295" spans="1:43" ht="12.3" x14ac:dyDescent="0.4">
      <c r="A295" s="1" t="s">
        <v>229</v>
      </c>
      <c r="B295" s="1"/>
      <c r="C295" s="1" t="s">
        <v>6</v>
      </c>
      <c r="D295" s="5" t="s">
        <v>7</v>
      </c>
      <c r="E295" s="5" t="s">
        <v>463</v>
      </c>
      <c r="F295" s="4" t="s">
        <v>465</v>
      </c>
      <c r="G295" s="4" t="s">
        <v>465</v>
      </c>
      <c r="I295" s="1" t="s">
        <v>8</v>
      </c>
      <c r="J295" s="1" t="s">
        <v>9</v>
      </c>
      <c r="K295" s="4" t="s">
        <v>464</v>
      </c>
      <c r="L295" s="1" t="s">
        <v>21</v>
      </c>
      <c r="M295" s="1"/>
      <c r="O295" s="1"/>
      <c r="P295" s="1"/>
      <c r="Q295" s="1"/>
      <c r="S295" s="1"/>
      <c r="T295" s="1"/>
      <c r="U295" s="1"/>
      <c r="V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 t="s">
        <v>12</v>
      </c>
      <c r="AN295" s="1" t="s">
        <v>13</v>
      </c>
      <c r="AO295" s="1">
        <v>292</v>
      </c>
      <c r="AP295" s="3">
        <v>0.48666666666666669</v>
      </c>
      <c r="AQ295" s="1"/>
    </row>
    <row r="296" spans="1:43" ht="12.3" x14ac:dyDescent="0.4">
      <c r="A296" s="1" t="s">
        <v>229</v>
      </c>
      <c r="B296" s="1"/>
      <c r="C296" s="1" t="s">
        <v>6</v>
      </c>
      <c r="D296" s="5" t="s">
        <v>7</v>
      </c>
      <c r="E296" s="5" t="s">
        <v>463</v>
      </c>
      <c r="F296" s="4" t="s">
        <v>465</v>
      </c>
      <c r="G296" s="4" t="s">
        <v>465</v>
      </c>
      <c r="I296" s="1" t="s">
        <v>16</v>
      </c>
      <c r="J296" s="1" t="s">
        <v>10</v>
      </c>
      <c r="K296" s="4" t="s">
        <v>464</v>
      </c>
      <c r="L296" s="1" t="s">
        <v>21</v>
      </c>
      <c r="M296" s="1"/>
      <c r="O296" s="1"/>
      <c r="P296" s="1"/>
      <c r="Q296" s="1"/>
      <c r="S296" s="2"/>
      <c r="T296" s="1"/>
      <c r="U296" s="1"/>
      <c r="V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 t="s">
        <v>15</v>
      </c>
      <c r="AN296" s="1" t="s">
        <v>18</v>
      </c>
      <c r="AO296" s="1">
        <v>383</v>
      </c>
      <c r="AP296" s="3">
        <v>0.63833333333333331</v>
      </c>
      <c r="AQ296" s="1"/>
    </row>
    <row r="297" spans="1:43" ht="12.3" x14ac:dyDescent="0.4">
      <c r="A297" s="1" t="s">
        <v>230</v>
      </c>
      <c r="B297" s="1"/>
      <c r="C297" s="1" t="s">
        <v>6</v>
      </c>
      <c r="D297" s="5" t="s">
        <v>7</v>
      </c>
      <c r="E297" s="5" t="s">
        <v>463</v>
      </c>
      <c r="F297" s="4" t="s">
        <v>465</v>
      </c>
      <c r="G297" s="4" t="s">
        <v>465</v>
      </c>
      <c r="I297" s="1" t="s">
        <v>16</v>
      </c>
      <c r="J297" s="1" t="s">
        <v>10</v>
      </c>
      <c r="K297" s="4" t="s">
        <v>464</v>
      </c>
      <c r="L297" s="1" t="s">
        <v>23</v>
      </c>
      <c r="M297" s="1"/>
      <c r="O297" s="1"/>
      <c r="P297" s="1"/>
      <c r="Q297" s="1"/>
      <c r="S297" s="2"/>
      <c r="T297" s="1"/>
      <c r="U297" s="1"/>
      <c r="V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 t="s">
        <v>12</v>
      </c>
      <c r="AN297" s="1" t="s">
        <v>14</v>
      </c>
      <c r="AO297" s="1">
        <v>259</v>
      </c>
      <c r="AP297" s="3">
        <v>0.43166666666666664</v>
      </c>
      <c r="AQ297" s="1"/>
    </row>
    <row r="298" spans="1:43" ht="12.3" x14ac:dyDescent="0.4">
      <c r="A298" s="1" t="s">
        <v>230</v>
      </c>
      <c r="B298" s="1"/>
      <c r="C298" s="1" t="s">
        <v>6</v>
      </c>
      <c r="D298" s="5" t="s">
        <v>7</v>
      </c>
      <c r="E298" s="5" t="s">
        <v>463</v>
      </c>
      <c r="F298" s="4" t="s">
        <v>465</v>
      </c>
      <c r="G298" s="4" t="s">
        <v>465</v>
      </c>
      <c r="I298" s="1" t="s">
        <v>16</v>
      </c>
      <c r="J298" s="1" t="s">
        <v>10</v>
      </c>
      <c r="K298" s="4" t="s">
        <v>464</v>
      </c>
      <c r="L298" s="1" t="s">
        <v>23</v>
      </c>
      <c r="M298" s="1"/>
      <c r="O298" s="1"/>
      <c r="P298" s="1"/>
      <c r="Q298" s="1"/>
      <c r="S298" s="1"/>
      <c r="T298" s="1"/>
      <c r="U298" s="2"/>
      <c r="V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 t="s">
        <v>15</v>
      </c>
      <c r="AN298" s="1" t="s">
        <v>18</v>
      </c>
      <c r="AO298" s="1">
        <v>382</v>
      </c>
      <c r="AP298" s="3">
        <v>0.63666666666666671</v>
      </c>
      <c r="AQ298" s="1"/>
    </row>
    <row r="299" spans="1:43" ht="12.3" x14ac:dyDescent="0.4">
      <c r="A299" s="1" t="s">
        <v>231</v>
      </c>
      <c r="B299" s="1"/>
      <c r="C299" s="1" t="s">
        <v>6</v>
      </c>
      <c r="D299" s="5" t="s">
        <v>7</v>
      </c>
      <c r="E299" s="5" t="s">
        <v>463</v>
      </c>
      <c r="F299" s="4" t="s">
        <v>465</v>
      </c>
      <c r="G299" s="4" t="s">
        <v>465</v>
      </c>
      <c r="I299" s="1" t="s">
        <v>16</v>
      </c>
      <c r="J299" s="1" t="s">
        <v>10</v>
      </c>
      <c r="K299" s="4" t="s">
        <v>464</v>
      </c>
      <c r="L299" s="1" t="s">
        <v>17</v>
      </c>
      <c r="M299" s="1"/>
      <c r="O299" s="1"/>
      <c r="P299" s="1"/>
      <c r="Q299" s="1"/>
      <c r="S299" s="1"/>
      <c r="T299" s="1"/>
      <c r="U299" s="2"/>
      <c r="V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 t="s">
        <v>12</v>
      </c>
      <c r="AN299" s="1" t="s">
        <v>20</v>
      </c>
      <c r="AO299" s="1">
        <v>348</v>
      </c>
      <c r="AP299" s="3">
        <v>0.57999999999999996</v>
      </c>
      <c r="AQ299" s="1"/>
    </row>
    <row r="300" spans="1:43" ht="12.3" x14ac:dyDescent="0.4">
      <c r="A300" s="1" t="s">
        <v>231</v>
      </c>
      <c r="B300" s="1"/>
      <c r="C300" s="1" t="s">
        <v>6</v>
      </c>
      <c r="D300" s="5" t="s">
        <v>7</v>
      </c>
      <c r="E300" s="5" t="s">
        <v>463</v>
      </c>
      <c r="F300" s="4" t="s">
        <v>465</v>
      </c>
      <c r="G300" s="4" t="s">
        <v>465</v>
      </c>
      <c r="I300" s="1" t="s">
        <v>16</v>
      </c>
      <c r="J300" s="1" t="s">
        <v>10</v>
      </c>
      <c r="K300" s="4" t="s">
        <v>464</v>
      </c>
      <c r="L300" s="1" t="s">
        <v>17</v>
      </c>
      <c r="M300" s="1"/>
      <c r="O300" s="1"/>
      <c r="P300" s="1"/>
      <c r="Q300" s="1"/>
      <c r="S300" s="2"/>
      <c r="T300" s="1"/>
      <c r="U300" s="2"/>
      <c r="V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 t="s">
        <v>15</v>
      </c>
      <c r="AN300" s="1" t="s">
        <v>20</v>
      </c>
      <c r="AO300" s="1">
        <v>409</v>
      </c>
      <c r="AP300" s="3">
        <v>0.68166666666666664</v>
      </c>
      <c r="AQ300" s="1"/>
    </row>
    <row r="301" spans="1:43" ht="12.3" x14ac:dyDescent="0.4">
      <c r="A301" s="1" t="s">
        <v>232</v>
      </c>
      <c r="B301" s="1"/>
      <c r="C301" s="1" t="s">
        <v>6</v>
      </c>
      <c r="D301" s="5" t="s">
        <v>7</v>
      </c>
      <c r="E301" s="5" t="s">
        <v>463</v>
      </c>
      <c r="F301" s="4" t="s">
        <v>465</v>
      </c>
      <c r="G301" s="4" t="s">
        <v>465</v>
      </c>
      <c r="I301" s="1" t="s">
        <v>16</v>
      </c>
      <c r="J301" s="1" t="s">
        <v>10</v>
      </c>
      <c r="K301" s="4" t="s">
        <v>464</v>
      </c>
      <c r="L301" s="1" t="s">
        <v>22</v>
      </c>
      <c r="M301" s="1"/>
      <c r="O301" s="1"/>
      <c r="P301" s="1"/>
      <c r="Q301" s="1"/>
      <c r="S301" s="2"/>
      <c r="T301" s="1"/>
      <c r="U301" s="2"/>
      <c r="V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 t="s">
        <v>12</v>
      </c>
      <c r="AN301" s="1" t="s">
        <v>14</v>
      </c>
      <c r="AO301" s="1">
        <v>253</v>
      </c>
      <c r="AP301" s="3">
        <v>0.42166666666666669</v>
      </c>
      <c r="AQ301" s="1"/>
    </row>
    <row r="302" spans="1:43" ht="12.3" x14ac:dyDescent="0.4">
      <c r="A302" s="1" t="s">
        <v>233</v>
      </c>
      <c r="B302" s="1"/>
      <c r="C302" s="1" t="s">
        <v>6</v>
      </c>
      <c r="D302" s="5" t="s">
        <v>7</v>
      </c>
      <c r="E302" s="5" t="s">
        <v>463</v>
      </c>
      <c r="F302" s="4" t="s">
        <v>465</v>
      </c>
      <c r="G302" s="4" t="s">
        <v>465</v>
      </c>
      <c r="I302" s="1" t="s">
        <v>16</v>
      </c>
      <c r="J302" s="1" t="s">
        <v>10</v>
      </c>
      <c r="K302" s="4" t="s">
        <v>464</v>
      </c>
      <c r="O302" s="1"/>
      <c r="P302" s="1"/>
      <c r="Q302" s="1"/>
      <c r="S302" s="1"/>
      <c r="T302" s="1"/>
      <c r="U302" s="1"/>
      <c r="V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 t="s">
        <v>12</v>
      </c>
      <c r="AN302" s="1" t="s">
        <v>14</v>
      </c>
      <c r="AO302" s="1">
        <v>272</v>
      </c>
      <c r="AP302" s="3">
        <v>0.45333333333333331</v>
      </c>
      <c r="AQ302" s="1"/>
    </row>
    <row r="303" spans="1:43" ht="12.3" x14ac:dyDescent="0.4">
      <c r="A303" s="1" t="s">
        <v>234</v>
      </c>
      <c r="B303" s="1"/>
      <c r="C303" s="1" t="s">
        <v>6</v>
      </c>
      <c r="D303" s="5" t="s">
        <v>7</v>
      </c>
      <c r="E303" s="5" t="s">
        <v>463</v>
      </c>
      <c r="F303" s="4" t="s">
        <v>465</v>
      </c>
      <c r="G303" s="4" t="s">
        <v>465</v>
      </c>
      <c r="I303" s="1" t="s">
        <v>16</v>
      </c>
      <c r="J303" s="1" t="s">
        <v>10</v>
      </c>
      <c r="K303" s="4" t="s">
        <v>464</v>
      </c>
      <c r="L303" s="1" t="s">
        <v>25</v>
      </c>
      <c r="M303" s="1"/>
      <c r="O303" s="1"/>
      <c r="P303" s="1"/>
      <c r="Q303" s="1"/>
      <c r="S303" s="2"/>
      <c r="T303" s="1"/>
      <c r="U303" s="2"/>
      <c r="V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 t="s">
        <v>12</v>
      </c>
      <c r="AN303" s="1" t="s">
        <v>13</v>
      </c>
      <c r="AO303" s="1">
        <v>298</v>
      </c>
      <c r="AP303" s="3">
        <v>0.49666666666666665</v>
      </c>
      <c r="AQ303" s="1"/>
    </row>
    <row r="304" spans="1:43" ht="12.3" x14ac:dyDescent="0.4">
      <c r="A304" s="1" t="s">
        <v>234</v>
      </c>
      <c r="B304" s="1"/>
      <c r="C304" s="1" t="s">
        <v>6</v>
      </c>
      <c r="D304" s="5" t="s">
        <v>7</v>
      </c>
      <c r="E304" s="5" t="s">
        <v>463</v>
      </c>
      <c r="F304" s="4" t="s">
        <v>465</v>
      </c>
      <c r="G304" s="4" t="s">
        <v>465</v>
      </c>
      <c r="I304" s="1" t="s">
        <v>16</v>
      </c>
      <c r="J304" s="1" t="s">
        <v>10</v>
      </c>
      <c r="K304" s="4" t="s">
        <v>464</v>
      </c>
      <c r="L304" s="1" t="s">
        <v>25</v>
      </c>
      <c r="M304" s="1"/>
      <c r="O304" s="1"/>
      <c r="P304" s="1"/>
      <c r="Q304" s="1"/>
      <c r="S304" s="2"/>
      <c r="T304" s="1"/>
      <c r="U304" s="1"/>
      <c r="V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 t="s">
        <v>15</v>
      </c>
      <c r="AN304" s="1" t="s">
        <v>13</v>
      </c>
      <c r="AO304" s="1">
        <v>356</v>
      </c>
      <c r="AP304" s="3">
        <v>0.59333333333333338</v>
      </c>
      <c r="AQ304" s="1"/>
    </row>
    <row r="305" spans="1:43" ht="12.3" x14ac:dyDescent="0.4">
      <c r="A305" s="1" t="s">
        <v>235</v>
      </c>
      <c r="B305" s="1"/>
      <c r="C305" s="1" t="s">
        <v>6</v>
      </c>
      <c r="D305" s="5" t="s">
        <v>7</v>
      </c>
      <c r="E305" s="5" t="s">
        <v>463</v>
      </c>
      <c r="F305" s="4" t="s">
        <v>465</v>
      </c>
      <c r="G305" s="4" t="s">
        <v>465</v>
      </c>
      <c r="I305" s="1" t="s">
        <v>16</v>
      </c>
      <c r="J305" s="1" t="s">
        <v>10</v>
      </c>
      <c r="K305" s="4" t="s">
        <v>464</v>
      </c>
      <c r="L305" s="1" t="s">
        <v>25</v>
      </c>
      <c r="M305" s="1"/>
      <c r="O305" s="1"/>
      <c r="P305" s="1"/>
      <c r="Q305" s="1"/>
      <c r="S305" s="2"/>
      <c r="T305" s="1"/>
      <c r="U305" s="1"/>
      <c r="V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 t="s">
        <v>12</v>
      </c>
      <c r="AN305" s="1" t="s">
        <v>18</v>
      </c>
      <c r="AO305" s="1">
        <v>320</v>
      </c>
      <c r="AP305" s="3">
        <v>0.53333333333333333</v>
      </c>
      <c r="AQ305" s="1"/>
    </row>
    <row r="306" spans="1:43" ht="12.3" x14ac:dyDescent="0.4">
      <c r="A306" s="1" t="s">
        <v>235</v>
      </c>
      <c r="B306" s="1"/>
      <c r="C306" s="1" t="s">
        <v>6</v>
      </c>
      <c r="D306" s="5" t="s">
        <v>7</v>
      </c>
      <c r="E306" s="5" t="s">
        <v>463</v>
      </c>
      <c r="F306" s="4" t="s">
        <v>465</v>
      </c>
      <c r="G306" s="4" t="s">
        <v>465</v>
      </c>
      <c r="I306" s="1" t="s">
        <v>16</v>
      </c>
      <c r="J306" s="1" t="s">
        <v>10</v>
      </c>
      <c r="K306" s="4" t="s">
        <v>464</v>
      </c>
      <c r="L306" s="1" t="s">
        <v>25</v>
      </c>
      <c r="M306" s="1"/>
      <c r="O306" s="1"/>
      <c r="P306" s="1"/>
      <c r="Q306" s="1"/>
      <c r="S306" s="2"/>
      <c r="T306" s="1"/>
      <c r="U306" s="2"/>
      <c r="V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 t="s">
        <v>15</v>
      </c>
      <c r="AN306" s="1" t="s">
        <v>18</v>
      </c>
      <c r="AO306" s="1">
        <v>374</v>
      </c>
      <c r="AP306" s="3">
        <v>0.62333333333333329</v>
      </c>
      <c r="AQ306" s="1"/>
    </row>
    <row r="307" spans="1:43" ht="12.3" x14ac:dyDescent="0.4">
      <c r="A307" s="1" t="s">
        <v>236</v>
      </c>
      <c r="B307" s="1"/>
      <c r="C307" s="1" t="s">
        <v>6</v>
      </c>
      <c r="D307" s="5" t="s">
        <v>7</v>
      </c>
      <c r="E307" s="5" t="s">
        <v>463</v>
      </c>
      <c r="F307" s="4" t="s">
        <v>465</v>
      </c>
      <c r="G307" s="4" t="s">
        <v>465</v>
      </c>
      <c r="I307" s="1" t="s">
        <v>16</v>
      </c>
      <c r="J307" s="1" t="s">
        <v>10</v>
      </c>
      <c r="K307" s="4" t="s">
        <v>464</v>
      </c>
      <c r="L307" s="1" t="s">
        <v>24</v>
      </c>
      <c r="M307" s="1"/>
      <c r="O307" s="1"/>
      <c r="P307" s="1"/>
      <c r="Q307" s="1"/>
      <c r="S307" s="2"/>
      <c r="T307" s="1"/>
      <c r="U307" s="2"/>
      <c r="V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 t="s">
        <v>12</v>
      </c>
      <c r="AN307" s="1" t="s">
        <v>13</v>
      </c>
      <c r="AO307" s="1">
        <v>298</v>
      </c>
      <c r="AP307" s="3">
        <v>0.49666666666666665</v>
      </c>
      <c r="AQ307" s="1"/>
    </row>
    <row r="308" spans="1:43" ht="12.3" x14ac:dyDescent="0.4">
      <c r="A308" s="1" t="s">
        <v>236</v>
      </c>
      <c r="B308" s="1"/>
      <c r="C308" s="1" t="s">
        <v>6</v>
      </c>
      <c r="D308" s="5" t="s">
        <v>7</v>
      </c>
      <c r="E308" s="5" t="s">
        <v>463</v>
      </c>
      <c r="F308" s="4" t="s">
        <v>465</v>
      </c>
      <c r="G308" s="4" t="s">
        <v>465</v>
      </c>
      <c r="I308" s="1" t="s">
        <v>16</v>
      </c>
      <c r="J308" s="1" t="s">
        <v>10</v>
      </c>
      <c r="K308" s="4" t="s">
        <v>464</v>
      </c>
      <c r="L308" s="1" t="s">
        <v>24</v>
      </c>
      <c r="M308" s="1"/>
      <c r="O308" s="1"/>
      <c r="P308" s="1"/>
      <c r="Q308" s="1"/>
      <c r="S308" s="1"/>
      <c r="T308" s="1"/>
      <c r="U308" s="1"/>
      <c r="V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 t="s">
        <v>15</v>
      </c>
      <c r="AN308" s="1" t="s">
        <v>13</v>
      </c>
      <c r="AO308" s="1">
        <v>364</v>
      </c>
      <c r="AP308" s="3">
        <v>0.60666666666666669</v>
      </c>
      <c r="AQ308" s="1"/>
    </row>
    <row r="309" spans="1:43" ht="12.3" x14ac:dyDescent="0.4">
      <c r="A309" s="1" t="s">
        <v>237</v>
      </c>
      <c r="B309" s="1"/>
      <c r="C309" s="1" t="s">
        <v>6</v>
      </c>
      <c r="D309" s="5" t="s">
        <v>7</v>
      </c>
      <c r="E309" s="5" t="s">
        <v>463</v>
      </c>
      <c r="F309" s="4" t="s">
        <v>465</v>
      </c>
      <c r="G309" s="4" t="s">
        <v>465</v>
      </c>
      <c r="I309" s="1" t="s">
        <v>16</v>
      </c>
      <c r="J309" s="1" t="s">
        <v>10</v>
      </c>
      <c r="K309" s="4" t="s">
        <v>464</v>
      </c>
      <c r="L309" s="1" t="s">
        <v>28</v>
      </c>
      <c r="M309" s="1"/>
      <c r="O309" s="1"/>
      <c r="P309" s="1"/>
      <c r="Q309" s="1"/>
      <c r="S309" s="1"/>
      <c r="T309" s="1"/>
      <c r="U309" s="1"/>
      <c r="V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 t="s">
        <v>12</v>
      </c>
      <c r="AN309" s="1" t="s">
        <v>18</v>
      </c>
      <c r="AO309" s="1">
        <v>326</v>
      </c>
      <c r="AP309" s="3">
        <v>0.54333333333333333</v>
      </c>
      <c r="AQ309" s="1"/>
    </row>
    <row r="310" spans="1:43" ht="12.3" x14ac:dyDescent="0.4">
      <c r="A310" s="1" t="s">
        <v>237</v>
      </c>
      <c r="B310" s="1"/>
      <c r="C310" s="1" t="s">
        <v>6</v>
      </c>
      <c r="D310" s="5" t="s">
        <v>7</v>
      </c>
      <c r="E310" s="5" t="s">
        <v>463</v>
      </c>
      <c r="F310" s="4" t="s">
        <v>465</v>
      </c>
      <c r="G310" s="4" t="s">
        <v>465</v>
      </c>
      <c r="I310" s="1" t="s">
        <v>16</v>
      </c>
      <c r="J310" s="1" t="s">
        <v>10</v>
      </c>
      <c r="K310" s="4" t="s">
        <v>464</v>
      </c>
      <c r="L310" s="1" t="s">
        <v>28</v>
      </c>
      <c r="M310" s="1"/>
      <c r="O310" s="1"/>
      <c r="P310" s="1"/>
      <c r="Q310" s="1"/>
      <c r="S310" s="2"/>
      <c r="T310" s="1"/>
      <c r="U310" s="2"/>
      <c r="V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 t="s">
        <v>15</v>
      </c>
      <c r="AN310" s="1" t="s">
        <v>13</v>
      </c>
      <c r="AO310" s="1">
        <v>367</v>
      </c>
      <c r="AP310" s="3">
        <v>0.61166666666666669</v>
      </c>
      <c r="AQ310" s="1"/>
    </row>
    <row r="311" spans="1:43" ht="12.3" x14ac:dyDescent="0.4">
      <c r="A311" s="1" t="s">
        <v>238</v>
      </c>
      <c r="B311" s="1"/>
      <c r="C311" s="1" t="s">
        <v>6</v>
      </c>
      <c r="D311" s="5" t="s">
        <v>7</v>
      </c>
      <c r="E311" s="5" t="s">
        <v>463</v>
      </c>
      <c r="F311" s="4" t="s">
        <v>465</v>
      </c>
      <c r="G311" s="4" t="s">
        <v>465</v>
      </c>
      <c r="I311" s="1" t="s">
        <v>16</v>
      </c>
      <c r="J311" s="1" t="s">
        <v>10</v>
      </c>
      <c r="K311" s="4" t="s">
        <v>464</v>
      </c>
      <c r="L311" s="1" t="s">
        <v>26</v>
      </c>
      <c r="M311" s="1"/>
      <c r="O311" s="1"/>
      <c r="P311" s="1"/>
      <c r="Q311" s="1"/>
      <c r="S311" s="2"/>
      <c r="T311" s="1"/>
      <c r="U311" s="2"/>
      <c r="V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 t="s">
        <v>12</v>
      </c>
      <c r="AN311" s="1" t="s">
        <v>13</v>
      </c>
      <c r="AO311" s="1">
        <v>292</v>
      </c>
      <c r="AP311" s="3">
        <v>0.48666666666666669</v>
      </c>
      <c r="AQ311" s="1"/>
    </row>
    <row r="312" spans="1:43" ht="12.3" x14ac:dyDescent="0.4">
      <c r="A312" s="1" t="s">
        <v>238</v>
      </c>
      <c r="B312" s="1"/>
      <c r="C312" s="1" t="s">
        <v>6</v>
      </c>
      <c r="D312" s="5" t="s">
        <v>7</v>
      </c>
      <c r="E312" s="5" t="s">
        <v>463</v>
      </c>
      <c r="F312" s="4" t="s">
        <v>465</v>
      </c>
      <c r="G312" s="4" t="s">
        <v>465</v>
      </c>
      <c r="I312" s="1" t="s">
        <v>16</v>
      </c>
      <c r="J312" s="1" t="s">
        <v>9</v>
      </c>
      <c r="K312" s="4" t="s">
        <v>464</v>
      </c>
      <c r="L312" s="1" t="s">
        <v>26</v>
      </c>
      <c r="M312" s="1"/>
      <c r="O312" s="1"/>
      <c r="P312" s="1"/>
      <c r="Q312" s="1"/>
      <c r="S312" s="2"/>
      <c r="T312" s="1"/>
      <c r="U312" s="1"/>
      <c r="V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 t="s">
        <v>15</v>
      </c>
      <c r="AN312" s="1" t="s">
        <v>13</v>
      </c>
      <c r="AO312" s="1">
        <v>357</v>
      </c>
      <c r="AP312" s="3">
        <v>0.59499999999999997</v>
      </c>
      <c r="AQ312" s="1"/>
    </row>
    <row r="313" spans="1:43" ht="12.3" x14ac:dyDescent="0.4">
      <c r="A313" s="1" t="s">
        <v>239</v>
      </c>
      <c r="B313" s="1"/>
      <c r="C313" s="1" t="s">
        <v>6</v>
      </c>
      <c r="D313" s="5" t="s">
        <v>7</v>
      </c>
      <c r="E313" s="5" t="s">
        <v>463</v>
      </c>
      <c r="F313" s="4" t="s">
        <v>465</v>
      </c>
      <c r="G313" s="4" t="s">
        <v>465</v>
      </c>
      <c r="I313" s="1" t="s">
        <v>16</v>
      </c>
      <c r="J313" s="1" t="s">
        <v>9</v>
      </c>
      <c r="K313" s="4" t="s">
        <v>464</v>
      </c>
      <c r="L313" s="1" t="s">
        <v>26</v>
      </c>
      <c r="M313" s="1"/>
      <c r="O313" s="1"/>
      <c r="P313" s="1"/>
      <c r="Q313" s="1"/>
      <c r="S313" s="2"/>
      <c r="T313" s="1"/>
      <c r="U313" s="1"/>
      <c r="V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 t="s">
        <v>12</v>
      </c>
      <c r="AN313" s="1" t="s">
        <v>13</v>
      </c>
      <c r="AO313" s="1">
        <v>301</v>
      </c>
      <c r="AP313" s="3">
        <v>0.50166666666666671</v>
      </c>
      <c r="AQ313" s="1"/>
    </row>
    <row r="314" spans="1:43" ht="12.3" x14ac:dyDescent="0.4">
      <c r="A314" s="1" t="s">
        <v>239</v>
      </c>
      <c r="B314" s="1"/>
      <c r="C314" s="1" t="s">
        <v>6</v>
      </c>
      <c r="D314" s="5" t="s">
        <v>7</v>
      </c>
      <c r="E314" s="5" t="s">
        <v>463</v>
      </c>
      <c r="F314" s="4" t="s">
        <v>465</v>
      </c>
      <c r="G314" s="4" t="s">
        <v>465</v>
      </c>
      <c r="I314" s="1" t="s">
        <v>16</v>
      </c>
      <c r="J314" s="1" t="s">
        <v>10</v>
      </c>
      <c r="K314" s="4" t="s">
        <v>464</v>
      </c>
      <c r="L314" s="1" t="s">
        <v>26</v>
      </c>
      <c r="M314" s="1"/>
      <c r="O314" s="1"/>
      <c r="P314" s="1"/>
      <c r="Q314" s="1"/>
      <c r="S314" s="2"/>
      <c r="T314" s="1"/>
      <c r="U314" s="1"/>
      <c r="V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 t="s">
        <v>15</v>
      </c>
      <c r="AN314" s="1" t="s">
        <v>13</v>
      </c>
      <c r="AO314" s="1">
        <v>363</v>
      </c>
      <c r="AP314" s="3">
        <v>0.60499999999999998</v>
      </c>
      <c r="AQ314" s="1"/>
    </row>
    <row r="315" spans="1:43" ht="12.3" x14ac:dyDescent="0.4">
      <c r="A315" s="1" t="s">
        <v>240</v>
      </c>
      <c r="B315" s="1"/>
      <c r="C315" s="1" t="s">
        <v>6</v>
      </c>
      <c r="D315" s="5" t="s">
        <v>7</v>
      </c>
      <c r="E315" s="5" t="s">
        <v>463</v>
      </c>
      <c r="F315" s="4" t="s">
        <v>465</v>
      </c>
      <c r="G315" s="4" t="s">
        <v>465</v>
      </c>
      <c r="I315" s="1" t="s">
        <v>16</v>
      </c>
      <c r="J315" s="1" t="s">
        <v>10</v>
      </c>
      <c r="K315" s="4" t="s">
        <v>464</v>
      </c>
      <c r="L315" s="1" t="s">
        <v>30</v>
      </c>
      <c r="M315" s="1"/>
      <c r="O315" s="1"/>
      <c r="P315" s="1"/>
      <c r="Q315" s="1"/>
      <c r="S315" s="2"/>
      <c r="T315" s="1"/>
      <c r="U315" s="1"/>
      <c r="V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 t="s">
        <v>12</v>
      </c>
      <c r="AN315" s="1" t="s">
        <v>20</v>
      </c>
      <c r="AO315" s="1">
        <v>372</v>
      </c>
      <c r="AP315" s="3">
        <v>0.62</v>
      </c>
      <c r="AQ315" s="1"/>
    </row>
    <row r="316" spans="1:43" ht="12.3" x14ac:dyDescent="0.4">
      <c r="A316" s="1" t="s">
        <v>240</v>
      </c>
      <c r="B316" s="1"/>
      <c r="C316" s="1" t="s">
        <v>6</v>
      </c>
      <c r="D316" s="5" t="s">
        <v>7</v>
      </c>
      <c r="E316" s="5" t="s">
        <v>463</v>
      </c>
      <c r="F316" s="4" t="s">
        <v>465</v>
      </c>
      <c r="G316" s="4" t="s">
        <v>465</v>
      </c>
      <c r="I316" s="1" t="s">
        <v>16</v>
      </c>
      <c r="J316" s="1" t="s">
        <v>10</v>
      </c>
      <c r="K316" s="4" t="s">
        <v>464</v>
      </c>
      <c r="L316" s="1" t="s">
        <v>30</v>
      </c>
      <c r="M316" s="1"/>
      <c r="O316" s="1"/>
      <c r="P316" s="1"/>
      <c r="Q316" s="1"/>
      <c r="S316" s="2"/>
      <c r="T316" s="1"/>
      <c r="U316" s="1"/>
      <c r="V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 t="s">
        <v>15</v>
      </c>
      <c r="AN316" s="1" t="s">
        <v>20</v>
      </c>
      <c r="AO316" s="1">
        <v>411</v>
      </c>
      <c r="AP316" s="3">
        <v>0.68500000000000005</v>
      </c>
      <c r="AQ316" s="1"/>
    </row>
    <row r="317" spans="1:43" ht="12.3" x14ac:dyDescent="0.4">
      <c r="A317" s="1" t="s">
        <v>241</v>
      </c>
      <c r="B317" s="1"/>
      <c r="C317" s="1" t="s">
        <v>6</v>
      </c>
      <c r="D317" s="5" t="s">
        <v>7</v>
      </c>
      <c r="E317" s="5" t="s">
        <v>463</v>
      </c>
      <c r="F317" s="4" t="s">
        <v>465</v>
      </c>
      <c r="G317" s="4" t="s">
        <v>465</v>
      </c>
      <c r="I317" s="1" t="s">
        <v>16</v>
      </c>
      <c r="J317" s="1" t="s">
        <v>10</v>
      </c>
      <c r="K317" s="4" t="s">
        <v>464</v>
      </c>
      <c r="L317" s="1" t="s">
        <v>21</v>
      </c>
      <c r="M317" s="1"/>
      <c r="O317" s="1"/>
      <c r="P317" s="1"/>
      <c r="Q317" s="1"/>
      <c r="S317" s="2"/>
      <c r="T317" s="1"/>
      <c r="U317" s="1"/>
      <c r="V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 t="s">
        <v>12</v>
      </c>
      <c r="AN317" s="1" t="s">
        <v>14</v>
      </c>
      <c r="AO317" s="1">
        <v>243</v>
      </c>
      <c r="AP317" s="3">
        <v>0.40500000000000003</v>
      </c>
      <c r="AQ317" s="1"/>
    </row>
    <row r="318" spans="1:43" ht="12.3" x14ac:dyDescent="0.4">
      <c r="A318" s="1" t="s">
        <v>241</v>
      </c>
      <c r="B318" s="1"/>
      <c r="C318" s="1" t="s">
        <v>6</v>
      </c>
      <c r="D318" s="5" t="s">
        <v>7</v>
      </c>
      <c r="E318" s="5" t="s">
        <v>463</v>
      </c>
      <c r="F318" s="4" t="s">
        <v>465</v>
      </c>
      <c r="G318" s="4" t="s">
        <v>465</v>
      </c>
      <c r="I318" s="1" t="s">
        <v>16</v>
      </c>
      <c r="J318" s="1" t="s">
        <v>10</v>
      </c>
      <c r="K318" s="4" t="s">
        <v>464</v>
      </c>
      <c r="L318" s="1" t="s">
        <v>21</v>
      </c>
      <c r="M318" s="1"/>
      <c r="O318" s="1"/>
      <c r="P318" s="1"/>
      <c r="Q318" s="1"/>
      <c r="S318" s="1"/>
      <c r="T318" s="1"/>
      <c r="U318" s="2"/>
      <c r="V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 t="s">
        <v>15</v>
      </c>
      <c r="AN318" s="1" t="s">
        <v>14</v>
      </c>
      <c r="AO318" s="1">
        <v>332</v>
      </c>
      <c r="AP318" s="3">
        <v>0.55333333333333334</v>
      </c>
      <c r="AQ318" s="1"/>
    </row>
    <row r="319" spans="1:43" ht="12.3" x14ac:dyDescent="0.4">
      <c r="A319" s="1" t="s">
        <v>242</v>
      </c>
      <c r="B319" s="1"/>
      <c r="C319" s="1" t="s">
        <v>6</v>
      </c>
      <c r="D319" s="5" t="s">
        <v>7</v>
      </c>
      <c r="E319" s="5" t="s">
        <v>463</v>
      </c>
      <c r="F319" s="4" t="s">
        <v>465</v>
      </c>
      <c r="G319" s="4" t="s">
        <v>465</v>
      </c>
      <c r="I319" s="1" t="s">
        <v>16</v>
      </c>
      <c r="J319" s="1" t="s">
        <v>10</v>
      </c>
      <c r="K319" s="4" t="s">
        <v>464</v>
      </c>
      <c r="L319" s="1" t="s">
        <v>25</v>
      </c>
      <c r="M319" s="1"/>
      <c r="O319" s="1"/>
      <c r="P319" s="1"/>
      <c r="Q319" s="1"/>
      <c r="S319" s="1"/>
      <c r="T319" s="1"/>
      <c r="U319" s="2"/>
      <c r="V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 t="s">
        <v>12</v>
      </c>
      <c r="AN319" s="1" t="s">
        <v>14</v>
      </c>
      <c r="AO319" s="1">
        <v>258</v>
      </c>
      <c r="AP319" s="3">
        <v>0.43</v>
      </c>
      <c r="AQ319" s="1"/>
    </row>
    <row r="320" spans="1:43" ht="12.3" x14ac:dyDescent="0.4">
      <c r="A320" s="1" t="s">
        <v>242</v>
      </c>
      <c r="B320" s="1"/>
      <c r="C320" s="1" t="s">
        <v>6</v>
      </c>
      <c r="D320" s="5" t="s">
        <v>7</v>
      </c>
      <c r="E320" s="5" t="s">
        <v>463</v>
      </c>
      <c r="F320" s="4" t="s">
        <v>465</v>
      </c>
      <c r="G320" s="4" t="s">
        <v>465</v>
      </c>
      <c r="I320" s="1" t="s">
        <v>16</v>
      </c>
      <c r="J320" s="1" t="s">
        <v>10</v>
      </c>
      <c r="K320" s="4" t="s">
        <v>464</v>
      </c>
      <c r="L320" s="1" t="s">
        <v>25</v>
      </c>
      <c r="M320" s="1"/>
      <c r="O320" s="1"/>
      <c r="P320" s="1"/>
      <c r="Q320" s="1"/>
      <c r="S320" s="2"/>
      <c r="T320" s="1"/>
      <c r="U320" s="1"/>
      <c r="V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 t="s">
        <v>15</v>
      </c>
      <c r="AN320" s="1" t="s">
        <v>14</v>
      </c>
      <c r="AO320" s="1">
        <v>339</v>
      </c>
      <c r="AP320" s="3">
        <v>0.56499999999999995</v>
      </c>
      <c r="AQ320" s="1"/>
    </row>
    <row r="321" spans="1:43" ht="12.3" x14ac:dyDescent="0.4">
      <c r="A321" s="1" t="s">
        <v>243</v>
      </c>
      <c r="B321" s="1"/>
      <c r="C321" s="1" t="s">
        <v>6</v>
      </c>
      <c r="D321" s="5" t="s">
        <v>7</v>
      </c>
      <c r="E321" s="5" t="s">
        <v>463</v>
      </c>
      <c r="F321" s="4" t="s">
        <v>465</v>
      </c>
      <c r="G321" s="4" t="s">
        <v>465</v>
      </c>
      <c r="I321" s="1" t="s">
        <v>16</v>
      </c>
      <c r="J321" s="1" t="s">
        <v>10</v>
      </c>
      <c r="K321" s="4" t="s">
        <v>464</v>
      </c>
      <c r="L321" s="1" t="s">
        <v>32</v>
      </c>
      <c r="M321" s="1"/>
      <c r="O321" s="1"/>
      <c r="P321" s="1"/>
      <c r="Q321" s="1"/>
      <c r="S321" s="2"/>
      <c r="T321" s="1"/>
      <c r="U321" s="1"/>
      <c r="V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 t="s">
        <v>12</v>
      </c>
      <c r="AN321" s="1" t="s">
        <v>14</v>
      </c>
      <c r="AO321" s="1">
        <v>243</v>
      </c>
      <c r="AP321" s="3">
        <v>0.40500000000000003</v>
      </c>
      <c r="AQ321" s="1"/>
    </row>
    <row r="322" spans="1:43" ht="12.3" x14ac:dyDescent="0.4">
      <c r="A322" s="1" t="s">
        <v>244</v>
      </c>
      <c r="B322" s="1"/>
      <c r="C322" s="1" t="s">
        <v>6</v>
      </c>
      <c r="D322" s="5" t="s">
        <v>7</v>
      </c>
      <c r="E322" s="5" t="s">
        <v>463</v>
      </c>
      <c r="F322" s="4" t="s">
        <v>465</v>
      </c>
      <c r="G322" s="4" t="s">
        <v>465</v>
      </c>
      <c r="I322" s="1" t="s">
        <v>16</v>
      </c>
      <c r="J322" s="1" t="s">
        <v>10</v>
      </c>
      <c r="K322" s="4" t="s">
        <v>464</v>
      </c>
      <c r="L322" s="1" t="s">
        <v>25</v>
      </c>
      <c r="M322" s="1"/>
      <c r="O322" s="1"/>
      <c r="P322" s="1"/>
      <c r="Q322" s="1"/>
      <c r="S322" s="1"/>
      <c r="T322" s="1"/>
      <c r="U322" s="1"/>
      <c r="V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 t="s">
        <v>12</v>
      </c>
      <c r="AN322" s="1" t="s">
        <v>20</v>
      </c>
      <c r="AO322" s="1">
        <v>348</v>
      </c>
      <c r="AP322" s="3">
        <v>0.57999999999999996</v>
      </c>
      <c r="AQ322" s="1"/>
    </row>
    <row r="323" spans="1:43" ht="12.3" x14ac:dyDescent="0.4">
      <c r="A323" s="1" t="s">
        <v>244</v>
      </c>
      <c r="B323" s="1"/>
      <c r="C323" s="1" t="s">
        <v>6</v>
      </c>
      <c r="D323" s="5" t="s">
        <v>7</v>
      </c>
      <c r="E323" s="5" t="s">
        <v>463</v>
      </c>
      <c r="F323" s="4" t="s">
        <v>465</v>
      </c>
      <c r="G323" s="4" t="s">
        <v>465</v>
      </c>
      <c r="I323" s="1" t="s">
        <v>16</v>
      </c>
      <c r="J323" s="1" t="s">
        <v>10</v>
      </c>
      <c r="K323" s="4" t="s">
        <v>464</v>
      </c>
      <c r="L323" s="1" t="s">
        <v>25</v>
      </c>
      <c r="M323" s="1"/>
      <c r="O323" s="1"/>
      <c r="P323" s="1"/>
      <c r="Q323" s="1"/>
      <c r="S323" s="1"/>
      <c r="T323" s="1"/>
      <c r="U323" s="1"/>
      <c r="V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 t="s">
        <v>15</v>
      </c>
      <c r="AN323" s="1" t="s">
        <v>20</v>
      </c>
      <c r="AO323" s="1">
        <v>414</v>
      </c>
      <c r="AP323" s="3">
        <v>0.69</v>
      </c>
      <c r="AQ323" s="1"/>
    </row>
    <row r="324" spans="1:43" ht="12.3" x14ac:dyDescent="0.4">
      <c r="A324" s="1" t="s">
        <v>245</v>
      </c>
      <c r="B324" s="1"/>
      <c r="C324" s="1" t="s">
        <v>6</v>
      </c>
      <c r="D324" s="5" t="s">
        <v>7</v>
      </c>
      <c r="E324" s="5" t="s">
        <v>463</v>
      </c>
      <c r="F324" s="4" t="s">
        <v>465</v>
      </c>
      <c r="G324" s="4" t="s">
        <v>465</v>
      </c>
      <c r="I324" s="1" t="s">
        <v>16</v>
      </c>
      <c r="J324" s="1" t="s">
        <v>10</v>
      </c>
      <c r="K324" s="4" t="s">
        <v>464</v>
      </c>
      <c r="L324" s="1" t="s">
        <v>11</v>
      </c>
      <c r="M324" s="1"/>
      <c r="O324" s="1"/>
      <c r="P324" s="1"/>
      <c r="Q324" s="1"/>
      <c r="S324" s="1"/>
      <c r="T324" s="1"/>
      <c r="U324" s="1"/>
      <c r="V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 t="s">
        <v>15</v>
      </c>
      <c r="AN324" s="1" t="s">
        <v>14</v>
      </c>
      <c r="AO324" s="1">
        <v>328</v>
      </c>
      <c r="AP324" s="3">
        <v>0.54666666666666663</v>
      </c>
      <c r="AQ324" s="1"/>
    </row>
    <row r="325" spans="1:43" ht="12.3" x14ac:dyDescent="0.4">
      <c r="A325" s="1" t="s">
        <v>246</v>
      </c>
      <c r="B325" s="1"/>
      <c r="C325" s="1" t="s">
        <v>6</v>
      </c>
      <c r="D325" s="5" t="s">
        <v>7</v>
      </c>
      <c r="E325" s="5" t="s">
        <v>463</v>
      </c>
      <c r="F325" s="4" t="s">
        <v>465</v>
      </c>
      <c r="G325" s="4" t="s">
        <v>465</v>
      </c>
      <c r="I325" s="1" t="s">
        <v>8</v>
      </c>
      <c r="J325" s="1" t="s">
        <v>9</v>
      </c>
      <c r="K325" s="4" t="s">
        <v>464</v>
      </c>
      <c r="L325" s="1" t="s">
        <v>22</v>
      </c>
      <c r="M325" s="1"/>
      <c r="O325" s="1"/>
      <c r="P325" s="1"/>
      <c r="Q325" s="1"/>
      <c r="S325" s="2"/>
      <c r="T325" s="1"/>
      <c r="U325" s="1"/>
      <c r="V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 t="s">
        <v>12</v>
      </c>
      <c r="AN325" s="1" t="s">
        <v>18</v>
      </c>
      <c r="AO325" s="1">
        <v>312</v>
      </c>
      <c r="AP325" s="3">
        <v>0.52</v>
      </c>
      <c r="AQ325" s="1"/>
    </row>
    <row r="326" spans="1:43" ht="12.3" x14ac:dyDescent="0.4">
      <c r="A326" s="1" t="s">
        <v>246</v>
      </c>
      <c r="B326" s="1"/>
      <c r="C326" s="1" t="s">
        <v>6</v>
      </c>
      <c r="D326" s="5" t="s">
        <v>7</v>
      </c>
      <c r="E326" s="5" t="s">
        <v>463</v>
      </c>
      <c r="F326" s="4" t="s">
        <v>465</v>
      </c>
      <c r="G326" s="4" t="s">
        <v>465</v>
      </c>
      <c r="I326" s="1" t="s">
        <v>16</v>
      </c>
      <c r="J326" s="1" t="s">
        <v>10</v>
      </c>
      <c r="K326" s="4" t="s">
        <v>464</v>
      </c>
      <c r="L326" s="1" t="s">
        <v>22</v>
      </c>
      <c r="M326" s="1"/>
      <c r="O326" s="1"/>
      <c r="P326" s="1"/>
      <c r="Q326" s="1"/>
      <c r="S326" s="2"/>
      <c r="T326" s="1"/>
      <c r="U326" s="2"/>
      <c r="V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 t="s">
        <v>15</v>
      </c>
      <c r="AN326" s="1" t="s">
        <v>18</v>
      </c>
      <c r="AO326" s="1">
        <v>372</v>
      </c>
      <c r="AP326" s="3">
        <v>0.62</v>
      </c>
      <c r="AQ326" s="1"/>
    </row>
    <row r="327" spans="1:43" ht="12.3" x14ac:dyDescent="0.4">
      <c r="A327" s="1" t="s">
        <v>247</v>
      </c>
      <c r="B327" s="1"/>
      <c r="C327" s="1" t="s">
        <v>6</v>
      </c>
      <c r="D327" s="5" t="s">
        <v>7</v>
      </c>
      <c r="E327" s="5" t="s">
        <v>463</v>
      </c>
      <c r="F327" s="4" t="s">
        <v>465</v>
      </c>
      <c r="G327" s="4" t="s">
        <v>465</v>
      </c>
      <c r="I327" s="1" t="s">
        <v>16</v>
      </c>
      <c r="J327" s="1" t="s">
        <v>10</v>
      </c>
      <c r="K327" s="4" t="s">
        <v>464</v>
      </c>
      <c r="L327" s="1" t="s">
        <v>21</v>
      </c>
      <c r="M327" s="1"/>
      <c r="O327" s="1"/>
      <c r="P327" s="1"/>
      <c r="Q327" s="1"/>
      <c r="S327" s="2"/>
      <c r="T327" s="1"/>
      <c r="U327" s="2"/>
      <c r="V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 t="s">
        <v>12</v>
      </c>
      <c r="AN327" s="1" t="s">
        <v>14</v>
      </c>
      <c r="AO327" s="1">
        <v>260</v>
      </c>
      <c r="AP327" s="3">
        <v>0.43333333333333335</v>
      </c>
      <c r="AQ327" s="1"/>
    </row>
    <row r="328" spans="1:43" ht="12.3" x14ac:dyDescent="0.4">
      <c r="A328" s="1" t="s">
        <v>248</v>
      </c>
      <c r="B328" s="1"/>
      <c r="C328" s="1" t="s">
        <v>6</v>
      </c>
      <c r="D328" s="5" t="s">
        <v>7</v>
      </c>
      <c r="E328" s="5" t="s">
        <v>463</v>
      </c>
      <c r="F328" s="4" t="s">
        <v>465</v>
      </c>
      <c r="G328" s="4" t="s">
        <v>465</v>
      </c>
      <c r="I328" s="1" t="s">
        <v>16</v>
      </c>
      <c r="J328" s="1" t="s">
        <v>9</v>
      </c>
      <c r="K328" s="4" t="s">
        <v>464</v>
      </c>
      <c r="L328" s="1" t="s">
        <v>28</v>
      </c>
      <c r="M328" s="1"/>
      <c r="O328" s="1"/>
      <c r="P328" s="1"/>
      <c r="Q328" s="1"/>
      <c r="S328" s="2"/>
      <c r="T328" s="1"/>
      <c r="U328" s="2"/>
      <c r="V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 t="s">
        <v>12</v>
      </c>
      <c r="AN328" s="1" t="s">
        <v>20</v>
      </c>
      <c r="AO328" s="1">
        <v>376</v>
      </c>
      <c r="AP328" s="3">
        <v>0.62666666666666671</v>
      </c>
      <c r="AQ328" s="1"/>
    </row>
    <row r="329" spans="1:43" ht="12.3" x14ac:dyDescent="0.4">
      <c r="A329" s="1" t="s">
        <v>248</v>
      </c>
      <c r="B329" s="1"/>
      <c r="C329" s="1" t="s">
        <v>6</v>
      </c>
      <c r="D329" s="5" t="s">
        <v>7</v>
      </c>
      <c r="E329" s="5" t="s">
        <v>463</v>
      </c>
      <c r="F329" s="4" t="s">
        <v>465</v>
      </c>
      <c r="G329" s="4" t="s">
        <v>465</v>
      </c>
      <c r="I329" s="1" t="s">
        <v>16</v>
      </c>
      <c r="J329" s="1" t="s">
        <v>10</v>
      </c>
      <c r="K329" s="4" t="s">
        <v>464</v>
      </c>
      <c r="L329" s="1" t="s">
        <v>28</v>
      </c>
      <c r="M329" s="1"/>
      <c r="O329" s="1"/>
      <c r="P329" s="1"/>
      <c r="Q329" s="1"/>
      <c r="S329" s="1"/>
      <c r="T329" s="1"/>
      <c r="U329" s="1"/>
      <c r="V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 t="s">
        <v>15</v>
      </c>
      <c r="AN329" s="1" t="s">
        <v>18</v>
      </c>
      <c r="AO329" s="1">
        <v>384</v>
      </c>
      <c r="AP329" s="3">
        <v>0.64</v>
      </c>
      <c r="AQ329" s="1"/>
    </row>
    <row r="330" spans="1:43" ht="12.3" x14ac:dyDescent="0.4">
      <c r="A330" s="1" t="s">
        <v>249</v>
      </c>
      <c r="B330" s="1"/>
      <c r="C330" s="1" t="s">
        <v>6</v>
      </c>
      <c r="D330" s="5" t="s">
        <v>7</v>
      </c>
      <c r="E330" s="5" t="s">
        <v>463</v>
      </c>
      <c r="F330" s="4" t="s">
        <v>465</v>
      </c>
      <c r="G330" s="4" t="s">
        <v>465</v>
      </c>
      <c r="I330" s="1" t="s">
        <v>16</v>
      </c>
      <c r="J330" s="1" t="s">
        <v>10</v>
      </c>
      <c r="K330" s="4" t="s">
        <v>464</v>
      </c>
      <c r="L330" s="1" t="s">
        <v>25</v>
      </c>
      <c r="M330" s="1"/>
      <c r="O330" s="1"/>
      <c r="P330" s="1"/>
      <c r="Q330" s="1"/>
      <c r="S330" s="1"/>
      <c r="T330" s="1"/>
      <c r="U330" s="1"/>
      <c r="V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 t="s">
        <v>12</v>
      </c>
      <c r="AN330" s="1" t="s">
        <v>14</v>
      </c>
      <c r="AO330" s="1">
        <v>265</v>
      </c>
      <c r="AP330" s="3">
        <v>0.44166666666666665</v>
      </c>
      <c r="AQ330" s="1"/>
    </row>
    <row r="331" spans="1:43" ht="12.3" x14ac:dyDescent="0.4">
      <c r="A331" s="1" t="s">
        <v>249</v>
      </c>
      <c r="B331" s="1"/>
      <c r="C331" s="1" t="s">
        <v>6</v>
      </c>
      <c r="D331" s="5" t="s">
        <v>7</v>
      </c>
      <c r="E331" s="5" t="s">
        <v>463</v>
      </c>
      <c r="F331" s="4" t="s">
        <v>465</v>
      </c>
      <c r="G331" s="4" t="s">
        <v>465</v>
      </c>
      <c r="I331" s="1" t="s">
        <v>8</v>
      </c>
      <c r="J331" s="1" t="s">
        <v>9</v>
      </c>
      <c r="K331" s="4" t="s">
        <v>464</v>
      </c>
      <c r="L331" s="1" t="s">
        <v>25</v>
      </c>
      <c r="M331" s="1"/>
      <c r="O331" s="1"/>
      <c r="P331" s="1"/>
      <c r="Q331" s="1"/>
      <c r="S331" s="1"/>
      <c r="T331" s="1"/>
      <c r="U331" s="2"/>
      <c r="V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 t="s">
        <v>15</v>
      </c>
      <c r="AN331" s="1" t="s">
        <v>13</v>
      </c>
      <c r="AO331" s="1">
        <v>364</v>
      </c>
      <c r="AP331" s="3">
        <v>0.60666666666666669</v>
      </c>
      <c r="AQ331" s="1"/>
    </row>
    <row r="332" spans="1:43" ht="12.3" x14ac:dyDescent="0.4">
      <c r="A332" s="1" t="s">
        <v>250</v>
      </c>
      <c r="B332" s="1"/>
      <c r="C332" s="1" t="s">
        <v>6</v>
      </c>
      <c r="D332" s="5" t="s">
        <v>7</v>
      </c>
      <c r="E332" s="5" t="s">
        <v>463</v>
      </c>
      <c r="F332" s="4" t="s">
        <v>465</v>
      </c>
      <c r="G332" s="4" t="s">
        <v>465</v>
      </c>
      <c r="I332" s="1" t="s">
        <v>8</v>
      </c>
      <c r="J332" s="1" t="s">
        <v>9</v>
      </c>
      <c r="K332" s="4" t="s">
        <v>464</v>
      </c>
      <c r="L332" s="1" t="s">
        <v>11</v>
      </c>
      <c r="M332" s="1"/>
      <c r="O332" s="1"/>
      <c r="P332" s="1"/>
      <c r="Q332" s="1"/>
      <c r="S332" s="1"/>
      <c r="T332" s="1"/>
      <c r="U332" s="2"/>
      <c r="V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 t="s">
        <v>12</v>
      </c>
      <c r="AN332" s="1" t="s">
        <v>20</v>
      </c>
      <c r="AO332" s="1">
        <v>351</v>
      </c>
      <c r="AP332" s="3">
        <v>0.58499999999999996</v>
      </c>
      <c r="AQ332" s="1"/>
    </row>
    <row r="333" spans="1:43" ht="12.3" x14ac:dyDescent="0.4">
      <c r="A333" s="1" t="s">
        <v>250</v>
      </c>
      <c r="B333" s="1"/>
      <c r="C333" s="1" t="s">
        <v>6</v>
      </c>
      <c r="D333" s="5" t="s">
        <v>7</v>
      </c>
      <c r="E333" s="5" t="s">
        <v>463</v>
      </c>
      <c r="F333" s="4" t="s">
        <v>465</v>
      </c>
      <c r="G333" s="4" t="s">
        <v>465</v>
      </c>
      <c r="I333" s="1" t="s">
        <v>8</v>
      </c>
      <c r="J333" s="1" t="s">
        <v>9</v>
      </c>
      <c r="K333" s="4" t="s">
        <v>464</v>
      </c>
      <c r="L333" s="1" t="s">
        <v>11</v>
      </c>
      <c r="M333" s="1"/>
      <c r="O333" s="1"/>
      <c r="P333" s="1"/>
      <c r="Q333" s="1"/>
      <c r="S333" s="2"/>
      <c r="T333" s="1"/>
      <c r="U333" s="1"/>
      <c r="V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 t="s">
        <v>15</v>
      </c>
      <c r="AN333" s="1" t="s">
        <v>20</v>
      </c>
      <c r="AO333" s="1">
        <v>399</v>
      </c>
      <c r="AP333" s="3">
        <v>0.66500000000000004</v>
      </c>
      <c r="AQ333" s="1"/>
    </row>
    <row r="334" spans="1:43" ht="12.3" x14ac:dyDescent="0.4">
      <c r="A334" s="1" t="s">
        <v>251</v>
      </c>
      <c r="B334" s="1"/>
      <c r="C334" s="1" t="s">
        <v>6</v>
      </c>
      <c r="D334" s="5" t="s">
        <v>7</v>
      </c>
      <c r="E334" s="5" t="s">
        <v>463</v>
      </c>
      <c r="F334" s="4" t="s">
        <v>465</v>
      </c>
      <c r="G334" s="4" t="s">
        <v>465</v>
      </c>
      <c r="I334" s="1" t="s">
        <v>8</v>
      </c>
      <c r="J334" s="1" t="s">
        <v>9</v>
      </c>
      <c r="K334" s="4" t="s">
        <v>464</v>
      </c>
      <c r="L334" s="1" t="s">
        <v>19</v>
      </c>
      <c r="M334" s="1"/>
      <c r="O334" s="1"/>
      <c r="P334" s="1"/>
      <c r="Q334" s="1"/>
      <c r="S334" s="2"/>
      <c r="T334" s="1"/>
      <c r="U334" s="1"/>
      <c r="V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 t="s">
        <v>12</v>
      </c>
      <c r="AN334" s="1" t="s">
        <v>14</v>
      </c>
      <c r="AO334" s="1">
        <v>243</v>
      </c>
      <c r="AP334" s="3">
        <v>0.40500000000000003</v>
      </c>
      <c r="AQ334" s="1"/>
    </row>
    <row r="335" spans="1:43" ht="12.3" x14ac:dyDescent="0.4">
      <c r="A335" s="1" t="s">
        <v>251</v>
      </c>
      <c r="B335" s="1"/>
      <c r="C335" s="1" t="s">
        <v>6</v>
      </c>
      <c r="D335" s="5" t="s">
        <v>7</v>
      </c>
      <c r="E335" s="5" t="s">
        <v>463</v>
      </c>
      <c r="F335" s="4" t="s">
        <v>465</v>
      </c>
      <c r="G335" s="4" t="s">
        <v>465</v>
      </c>
      <c r="I335" s="1" t="s">
        <v>16</v>
      </c>
      <c r="J335" s="1" t="s">
        <v>10</v>
      </c>
      <c r="K335" s="4" t="s">
        <v>464</v>
      </c>
      <c r="L335" s="1" t="s">
        <v>19</v>
      </c>
      <c r="M335" s="1"/>
      <c r="O335" s="1"/>
      <c r="P335" s="1"/>
      <c r="Q335" s="1"/>
      <c r="S335" s="1"/>
      <c r="T335" s="1"/>
      <c r="U335" s="1"/>
      <c r="V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 t="s">
        <v>15</v>
      </c>
      <c r="AN335" s="1" t="s">
        <v>14</v>
      </c>
      <c r="AO335" s="1">
        <v>343</v>
      </c>
      <c r="AP335" s="3">
        <v>0.57166666666666666</v>
      </c>
      <c r="AQ335" s="1"/>
    </row>
    <row r="336" spans="1:43" ht="12.3" x14ac:dyDescent="0.4">
      <c r="A336" s="1" t="s">
        <v>252</v>
      </c>
      <c r="B336" s="1"/>
      <c r="C336" s="1" t="s">
        <v>6</v>
      </c>
      <c r="D336" s="5" t="s">
        <v>7</v>
      </c>
      <c r="E336" s="5" t="s">
        <v>463</v>
      </c>
      <c r="F336" s="4" t="s">
        <v>465</v>
      </c>
      <c r="G336" s="4" t="s">
        <v>465</v>
      </c>
      <c r="I336" s="1" t="s">
        <v>16</v>
      </c>
      <c r="J336" s="1" t="s">
        <v>10</v>
      </c>
      <c r="K336" s="4" t="s">
        <v>464</v>
      </c>
      <c r="L336" s="1" t="s">
        <v>19</v>
      </c>
      <c r="M336" s="1"/>
      <c r="O336" s="1"/>
      <c r="P336" s="1"/>
      <c r="Q336" s="1"/>
      <c r="S336" s="1"/>
      <c r="T336" s="1"/>
      <c r="U336" s="1"/>
      <c r="V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 t="s">
        <v>12</v>
      </c>
      <c r="AN336" s="1" t="s">
        <v>14</v>
      </c>
      <c r="AO336" s="1">
        <v>262</v>
      </c>
      <c r="AP336" s="3">
        <v>0.43666666666666665</v>
      </c>
      <c r="AQ336" s="1"/>
    </row>
    <row r="337" spans="1:43" ht="12.3" x14ac:dyDescent="0.4">
      <c r="A337" s="1" t="s">
        <v>252</v>
      </c>
      <c r="B337" s="1"/>
      <c r="C337" s="1" t="s">
        <v>6</v>
      </c>
      <c r="D337" s="5" t="s">
        <v>7</v>
      </c>
      <c r="E337" s="5" t="s">
        <v>463</v>
      </c>
      <c r="F337" s="4" t="s">
        <v>465</v>
      </c>
      <c r="G337" s="4" t="s">
        <v>465</v>
      </c>
      <c r="I337" s="1" t="s">
        <v>16</v>
      </c>
      <c r="J337" s="1" t="s">
        <v>10</v>
      </c>
      <c r="K337" s="4" t="s">
        <v>464</v>
      </c>
      <c r="L337" s="1" t="s">
        <v>19</v>
      </c>
      <c r="M337" s="1"/>
      <c r="O337" s="1"/>
      <c r="P337" s="1"/>
      <c r="Q337" s="1"/>
      <c r="S337" s="2"/>
      <c r="T337" s="1"/>
      <c r="U337" s="2"/>
      <c r="V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 t="s">
        <v>15</v>
      </c>
      <c r="AN337" s="1" t="s">
        <v>14</v>
      </c>
      <c r="AO337" s="1">
        <v>324</v>
      </c>
      <c r="AP337" s="3">
        <v>0.54</v>
      </c>
      <c r="AQ337" s="1"/>
    </row>
    <row r="338" spans="1:43" ht="12.3" x14ac:dyDescent="0.4">
      <c r="A338" s="1" t="s">
        <v>253</v>
      </c>
      <c r="B338" s="1"/>
      <c r="C338" s="1" t="s">
        <v>6</v>
      </c>
      <c r="D338" s="5" t="s">
        <v>7</v>
      </c>
      <c r="E338" s="5" t="s">
        <v>463</v>
      </c>
      <c r="F338" s="4" t="s">
        <v>465</v>
      </c>
      <c r="G338" s="4" t="s">
        <v>465</v>
      </c>
      <c r="I338" s="1" t="s">
        <v>16</v>
      </c>
      <c r="J338" s="1" t="s">
        <v>10</v>
      </c>
      <c r="K338" s="4" t="s">
        <v>464</v>
      </c>
      <c r="L338" s="1" t="s">
        <v>22</v>
      </c>
      <c r="M338" s="1"/>
      <c r="O338" s="1"/>
      <c r="P338" s="1"/>
      <c r="Q338" s="1"/>
      <c r="S338" s="2"/>
      <c r="T338" s="1"/>
      <c r="U338" s="2"/>
      <c r="V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 t="s">
        <v>12</v>
      </c>
      <c r="AN338" s="1" t="s">
        <v>20</v>
      </c>
      <c r="AO338" s="1">
        <v>333</v>
      </c>
      <c r="AP338" s="3">
        <v>0.55500000000000005</v>
      </c>
      <c r="AQ338" s="1"/>
    </row>
    <row r="339" spans="1:43" ht="12.3" x14ac:dyDescent="0.4">
      <c r="A339" s="1" t="s">
        <v>253</v>
      </c>
      <c r="B339" s="1"/>
      <c r="C339" s="1" t="s">
        <v>6</v>
      </c>
      <c r="D339" s="5" t="s">
        <v>7</v>
      </c>
      <c r="E339" s="5" t="s">
        <v>463</v>
      </c>
      <c r="F339" s="4" t="s">
        <v>465</v>
      </c>
      <c r="G339" s="4" t="s">
        <v>465</v>
      </c>
      <c r="I339" s="1" t="s">
        <v>16</v>
      </c>
      <c r="J339" s="1" t="s">
        <v>10</v>
      </c>
      <c r="K339" s="4" t="s">
        <v>464</v>
      </c>
      <c r="L339" s="1" t="s">
        <v>22</v>
      </c>
      <c r="M339" s="1"/>
      <c r="O339" s="1"/>
      <c r="P339" s="1"/>
      <c r="Q339" s="1"/>
      <c r="S339" s="2"/>
      <c r="T339" s="1"/>
      <c r="U339" s="1"/>
      <c r="V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 t="s">
        <v>15</v>
      </c>
      <c r="AN339" s="1" t="s">
        <v>20</v>
      </c>
      <c r="AO339" s="1">
        <v>404</v>
      </c>
      <c r="AP339" s="3">
        <v>0.67333333333333334</v>
      </c>
      <c r="AQ339" s="1"/>
    </row>
    <row r="340" spans="1:43" ht="12.3" x14ac:dyDescent="0.4">
      <c r="A340" s="1" t="s">
        <v>254</v>
      </c>
      <c r="B340" s="1"/>
      <c r="C340" s="1" t="s">
        <v>6</v>
      </c>
      <c r="D340" s="5" t="s">
        <v>7</v>
      </c>
      <c r="E340" s="5" t="s">
        <v>463</v>
      </c>
      <c r="F340" s="4" t="s">
        <v>465</v>
      </c>
      <c r="G340" s="4" t="s">
        <v>465</v>
      </c>
      <c r="I340" s="1" t="s">
        <v>16</v>
      </c>
      <c r="J340" s="1" t="s">
        <v>10</v>
      </c>
      <c r="K340" s="4" t="s">
        <v>464</v>
      </c>
      <c r="L340" s="1" t="s">
        <v>17</v>
      </c>
      <c r="M340" s="1"/>
      <c r="O340" s="1"/>
      <c r="P340" s="1"/>
      <c r="Q340" s="1"/>
      <c r="S340" s="2"/>
      <c r="T340" s="1"/>
      <c r="U340" s="1"/>
      <c r="V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 t="s">
        <v>12</v>
      </c>
      <c r="AN340" s="1" t="s">
        <v>20</v>
      </c>
      <c r="AO340" s="1">
        <v>341</v>
      </c>
      <c r="AP340" s="3">
        <v>0.56833333333333336</v>
      </c>
      <c r="AQ340" s="1"/>
    </row>
    <row r="341" spans="1:43" ht="12.3" x14ac:dyDescent="0.4">
      <c r="A341" s="1" t="s">
        <v>254</v>
      </c>
      <c r="B341" s="1"/>
      <c r="C341" s="1" t="s">
        <v>6</v>
      </c>
      <c r="D341" s="5" t="s">
        <v>7</v>
      </c>
      <c r="E341" s="5" t="s">
        <v>463</v>
      </c>
      <c r="F341" s="4" t="s">
        <v>465</v>
      </c>
      <c r="G341" s="4" t="s">
        <v>465</v>
      </c>
      <c r="I341" s="1" t="s">
        <v>8</v>
      </c>
      <c r="J341" s="1" t="s">
        <v>9</v>
      </c>
      <c r="K341" s="4" t="s">
        <v>464</v>
      </c>
      <c r="L341" s="1" t="s">
        <v>17</v>
      </c>
      <c r="M341" s="1"/>
      <c r="O341" s="1"/>
      <c r="P341" s="1"/>
      <c r="Q341" s="1"/>
      <c r="S341" s="2"/>
      <c r="T341" s="1"/>
      <c r="U341" s="1"/>
      <c r="V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 t="s">
        <v>15</v>
      </c>
      <c r="AN341" s="1" t="s">
        <v>20</v>
      </c>
      <c r="AO341" s="1">
        <v>399</v>
      </c>
      <c r="AP341" s="3">
        <v>0.66500000000000004</v>
      </c>
      <c r="AQ341" s="1"/>
    </row>
    <row r="342" spans="1:43" ht="12.3" x14ac:dyDescent="0.4">
      <c r="A342" s="1" t="s">
        <v>255</v>
      </c>
      <c r="B342" s="1"/>
      <c r="C342" s="1" t="s">
        <v>6</v>
      </c>
      <c r="D342" s="5" t="s">
        <v>7</v>
      </c>
      <c r="E342" s="5" t="s">
        <v>463</v>
      </c>
      <c r="F342" s="4" t="s">
        <v>465</v>
      </c>
      <c r="G342" s="4" t="s">
        <v>465</v>
      </c>
      <c r="I342" s="1" t="s">
        <v>8</v>
      </c>
      <c r="J342" s="1" t="s">
        <v>9</v>
      </c>
      <c r="K342" s="4" t="s">
        <v>464</v>
      </c>
      <c r="L342" s="1" t="s">
        <v>25</v>
      </c>
      <c r="M342" s="1"/>
      <c r="O342" s="1"/>
      <c r="P342" s="1"/>
      <c r="Q342" s="1"/>
      <c r="S342" s="2"/>
      <c r="T342" s="1"/>
      <c r="U342" s="1"/>
      <c r="V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 t="s">
        <v>12</v>
      </c>
      <c r="AN342" s="1" t="s">
        <v>13</v>
      </c>
      <c r="AO342" s="1">
        <v>290</v>
      </c>
      <c r="AP342" s="3">
        <v>0.48333333333333334</v>
      </c>
      <c r="AQ342" s="1"/>
    </row>
    <row r="343" spans="1:43" ht="12.3" x14ac:dyDescent="0.4">
      <c r="A343" s="1" t="s">
        <v>255</v>
      </c>
      <c r="B343" s="1"/>
      <c r="C343" s="1" t="s">
        <v>6</v>
      </c>
      <c r="D343" s="5" t="s">
        <v>7</v>
      </c>
      <c r="E343" s="5" t="s">
        <v>463</v>
      </c>
      <c r="F343" s="4" t="s">
        <v>465</v>
      </c>
      <c r="G343" s="4" t="s">
        <v>465</v>
      </c>
      <c r="I343" s="1" t="s">
        <v>8</v>
      </c>
      <c r="J343" s="1" t="s">
        <v>9</v>
      </c>
      <c r="K343" s="4" t="s">
        <v>464</v>
      </c>
      <c r="L343" s="1" t="s">
        <v>25</v>
      </c>
      <c r="M343" s="1"/>
      <c r="O343" s="1"/>
      <c r="P343" s="1"/>
      <c r="Q343" s="1"/>
      <c r="S343" s="2"/>
      <c r="T343" s="1"/>
      <c r="U343" s="1"/>
      <c r="V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 t="s">
        <v>15</v>
      </c>
      <c r="AN343" s="1" t="s">
        <v>14</v>
      </c>
      <c r="AO343" s="1">
        <v>348</v>
      </c>
      <c r="AP343" s="3">
        <v>0.57999999999999996</v>
      </c>
      <c r="AQ343" s="1"/>
    </row>
    <row r="344" spans="1:43" ht="12.3" x14ac:dyDescent="0.4">
      <c r="A344" s="1" t="s">
        <v>256</v>
      </c>
      <c r="B344" s="1"/>
      <c r="C344" s="1" t="s">
        <v>6</v>
      </c>
      <c r="D344" s="5" t="s">
        <v>7</v>
      </c>
      <c r="E344" s="5" t="s">
        <v>463</v>
      </c>
      <c r="F344" s="4" t="s">
        <v>465</v>
      </c>
      <c r="G344" s="4" t="s">
        <v>465</v>
      </c>
      <c r="I344" s="1" t="s">
        <v>8</v>
      </c>
      <c r="J344" s="1" t="s">
        <v>9</v>
      </c>
      <c r="K344" s="4" t="s">
        <v>464</v>
      </c>
      <c r="L344" s="1" t="s">
        <v>26</v>
      </c>
      <c r="M344" s="1"/>
      <c r="O344" s="1"/>
      <c r="P344" s="1"/>
      <c r="Q344" s="1"/>
      <c r="S344" s="2"/>
      <c r="T344" s="1"/>
      <c r="U344" s="1"/>
      <c r="V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 t="s">
        <v>12</v>
      </c>
      <c r="AN344" s="1" t="s">
        <v>20</v>
      </c>
      <c r="AO344" s="1">
        <v>353</v>
      </c>
      <c r="AP344" s="3">
        <v>0.58833333333333337</v>
      </c>
      <c r="AQ344" s="1"/>
    </row>
    <row r="345" spans="1:43" ht="12.3" x14ac:dyDescent="0.4">
      <c r="A345" s="1" t="s">
        <v>256</v>
      </c>
      <c r="B345" s="1"/>
      <c r="C345" s="1" t="s">
        <v>6</v>
      </c>
      <c r="D345" s="5" t="s">
        <v>7</v>
      </c>
      <c r="E345" s="5" t="s">
        <v>463</v>
      </c>
      <c r="F345" s="4" t="s">
        <v>465</v>
      </c>
      <c r="G345" s="4" t="s">
        <v>465</v>
      </c>
      <c r="I345" s="1" t="s">
        <v>16</v>
      </c>
      <c r="J345" s="1" t="s">
        <v>10</v>
      </c>
      <c r="K345" s="4" t="s">
        <v>464</v>
      </c>
      <c r="L345" s="1" t="s">
        <v>26</v>
      </c>
      <c r="M345" s="1"/>
      <c r="O345" s="1"/>
      <c r="P345" s="1"/>
      <c r="Q345" s="1"/>
      <c r="S345" s="2"/>
      <c r="T345" s="1"/>
      <c r="U345" s="1"/>
      <c r="V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 t="s">
        <v>15</v>
      </c>
      <c r="AN345" s="1" t="s">
        <v>18</v>
      </c>
      <c r="AO345" s="1">
        <v>383</v>
      </c>
      <c r="AP345" s="3">
        <v>0.63833333333333331</v>
      </c>
      <c r="AQ345" s="1"/>
    </row>
    <row r="346" spans="1:43" ht="12.3" x14ac:dyDescent="0.4">
      <c r="A346" s="1" t="s">
        <v>257</v>
      </c>
      <c r="B346" s="1"/>
      <c r="C346" s="1" t="s">
        <v>6</v>
      </c>
      <c r="D346" s="5" t="s">
        <v>7</v>
      </c>
      <c r="E346" s="5" t="s">
        <v>463</v>
      </c>
      <c r="F346" s="4" t="s">
        <v>465</v>
      </c>
      <c r="G346" s="4" t="s">
        <v>465</v>
      </c>
      <c r="I346" s="1" t="s">
        <v>16</v>
      </c>
      <c r="J346" s="1" t="s">
        <v>10</v>
      </c>
      <c r="K346" s="4" t="s">
        <v>464</v>
      </c>
      <c r="L346" s="1" t="s">
        <v>19</v>
      </c>
      <c r="M346" s="1"/>
      <c r="O346" s="1"/>
      <c r="P346" s="1"/>
      <c r="Q346" s="1"/>
      <c r="S346" s="2"/>
      <c r="T346" s="1"/>
      <c r="U346" s="1"/>
      <c r="V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 t="s">
        <v>12</v>
      </c>
      <c r="AN346" s="1" t="s">
        <v>13</v>
      </c>
      <c r="AO346" s="1">
        <v>300</v>
      </c>
      <c r="AP346" s="3">
        <v>0.5</v>
      </c>
      <c r="AQ346" s="1"/>
    </row>
    <row r="347" spans="1:43" ht="12.3" x14ac:dyDescent="0.4">
      <c r="A347" s="1" t="s">
        <v>257</v>
      </c>
      <c r="B347" s="1"/>
      <c r="C347" s="1" t="s">
        <v>6</v>
      </c>
      <c r="D347" s="5" t="s">
        <v>7</v>
      </c>
      <c r="E347" s="5" t="s">
        <v>463</v>
      </c>
      <c r="F347" s="4" t="s">
        <v>465</v>
      </c>
      <c r="G347" s="4" t="s">
        <v>465</v>
      </c>
      <c r="I347" s="1" t="s">
        <v>8</v>
      </c>
      <c r="J347" s="1" t="s">
        <v>9</v>
      </c>
      <c r="K347" s="4" t="s">
        <v>464</v>
      </c>
      <c r="L347" s="1" t="s">
        <v>19</v>
      </c>
      <c r="M347" s="1"/>
      <c r="O347" s="1"/>
      <c r="P347" s="1"/>
      <c r="Q347" s="1"/>
      <c r="S347" s="2"/>
      <c r="T347" s="1"/>
      <c r="U347" s="1"/>
      <c r="V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 t="s">
        <v>15</v>
      </c>
      <c r="AN347" s="1" t="s">
        <v>14</v>
      </c>
      <c r="AO347" s="1">
        <v>325</v>
      </c>
      <c r="AP347" s="3">
        <v>0.54166666666666663</v>
      </c>
      <c r="AQ347" s="1"/>
    </row>
    <row r="348" spans="1:43" ht="12.3" x14ac:dyDescent="0.4">
      <c r="A348" s="1" t="s">
        <v>258</v>
      </c>
      <c r="B348" s="1"/>
      <c r="C348" s="1" t="s">
        <v>6</v>
      </c>
      <c r="D348" s="5" t="s">
        <v>7</v>
      </c>
      <c r="E348" s="5" t="s">
        <v>463</v>
      </c>
      <c r="F348" s="4" t="s">
        <v>465</v>
      </c>
      <c r="G348" s="4" t="s">
        <v>465</v>
      </c>
      <c r="I348" s="1" t="s">
        <v>8</v>
      </c>
      <c r="J348" s="1" t="s">
        <v>9</v>
      </c>
      <c r="K348" s="4" t="s">
        <v>464</v>
      </c>
      <c r="L348" s="1" t="s">
        <v>22</v>
      </c>
      <c r="M348" s="1"/>
      <c r="O348" s="1"/>
      <c r="P348" s="1"/>
      <c r="Q348" s="1"/>
      <c r="S348" s="2"/>
      <c r="T348" s="1"/>
      <c r="U348" s="1"/>
      <c r="V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 t="s">
        <v>12</v>
      </c>
      <c r="AN348" s="1" t="s">
        <v>20</v>
      </c>
      <c r="AO348" s="1">
        <v>378</v>
      </c>
      <c r="AP348" s="3">
        <v>0.63</v>
      </c>
      <c r="AQ348" s="1"/>
    </row>
    <row r="349" spans="1:43" ht="12.3" x14ac:dyDescent="0.4">
      <c r="A349" s="1" t="s">
        <v>258</v>
      </c>
      <c r="B349" s="1"/>
      <c r="C349" s="1" t="s">
        <v>6</v>
      </c>
      <c r="D349" s="5" t="s">
        <v>7</v>
      </c>
      <c r="E349" s="5" t="s">
        <v>463</v>
      </c>
      <c r="F349" s="4" t="s">
        <v>465</v>
      </c>
      <c r="G349" s="4" t="s">
        <v>465</v>
      </c>
      <c r="I349" s="1" t="s">
        <v>27</v>
      </c>
      <c r="J349" s="1" t="s">
        <v>9</v>
      </c>
      <c r="K349" s="4" t="s">
        <v>464</v>
      </c>
      <c r="L349" s="1" t="s">
        <v>22</v>
      </c>
      <c r="M349" s="1"/>
      <c r="O349" s="1"/>
      <c r="P349" s="1"/>
      <c r="Q349" s="1"/>
      <c r="S349" s="2"/>
      <c r="T349" s="1"/>
      <c r="U349" s="2"/>
      <c r="V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 t="s">
        <v>15</v>
      </c>
      <c r="AN349" s="1" t="s">
        <v>20</v>
      </c>
      <c r="AO349" s="1">
        <v>422</v>
      </c>
      <c r="AP349" s="3">
        <v>0.70333333333333337</v>
      </c>
      <c r="AQ349" s="1"/>
    </row>
    <row r="350" spans="1:43" ht="12.3" x14ac:dyDescent="0.4">
      <c r="A350" s="1" t="s">
        <v>259</v>
      </c>
      <c r="B350" s="1"/>
      <c r="C350" s="1" t="s">
        <v>6</v>
      </c>
      <c r="D350" s="5" t="s">
        <v>7</v>
      </c>
      <c r="E350" s="5" t="s">
        <v>463</v>
      </c>
      <c r="F350" s="4" t="s">
        <v>465</v>
      </c>
      <c r="G350" s="4" t="s">
        <v>465</v>
      </c>
      <c r="I350" s="1" t="s">
        <v>27</v>
      </c>
      <c r="J350" s="1" t="s">
        <v>9</v>
      </c>
      <c r="K350" s="4" t="s">
        <v>464</v>
      </c>
      <c r="L350" s="1" t="s">
        <v>11</v>
      </c>
      <c r="M350" s="1"/>
      <c r="O350" s="1"/>
      <c r="P350" s="1"/>
      <c r="Q350" s="1"/>
      <c r="S350" s="2"/>
      <c r="T350" s="1"/>
      <c r="U350" s="2"/>
      <c r="V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 t="s">
        <v>12</v>
      </c>
      <c r="AN350" s="1" t="s">
        <v>14</v>
      </c>
      <c r="AO350" s="1">
        <v>243</v>
      </c>
      <c r="AP350" s="3">
        <v>0.40500000000000003</v>
      </c>
      <c r="AQ350" s="1"/>
    </row>
    <row r="351" spans="1:43" ht="12.3" x14ac:dyDescent="0.4">
      <c r="A351" s="1" t="s">
        <v>259</v>
      </c>
      <c r="B351" s="1"/>
      <c r="C351" s="1" t="s">
        <v>6</v>
      </c>
      <c r="D351" s="5" t="s">
        <v>7</v>
      </c>
      <c r="E351" s="5" t="s">
        <v>463</v>
      </c>
      <c r="F351" s="4" t="s">
        <v>465</v>
      </c>
      <c r="G351" s="4" t="s">
        <v>465</v>
      </c>
      <c r="I351" s="1" t="s">
        <v>16</v>
      </c>
      <c r="J351" s="1" t="s">
        <v>10</v>
      </c>
      <c r="K351" s="4" t="s">
        <v>464</v>
      </c>
      <c r="L351" s="1" t="s">
        <v>11</v>
      </c>
      <c r="M351" s="1"/>
      <c r="O351" s="1"/>
      <c r="P351" s="1"/>
      <c r="Q351" s="1"/>
      <c r="S351" s="1"/>
      <c r="T351" s="1"/>
      <c r="U351" s="1"/>
      <c r="V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 t="s">
        <v>15</v>
      </c>
      <c r="AN351" s="1" t="s">
        <v>14</v>
      </c>
      <c r="AO351" s="1">
        <v>322</v>
      </c>
      <c r="AP351" s="3">
        <v>0.53666666666666663</v>
      </c>
      <c r="AQ351" s="1"/>
    </row>
    <row r="352" spans="1:43" ht="12.3" x14ac:dyDescent="0.4">
      <c r="A352" s="1" t="s">
        <v>260</v>
      </c>
      <c r="B352" s="1"/>
      <c r="C352" s="1" t="s">
        <v>6</v>
      </c>
      <c r="D352" s="5" t="s">
        <v>7</v>
      </c>
      <c r="E352" s="5" t="s">
        <v>463</v>
      </c>
      <c r="F352" s="4" t="s">
        <v>465</v>
      </c>
      <c r="G352" s="4" t="s">
        <v>465</v>
      </c>
      <c r="I352" s="1" t="s">
        <v>16</v>
      </c>
      <c r="J352" s="1" t="s">
        <v>10</v>
      </c>
      <c r="K352" s="4" t="s">
        <v>464</v>
      </c>
      <c r="L352" s="1" t="s">
        <v>23</v>
      </c>
      <c r="M352" s="1"/>
      <c r="O352" s="1"/>
      <c r="P352" s="1"/>
      <c r="Q352" s="1"/>
      <c r="S352" s="1"/>
      <c r="T352" s="1"/>
      <c r="U352" s="1"/>
      <c r="V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 t="s">
        <v>12</v>
      </c>
      <c r="AN352" s="1" t="s">
        <v>13</v>
      </c>
      <c r="AO352" s="1">
        <v>288</v>
      </c>
      <c r="AP352" s="3">
        <v>0.48</v>
      </c>
      <c r="AQ352" s="1"/>
    </row>
    <row r="353" spans="1:43" ht="12.3" x14ac:dyDescent="0.4">
      <c r="A353" s="1" t="s">
        <v>260</v>
      </c>
      <c r="B353" s="1"/>
      <c r="C353" s="1" t="s">
        <v>6</v>
      </c>
      <c r="D353" s="5" t="s">
        <v>7</v>
      </c>
      <c r="E353" s="5" t="s">
        <v>463</v>
      </c>
      <c r="F353" s="4" t="s">
        <v>465</v>
      </c>
      <c r="G353" s="4" t="s">
        <v>465</v>
      </c>
      <c r="I353" s="1" t="s">
        <v>16</v>
      </c>
      <c r="J353" s="1" t="s">
        <v>10</v>
      </c>
      <c r="K353" s="4" t="s">
        <v>464</v>
      </c>
      <c r="L353" s="1" t="s">
        <v>23</v>
      </c>
      <c r="M353" s="1"/>
      <c r="O353" s="1"/>
      <c r="P353" s="1"/>
      <c r="Q353" s="1"/>
      <c r="S353" s="2"/>
      <c r="T353" s="1"/>
      <c r="U353" s="2"/>
      <c r="V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 t="s">
        <v>15</v>
      </c>
      <c r="AN353" s="1" t="s">
        <v>14</v>
      </c>
      <c r="AO353" s="1">
        <v>340</v>
      </c>
      <c r="AP353" s="3">
        <v>0.56666666666666665</v>
      </c>
      <c r="AQ353" s="1"/>
    </row>
    <row r="354" spans="1:43" ht="12.3" x14ac:dyDescent="0.4">
      <c r="A354" s="1" t="s">
        <v>261</v>
      </c>
      <c r="B354" s="1"/>
      <c r="C354" s="1" t="s">
        <v>6</v>
      </c>
      <c r="D354" s="5" t="s">
        <v>7</v>
      </c>
      <c r="E354" s="5" t="s">
        <v>463</v>
      </c>
      <c r="F354" s="4" t="s">
        <v>465</v>
      </c>
      <c r="G354" s="4" t="s">
        <v>465</v>
      </c>
      <c r="I354" s="1" t="s">
        <v>16</v>
      </c>
      <c r="J354" s="1" t="s">
        <v>10</v>
      </c>
      <c r="K354" s="4" t="s">
        <v>464</v>
      </c>
      <c r="L354" s="1" t="s">
        <v>19</v>
      </c>
      <c r="M354" s="1"/>
      <c r="O354" s="1"/>
      <c r="P354" s="1"/>
      <c r="Q354" s="1"/>
      <c r="S354" s="2"/>
      <c r="T354" s="1"/>
      <c r="U354" s="2"/>
      <c r="V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 t="s">
        <v>12</v>
      </c>
      <c r="AN354" s="1" t="s">
        <v>14</v>
      </c>
      <c r="AO354" s="1">
        <v>259</v>
      </c>
      <c r="AP354" s="3">
        <v>0.43166666666666664</v>
      </c>
      <c r="AQ354" s="1"/>
    </row>
    <row r="355" spans="1:43" ht="12.3" x14ac:dyDescent="0.4">
      <c r="A355" s="1" t="s">
        <v>261</v>
      </c>
      <c r="B355" s="1"/>
      <c r="C355" s="1" t="s">
        <v>6</v>
      </c>
      <c r="D355" s="5" t="s">
        <v>7</v>
      </c>
      <c r="E355" s="5" t="s">
        <v>463</v>
      </c>
      <c r="F355" s="4" t="s">
        <v>465</v>
      </c>
      <c r="G355" s="4" t="s">
        <v>465</v>
      </c>
      <c r="I355" s="1" t="s">
        <v>16</v>
      </c>
      <c r="J355" s="1" t="s">
        <v>10</v>
      </c>
      <c r="K355" s="4" t="s">
        <v>464</v>
      </c>
      <c r="L355" s="1" t="s">
        <v>19</v>
      </c>
      <c r="M355" s="1"/>
      <c r="O355" s="1"/>
      <c r="P355" s="1"/>
      <c r="Q355" s="1"/>
      <c r="S355" s="2"/>
      <c r="T355" s="1"/>
      <c r="U355" s="2"/>
      <c r="V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 t="s">
        <v>15</v>
      </c>
      <c r="AN355" s="1" t="s">
        <v>14</v>
      </c>
      <c r="AO355" s="1">
        <v>336</v>
      </c>
      <c r="AP355" s="3">
        <v>0.56000000000000005</v>
      </c>
      <c r="AQ355" s="1"/>
    </row>
    <row r="356" spans="1:43" ht="12.3" x14ac:dyDescent="0.4">
      <c r="A356" s="1" t="s">
        <v>262</v>
      </c>
      <c r="B356" s="1"/>
      <c r="C356" s="1" t="s">
        <v>6</v>
      </c>
      <c r="D356" s="5" t="s">
        <v>7</v>
      </c>
      <c r="E356" s="5" t="s">
        <v>463</v>
      </c>
      <c r="F356" s="4" t="s">
        <v>465</v>
      </c>
      <c r="G356" s="4" t="s">
        <v>465</v>
      </c>
      <c r="I356" s="1" t="s">
        <v>16</v>
      </c>
      <c r="J356" s="1" t="s">
        <v>10</v>
      </c>
      <c r="K356" s="4" t="s">
        <v>464</v>
      </c>
      <c r="L356" s="1" t="s">
        <v>22</v>
      </c>
      <c r="M356" s="1"/>
      <c r="O356" s="1"/>
      <c r="P356" s="1"/>
      <c r="Q356" s="1"/>
      <c r="S356" s="2"/>
      <c r="T356" s="1"/>
      <c r="U356" s="2"/>
      <c r="V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 t="s">
        <v>12</v>
      </c>
      <c r="AN356" s="1" t="s">
        <v>14</v>
      </c>
      <c r="AO356" s="1">
        <v>247</v>
      </c>
      <c r="AP356" s="3">
        <v>0.41166666666666668</v>
      </c>
      <c r="AQ356" s="1"/>
    </row>
    <row r="357" spans="1:43" ht="12.3" x14ac:dyDescent="0.4">
      <c r="A357" s="1" t="s">
        <v>262</v>
      </c>
      <c r="B357" s="1"/>
      <c r="C357" s="1" t="s">
        <v>6</v>
      </c>
      <c r="D357" s="5" t="s">
        <v>7</v>
      </c>
      <c r="E357" s="5" t="s">
        <v>463</v>
      </c>
      <c r="F357" s="4" t="s">
        <v>465</v>
      </c>
      <c r="G357" s="4" t="s">
        <v>465</v>
      </c>
      <c r="I357" s="1" t="s">
        <v>16</v>
      </c>
      <c r="J357" s="1" t="s">
        <v>10</v>
      </c>
      <c r="K357" s="4" t="s">
        <v>464</v>
      </c>
      <c r="L357" s="1" t="s">
        <v>22</v>
      </c>
      <c r="M357" s="1"/>
      <c r="O357" s="1"/>
      <c r="P357" s="1"/>
      <c r="Q357" s="1"/>
      <c r="S357" s="1"/>
      <c r="T357" s="1"/>
      <c r="U357" s="2"/>
      <c r="V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 t="s">
        <v>15</v>
      </c>
      <c r="AN357" s="1" t="s">
        <v>14</v>
      </c>
      <c r="AO357" s="1">
        <v>345</v>
      </c>
      <c r="AP357" s="3">
        <v>0.57499999999999996</v>
      </c>
      <c r="AQ357" s="1"/>
    </row>
    <row r="358" spans="1:43" ht="12.3" x14ac:dyDescent="0.4">
      <c r="A358" s="1" t="s">
        <v>263</v>
      </c>
      <c r="B358" s="1"/>
      <c r="C358" s="1" t="s">
        <v>6</v>
      </c>
      <c r="D358" s="5" t="s">
        <v>7</v>
      </c>
      <c r="E358" s="5" t="s">
        <v>463</v>
      </c>
      <c r="F358" s="4" t="s">
        <v>465</v>
      </c>
      <c r="G358" s="4" t="s">
        <v>465</v>
      </c>
      <c r="I358" s="1" t="s">
        <v>16</v>
      </c>
      <c r="J358" s="1" t="s">
        <v>10</v>
      </c>
      <c r="K358" s="4" t="s">
        <v>464</v>
      </c>
      <c r="L358" s="1" t="s">
        <v>28</v>
      </c>
      <c r="M358" s="1"/>
      <c r="O358" s="1"/>
      <c r="P358" s="1"/>
      <c r="Q358" s="1"/>
      <c r="S358" s="1"/>
      <c r="T358" s="1"/>
      <c r="U358" s="2"/>
      <c r="V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 t="s">
        <v>12</v>
      </c>
      <c r="AN358" s="1" t="s">
        <v>13</v>
      </c>
      <c r="AO358" s="1">
        <v>290</v>
      </c>
      <c r="AP358" s="3">
        <v>0.48333333333333334</v>
      </c>
      <c r="AQ358" s="1"/>
    </row>
    <row r="359" spans="1:43" ht="12.3" x14ac:dyDescent="0.4">
      <c r="A359" s="1" t="s">
        <v>263</v>
      </c>
      <c r="B359" s="1"/>
      <c r="C359" s="1" t="s">
        <v>6</v>
      </c>
      <c r="D359" s="5" t="s">
        <v>7</v>
      </c>
      <c r="E359" s="5" t="s">
        <v>463</v>
      </c>
      <c r="F359" s="4" t="s">
        <v>465</v>
      </c>
      <c r="G359" s="4" t="s">
        <v>465</v>
      </c>
      <c r="I359" s="1" t="s">
        <v>29</v>
      </c>
      <c r="J359" s="1" t="s">
        <v>9</v>
      </c>
      <c r="K359" s="4" t="s">
        <v>464</v>
      </c>
      <c r="L359" s="1" t="s">
        <v>28</v>
      </c>
      <c r="M359" s="1"/>
      <c r="O359" s="1"/>
      <c r="P359" s="1"/>
      <c r="Q359" s="1"/>
      <c r="S359" s="1"/>
      <c r="T359" s="1"/>
      <c r="U359" s="1"/>
      <c r="V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 t="s">
        <v>15</v>
      </c>
      <c r="AN359" s="1" t="s">
        <v>14</v>
      </c>
      <c r="AO359" s="1">
        <v>339</v>
      </c>
      <c r="AP359" s="3">
        <v>0.56499999999999995</v>
      </c>
      <c r="AQ359" s="1"/>
    </row>
    <row r="360" spans="1:43" ht="12.3" x14ac:dyDescent="0.4">
      <c r="A360" s="1" t="s">
        <v>264</v>
      </c>
      <c r="B360" s="1"/>
      <c r="C360" s="1" t="s">
        <v>6</v>
      </c>
      <c r="D360" s="5" t="s">
        <v>7</v>
      </c>
      <c r="E360" s="5" t="s">
        <v>463</v>
      </c>
      <c r="F360" s="4" t="s">
        <v>465</v>
      </c>
      <c r="G360" s="4" t="s">
        <v>465</v>
      </c>
      <c r="I360" s="1" t="s">
        <v>29</v>
      </c>
      <c r="J360" s="1" t="s">
        <v>9</v>
      </c>
      <c r="K360" s="4" t="s">
        <v>464</v>
      </c>
      <c r="L360" s="1" t="s">
        <v>22</v>
      </c>
      <c r="M360" s="1"/>
      <c r="O360" s="1"/>
      <c r="P360" s="1"/>
      <c r="Q360" s="1"/>
      <c r="S360" s="1"/>
      <c r="T360" s="1"/>
      <c r="U360" s="1"/>
      <c r="V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 t="s">
        <v>12</v>
      </c>
      <c r="AN360" s="1" t="s">
        <v>14</v>
      </c>
      <c r="AO360" s="1">
        <v>263</v>
      </c>
      <c r="AP360" s="3">
        <v>0.43833333333333335</v>
      </c>
      <c r="AQ360" s="1"/>
    </row>
    <row r="361" spans="1:43" ht="12.3" x14ac:dyDescent="0.4">
      <c r="A361" s="1" t="s">
        <v>264</v>
      </c>
      <c r="B361" s="1"/>
      <c r="C361" s="1" t="s">
        <v>6</v>
      </c>
      <c r="D361" s="5" t="s">
        <v>7</v>
      </c>
      <c r="E361" s="5" t="s">
        <v>463</v>
      </c>
      <c r="F361" s="4" t="s">
        <v>465</v>
      </c>
      <c r="G361" s="4" t="s">
        <v>465</v>
      </c>
      <c r="I361" s="1" t="s">
        <v>8</v>
      </c>
      <c r="J361" s="1" t="s">
        <v>9</v>
      </c>
      <c r="K361" s="4" t="s">
        <v>464</v>
      </c>
      <c r="L361" s="1" t="s">
        <v>22</v>
      </c>
      <c r="M361" s="1"/>
      <c r="O361" s="1"/>
      <c r="P361" s="1"/>
      <c r="Q361" s="1"/>
      <c r="S361" s="2"/>
      <c r="T361" s="1"/>
      <c r="U361" s="2"/>
      <c r="V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 t="s">
        <v>15</v>
      </c>
      <c r="AN361" s="1" t="s">
        <v>14</v>
      </c>
      <c r="AO361" s="1">
        <v>331</v>
      </c>
      <c r="AP361" s="3">
        <v>0.55166666666666664</v>
      </c>
      <c r="AQ361" s="1"/>
    </row>
    <row r="362" spans="1:43" ht="12.3" x14ac:dyDescent="0.4">
      <c r="A362" s="1" t="s">
        <v>265</v>
      </c>
      <c r="B362" s="1"/>
      <c r="C362" s="1" t="s">
        <v>6</v>
      </c>
      <c r="D362" s="5" t="s">
        <v>7</v>
      </c>
      <c r="E362" s="5" t="s">
        <v>463</v>
      </c>
      <c r="F362" s="4" t="s">
        <v>465</v>
      </c>
      <c r="G362" s="4" t="s">
        <v>465</v>
      </c>
      <c r="I362" s="1" t="s">
        <v>8</v>
      </c>
      <c r="J362" s="1" t="s">
        <v>9</v>
      </c>
      <c r="K362" s="4" t="s">
        <v>464</v>
      </c>
      <c r="L362" s="1" t="s">
        <v>22</v>
      </c>
      <c r="M362" s="1"/>
      <c r="O362" s="1"/>
      <c r="P362" s="1"/>
      <c r="Q362" s="1"/>
      <c r="S362" s="2"/>
      <c r="T362" s="1"/>
      <c r="U362" s="2"/>
      <c r="V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 t="s">
        <v>12</v>
      </c>
      <c r="AN362" s="1" t="s">
        <v>13</v>
      </c>
      <c r="AO362" s="1">
        <v>281</v>
      </c>
      <c r="AP362" s="3">
        <v>0.46833333333333332</v>
      </c>
      <c r="AQ362" s="1"/>
    </row>
    <row r="363" spans="1:43" ht="12.3" x14ac:dyDescent="0.4">
      <c r="A363" s="1" t="s">
        <v>265</v>
      </c>
      <c r="B363" s="1"/>
      <c r="C363" s="1" t="s">
        <v>6</v>
      </c>
      <c r="D363" s="5" t="s">
        <v>7</v>
      </c>
      <c r="E363" s="5" t="s">
        <v>463</v>
      </c>
      <c r="F363" s="4" t="s">
        <v>465</v>
      </c>
      <c r="G363" s="4" t="s">
        <v>465</v>
      </c>
      <c r="I363" s="1" t="s">
        <v>8</v>
      </c>
      <c r="J363" s="1" t="s">
        <v>9</v>
      </c>
      <c r="K363" s="4" t="s">
        <v>464</v>
      </c>
      <c r="L363" s="1" t="s">
        <v>22</v>
      </c>
      <c r="M363" s="1"/>
      <c r="O363" s="1"/>
      <c r="P363" s="1"/>
      <c r="Q363" s="1"/>
      <c r="S363" s="2"/>
      <c r="T363" s="1"/>
      <c r="U363" s="2"/>
      <c r="V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 t="s">
        <v>15</v>
      </c>
      <c r="AN363" s="1" t="s">
        <v>14</v>
      </c>
      <c r="AO363" s="1">
        <v>336</v>
      </c>
      <c r="AP363" s="3">
        <v>0.56000000000000005</v>
      </c>
      <c r="AQ363" s="1"/>
    </row>
    <row r="364" spans="1:43" ht="12.3" x14ac:dyDescent="0.4">
      <c r="A364" s="1" t="s">
        <v>266</v>
      </c>
      <c r="B364" s="1"/>
      <c r="C364" s="1" t="s">
        <v>6</v>
      </c>
      <c r="D364" s="5" t="s">
        <v>7</v>
      </c>
      <c r="E364" s="5" t="s">
        <v>463</v>
      </c>
      <c r="F364" s="4" t="s">
        <v>465</v>
      </c>
      <c r="G364" s="4" t="s">
        <v>465</v>
      </c>
      <c r="I364" s="1" t="s">
        <v>8</v>
      </c>
      <c r="J364" s="1" t="s">
        <v>9</v>
      </c>
      <c r="K364" s="4" t="s">
        <v>464</v>
      </c>
      <c r="L364" s="1" t="s">
        <v>28</v>
      </c>
      <c r="M364" s="1"/>
      <c r="O364" s="1"/>
      <c r="P364" s="1"/>
      <c r="Q364" s="1"/>
      <c r="S364" s="2"/>
      <c r="T364" s="1"/>
      <c r="U364" s="2"/>
      <c r="V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 t="s">
        <v>12</v>
      </c>
      <c r="AN364" s="1" t="s">
        <v>20</v>
      </c>
      <c r="AO364" s="1">
        <v>352</v>
      </c>
      <c r="AP364" s="3">
        <v>0.58666666666666667</v>
      </c>
      <c r="AQ364" s="1"/>
    </row>
    <row r="365" spans="1:43" ht="12.3" x14ac:dyDescent="0.4">
      <c r="A365" s="1" t="s">
        <v>266</v>
      </c>
      <c r="B365" s="1"/>
      <c r="C365" s="1" t="s">
        <v>6</v>
      </c>
      <c r="D365" s="5" t="s">
        <v>7</v>
      </c>
      <c r="E365" s="5" t="s">
        <v>463</v>
      </c>
      <c r="F365" s="4" t="s">
        <v>465</v>
      </c>
      <c r="G365" s="4" t="s">
        <v>465</v>
      </c>
      <c r="I365" s="1" t="s">
        <v>16</v>
      </c>
      <c r="J365" s="1" t="s">
        <v>9</v>
      </c>
      <c r="K365" s="4" t="s">
        <v>464</v>
      </c>
      <c r="L365" s="1" t="s">
        <v>28</v>
      </c>
      <c r="M365" s="1"/>
      <c r="O365" s="1"/>
      <c r="P365" s="1"/>
      <c r="Q365" s="1"/>
      <c r="S365" s="2"/>
      <c r="T365" s="1"/>
      <c r="U365" s="1"/>
      <c r="V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 t="s">
        <v>15</v>
      </c>
      <c r="AN365" s="1" t="s">
        <v>18</v>
      </c>
      <c r="AO365" s="1">
        <v>380</v>
      </c>
      <c r="AP365" s="3">
        <v>0.6333333333333333</v>
      </c>
      <c r="AQ365" s="1"/>
    </row>
    <row r="366" spans="1:43" ht="12.3" x14ac:dyDescent="0.4">
      <c r="A366" s="1" t="s">
        <v>267</v>
      </c>
      <c r="B366" s="1"/>
      <c r="C366" s="1" t="s">
        <v>6</v>
      </c>
      <c r="D366" s="5" t="s">
        <v>7</v>
      </c>
      <c r="E366" s="5" t="s">
        <v>463</v>
      </c>
      <c r="F366" s="4" t="s">
        <v>465</v>
      </c>
      <c r="G366" s="4" t="s">
        <v>465</v>
      </c>
      <c r="I366" s="1" t="s">
        <v>16</v>
      </c>
      <c r="J366" s="1" t="s">
        <v>9</v>
      </c>
      <c r="K366" s="4" t="s">
        <v>464</v>
      </c>
      <c r="L366" s="1" t="s">
        <v>28</v>
      </c>
      <c r="M366" s="1"/>
      <c r="O366" s="1"/>
      <c r="P366" s="1"/>
      <c r="Q366" s="1"/>
      <c r="S366" s="2"/>
      <c r="T366" s="1"/>
      <c r="U366" s="1"/>
      <c r="V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 t="s">
        <v>15</v>
      </c>
      <c r="AN366" s="1" t="s">
        <v>14</v>
      </c>
      <c r="AO366" s="1">
        <v>334</v>
      </c>
      <c r="AP366" s="3">
        <v>0.55666666666666664</v>
      </c>
      <c r="AQ366" s="1"/>
    </row>
    <row r="367" spans="1:43" ht="12.3" x14ac:dyDescent="0.4">
      <c r="A367" s="1" t="s">
        <v>268</v>
      </c>
      <c r="B367" s="1"/>
      <c r="C367" s="1" t="s">
        <v>6</v>
      </c>
      <c r="D367" s="5" t="s">
        <v>7</v>
      </c>
      <c r="E367" s="5" t="s">
        <v>463</v>
      </c>
      <c r="F367" s="4" t="s">
        <v>465</v>
      </c>
      <c r="G367" s="4" t="s">
        <v>465</v>
      </c>
      <c r="I367" s="1" t="s">
        <v>8</v>
      </c>
      <c r="J367" s="1" t="s">
        <v>9</v>
      </c>
      <c r="K367" s="4" t="s">
        <v>464</v>
      </c>
      <c r="L367" s="1" t="s">
        <v>26</v>
      </c>
      <c r="M367" s="1"/>
      <c r="O367" s="1"/>
      <c r="P367" s="1"/>
      <c r="Q367" s="1"/>
      <c r="S367" s="1"/>
      <c r="T367" s="1"/>
      <c r="U367" s="1"/>
      <c r="V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 t="s">
        <v>12</v>
      </c>
      <c r="AN367" s="1" t="s">
        <v>20</v>
      </c>
      <c r="AO367" s="1">
        <v>343</v>
      </c>
      <c r="AP367" s="3">
        <v>0.57166666666666666</v>
      </c>
      <c r="AQ367" s="1"/>
    </row>
    <row r="368" spans="1:43" ht="12.3" x14ac:dyDescent="0.4">
      <c r="A368" s="1" t="s">
        <v>268</v>
      </c>
      <c r="B368" s="1"/>
      <c r="C368" s="1" t="s">
        <v>6</v>
      </c>
      <c r="D368" s="5" t="s">
        <v>7</v>
      </c>
      <c r="E368" s="5" t="s">
        <v>463</v>
      </c>
      <c r="F368" s="4" t="s">
        <v>465</v>
      </c>
      <c r="G368" s="4" t="s">
        <v>465</v>
      </c>
      <c r="I368" s="1" t="s">
        <v>8</v>
      </c>
      <c r="J368" s="1" t="s">
        <v>9</v>
      </c>
      <c r="K368" s="4" t="s">
        <v>464</v>
      </c>
      <c r="L368" s="1" t="s">
        <v>26</v>
      </c>
      <c r="M368" s="1"/>
      <c r="O368" s="1"/>
      <c r="P368" s="1"/>
      <c r="Q368" s="1"/>
      <c r="S368" s="2"/>
      <c r="T368" s="1"/>
      <c r="U368" s="1"/>
      <c r="V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 t="s">
        <v>15</v>
      </c>
      <c r="AN368" s="1" t="s">
        <v>18</v>
      </c>
      <c r="AO368" s="1">
        <v>371</v>
      </c>
      <c r="AP368" s="3">
        <v>0.61833333333333329</v>
      </c>
      <c r="AQ368" s="1"/>
    </row>
    <row r="369" spans="1:43" ht="12.3" x14ac:dyDescent="0.4">
      <c r="A369" s="1" t="s">
        <v>269</v>
      </c>
      <c r="B369" s="1"/>
      <c r="C369" s="1" t="s">
        <v>6</v>
      </c>
      <c r="D369" s="5" t="s">
        <v>7</v>
      </c>
      <c r="E369" s="5" t="s">
        <v>463</v>
      </c>
      <c r="F369" s="4" t="s">
        <v>465</v>
      </c>
      <c r="G369" s="4" t="s">
        <v>465</v>
      </c>
      <c r="I369" s="1" t="s">
        <v>8</v>
      </c>
      <c r="J369" s="1" t="s">
        <v>9</v>
      </c>
      <c r="K369" s="4" t="s">
        <v>464</v>
      </c>
      <c r="L369" s="1" t="s">
        <v>21</v>
      </c>
      <c r="M369" s="1"/>
      <c r="O369" s="1"/>
      <c r="P369" s="1"/>
      <c r="Q369" s="1"/>
      <c r="S369" s="2"/>
      <c r="T369" s="1"/>
      <c r="U369" s="1"/>
      <c r="V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 t="s">
        <v>12</v>
      </c>
      <c r="AN369" s="1" t="s">
        <v>20</v>
      </c>
      <c r="AO369" s="1">
        <v>364</v>
      </c>
      <c r="AP369" s="3">
        <v>0.60666666666666669</v>
      </c>
      <c r="AQ369" s="1"/>
    </row>
    <row r="370" spans="1:43" ht="12.3" x14ac:dyDescent="0.4">
      <c r="A370" s="1" t="s">
        <v>269</v>
      </c>
      <c r="B370" s="1"/>
      <c r="C370" s="1" t="s">
        <v>6</v>
      </c>
      <c r="D370" s="5" t="s">
        <v>7</v>
      </c>
      <c r="E370" s="5" t="s">
        <v>463</v>
      </c>
      <c r="F370" s="4" t="s">
        <v>465</v>
      </c>
      <c r="G370" s="4" t="s">
        <v>465</v>
      </c>
      <c r="I370" s="1" t="s">
        <v>16</v>
      </c>
      <c r="J370" s="1" t="s">
        <v>10</v>
      </c>
      <c r="K370" s="4" t="s">
        <v>464</v>
      </c>
      <c r="L370" s="1" t="s">
        <v>21</v>
      </c>
      <c r="M370" s="1"/>
      <c r="O370" s="1"/>
      <c r="P370" s="1"/>
      <c r="Q370" s="1"/>
      <c r="S370" s="2"/>
      <c r="T370" s="1"/>
      <c r="U370" s="2"/>
      <c r="V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 t="s">
        <v>15</v>
      </c>
      <c r="AN370" s="1" t="s">
        <v>20</v>
      </c>
      <c r="AO370" s="1">
        <v>440</v>
      </c>
      <c r="AP370" s="3">
        <v>0.73333333333333328</v>
      </c>
      <c r="AQ370" s="1"/>
    </row>
    <row r="371" spans="1:43" ht="12.3" x14ac:dyDescent="0.4">
      <c r="A371" s="1" t="s">
        <v>270</v>
      </c>
      <c r="B371" s="1"/>
      <c r="C371" s="1" t="s">
        <v>6</v>
      </c>
      <c r="D371" s="5" t="s">
        <v>7</v>
      </c>
      <c r="E371" s="5" t="s">
        <v>463</v>
      </c>
      <c r="F371" s="4" t="s">
        <v>465</v>
      </c>
      <c r="G371" s="4" t="s">
        <v>465</v>
      </c>
      <c r="I371" s="1" t="s">
        <v>16</v>
      </c>
      <c r="J371" s="1" t="s">
        <v>10</v>
      </c>
      <c r="K371" s="4" t="s">
        <v>464</v>
      </c>
      <c r="L371" s="1" t="s">
        <v>26</v>
      </c>
      <c r="M371" s="1"/>
      <c r="O371" s="1"/>
      <c r="P371" s="1"/>
      <c r="Q371" s="1"/>
      <c r="S371" s="2"/>
      <c r="T371" s="1"/>
      <c r="U371" s="2"/>
      <c r="V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 t="s">
        <v>12</v>
      </c>
      <c r="AN371" s="1" t="s">
        <v>18</v>
      </c>
      <c r="AO371" s="1">
        <v>310</v>
      </c>
      <c r="AP371" s="3">
        <v>0.51666666666666672</v>
      </c>
      <c r="AQ371" s="1"/>
    </row>
    <row r="372" spans="1:43" ht="12.3" x14ac:dyDescent="0.4">
      <c r="A372" s="1" t="s">
        <v>270</v>
      </c>
      <c r="B372" s="1"/>
      <c r="C372" s="1" t="s">
        <v>6</v>
      </c>
      <c r="D372" s="5" t="s">
        <v>7</v>
      </c>
      <c r="E372" s="5" t="s">
        <v>463</v>
      </c>
      <c r="F372" s="4" t="s">
        <v>465</v>
      </c>
      <c r="G372" s="4" t="s">
        <v>465</v>
      </c>
      <c r="I372" s="1" t="s">
        <v>8</v>
      </c>
      <c r="J372" s="1" t="s">
        <v>9</v>
      </c>
      <c r="K372" s="4" t="s">
        <v>464</v>
      </c>
      <c r="L372" s="1" t="s">
        <v>26</v>
      </c>
      <c r="M372" s="1"/>
      <c r="O372" s="1"/>
      <c r="P372" s="1"/>
      <c r="Q372" s="1"/>
      <c r="S372" s="2"/>
      <c r="T372" s="1"/>
      <c r="U372" s="1"/>
      <c r="V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 t="s">
        <v>15</v>
      </c>
      <c r="AN372" s="1" t="s">
        <v>18</v>
      </c>
      <c r="AO372" s="1">
        <v>382</v>
      </c>
      <c r="AP372" s="3">
        <v>0.63666666666666671</v>
      </c>
      <c r="AQ372" s="1"/>
    </row>
    <row r="373" spans="1:43" ht="12.3" x14ac:dyDescent="0.4">
      <c r="A373" s="1" t="s">
        <v>271</v>
      </c>
      <c r="B373" s="1"/>
      <c r="C373" s="1" t="s">
        <v>6</v>
      </c>
      <c r="D373" s="5" t="s">
        <v>7</v>
      </c>
      <c r="E373" s="5" t="s">
        <v>463</v>
      </c>
      <c r="F373" s="4" t="s">
        <v>465</v>
      </c>
      <c r="G373" s="4" t="s">
        <v>465</v>
      </c>
      <c r="I373" s="1" t="s">
        <v>8</v>
      </c>
      <c r="J373" s="1" t="s">
        <v>9</v>
      </c>
      <c r="K373" s="4" t="s">
        <v>464</v>
      </c>
      <c r="L373" s="1" t="s">
        <v>11</v>
      </c>
      <c r="M373" s="1"/>
      <c r="O373" s="1"/>
      <c r="P373" s="1"/>
      <c r="Q373" s="1"/>
      <c r="S373" s="2"/>
      <c r="T373" s="1"/>
      <c r="U373" s="1"/>
      <c r="V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 t="s">
        <v>12</v>
      </c>
      <c r="AN373" s="1" t="s">
        <v>20</v>
      </c>
      <c r="AO373" s="1">
        <v>473</v>
      </c>
      <c r="AP373" s="3">
        <v>0.78833333333333333</v>
      </c>
      <c r="AQ373" s="1"/>
    </row>
    <row r="374" spans="1:43" ht="12.3" x14ac:dyDescent="0.4">
      <c r="A374" s="1" t="s">
        <v>271</v>
      </c>
      <c r="B374" s="1"/>
      <c r="C374" s="1" t="s">
        <v>6</v>
      </c>
      <c r="D374" s="5" t="s">
        <v>7</v>
      </c>
      <c r="E374" s="5" t="s">
        <v>463</v>
      </c>
      <c r="F374" s="4" t="s">
        <v>465</v>
      </c>
      <c r="G374" s="4" t="s">
        <v>465</v>
      </c>
      <c r="I374" s="1" t="s">
        <v>8</v>
      </c>
      <c r="J374" s="1" t="s">
        <v>9</v>
      </c>
      <c r="K374" s="4" t="s">
        <v>464</v>
      </c>
      <c r="L374" s="1" t="s">
        <v>11</v>
      </c>
      <c r="M374" s="1"/>
      <c r="O374" s="1"/>
      <c r="P374" s="1"/>
      <c r="Q374" s="1"/>
      <c r="S374" s="1"/>
      <c r="T374" s="1"/>
      <c r="U374" s="1"/>
      <c r="V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 t="s">
        <v>15</v>
      </c>
      <c r="AN374" s="1" t="s">
        <v>20</v>
      </c>
      <c r="AO374" s="1">
        <v>479</v>
      </c>
      <c r="AP374" s="3">
        <v>0.79833333333333334</v>
      </c>
      <c r="AQ374" s="1"/>
    </row>
    <row r="375" spans="1:43" ht="12.3" x14ac:dyDescent="0.4">
      <c r="A375" s="1" t="s">
        <v>272</v>
      </c>
      <c r="B375" s="1"/>
      <c r="C375" s="1" t="s">
        <v>6</v>
      </c>
      <c r="D375" s="5" t="s">
        <v>7</v>
      </c>
      <c r="E375" s="5" t="s">
        <v>463</v>
      </c>
      <c r="F375" s="4" t="s">
        <v>465</v>
      </c>
      <c r="G375" s="4" t="s">
        <v>465</v>
      </c>
      <c r="I375" s="1" t="s">
        <v>8</v>
      </c>
      <c r="J375" s="1" t="s">
        <v>9</v>
      </c>
      <c r="K375" s="4" t="s">
        <v>464</v>
      </c>
      <c r="L375" s="1" t="s">
        <v>19</v>
      </c>
      <c r="M375" s="1"/>
      <c r="O375" s="1"/>
      <c r="P375" s="1"/>
      <c r="Q375" s="1"/>
      <c r="S375" s="1"/>
      <c r="T375" s="1"/>
      <c r="U375" s="1"/>
      <c r="V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 t="s">
        <v>12</v>
      </c>
      <c r="AN375" s="1" t="s">
        <v>13</v>
      </c>
      <c r="AO375" s="1">
        <v>302</v>
      </c>
      <c r="AP375" s="3">
        <v>0.5033333333333333</v>
      </c>
      <c r="AQ375" s="1"/>
    </row>
    <row r="376" spans="1:43" ht="12.3" x14ac:dyDescent="0.4">
      <c r="A376" s="1" t="s">
        <v>272</v>
      </c>
      <c r="B376" s="1"/>
      <c r="C376" s="1" t="s">
        <v>6</v>
      </c>
      <c r="D376" s="5" t="s">
        <v>7</v>
      </c>
      <c r="E376" s="5" t="s">
        <v>463</v>
      </c>
      <c r="F376" s="4" t="s">
        <v>465</v>
      </c>
      <c r="G376" s="4" t="s">
        <v>465</v>
      </c>
      <c r="I376" s="1" t="s">
        <v>16</v>
      </c>
      <c r="J376" s="1" t="s">
        <v>9</v>
      </c>
      <c r="K376" s="4" t="s">
        <v>464</v>
      </c>
      <c r="L376" s="1" t="s">
        <v>19</v>
      </c>
      <c r="M376" s="1"/>
      <c r="O376" s="1"/>
      <c r="P376" s="1"/>
      <c r="Q376" s="1"/>
      <c r="S376" s="2"/>
      <c r="T376" s="1"/>
      <c r="U376" s="1"/>
      <c r="V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 t="s">
        <v>15</v>
      </c>
      <c r="AN376" s="1" t="s">
        <v>13</v>
      </c>
      <c r="AO376" s="1">
        <v>356</v>
      </c>
      <c r="AP376" s="3">
        <v>0.59333333333333338</v>
      </c>
      <c r="AQ376" s="1"/>
    </row>
    <row r="377" spans="1:43" ht="12.3" x14ac:dyDescent="0.4">
      <c r="A377" s="1" t="s">
        <v>273</v>
      </c>
      <c r="B377" s="1"/>
      <c r="C377" s="1" t="s">
        <v>6</v>
      </c>
      <c r="D377" s="5" t="s">
        <v>7</v>
      </c>
      <c r="E377" s="5" t="s">
        <v>463</v>
      </c>
      <c r="F377" s="4" t="s">
        <v>465</v>
      </c>
      <c r="G377" s="4" t="s">
        <v>465</v>
      </c>
      <c r="I377" s="1" t="s">
        <v>16</v>
      </c>
      <c r="J377" s="1" t="s">
        <v>9</v>
      </c>
      <c r="K377" s="4" t="s">
        <v>464</v>
      </c>
      <c r="L377" s="1" t="s">
        <v>23</v>
      </c>
      <c r="M377" s="1"/>
      <c r="O377" s="1"/>
      <c r="P377" s="1"/>
      <c r="Q377" s="1"/>
      <c r="S377" s="2"/>
      <c r="T377" s="1"/>
      <c r="U377" s="1"/>
      <c r="V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 t="s">
        <v>12</v>
      </c>
      <c r="AN377" s="1" t="s">
        <v>20</v>
      </c>
      <c r="AO377" s="1">
        <v>336</v>
      </c>
      <c r="AP377" s="3">
        <v>0.56000000000000005</v>
      </c>
      <c r="AQ377" s="1"/>
    </row>
    <row r="378" spans="1:43" ht="12.3" x14ac:dyDescent="0.4">
      <c r="A378" s="1" t="s">
        <v>273</v>
      </c>
      <c r="B378" s="1"/>
      <c r="C378" s="1" t="s">
        <v>6</v>
      </c>
      <c r="D378" s="5" t="s">
        <v>7</v>
      </c>
      <c r="E378" s="5" t="s">
        <v>463</v>
      </c>
      <c r="F378" s="4" t="s">
        <v>465</v>
      </c>
      <c r="G378" s="4" t="s">
        <v>465</v>
      </c>
      <c r="I378" s="1" t="s">
        <v>8</v>
      </c>
      <c r="J378" s="1" t="s">
        <v>9</v>
      </c>
      <c r="K378" s="4" t="s">
        <v>464</v>
      </c>
      <c r="L378" s="1" t="s">
        <v>23</v>
      </c>
      <c r="M378" s="1"/>
      <c r="O378" s="1"/>
      <c r="P378" s="1"/>
      <c r="Q378" s="1"/>
      <c r="S378" s="1"/>
      <c r="T378" s="1"/>
      <c r="U378" s="2"/>
      <c r="V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 t="s">
        <v>15</v>
      </c>
      <c r="AN378" s="1" t="s">
        <v>18</v>
      </c>
      <c r="AO378" s="1">
        <v>391</v>
      </c>
      <c r="AP378" s="3">
        <v>0.65166666666666662</v>
      </c>
      <c r="AQ378" s="1"/>
    </row>
    <row r="379" spans="1:43" ht="12.3" x14ac:dyDescent="0.4">
      <c r="A379" s="1" t="s">
        <v>274</v>
      </c>
      <c r="B379" s="1"/>
      <c r="C379" s="1" t="s">
        <v>6</v>
      </c>
      <c r="D379" s="5" t="s">
        <v>7</v>
      </c>
      <c r="E379" s="5" t="s">
        <v>463</v>
      </c>
      <c r="F379" s="4" t="s">
        <v>465</v>
      </c>
      <c r="G379" s="4" t="s">
        <v>465</v>
      </c>
      <c r="I379" s="1" t="s">
        <v>8</v>
      </c>
      <c r="J379" s="1" t="s">
        <v>9</v>
      </c>
      <c r="K379" s="4" t="s">
        <v>464</v>
      </c>
      <c r="L379" s="1" t="s">
        <v>28</v>
      </c>
      <c r="M379" s="1"/>
      <c r="O379" s="1"/>
      <c r="P379" s="1"/>
      <c r="Q379" s="1"/>
      <c r="S379" s="1"/>
      <c r="T379" s="1"/>
      <c r="U379" s="2"/>
      <c r="V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 t="s">
        <v>12</v>
      </c>
      <c r="AN379" s="1" t="s">
        <v>20</v>
      </c>
      <c r="AO379" s="1">
        <v>373</v>
      </c>
      <c r="AP379" s="3">
        <v>0.6216666666666667</v>
      </c>
      <c r="AQ379" s="1"/>
    </row>
    <row r="380" spans="1:43" ht="12.3" x14ac:dyDescent="0.4">
      <c r="A380" s="1" t="s">
        <v>274</v>
      </c>
      <c r="B380" s="1"/>
      <c r="C380" s="1" t="s">
        <v>6</v>
      </c>
      <c r="D380" s="5" t="s">
        <v>7</v>
      </c>
      <c r="E380" s="5" t="s">
        <v>463</v>
      </c>
      <c r="F380" s="4" t="s">
        <v>465</v>
      </c>
      <c r="G380" s="4" t="s">
        <v>465</v>
      </c>
      <c r="I380" s="1" t="s">
        <v>16</v>
      </c>
      <c r="J380" s="1" t="s">
        <v>10</v>
      </c>
      <c r="K380" s="4" t="s">
        <v>464</v>
      </c>
      <c r="L380" s="1" t="s">
        <v>28</v>
      </c>
      <c r="M380" s="1"/>
      <c r="O380" s="1"/>
      <c r="P380" s="1"/>
      <c r="Q380" s="1"/>
      <c r="S380" s="2"/>
      <c r="T380" s="1"/>
      <c r="U380" s="1"/>
      <c r="V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 t="s">
        <v>15</v>
      </c>
      <c r="AN380" s="1" t="s">
        <v>20</v>
      </c>
      <c r="AO380" s="1">
        <v>413</v>
      </c>
      <c r="AP380" s="3">
        <v>0.68833333333333335</v>
      </c>
      <c r="AQ380" s="1"/>
    </row>
    <row r="381" spans="1:43" ht="12.3" x14ac:dyDescent="0.4">
      <c r="A381" s="1" t="s">
        <v>275</v>
      </c>
      <c r="B381" s="1"/>
      <c r="C381" s="1" t="s">
        <v>6</v>
      </c>
      <c r="D381" s="5" t="s">
        <v>7</v>
      </c>
      <c r="E381" s="5" t="s">
        <v>463</v>
      </c>
      <c r="F381" s="4" t="s">
        <v>465</v>
      </c>
      <c r="G381" s="4" t="s">
        <v>465</v>
      </c>
      <c r="I381" s="1" t="s">
        <v>16</v>
      </c>
      <c r="J381" s="1" t="s">
        <v>10</v>
      </c>
      <c r="K381" s="4" t="s">
        <v>464</v>
      </c>
      <c r="L381" s="1" t="s">
        <v>25</v>
      </c>
      <c r="M381" s="1"/>
      <c r="O381" s="1"/>
      <c r="P381" s="1"/>
      <c r="Q381" s="1"/>
      <c r="S381" s="2"/>
      <c r="T381" s="1"/>
      <c r="U381" s="1"/>
      <c r="V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 t="s">
        <v>12</v>
      </c>
      <c r="AN381" s="1" t="s">
        <v>20</v>
      </c>
      <c r="AO381" s="1">
        <v>333</v>
      </c>
      <c r="AP381" s="3">
        <v>0.55500000000000005</v>
      </c>
      <c r="AQ381" s="1"/>
    </row>
    <row r="382" spans="1:43" ht="12.3" x14ac:dyDescent="0.4">
      <c r="A382" s="1" t="s">
        <v>275</v>
      </c>
      <c r="B382" s="1"/>
      <c r="C382" s="1" t="s">
        <v>6</v>
      </c>
      <c r="D382" s="5" t="s">
        <v>7</v>
      </c>
      <c r="E382" s="5" t="s">
        <v>463</v>
      </c>
      <c r="F382" s="4" t="s">
        <v>465</v>
      </c>
      <c r="G382" s="4" t="s">
        <v>465</v>
      </c>
      <c r="I382" s="1" t="s">
        <v>16</v>
      </c>
      <c r="J382" s="1" t="s">
        <v>10</v>
      </c>
      <c r="K382" s="4" t="s">
        <v>464</v>
      </c>
      <c r="L382" s="1" t="s">
        <v>25</v>
      </c>
      <c r="M382" s="1"/>
      <c r="O382" s="1"/>
      <c r="P382" s="1"/>
      <c r="Q382" s="1"/>
      <c r="S382" s="1"/>
      <c r="T382" s="1"/>
      <c r="U382" s="1"/>
      <c r="V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 t="s">
        <v>15</v>
      </c>
      <c r="AN382" s="1" t="s">
        <v>14</v>
      </c>
      <c r="AO382" s="1">
        <v>349</v>
      </c>
      <c r="AP382" s="3">
        <v>0.58166666666666667</v>
      </c>
      <c r="AQ382" s="1"/>
    </row>
    <row r="383" spans="1:43" ht="12.3" x14ac:dyDescent="0.4">
      <c r="A383" s="1" t="s">
        <v>276</v>
      </c>
      <c r="B383" s="1"/>
      <c r="C383" s="1" t="s">
        <v>6</v>
      </c>
      <c r="D383" s="5" t="s">
        <v>7</v>
      </c>
      <c r="E383" s="5" t="s">
        <v>463</v>
      </c>
      <c r="F383" s="4" t="s">
        <v>465</v>
      </c>
      <c r="G383" s="4" t="s">
        <v>465</v>
      </c>
      <c r="I383" s="1" t="s">
        <v>16</v>
      </c>
      <c r="J383" s="1" t="s">
        <v>10</v>
      </c>
      <c r="K383" s="4" t="s">
        <v>464</v>
      </c>
      <c r="L383" s="1" t="s">
        <v>24</v>
      </c>
      <c r="M383" s="1"/>
      <c r="O383" s="1"/>
      <c r="P383" s="1"/>
      <c r="Q383" s="1"/>
      <c r="S383" s="1"/>
      <c r="T383" s="1"/>
      <c r="U383" s="1"/>
      <c r="V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 t="s">
        <v>12</v>
      </c>
      <c r="AN383" s="1" t="s">
        <v>20</v>
      </c>
      <c r="AO383" s="1">
        <v>334</v>
      </c>
      <c r="AP383" s="3">
        <v>0.55666666666666664</v>
      </c>
      <c r="AQ383" s="1"/>
    </row>
    <row r="384" spans="1:43" ht="12.3" x14ac:dyDescent="0.4">
      <c r="A384" s="1" t="s">
        <v>276</v>
      </c>
      <c r="B384" s="1"/>
      <c r="C384" s="1" t="s">
        <v>6</v>
      </c>
      <c r="D384" s="5" t="s">
        <v>7</v>
      </c>
      <c r="E384" s="5" t="s">
        <v>463</v>
      </c>
      <c r="F384" s="4" t="s">
        <v>465</v>
      </c>
      <c r="G384" s="4" t="s">
        <v>465</v>
      </c>
      <c r="I384" s="1" t="s">
        <v>16</v>
      </c>
      <c r="J384" s="1" t="s">
        <v>10</v>
      </c>
      <c r="K384" s="4" t="s">
        <v>464</v>
      </c>
      <c r="L384" s="1" t="s">
        <v>24</v>
      </c>
      <c r="M384" s="1"/>
      <c r="O384" s="1"/>
      <c r="P384" s="1"/>
      <c r="Q384" s="1"/>
      <c r="S384" s="2"/>
      <c r="T384" s="1"/>
      <c r="U384" s="1"/>
      <c r="V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 t="s">
        <v>15</v>
      </c>
      <c r="AN384" s="1" t="s">
        <v>20</v>
      </c>
      <c r="AO384" s="1">
        <v>397</v>
      </c>
      <c r="AP384" s="3">
        <v>0.66166666666666663</v>
      </c>
      <c r="AQ384" s="1"/>
    </row>
    <row r="385" spans="1:43" ht="12.3" x14ac:dyDescent="0.4">
      <c r="A385" s="1" t="s">
        <v>277</v>
      </c>
      <c r="B385" s="1"/>
      <c r="C385" s="1" t="s">
        <v>33</v>
      </c>
      <c r="D385" s="5" t="s">
        <v>7</v>
      </c>
      <c r="E385" s="5" t="s">
        <v>463</v>
      </c>
      <c r="F385" s="4" t="s">
        <v>465</v>
      </c>
      <c r="G385" s="4" t="s">
        <v>465</v>
      </c>
      <c r="I385" s="1" t="s">
        <v>16</v>
      </c>
      <c r="J385" s="1" t="s">
        <v>10</v>
      </c>
      <c r="K385" s="4" t="s">
        <v>464</v>
      </c>
      <c r="L385" s="1" t="s">
        <v>34</v>
      </c>
      <c r="M385" s="1"/>
      <c r="O385" s="1"/>
      <c r="P385" s="1"/>
      <c r="Q385" s="1"/>
      <c r="S385" s="2"/>
      <c r="T385" s="1"/>
      <c r="U385" s="1"/>
      <c r="V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 t="s">
        <v>12</v>
      </c>
      <c r="AN385" s="1" t="s">
        <v>20</v>
      </c>
      <c r="AO385" s="1">
        <v>429</v>
      </c>
      <c r="AP385" s="3">
        <v>0.71499999999999997</v>
      </c>
      <c r="AQ385" s="1"/>
    </row>
    <row r="386" spans="1:43" ht="12.3" x14ac:dyDescent="0.4">
      <c r="A386" s="1" t="s">
        <v>277</v>
      </c>
      <c r="B386" s="1"/>
      <c r="C386" s="1" t="s">
        <v>33</v>
      </c>
      <c r="D386" s="5" t="s">
        <v>7</v>
      </c>
      <c r="E386" s="5" t="s">
        <v>463</v>
      </c>
      <c r="F386" s="4" t="s">
        <v>465</v>
      </c>
      <c r="G386" s="4" t="s">
        <v>465</v>
      </c>
      <c r="I386" s="1" t="s">
        <v>16</v>
      </c>
      <c r="J386" s="1" t="s">
        <v>10</v>
      </c>
      <c r="K386" s="4" t="s">
        <v>464</v>
      </c>
      <c r="L386" s="1" t="s">
        <v>34</v>
      </c>
      <c r="M386" s="1"/>
      <c r="O386" s="1"/>
      <c r="P386" s="1"/>
      <c r="Q386" s="1"/>
      <c r="S386" s="2"/>
      <c r="T386" s="1"/>
      <c r="U386" s="2"/>
      <c r="V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 t="s">
        <v>15</v>
      </c>
      <c r="AN386" s="1" t="s">
        <v>20</v>
      </c>
      <c r="AO386" s="1">
        <v>450</v>
      </c>
      <c r="AP386" s="3">
        <v>0.75</v>
      </c>
      <c r="AQ386" s="1"/>
    </row>
    <row r="387" spans="1:43" ht="12.3" x14ac:dyDescent="0.4">
      <c r="A387" s="1" t="s">
        <v>278</v>
      </c>
      <c r="B387" s="1"/>
      <c r="C387" s="1" t="s">
        <v>33</v>
      </c>
      <c r="D387" s="5" t="s">
        <v>7</v>
      </c>
      <c r="E387" s="5" t="s">
        <v>463</v>
      </c>
      <c r="F387" s="4" t="s">
        <v>465</v>
      </c>
      <c r="G387" s="4" t="s">
        <v>465</v>
      </c>
      <c r="I387" s="1" t="s">
        <v>16</v>
      </c>
      <c r="J387" s="1" t="s">
        <v>10</v>
      </c>
      <c r="K387" s="4" t="s">
        <v>464</v>
      </c>
      <c r="L387" s="1" t="s">
        <v>35</v>
      </c>
      <c r="M387" s="1"/>
      <c r="O387" s="1"/>
      <c r="P387" s="1"/>
      <c r="Q387" s="1"/>
      <c r="S387" s="2"/>
      <c r="T387" s="1"/>
      <c r="U387" s="2"/>
      <c r="V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 t="s">
        <v>12</v>
      </c>
      <c r="AN387" s="1" t="s">
        <v>20</v>
      </c>
      <c r="AO387" s="1">
        <v>368</v>
      </c>
      <c r="AP387" s="3">
        <v>0.61333333333333329</v>
      </c>
      <c r="AQ387" s="1"/>
    </row>
    <row r="388" spans="1:43" ht="12.3" x14ac:dyDescent="0.4">
      <c r="A388" s="1" t="s">
        <v>278</v>
      </c>
      <c r="B388" s="1"/>
      <c r="C388" s="1" t="s">
        <v>33</v>
      </c>
      <c r="D388" s="5" t="s">
        <v>7</v>
      </c>
      <c r="E388" s="5" t="s">
        <v>463</v>
      </c>
      <c r="F388" s="4" t="s">
        <v>465</v>
      </c>
      <c r="G388" s="4" t="s">
        <v>465</v>
      </c>
      <c r="I388" s="1" t="s">
        <v>16</v>
      </c>
      <c r="J388" s="1" t="s">
        <v>10</v>
      </c>
      <c r="K388" s="4" t="s">
        <v>464</v>
      </c>
      <c r="L388" s="1" t="s">
        <v>35</v>
      </c>
      <c r="M388" s="1"/>
      <c r="O388" s="1"/>
      <c r="P388" s="1"/>
      <c r="Q388" s="1"/>
      <c r="S388" s="2"/>
      <c r="T388" s="1"/>
      <c r="U388" s="1"/>
      <c r="V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 t="s">
        <v>15</v>
      </c>
      <c r="AN388" s="1" t="s">
        <v>20</v>
      </c>
      <c r="AO388" s="1">
        <v>406</v>
      </c>
      <c r="AP388" s="3">
        <v>0.67666666666666664</v>
      </c>
      <c r="AQ388" s="1"/>
    </row>
    <row r="389" spans="1:43" ht="12.3" x14ac:dyDescent="0.4">
      <c r="A389" s="1" t="s">
        <v>279</v>
      </c>
      <c r="B389" s="1"/>
      <c r="C389" s="1" t="s">
        <v>33</v>
      </c>
      <c r="D389" s="5" t="s">
        <v>7</v>
      </c>
      <c r="E389" s="5" t="s">
        <v>463</v>
      </c>
      <c r="F389" s="4" t="s">
        <v>465</v>
      </c>
      <c r="G389" s="4" t="s">
        <v>465</v>
      </c>
      <c r="I389" s="1" t="s">
        <v>16</v>
      </c>
      <c r="J389" s="1" t="s">
        <v>10</v>
      </c>
      <c r="K389" s="4" t="s">
        <v>464</v>
      </c>
      <c r="L389" s="1" t="s">
        <v>36</v>
      </c>
      <c r="M389" s="1"/>
      <c r="O389" s="1"/>
      <c r="P389" s="1"/>
      <c r="Q389" s="1"/>
      <c r="S389" s="2"/>
      <c r="T389" s="1"/>
      <c r="U389" s="1"/>
      <c r="V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 t="s">
        <v>12</v>
      </c>
      <c r="AN389" s="1" t="s">
        <v>20</v>
      </c>
      <c r="AO389" s="1">
        <v>352</v>
      </c>
      <c r="AP389" s="3">
        <v>0.58666666666666667</v>
      </c>
      <c r="AQ389" s="1"/>
    </row>
    <row r="390" spans="1:43" ht="12.3" x14ac:dyDescent="0.4">
      <c r="A390" s="1" t="s">
        <v>279</v>
      </c>
      <c r="B390" s="1"/>
      <c r="C390" s="1" t="s">
        <v>33</v>
      </c>
      <c r="D390" s="5" t="s">
        <v>7</v>
      </c>
      <c r="E390" s="5" t="s">
        <v>463</v>
      </c>
      <c r="F390" s="4" t="s">
        <v>465</v>
      </c>
      <c r="G390" s="4" t="s">
        <v>465</v>
      </c>
      <c r="I390" s="1" t="s">
        <v>16</v>
      </c>
      <c r="J390" s="1" t="s">
        <v>10</v>
      </c>
      <c r="K390" s="4" t="s">
        <v>464</v>
      </c>
      <c r="L390" s="1" t="s">
        <v>36</v>
      </c>
      <c r="M390" s="1"/>
      <c r="O390" s="1"/>
      <c r="P390" s="1"/>
      <c r="Q390" s="1"/>
      <c r="S390" s="2"/>
      <c r="T390" s="1"/>
      <c r="U390" s="2"/>
      <c r="V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 t="s">
        <v>15</v>
      </c>
      <c r="AN390" s="1" t="s">
        <v>18</v>
      </c>
      <c r="AO390" s="1">
        <v>387</v>
      </c>
      <c r="AP390" s="3">
        <v>0.64500000000000002</v>
      </c>
      <c r="AQ390" s="1"/>
    </row>
    <row r="391" spans="1:43" ht="12.3" x14ac:dyDescent="0.4">
      <c r="A391" s="1" t="s">
        <v>280</v>
      </c>
      <c r="B391" s="1"/>
      <c r="C391" s="1" t="s">
        <v>33</v>
      </c>
      <c r="D391" s="5" t="s">
        <v>7</v>
      </c>
      <c r="E391" s="5" t="s">
        <v>463</v>
      </c>
      <c r="F391" s="4" t="s">
        <v>465</v>
      </c>
      <c r="G391" s="4" t="s">
        <v>465</v>
      </c>
      <c r="I391" s="1" t="s">
        <v>16</v>
      </c>
      <c r="J391" s="1" t="s">
        <v>10</v>
      </c>
      <c r="K391" s="4" t="s">
        <v>464</v>
      </c>
      <c r="L391" s="1" t="s">
        <v>37</v>
      </c>
      <c r="M391" s="1"/>
      <c r="O391" s="1"/>
      <c r="P391" s="1"/>
      <c r="Q391" s="1"/>
      <c r="S391" s="2"/>
      <c r="T391" s="1"/>
      <c r="U391" s="2"/>
      <c r="V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 t="s">
        <v>15</v>
      </c>
      <c r="AN391" s="1" t="s">
        <v>18</v>
      </c>
      <c r="AO391" s="1">
        <v>387</v>
      </c>
      <c r="AP391" s="3">
        <v>0.64500000000000002</v>
      </c>
      <c r="AQ391" s="1"/>
    </row>
    <row r="392" spans="1:43" ht="12.3" x14ac:dyDescent="0.4">
      <c r="A392" s="1" t="s">
        <v>281</v>
      </c>
      <c r="B392" s="1"/>
      <c r="C392" s="1" t="s">
        <v>33</v>
      </c>
      <c r="D392" s="5" t="s">
        <v>7</v>
      </c>
      <c r="E392" s="5" t="s">
        <v>463</v>
      </c>
      <c r="F392" s="4" t="s">
        <v>465</v>
      </c>
      <c r="G392" s="4" t="s">
        <v>465</v>
      </c>
      <c r="I392" s="1" t="s">
        <v>8</v>
      </c>
      <c r="J392" s="1" t="s">
        <v>9</v>
      </c>
      <c r="K392" s="4" t="s">
        <v>464</v>
      </c>
      <c r="L392" s="1" t="s">
        <v>38</v>
      </c>
      <c r="M392" s="1"/>
      <c r="O392" s="1"/>
      <c r="P392" s="1"/>
      <c r="Q392" s="1"/>
      <c r="S392" s="2"/>
      <c r="T392" s="1"/>
      <c r="U392" s="1"/>
      <c r="V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 t="s">
        <v>12</v>
      </c>
      <c r="AN392" s="1" t="s">
        <v>18</v>
      </c>
      <c r="AO392" s="1">
        <v>306</v>
      </c>
      <c r="AP392" s="3">
        <v>0.51</v>
      </c>
      <c r="AQ392" s="1"/>
    </row>
    <row r="393" spans="1:43" ht="12.3" x14ac:dyDescent="0.4">
      <c r="A393" s="1" t="s">
        <v>281</v>
      </c>
      <c r="B393" s="1"/>
      <c r="C393" s="1" t="s">
        <v>33</v>
      </c>
      <c r="D393" s="5" t="s">
        <v>7</v>
      </c>
      <c r="E393" s="5" t="s">
        <v>463</v>
      </c>
      <c r="F393" s="4" t="s">
        <v>465</v>
      </c>
      <c r="G393" s="4" t="s">
        <v>465</v>
      </c>
      <c r="I393" s="1" t="s">
        <v>16</v>
      </c>
      <c r="J393" s="1" t="s">
        <v>10</v>
      </c>
      <c r="K393" s="4" t="s">
        <v>464</v>
      </c>
      <c r="L393" s="1" t="s">
        <v>38</v>
      </c>
      <c r="M393" s="1"/>
      <c r="O393" s="1"/>
      <c r="P393" s="1"/>
      <c r="Q393" s="1"/>
      <c r="S393" s="2"/>
      <c r="T393" s="1"/>
      <c r="U393" s="2"/>
      <c r="V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 t="s">
        <v>15</v>
      </c>
      <c r="AN393" s="1" t="s">
        <v>18</v>
      </c>
      <c r="AO393" s="1">
        <v>389</v>
      </c>
      <c r="AP393" s="3">
        <v>0.64833333333333332</v>
      </c>
      <c r="AQ393" s="1"/>
    </row>
    <row r="394" spans="1:43" ht="12.3" x14ac:dyDescent="0.4">
      <c r="A394" s="1" t="s">
        <v>282</v>
      </c>
      <c r="B394" s="1"/>
      <c r="C394" s="1" t="s">
        <v>33</v>
      </c>
      <c r="D394" s="5" t="s">
        <v>7</v>
      </c>
      <c r="E394" s="5" t="s">
        <v>463</v>
      </c>
      <c r="F394" s="4" t="s">
        <v>465</v>
      </c>
      <c r="G394" s="4" t="s">
        <v>465</v>
      </c>
      <c r="I394" s="1" t="s">
        <v>16</v>
      </c>
      <c r="J394" s="1" t="s">
        <v>10</v>
      </c>
      <c r="K394" s="4" t="s">
        <v>464</v>
      </c>
      <c r="L394" s="1" t="s">
        <v>39</v>
      </c>
      <c r="M394" s="1"/>
      <c r="O394" s="1"/>
      <c r="P394" s="1"/>
      <c r="Q394" s="1"/>
      <c r="S394" s="2"/>
      <c r="T394" s="1"/>
      <c r="U394" s="2"/>
      <c r="V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 t="s">
        <v>12</v>
      </c>
      <c r="AN394" s="1" t="s">
        <v>14</v>
      </c>
      <c r="AO394" s="1">
        <v>276</v>
      </c>
      <c r="AP394" s="3">
        <v>0.46</v>
      </c>
      <c r="AQ394" s="1"/>
    </row>
    <row r="395" spans="1:43" ht="12.3" x14ac:dyDescent="0.4">
      <c r="A395" s="1" t="s">
        <v>282</v>
      </c>
      <c r="B395" s="1"/>
      <c r="C395" s="1" t="s">
        <v>33</v>
      </c>
      <c r="D395" s="5" t="s">
        <v>7</v>
      </c>
      <c r="E395" s="5" t="s">
        <v>463</v>
      </c>
      <c r="F395" s="4" t="s">
        <v>465</v>
      </c>
      <c r="G395" s="4" t="s">
        <v>465</v>
      </c>
      <c r="I395" s="1" t="s">
        <v>29</v>
      </c>
      <c r="J395" s="1" t="s">
        <v>9</v>
      </c>
      <c r="K395" s="4" t="s">
        <v>464</v>
      </c>
      <c r="L395" s="1" t="s">
        <v>39</v>
      </c>
      <c r="M395" s="1"/>
      <c r="O395" s="1"/>
      <c r="P395" s="1"/>
      <c r="Q395" s="1"/>
      <c r="S395" s="2"/>
      <c r="T395" s="1"/>
      <c r="U395" s="1"/>
      <c r="V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 t="s">
        <v>15</v>
      </c>
      <c r="AN395" s="1" t="s">
        <v>13</v>
      </c>
      <c r="AO395" s="1">
        <v>361</v>
      </c>
      <c r="AP395" s="3">
        <v>0.60166666666666668</v>
      </c>
      <c r="AQ395" s="1"/>
    </row>
    <row r="396" spans="1:43" ht="12.3" x14ac:dyDescent="0.4">
      <c r="A396" s="1" t="s">
        <v>283</v>
      </c>
      <c r="B396" s="1"/>
      <c r="C396" s="1" t="s">
        <v>33</v>
      </c>
      <c r="D396" s="5" t="s">
        <v>7</v>
      </c>
      <c r="E396" s="5" t="s">
        <v>463</v>
      </c>
      <c r="F396" s="4" t="s">
        <v>465</v>
      </c>
      <c r="G396" s="4" t="s">
        <v>465</v>
      </c>
      <c r="I396" s="1" t="s">
        <v>29</v>
      </c>
      <c r="J396" s="1" t="s">
        <v>9</v>
      </c>
      <c r="K396" s="4" t="s">
        <v>464</v>
      </c>
      <c r="L396" s="1" t="s">
        <v>40</v>
      </c>
      <c r="M396" s="1"/>
      <c r="O396" s="1"/>
      <c r="P396" s="1"/>
      <c r="Q396" s="1"/>
      <c r="S396" s="2"/>
      <c r="T396" s="1"/>
      <c r="U396" s="1"/>
      <c r="V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 t="s">
        <v>12</v>
      </c>
      <c r="AN396" s="1" t="s">
        <v>13</v>
      </c>
      <c r="AO396" s="1">
        <v>296</v>
      </c>
      <c r="AP396" s="3">
        <v>0.49333333333333335</v>
      </c>
      <c r="AQ396" s="1"/>
    </row>
    <row r="397" spans="1:43" ht="12.3" x14ac:dyDescent="0.4">
      <c r="A397" s="1" t="s">
        <v>283</v>
      </c>
      <c r="B397" s="1"/>
      <c r="C397" s="1" t="s">
        <v>33</v>
      </c>
      <c r="D397" s="5" t="s">
        <v>7</v>
      </c>
      <c r="E397" s="5" t="s">
        <v>463</v>
      </c>
      <c r="F397" s="4" t="s">
        <v>465</v>
      </c>
      <c r="G397" s="4" t="s">
        <v>465</v>
      </c>
      <c r="I397" s="1" t="s">
        <v>16</v>
      </c>
      <c r="J397" s="1" t="s">
        <v>10</v>
      </c>
      <c r="K397" s="4" t="s">
        <v>464</v>
      </c>
      <c r="L397" s="1" t="s">
        <v>40</v>
      </c>
      <c r="M397" s="1"/>
      <c r="O397" s="1"/>
      <c r="P397" s="1"/>
      <c r="Q397" s="1"/>
      <c r="S397" s="2"/>
      <c r="T397" s="1"/>
      <c r="U397" s="1"/>
      <c r="V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 t="s">
        <v>15</v>
      </c>
      <c r="AN397" s="1" t="s">
        <v>20</v>
      </c>
      <c r="AO397" s="1">
        <v>393</v>
      </c>
      <c r="AP397" s="3">
        <v>0.65500000000000003</v>
      </c>
      <c r="AQ397" s="1"/>
    </row>
    <row r="398" spans="1:43" ht="12.3" x14ac:dyDescent="0.4">
      <c r="A398" s="1" t="s">
        <v>284</v>
      </c>
      <c r="B398" s="1"/>
      <c r="C398" s="1" t="s">
        <v>33</v>
      </c>
      <c r="D398" s="5" t="s">
        <v>7</v>
      </c>
      <c r="E398" s="5" t="s">
        <v>463</v>
      </c>
      <c r="F398" s="4" t="s">
        <v>465</v>
      </c>
      <c r="G398" s="4" t="s">
        <v>465</v>
      </c>
      <c r="I398" s="1" t="s">
        <v>16</v>
      </c>
      <c r="J398" s="1" t="s">
        <v>10</v>
      </c>
      <c r="K398" s="4" t="s">
        <v>464</v>
      </c>
      <c r="L398" s="1" t="s">
        <v>40</v>
      </c>
      <c r="M398" s="1"/>
      <c r="O398" s="1"/>
      <c r="P398" s="1"/>
      <c r="Q398" s="1"/>
      <c r="S398" s="2"/>
      <c r="T398" s="1"/>
      <c r="U398" s="1"/>
      <c r="V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 t="s">
        <v>12</v>
      </c>
      <c r="AN398" s="1" t="s">
        <v>14</v>
      </c>
      <c r="AO398" s="1">
        <v>249</v>
      </c>
      <c r="AP398" s="3">
        <v>0.41499999999999998</v>
      </c>
      <c r="AQ398" s="1"/>
    </row>
    <row r="399" spans="1:43" ht="12.3" x14ac:dyDescent="0.4">
      <c r="A399" s="1" t="s">
        <v>284</v>
      </c>
      <c r="B399" s="1"/>
      <c r="C399" s="1" t="s">
        <v>33</v>
      </c>
      <c r="D399" s="5" t="s">
        <v>7</v>
      </c>
      <c r="E399" s="5" t="s">
        <v>463</v>
      </c>
      <c r="F399" s="4" t="s">
        <v>465</v>
      </c>
      <c r="G399" s="4" t="s">
        <v>465</v>
      </c>
      <c r="I399" s="1" t="s">
        <v>16</v>
      </c>
      <c r="J399" s="1" t="s">
        <v>9</v>
      </c>
      <c r="K399" s="4" t="s">
        <v>464</v>
      </c>
      <c r="L399" s="1" t="s">
        <v>40</v>
      </c>
      <c r="M399" s="1"/>
      <c r="O399" s="1"/>
      <c r="P399" s="1"/>
      <c r="Q399" s="1"/>
      <c r="S399" s="2"/>
      <c r="T399" s="1"/>
      <c r="U399" s="2"/>
      <c r="V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 t="s">
        <v>15</v>
      </c>
      <c r="AN399" s="1" t="s">
        <v>14</v>
      </c>
      <c r="AO399" s="1">
        <v>322</v>
      </c>
      <c r="AP399" s="3">
        <v>0.53666666666666663</v>
      </c>
      <c r="AQ399" s="1"/>
    </row>
    <row r="400" spans="1:43" ht="12.3" x14ac:dyDescent="0.4">
      <c r="A400" s="1" t="s">
        <v>285</v>
      </c>
      <c r="B400" s="1"/>
      <c r="C400" s="1" t="s">
        <v>33</v>
      </c>
      <c r="D400" s="5" t="s">
        <v>7</v>
      </c>
      <c r="E400" s="5" t="s">
        <v>463</v>
      </c>
      <c r="F400" s="4" t="s">
        <v>465</v>
      </c>
      <c r="G400" s="4" t="s">
        <v>465</v>
      </c>
      <c r="I400" s="1" t="s">
        <v>16</v>
      </c>
      <c r="J400" s="1" t="s">
        <v>9</v>
      </c>
      <c r="K400" s="4" t="s">
        <v>464</v>
      </c>
      <c r="L400" s="1" t="s">
        <v>37</v>
      </c>
      <c r="M400" s="1"/>
      <c r="O400" s="1"/>
      <c r="P400" s="1"/>
      <c r="Q400" s="1"/>
      <c r="S400" s="2"/>
      <c r="T400" s="1"/>
      <c r="U400" s="2"/>
      <c r="V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 t="s">
        <v>12</v>
      </c>
      <c r="AN400" s="1" t="s">
        <v>20</v>
      </c>
      <c r="AO400" s="1">
        <v>438</v>
      </c>
      <c r="AP400" s="3">
        <v>0.73</v>
      </c>
      <c r="AQ400" s="1"/>
    </row>
    <row r="401" spans="1:43" ht="12.3" x14ac:dyDescent="0.4">
      <c r="A401" s="1" t="s">
        <v>285</v>
      </c>
      <c r="B401" s="1"/>
      <c r="C401" s="1" t="s">
        <v>33</v>
      </c>
      <c r="D401" s="5" t="s">
        <v>7</v>
      </c>
      <c r="E401" s="5" t="s">
        <v>463</v>
      </c>
      <c r="F401" s="4" t="s">
        <v>465</v>
      </c>
      <c r="G401" s="4" t="s">
        <v>465</v>
      </c>
      <c r="I401" s="1" t="s">
        <v>8</v>
      </c>
      <c r="J401" s="1" t="s">
        <v>9</v>
      </c>
      <c r="K401" s="4" t="s">
        <v>464</v>
      </c>
      <c r="L401" s="1" t="s">
        <v>37</v>
      </c>
      <c r="M401" s="1"/>
      <c r="O401" s="1"/>
      <c r="P401" s="1"/>
      <c r="Q401" s="1"/>
      <c r="S401" s="2"/>
      <c r="T401" s="1"/>
      <c r="U401" s="2"/>
      <c r="V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 t="s">
        <v>15</v>
      </c>
      <c r="AN401" s="1" t="s">
        <v>20</v>
      </c>
      <c r="AO401" s="1">
        <v>421</v>
      </c>
      <c r="AP401" s="3">
        <v>0.70166666666666666</v>
      </c>
      <c r="AQ401" s="1"/>
    </row>
    <row r="402" spans="1:43" ht="12.3" x14ac:dyDescent="0.4">
      <c r="A402" s="1" t="s">
        <v>286</v>
      </c>
      <c r="B402" s="1"/>
      <c r="C402" s="1" t="s">
        <v>33</v>
      </c>
      <c r="D402" s="5" t="s">
        <v>7</v>
      </c>
      <c r="E402" s="5" t="s">
        <v>463</v>
      </c>
      <c r="F402" s="4" t="s">
        <v>465</v>
      </c>
      <c r="G402" s="4" t="s">
        <v>465</v>
      </c>
      <c r="I402" s="1" t="s">
        <v>8</v>
      </c>
      <c r="J402" s="1" t="s">
        <v>9</v>
      </c>
      <c r="K402" s="4" t="s">
        <v>464</v>
      </c>
      <c r="L402" s="1" t="s">
        <v>39</v>
      </c>
      <c r="M402" s="1"/>
      <c r="O402" s="1"/>
      <c r="P402" s="1"/>
      <c r="Q402" s="1"/>
      <c r="S402" s="2"/>
      <c r="T402" s="1"/>
      <c r="U402" s="2"/>
      <c r="V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 t="s">
        <v>12</v>
      </c>
      <c r="AN402" s="1" t="s">
        <v>14</v>
      </c>
      <c r="AO402" s="1">
        <v>258</v>
      </c>
      <c r="AP402" s="3">
        <v>0.43</v>
      </c>
      <c r="AQ402" s="1"/>
    </row>
    <row r="403" spans="1:43" ht="12.3" x14ac:dyDescent="0.4">
      <c r="A403" s="1" t="s">
        <v>286</v>
      </c>
      <c r="B403" s="1"/>
      <c r="C403" s="1" t="s">
        <v>33</v>
      </c>
      <c r="D403" s="5" t="s">
        <v>7</v>
      </c>
      <c r="E403" s="5" t="s">
        <v>463</v>
      </c>
      <c r="F403" s="4" t="s">
        <v>465</v>
      </c>
      <c r="G403" s="4" t="s">
        <v>465</v>
      </c>
      <c r="I403" s="1" t="s">
        <v>8</v>
      </c>
      <c r="J403" s="1" t="s">
        <v>9</v>
      </c>
      <c r="K403" s="4" t="s">
        <v>464</v>
      </c>
      <c r="L403" s="1" t="s">
        <v>39</v>
      </c>
      <c r="M403" s="1"/>
      <c r="O403" s="1"/>
      <c r="P403" s="1"/>
      <c r="Q403" s="1"/>
      <c r="S403" s="2"/>
      <c r="T403" s="1"/>
      <c r="U403" s="2"/>
      <c r="V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 t="s">
        <v>15</v>
      </c>
      <c r="AN403" s="1" t="s">
        <v>14</v>
      </c>
      <c r="AO403" s="1">
        <v>330</v>
      </c>
      <c r="AP403" s="3">
        <v>0.55000000000000004</v>
      </c>
      <c r="AQ403" s="1"/>
    </row>
    <row r="404" spans="1:43" ht="12.3" x14ac:dyDescent="0.4">
      <c r="A404" s="1" t="s">
        <v>287</v>
      </c>
      <c r="B404" s="1"/>
      <c r="C404" s="1" t="s">
        <v>33</v>
      </c>
      <c r="D404" s="5" t="s">
        <v>7</v>
      </c>
      <c r="E404" s="5" t="s">
        <v>463</v>
      </c>
      <c r="F404" s="4" t="s">
        <v>465</v>
      </c>
      <c r="G404" s="4" t="s">
        <v>465</v>
      </c>
      <c r="I404" s="1" t="s">
        <v>8</v>
      </c>
      <c r="J404" s="1" t="s">
        <v>9</v>
      </c>
      <c r="K404" s="4" t="s">
        <v>464</v>
      </c>
      <c r="L404" s="1" t="s">
        <v>34</v>
      </c>
      <c r="M404" s="1"/>
      <c r="O404" s="1"/>
      <c r="P404" s="1"/>
      <c r="Q404" s="1"/>
      <c r="S404" s="2"/>
      <c r="T404" s="1"/>
      <c r="U404" s="2"/>
      <c r="V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 t="s">
        <v>12</v>
      </c>
      <c r="AN404" s="1" t="s">
        <v>20</v>
      </c>
      <c r="AO404" s="1">
        <v>339</v>
      </c>
      <c r="AP404" s="3">
        <v>0.56499999999999995</v>
      </c>
      <c r="AQ404" s="1"/>
    </row>
    <row r="405" spans="1:43" ht="12.3" x14ac:dyDescent="0.4">
      <c r="A405" s="1" t="s">
        <v>287</v>
      </c>
      <c r="B405" s="1"/>
      <c r="C405" s="1" t="s">
        <v>33</v>
      </c>
      <c r="D405" s="5" t="s">
        <v>7</v>
      </c>
      <c r="E405" s="5" t="s">
        <v>463</v>
      </c>
      <c r="F405" s="4" t="s">
        <v>465</v>
      </c>
      <c r="G405" s="4" t="s">
        <v>465</v>
      </c>
      <c r="I405" s="1" t="s">
        <v>16</v>
      </c>
      <c r="J405" s="1" t="s">
        <v>10</v>
      </c>
      <c r="K405" s="4" t="s">
        <v>464</v>
      </c>
      <c r="L405" s="1" t="s">
        <v>34</v>
      </c>
      <c r="M405" s="1"/>
      <c r="O405" s="1"/>
      <c r="P405" s="1"/>
      <c r="Q405" s="1"/>
      <c r="S405" s="2"/>
      <c r="T405" s="1"/>
      <c r="U405" s="1"/>
      <c r="V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 t="s">
        <v>15</v>
      </c>
      <c r="AN405" s="1" t="s">
        <v>18</v>
      </c>
      <c r="AO405" s="1">
        <v>371</v>
      </c>
      <c r="AP405" s="3">
        <v>0.61833333333333329</v>
      </c>
      <c r="AQ405" s="1"/>
    </row>
    <row r="406" spans="1:43" ht="12.3" x14ac:dyDescent="0.4">
      <c r="A406" s="1" t="s">
        <v>288</v>
      </c>
      <c r="B406" s="1"/>
      <c r="C406" s="1" t="s">
        <v>33</v>
      </c>
      <c r="D406" s="5" t="s">
        <v>7</v>
      </c>
      <c r="E406" s="5" t="s">
        <v>463</v>
      </c>
      <c r="F406" s="4" t="s">
        <v>465</v>
      </c>
      <c r="G406" s="4" t="s">
        <v>465</v>
      </c>
      <c r="I406" s="1" t="s">
        <v>16</v>
      </c>
      <c r="J406" s="1" t="s">
        <v>10</v>
      </c>
      <c r="K406" s="4" t="s">
        <v>464</v>
      </c>
      <c r="L406" s="1" t="s">
        <v>36</v>
      </c>
      <c r="M406" s="1"/>
      <c r="O406" s="1"/>
      <c r="P406" s="1"/>
      <c r="Q406" s="1"/>
      <c r="S406" s="2"/>
      <c r="T406" s="1"/>
      <c r="U406" s="1"/>
      <c r="V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 t="s">
        <v>12</v>
      </c>
      <c r="AN406" s="1" t="s">
        <v>14</v>
      </c>
      <c r="AO406" s="1">
        <v>243</v>
      </c>
      <c r="AP406" s="3">
        <v>0.40500000000000003</v>
      </c>
      <c r="AQ406" s="1"/>
    </row>
    <row r="407" spans="1:43" ht="12.3" x14ac:dyDescent="0.4">
      <c r="A407" s="1" t="s">
        <v>288</v>
      </c>
      <c r="B407" s="1"/>
      <c r="C407" s="1" t="s">
        <v>33</v>
      </c>
      <c r="D407" s="5" t="s">
        <v>7</v>
      </c>
      <c r="E407" s="5" t="s">
        <v>463</v>
      </c>
      <c r="F407" s="4" t="s">
        <v>465</v>
      </c>
      <c r="G407" s="4" t="s">
        <v>465</v>
      </c>
      <c r="I407" s="1" t="s">
        <v>16</v>
      </c>
      <c r="J407" s="1" t="s">
        <v>9</v>
      </c>
      <c r="K407" s="4" t="s">
        <v>464</v>
      </c>
      <c r="L407" s="1" t="s">
        <v>36</v>
      </c>
      <c r="M407" s="1"/>
      <c r="O407" s="1"/>
      <c r="P407" s="1"/>
      <c r="Q407" s="1"/>
      <c r="S407" s="2"/>
      <c r="T407" s="1"/>
      <c r="U407" s="1"/>
      <c r="V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 t="s">
        <v>15</v>
      </c>
      <c r="AN407" s="1" t="s">
        <v>14</v>
      </c>
      <c r="AO407" s="1">
        <v>320</v>
      </c>
      <c r="AP407" s="3">
        <v>0.53333333333333333</v>
      </c>
      <c r="AQ407" s="1"/>
    </row>
    <row r="408" spans="1:43" ht="12.3" x14ac:dyDescent="0.4">
      <c r="A408" s="1" t="s">
        <v>289</v>
      </c>
      <c r="B408" s="1"/>
      <c r="C408" s="1" t="s">
        <v>33</v>
      </c>
      <c r="D408" s="5" t="s">
        <v>7</v>
      </c>
      <c r="E408" s="5" t="s">
        <v>463</v>
      </c>
      <c r="F408" s="4" t="s">
        <v>465</v>
      </c>
      <c r="G408" s="4" t="s">
        <v>465</v>
      </c>
      <c r="I408" s="1" t="s">
        <v>16</v>
      </c>
      <c r="J408" s="1" t="s">
        <v>9</v>
      </c>
      <c r="K408" s="4" t="s">
        <v>464</v>
      </c>
      <c r="L408" s="1" t="s">
        <v>41</v>
      </c>
      <c r="M408" s="1"/>
      <c r="O408" s="1"/>
      <c r="P408" s="1"/>
      <c r="Q408" s="1"/>
      <c r="S408" s="2"/>
      <c r="T408" s="1"/>
      <c r="U408" s="1"/>
      <c r="V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 t="s">
        <v>12</v>
      </c>
      <c r="AN408" s="1" t="s">
        <v>14</v>
      </c>
      <c r="AO408" s="1">
        <v>278</v>
      </c>
      <c r="AP408" s="3">
        <v>0.46333333333333332</v>
      </c>
      <c r="AQ408" s="1"/>
    </row>
    <row r="409" spans="1:43" ht="12.3" x14ac:dyDescent="0.4">
      <c r="A409" s="1" t="s">
        <v>289</v>
      </c>
      <c r="B409" s="1"/>
      <c r="C409" s="1" t="s">
        <v>33</v>
      </c>
      <c r="D409" s="5" t="s">
        <v>7</v>
      </c>
      <c r="E409" s="5" t="s">
        <v>463</v>
      </c>
      <c r="F409" s="4" t="s">
        <v>465</v>
      </c>
      <c r="G409" s="4" t="s">
        <v>465</v>
      </c>
      <c r="I409" s="1" t="s">
        <v>16</v>
      </c>
      <c r="J409" s="1" t="s">
        <v>10</v>
      </c>
      <c r="K409" s="4" t="s">
        <v>464</v>
      </c>
      <c r="L409" s="1" t="s">
        <v>41</v>
      </c>
      <c r="M409" s="1"/>
      <c r="O409" s="1"/>
      <c r="P409" s="1"/>
      <c r="Q409" s="1"/>
      <c r="S409" s="2"/>
      <c r="T409" s="1"/>
      <c r="U409" s="1"/>
      <c r="V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 t="s">
        <v>15</v>
      </c>
      <c r="AN409" s="1" t="s">
        <v>13</v>
      </c>
      <c r="AO409" s="1">
        <v>363</v>
      </c>
      <c r="AP409" s="3">
        <v>0.60499999999999998</v>
      </c>
      <c r="AQ409" s="1"/>
    </row>
    <row r="410" spans="1:43" ht="12.3" x14ac:dyDescent="0.4">
      <c r="A410" s="1" t="s">
        <v>290</v>
      </c>
      <c r="B410" s="1"/>
      <c r="C410" s="1" t="s">
        <v>33</v>
      </c>
      <c r="D410" s="5" t="s">
        <v>7</v>
      </c>
      <c r="E410" s="5" t="s">
        <v>463</v>
      </c>
      <c r="F410" s="4" t="s">
        <v>465</v>
      </c>
      <c r="G410" s="4" t="s">
        <v>465</v>
      </c>
      <c r="I410" s="1" t="s">
        <v>16</v>
      </c>
      <c r="J410" s="1" t="s">
        <v>10</v>
      </c>
      <c r="K410" s="4" t="s">
        <v>464</v>
      </c>
      <c r="L410" s="1" t="s">
        <v>36</v>
      </c>
      <c r="M410" s="1"/>
      <c r="O410" s="1"/>
      <c r="P410" s="1"/>
      <c r="Q410" s="1"/>
      <c r="S410" s="2"/>
      <c r="T410" s="1"/>
      <c r="U410" s="1"/>
      <c r="V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 t="s">
        <v>12</v>
      </c>
      <c r="AN410" s="1" t="s">
        <v>14</v>
      </c>
      <c r="AO410" s="1">
        <v>258</v>
      </c>
      <c r="AP410" s="3">
        <v>0.43</v>
      </c>
      <c r="AQ410" s="1"/>
    </row>
    <row r="411" spans="1:43" ht="12.3" x14ac:dyDescent="0.4">
      <c r="A411" s="1" t="s">
        <v>290</v>
      </c>
      <c r="B411" s="1"/>
      <c r="C411" s="1" t="s">
        <v>33</v>
      </c>
      <c r="D411" s="5" t="s">
        <v>7</v>
      </c>
      <c r="E411" s="5" t="s">
        <v>463</v>
      </c>
      <c r="F411" s="4" t="s">
        <v>465</v>
      </c>
      <c r="G411" s="4" t="s">
        <v>465</v>
      </c>
      <c r="I411" s="1" t="s">
        <v>16</v>
      </c>
      <c r="J411" s="1" t="s">
        <v>10</v>
      </c>
      <c r="K411" s="4" t="s">
        <v>464</v>
      </c>
      <c r="L411" s="1" t="s">
        <v>36</v>
      </c>
      <c r="M411" s="1"/>
      <c r="O411" s="1"/>
      <c r="P411" s="1"/>
      <c r="Q411" s="1"/>
      <c r="S411" s="2"/>
      <c r="T411" s="1"/>
      <c r="U411" s="1"/>
      <c r="V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 t="s">
        <v>15</v>
      </c>
      <c r="AN411" s="1" t="s">
        <v>13</v>
      </c>
      <c r="AO411" s="1">
        <v>359</v>
      </c>
      <c r="AP411" s="3">
        <v>0.59833333333333338</v>
      </c>
      <c r="AQ411" s="1"/>
    </row>
    <row r="412" spans="1:43" ht="12.3" x14ac:dyDescent="0.4">
      <c r="A412" s="1" t="s">
        <v>291</v>
      </c>
      <c r="B412" s="1"/>
      <c r="C412" s="1" t="s">
        <v>33</v>
      </c>
      <c r="D412" s="5" t="s">
        <v>7</v>
      </c>
      <c r="E412" s="5" t="s">
        <v>463</v>
      </c>
      <c r="F412" s="4" t="s">
        <v>465</v>
      </c>
      <c r="G412" s="4" t="s">
        <v>465</v>
      </c>
      <c r="I412" s="1" t="s">
        <v>16</v>
      </c>
      <c r="J412" s="1" t="s">
        <v>10</v>
      </c>
      <c r="K412" s="4" t="s">
        <v>464</v>
      </c>
      <c r="L412" s="1" t="s">
        <v>36</v>
      </c>
      <c r="M412" s="1"/>
      <c r="O412" s="1"/>
      <c r="P412" s="1"/>
      <c r="Q412" s="1"/>
      <c r="S412" s="2"/>
      <c r="T412" s="1"/>
      <c r="U412" s="1"/>
      <c r="V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 t="s">
        <v>12</v>
      </c>
      <c r="AN412" s="1" t="s">
        <v>20</v>
      </c>
      <c r="AO412" s="1">
        <v>362</v>
      </c>
      <c r="AP412" s="3">
        <v>0.60333333333333339</v>
      </c>
      <c r="AQ412" s="1"/>
    </row>
    <row r="413" spans="1:43" ht="12.3" x14ac:dyDescent="0.4">
      <c r="A413" s="1" t="s">
        <v>291</v>
      </c>
      <c r="B413" s="1"/>
      <c r="C413" s="1" t="s">
        <v>33</v>
      </c>
      <c r="D413" s="5" t="s">
        <v>7</v>
      </c>
      <c r="E413" s="5" t="s">
        <v>463</v>
      </c>
      <c r="F413" s="4" t="s">
        <v>465</v>
      </c>
      <c r="G413" s="4" t="s">
        <v>465</v>
      </c>
      <c r="I413" s="1" t="s">
        <v>8</v>
      </c>
      <c r="J413" s="1" t="s">
        <v>9</v>
      </c>
      <c r="K413" s="4" t="s">
        <v>464</v>
      </c>
      <c r="L413" s="1" t="s">
        <v>36</v>
      </c>
      <c r="M413" s="1"/>
      <c r="O413" s="1"/>
      <c r="P413" s="1"/>
      <c r="Q413" s="1"/>
      <c r="S413" s="2"/>
      <c r="T413" s="1"/>
      <c r="U413" s="2"/>
      <c r="V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 t="s">
        <v>15</v>
      </c>
      <c r="AN413" s="1" t="s">
        <v>20</v>
      </c>
      <c r="AO413" s="1">
        <v>409</v>
      </c>
      <c r="AP413" s="3">
        <v>0.68166666666666664</v>
      </c>
      <c r="AQ413" s="1"/>
    </row>
    <row r="414" spans="1:43" ht="12.3" x14ac:dyDescent="0.4">
      <c r="A414" s="1" t="s">
        <v>292</v>
      </c>
      <c r="B414" s="1"/>
      <c r="C414" s="1" t="s">
        <v>33</v>
      </c>
      <c r="D414" s="5" t="s">
        <v>7</v>
      </c>
      <c r="E414" s="5" t="s">
        <v>463</v>
      </c>
      <c r="F414" s="4" t="s">
        <v>465</v>
      </c>
      <c r="G414" s="4" t="s">
        <v>465</v>
      </c>
      <c r="I414" s="1" t="s">
        <v>8</v>
      </c>
      <c r="J414" s="1" t="s">
        <v>9</v>
      </c>
      <c r="K414" s="4" t="s">
        <v>464</v>
      </c>
      <c r="L414" s="1" t="s">
        <v>40</v>
      </c>
      <c r="M414" s="1"/>
      <c r="O414" s="1"/>
      <c r="P414" s="1"/>
      <c r="Q414" s="1"/>
      <c r="S414" s="2"/>
      <c r="T414" s="1"/>
      <c r="U414" s="2"/>
      <c r="V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 t="s">
        <v>12</v>
      </c>
      <c r="AN414" s="1" t="s">
        <v>18</v>
      </c>
      <c r="AO414" s="1">
        <v>319</v>
      </c>
      <c r="AP414" s="3">
        <v>0.53166666666666662</v>
      </c>
      <c r="AQ414" s="1"/>
    </row>
    <row r="415" spans="1:43" ht="12.3" x14ac:dyDescent="0.4">
      <c r="A415" s="1" t="s">
        <v>292</v>
      </c>
      <c r="B415" s="1"/>
      <c r="C415" s="1" t="s">
        <v>33</v>
      </c>
      <c r="D415" s="5" t="s">
        <v>7</v>
      </c>
      <c r="E415" s="5" t="s">
        <v>463</v>
      </c>
      <c r="F415" s="4" t="s">
        <v>465</v>
      </c>
      <c r="G415" s="4" t="s">
        <v>465</v>
      </c>
      <c r="I415" s="1" t="s">
        <v>8</v>
      </c>
      <c r="J415" s="1" t="s">
        <v>9</v>
      </c>
      <c r="K415" s="4" t="s">
        <v>464</v>
      </c>
      <c r="L415" s="1" t="s">
        <v>40</v>
      </c>
      <c r="M415" s="1"/>
      <c r="O415" s="1"/>
      <c r="P415" s="1"/>
      <c r="Q415" s="1"/>
      <c r="S415" s="2"/>
      <c r="T415" s="1"/>
      <c r="U415" s="1"/>
      <c r="V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 t="s">
        <v>15</v>
      </c>
      <c r="AN415" s="1" t="s">
        <v>18</v>
      </c>
      <c r="AO415" s="1">
        <v>373</v>
      </c>
      <c r="AP415" s="3">
        <v>0.6216666666666667</v>
      </c>
      <c r="AQ415" s="1"/>
    </row>
    <row r="416" spans="1:43" ht="12.3" x14ac:dyDescent="0.4">
      <c r="A416" s="1" t="s">
        <v>293</v>
      </c>
      <c r="B416" s="1"/>
      <c r="C416" s="1" t="s">
        <v>33</v>
      </c>
      <c r="D416" s="5" t="s">
        <v>7</v>
      </c>
      <c r="E416" s="5" t="s">
        <v>463</v>
      </c>
      <c r="F416" s="4" t="s">
        <v>465</v>
      </c>
      <c r="G416" s="4" t="s">
        <v>465</v>
      </c>
      <c r="I416" s="1" t="s">
        <v>8</v>
      </c>
      <c r="J416" s="1" t="s">
        <v>9</v>
      </c>
      <c r="K416" s="4" t="s">
        <v>464</v>
      </c>
      <c r="L416" s="1" t="s">
        <v>35</v>
      </c>
      <c r="M416" s="1"/>
      <c r="O416" s="1"/>
      <c r="P416" s="1"/>
      <c r="Q416" s="1"/>
      <c r="S416" s="2"/>
      <c r="T416" s="1"/>
      <c r="U416" s="1"/>
      <c r="V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 t="s">
        <v>12</v>
      </c>
      <c r="AN416" s="1" t="s">
        <v>20</v>
      </c>
      <c r="AO416" s="1">
        <v>370</v>
      </c>
      <c r="AP416" s="3">
        <v>0.6166666666666667</v>
      </c>
      <c r="AQ416" s="1"/>
    </row>
    <row r="417" spans="1:43" ht="12.3" x14ac:dyDescent="0.4">
      <c r="A417" s="1" t="s">
        <v>293</v>
      </c>
      <c r="B417" s="1"/>
      <c r="C417" s="1" t="s">
        <v>33</v>
      </c>
      <c r="D417" s="5" t="s">
        <v>7</v>
      </c>
      <c r="E417" s="5" t="s">
        <v>463</v>
      </c>
      <c r="F417" s="4" t="s">
        <v>465</v>
      </c>
      <c r="G417" s="4" t="s">
        <v>465</v>
      </c>
      <c r="I417" s="1" t="s">
        <v>8</v>
      </c>
      <c r="J417" s="1" t="s">
        <v>9</v>
      </c>
      <c r="K417" s="4" t="s">
        <v>464</v>
      </c>
      <c r="L417" s="1" t="s">
        <v>35</v>
      </c>
      <c r="M417" s="1"/>
      <c r="O417" s="1"/>
      <c r="P417" s="1"/>
      <c r="Q417" s="1"/>
      <c r="S417" s="2"/>
      <c r="T417" s="1"/>
      <c r="U417" s="2"/>
      <c r="V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 t="s">
        <v>15</v>
      </c>
      <c r="AN417" s="1" t="s">
        <v>20</v>
      </c>
      <c r="AO417" s="1">
        <v>408</v>
      </c>
      <c r="AP417" s="3">
        <v>0.68</v>
      </c>
      <c r="AQ417" s="1"/>
    </row>
    <row r="418" spans="1:43" ht="12.3" x14ac:dyDescent="0.4">
      <c r="A418" s="1" t="s">
        <v>294</v>
      </c>
      <c r="B418" s="1"/>
      <c r="C418" s="1" t="s">
        <v>33</v>
      </c>
      <c r="D418" s="5" t="s">
        <v>7</v>
      </c>
      <c r="E418" s="5" t="s">
        <v>463</v>
      </c>
      <c r="F418" s="4" t="s">
        <v>465</v>
      </c>
      <c r="G418" s="4" t="s">
        <v>465</v>
      </c>
      <c r="I418" s="1" t="s">
        <v>8</v>
      </c>
      <c r="J418" s="1" t="s">
        <v>9</v>
      </c>
      <c r="K418" s="4" t="s">
        <v>464</v>
      </c>
      <c r="L418" s="1" t="s">
        <v>36</v>
      </c>
      <c r="M418" s="1"/>
      <c r="O418" s="1"/>
      <c r="P418" s="1"/>
      <c r="Q418" s="1"/>
      <c r="S418" s="2"/>
      <c r="T418" s="1"/>
      <c r="U418" s="2"/>
      <c r="V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 t="s">
        <v>12</v>
      </c>
      <c r="AN418" s="1" t="s">
        <v>18</v>
      </c>
      <c r="AO418" s="1">
        <v>324</v>
      </c>
      <c r="AP418" s="3">
        <v>0.54</v>
      </c>
      <c r="AQ418" s="1"/>
    </row>
    <row r="419" spans="1:43" ht="12.3" x14ac:dyDescent="0.4">
      <c r="A419" s="1" t="s">
        <v>294</v>
      </c>
      <c r="B419" s="1"/>
      <c r="C419" s="1" t="s">
        <v>33</v>
      </c>
      <c r="D419" s="5" t="s">
        <v>7</v>
      </c>
      <c r="E419" s="5" t="s">
        <v>463</v>
      </c>
      <c r="F419" s="4" t="s">
        <v>465</v>
      </c>
      <c r="G419" s="4" t="s">
        <v>465</v>
      </c>
      <c r="I419" s="1" t="s">
        <v>8</v>
      </c>
      <c r="J419" s="1" t="s">
        <v>9</v>
      </c>
      <c r="K419" s="4" t="s">
        <v>464</v>
      </c>
      <c r="L419" s="1" t="s">
        <v>36</v>
      </c>
      <c r="M419" s="1"/>
      <c r="O419" s="1"/>
      <c r="P419" s="1"/>
      <c r="Q419" s="1"/>
      <c r="S419" s="2"/>
      <c r="T419" s="1"/>
      <c r="U419" s="1"/>
      <c r="V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 t="s">
        <v>15</v>
      </c>
      <c r="AN419" s="1" t="s">
        <v>18</v>
      </c>
      <c r="AO419" s="1">
        <v>387</v>
      </c>
      <c r="AP419" s="3">
        <v>0.64500000000000002</v>
      </c>
      <c r="AQ419" s="1"/>
    </row>
    <row r="420" spans="1:43" ht="12.3" x14ac:dyDescent="0.4">
      <c r="A420" s="1" t="s">
        <v>295</v>
      </c>
      <c r="B420" s="1"/>
      <c r="C420" s="1" t="s">
        <v>33</v>
      </c>
      <c r="D420" s="5" t="s">
        <v>7</v>
      </c>
      <c r="E420" s="5" t="s">
        <v>463</v>
      </c>
      <c r="F420" s="4" t="s">
        <v>465</v>
      </c>
      <c r="G420" s="4" t="s">
        <v>465</v>
      </c>
      <c r="I420" s="1" t="s">
        <v>8</v>
      </c>
      <c r="J420" s="1" t="s">
        <v>9</v>
      </c>
      <c r="K420" s="4" t="s">
        <v>464</v>
      </c>
      <c r="L420" s="1" t="s">
        <v>41</v>
      </c>
      <c r="M420" s="1"/>
      <c r="O420" s="1"/>
      <c r="P420" s="1"/>
      <c r="Q420" s="1"/>
      <c r="S420" s="2"/>
      <c r="T420" s="1"/>
      <c r="U420" s="1"/>
      <c r="V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 t="s">
        <v>12</v>
      </c>
      <c r="AN420" s="1" t="s">
        <v>18</v>
      </c>
      <c r="AO420" s="1">
        <v>325</v>
      </c>
      <c r="AP420" s="3">
        <v>0.54166666666666663</v>
      </c>
      <c r="AQ420" s="1"/>
    </row>
    <row r="421" spans="1:43" ht="12.3" x14ac:dyDescent="0.4">
      <c r="A421" s="1" t="s">
        <v>295</v>
      </c>
      <c r="B421" s="1"/>
      <c r="C421" s="1" t="s">
        <v>33</v>
      </c>
      <c r="D421" s="5" t="s">
        <v>7</v>
      </c>
      <c r="E421" s="5" t="s">
        <v>463</v>
      </c>
      <c r="F421" s="4" t="s">
        <v>465</v>
      </c>
      <c r="G421" s="4" t="s">
        <v>465</v>
      </c>
      <c r="I421" s="1" t="s">
        <v>8</v>
      </c>
      <c r="J421" s="1" t="s">
        <v>9</v>
      </c>
      <c r="K421" s="4" t="s">
        <v>464</v>
      </c>
      <c r="L421" s="1" t="s">
        <v>41</v>
      </c>
      <c r="M421" s="1"/>
      <c r="O421" s="1"/>
      <c r="P421" s="1"/>
      <c r="Q421" s="1"/>
      <c r="S421" s="2"/>
      <c r="T421" s="1"/>
      <c r="U421" s="2"/>
      <c r="V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 t="s">
        <v>15</v>
      </c>
      <c r="AN421" s="1" t="s">
        <v>20</v>
      </c>
      <c r="AO421" s="1">
        <v>396</v>
      </c>
      <c r="AP421" s="3">
        <v>0.66</v>
      </c>
      <c r="AQ421" s="1"/>
    </row>
    <row r="422" spans="1:43" ht="12.3" x14ac:dyDescent="0.4">
      <c r="A422" s="1" t="s">
        <v>296</v>
      </c>
      <c r="B422" s="1"/>
      <c r="C422" s="1" t="s">
        <v>33</v>
      </c>
      <c r="D422" s="5" t="s">
        <v>7</v>
      </c>
      <c r="E422" s="5" t="s">
        <v>463</v>
      </c>
      <c r="F422" s="4" t="s">
        <v>465</v>
      </c>
      <c r="G422" s="4" t="s">
        <v>465</v>
      </c>
      <c r="I422" s="1" t="s">
        <v>8</v>
      </c>
      <c r="J422" s="1" t="s">
        <v>9</v>
      </c>
      <c r="K422" s="4" t="s">
        <v>464</v>
      </c>
      <c r="L422" s="1" t="s">
        <v>42</v>
      </c>
      <c r="M422" s="1"/>
      <c r="O422" s="1"/>
      <c r="P422" s="1"/>
      <c r="Q422" s="1"/>
      <c r="S422" s="2"/>
      <c r="T422" s="1"/>
      <c r="U422" s="2"/>
      <c r="V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 t="s">
        <v>12</v>
      </c>
      <c r="AN422" s="1" t="s">
        <v>20</v>
      </c>
      <c r="AO422" s="1">
        <v>344</v>
      </c>
      <c r="AP422" s="3">
        <v>0.57333333333333336</v>
      </c>
      <c r="AQ422" s="1"/>
    </row>
    <row r="423" spans="1:43" ht="12.3" x14ac:dyDescent="0.4">
      <c r="A423" s="1" t="s">
        <v>296</v>
      </c>
      <c r="B423" s="1"/>
      <c r="C423" s="1" t="s">
        <v>33</v>
      </c>
      <c r="D423" s="5" t="s">
        <v>7</v>
      </c>
      <c r="E423" s="5" t="s">
        <v>463</v>
      </c>
      <c r="F423" s="4" t="s">
        <v>465</v>
      </c>
      <c r="G423" s="4" t="s">
        <v>465</v>
      </c>
      <c r="I423" s="1" t="s">
        <v>16</v>
      </c>
      <c r="J423" s="1" t="s">
        <v>9</v>
      </c>
      <c r="K423" s="4" t="s">
        <v>464</v>
      </c>
      <c r="L423" s="1" t="s">
        <v>42</v>
      </c>
      <c r="M423" s="1"/>
      <c r="O423" s="1"/>
      <c r="P423" s="1"/>
      <c r="Q423" s="1"/>
      <c r="S423" s="2"/>
      <c r="T423" s="1"/>
      <c r="U423" s="2"/>
      <c r="V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 t="s">
        <v>15</v>
      </c>
      <c r="AN423" s="1" t="s">
        <v>20</v>
      </c>
      <c r="AO423" s="1">
        <v>405</v>
      </c>
      <c r="AP423" s="3">
        <v>0.67500000000000004</v>
      </c>
      <c r="AQ423" s="1"/>
    </row>
    <row r="424" spans="1:43" ht="12.3" x14ac:dyDescent="0.4">
      <c r="A424" s="1" t="s">
        <v>297</v>
      </c>
      <c r="B424" s="1"/>
      <c r="C424" s="1" t="s">
        <v>33</v>
      </c>
      <c r="D424" s="5" t="s">
        <v>7</v>
      </c>
      <c r="E424" s="5" t="s">
        <v>463</v>
      </c>
      <c r="F424" s="4" t="s">
        <v>465</v>
      </c>
      <c r="G424" s="4" t="s">
        <v>465</v>
      </c>
      <c r="I424" s="1" t="s">
        <v>16</v>
      </c>
      <c r="J424" s="1" t="s">
        <v>9</v>
      </c>
      <c r="K424" s="4" t="s">
        <v>464</v>
      </c>
      <c r="L424" s="1" t="s">
        <v>43</v>
      </c>
      <c r="M424" s="1"/>
      <c r="O424" s="1"/>
      <c r="P424" s="1"/>
      <c r="Q424" s="1"/>
      <c r="S424" s="2"/>
      <c r="T424" s="1"/>
      <c r="U424" s="2"/>
      <c r="V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 t="s">
        <v>12</v>
      </c>
      <c r="AN424" s="1" t="s">
        <v>13</v>
      </c>
      <c r="AO424" s="1">
        <v>292</v>
      </c>
      <c r="AP424" s="3">
        <v>0.48666666666666669</v>
      </c>
      <c r="AQ424" s="1"/>
    </row>
    <row r="425" spans="1:43" ht="12.3" x14ac:dyDescent="0.4">
      <c r="A425" s="1" t="s">
        <v>297</v>
      </c>
      <c r="B425" s="1"/>
      <c r="C425" s="1" t="s">
        <v>33</v>
      </c>
      <c r="D425" s="5" t="s">
        <v>7</v>
      </c>
      <c r="E425" s="5" t="s">
        <v>463</v>
      </c>
      <c r="F425" s="4" t="s">
        <v>465</v>
      </c>
      <c r="G425" s="4" t="s">
        <v>465</v>
      </c>
      <c r="I425" s="1" t="s">
        <v>8</v>
      </c>
      <c r="J425" s="1" t="s">
        <v>9</v>
      </c>
      <c r="K425" s="4" t="s">
        <v>464</v>
      </c>
      <c r="L425" s="1" t="s">
        <v>43</v>
      </c>
      <c r="M425" s="1"/>
      <c r="O425" s="1"/>
      <c r="P425" s="1"/>
      <c r="Q425" s="1"/>
      <c r="S425" s="2"/>
      <c r="T425" s="1"/>
      <c r="U425" s="1"/>
      <c r="V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 t="s">
        <v>15</v>
      </c>
      <c r="AN425" s="1" t="s">
        <v>14</v>
      </c>
      <c r="AO425" s="1">
        <v>341</v>
      </c>
      <c r="AP425" s="3">
        <v>0.56833333333333336</v>
      </c>
      <c r="AQ425" s="1"/>
    </row>
    <row r="426" spans="1:43" ht="12.3" x14ac:dyDescent="0.4">
      <c r="A426" s="1" t="s">
        <v>298</v>
      </c>
      <c r="B426" s="1"/>
      <c r="C426" s="1" t="s">
        <v>33</v>
      </c>
      <c r="D426" s="5" t="s">
        <v>7</v>
      </c>
      <c r="E426" s="5" t="s">
        <v>463</v>
      </c>
      <c r="F426" s="4" t="s">
        <v>465</v>
      </c>
      <c r="G426" s="4" t="s">
        <v>465</v>
      </c>
      <c r="I426" s="1" t="s">
        <v>8</v>
      </c>
      <c r="J426" s="1" t="s">
        <v>9</v>
      </c>
      <c r="K426" s="4" t="s">
        <v>464</v>
      </c>
      <c r="L426" s="1" t="s">
        <v>43</v>
      </c>
      <c r="M426" s="1"/>
      <c r="O426" s="1"/>
      <c r="P426" s="1"/>
      <c r="Q426" s="1"/>
      <c r="S426" s="2"/>
      <c r="T426" s="1"/>
      <c r="U426" s="1"/>
      <c r="V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 t="s">
        <v>12</v>
      </c>
      <c r="AN426" s="1" t="s">
        <v>13</v>
      </c>
      <c r="AO426" s="1">
        <v>283</v>
      </c>
      <c r="AP426" s="3">
        <v>0.47166666666666668</v>
      </c>
      <c r="AQ426" s="1"/>
    </row>
    <row r="427" spans="1:43" ht="12.3" x14ac:dyDescent="0.4">
      <c r="A427" s="1" t="s">
        <v>298</v>
      </c>
      <c r="B427" s="1"/>
      <c r="C427" s="1" t="s">
        <v>33</v>
      </c>
      <c r="D427" s="5" t="s">
        <v>7</v>
      </c>
      <c r="E427" s="5" t="s">
        <v>463</v>
      </c>
      <c r="F427" s="4" t="s">
        <v>465</v>
      </c>
      <c r="G427" s="4" t="s">
        <v>465</v>
      </c>
      <c r="I427" s="1" t="s">
        <v>8</v>
      </c>
      <c r="J427" s="1" t="s">
        <v>9</v>
      </c>
      <c r="K427" s="4" t="s">
        <v>464</v>
      </c>
      <c r="L427" s="1" t="s">
        <v>43</v>
      </c>
      <c r="M427" s="1"/>
      <c r="O427" s="1"/>
      <c r="P427" s="1"/>
      <c r="Q427" s="1"/>
      <c r="S427" s="2"/>
      <c r="T427" s="1"/>
      <c r="U427" s="1"/>
      <c r="V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 t="s">
        <v>15</v>
      </c>
      <c r="AN427" s="1" t="s">
        <v>13</v>
      </c>
      <c r="AO427" s="1">
        <v>369</v>
      </c>
      <c r="AP427" s="3">
        <v>0.61499999999999999</v>
      </c>
      <c r="AQ427" s="1"/>
    </row>
    <row r="428" spans="1:43" ht="12.3" x14ac:dyDescent="0.4">
      <c r="A428" s="1" t="s">
        <v>299</v>
      </c>
      <c r="B428" s="1"/>
      <c r="C428" s="1" t="s">
        <v>33</v>
      </c>
      <c r="D428" s="5" t="s">
        <v>7</v>
      </c>
      <c r="E428" s="5" t="s">
        <v>463</v>
      </c>
      <c r="F428" s="4" t="s">
        <v>465</v>
      </c>
      <c r="G428" s="4" t="s">
        <v>465</v>
      </c>
      <c r="I428" s="1" t="s">
        <v>8</v>
      </c>
      <c r="J428" s="1" t="s">
        <v>9</v>
      </c>
      <c r="K428" s="4" t="s">
        <v>464</v>
      </c>
      <c r="L428" s="1" t="s">
        <v>43</v>
      </c>
      <c r="M428" s="1"/>
      <c r="O428" s="1"/>
      <c r="P428" s="1"/>
      <c r="Q428" s="1"/>
      <c r="S428" s="2"/>
      <c r="T428" s="1"/>
      <c r="U428" s="1"/>
      <c r="V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 t="s">
        <v>12</v>
      </c>
      <c r="AN428" s="1" t="s">
        <v>20</v>
      </c>
      <c r="AO428" s="1">
        <v>340</v>
      </c>
      <c r="AP428" s="3">
        <v>0.56666666666666665</v>
      </c>
      <c r="AQ428" s="1"/>
    </row>
    <row r="429" spans="1:43" ht="12.3" x14ac:dyDescent="0.4">
      <c r="A429" s="1" t="s">
        <v>299</v>
      </c>
      <c r="B429" s="1"/>
      <c r="C429" s="1" t="s">
        <v>33</v>
      </c>
      <c r="D429" s="5" t="s">
        <v>7</v>
      </c>
      <c r="E429" s="5" t="s">
        <v>463</v>
      </c>
      <c r="F429" s="4" t="s">
        <v>465</v>
      </c>
      <c r="G429" s="4" t="s">
        <v>465</v>
      </c>
      <c r="I429" s="1" t="s">
        <v>8</v>
      </c>
      <c r="J429" s="1" t="s">
        <v>9</v>
      </c>
      <c r="K429" s="4" t="s">
        <v>464</v>
      </c>
      <c r="L429" s="1" t="s">
        <v>43</v>
      </c>
      <c r="M429" s="1"/>
      <c r="O429" s="1"/>
      <c r="P429" s="1"/>
      <c r="Q429" s="1"/>
      <c r="S429" s="1"/>
      <c r="T429" s="1"/>
      <c r="U429" s="1"/>
      <c r="V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 t="s">
        <v>15</v>
      </c>
      <c r="AN429" s="1" t="s">
        <v>18</v>
      </c>
      <c r="AO429" s="1">
        <v>385</v>
      </c>
      <c r="AP429" s="3">
        <v>0.64166666666666672</v>
      </c>
      <c r="AQ429" s="1"/>
    </row>
    <row r="430" spans="1:43" ht="12.3" x14ac:dyDescent="0.4">
      <c r="A430" s="1" t="s">
        <v>300</v>
      </c>
      <c r="B430" s="1"/>
      <c r="C430" s="1" t="s">
        <v>33</v>
      </c>
      <c r="D430" s="5" t="s">
        <v>7</v>
      </c>
      <c r="E430" s="5" t="s">
        <v>463</v>
      </c>
      <c r="F430" s="4" t="s">
        <v>465</v>
      </c>
      <c r="G430" s="4" t="s">
        <v>465</v>
      </c>
      <c r="I430" s="1" t="s">
        <v>8</v>
      </c>
      <c r="J430" s="1" t="s">
        <v>9</v>
      </c>
      <c r="K430" s="4" t="s">
        <v>464</v>
      </c>
      <c r="L430" s="1" t="s">
        <v>41</v>
      </c>
      <c r="M430" s="1"/>
      <c r="O430" s="1"/>
      <c r="P430" s="1"/>
      <c r="Q430" s="1"/>
      <c r="S430" s="1"/>
      <c r="T430" s="1"/>
      <c r="U430" s="1"/>
      <c r="V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 t="s">
        <v>12</v>
      </c>
      <c r="AN430" s="1" t="s">
        <v>18</v>
      </c>
      <c r="AO430" s="1">
        <v>330</v>
      </c>
      <c r="AP430" s="3">
        <v>0.55000000000000004</v>
      </c>
      <c r="AQ430" s="1"/>
    </row>
    <row r="431" spans="1:43" ht="12.3" x14ac:dyDescent="0.4">
      <c r="A431" s="1" t="s">
        <v>300</v>
      </c>
      <c r="B431" s="1"/>
      <c r="C431" s="1" t="s">
        <v>33</v>
      </c>
      <c r="D431" s="5" t="s">
        <v>7</v>
      </c>
      <c r="E431" s="5" t="s">
        <v>463</v>
      </c>
      <c r="F431" s="4" t="s">
        <v>465</v>
      </c>
      <c r="G431" s="4" t="s">
        <v>465</v>
      </c>
      <c r="I431" s="1" t="s">
        <v>29</v>
      </c>
      <c r="J431" s="1" t="s">
        <v>9</v>
      </c>
      <c r="K431" s="4" t="s">
        <v>464</v>
      </c>
      <c r="L431" s="1" t="s">
        <v>41</v>
      </c>
      <c r="M431" s="1"/>
      <c r="O431" s="1"/>
      <c r="P431" s="1"/>
      <c r="Q431" s="1"/>
      <c r="S431" s="2"/>
      <c r="T431" s="1"/>
      <c r="U431" s="1"/>
      <c r="V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 t="s">
        <v>15</v>
      </c>
      <c r="AN431" s="1" t="s">
        <v>18</v>
      </c>
      <c r="AO431" s="1">
        <v>373</v>
      </c>
      <c r="AP431" s="3">
        <v>0.6216666666666667</v>
      </c>
      <c r="AQ431" s="1"/>
    </row>
    <row r="432" spans="1:43" ht="12.3" x14ac:dyDescent="0.4">
      <c r="A432" s="1" t="s">
        <v>301</v>
      </c>
      <c r="B432" s="1"/>
      <c r="C432" s="1" t="s">
        <v>33</v>
      </c>
      <c r="D432" s="5" t="s">
        <v>7</v>
      </c>
      <c r="E432" s="5" t="s">
        <v>463</v>
      </c>
      <c r="F432" s="4" t="s">
        <v>465</v>
      </c>
      <c r="G432" s="4" t="s">
        <v>465</v>
      </c>
      <c r="I432" s="1" t="s">
        <v>29</v>
      </c>
      <c r="J432" s="1" t="s">
        <v>9</v>
      </c>
      <c r="K432" s="4" t="s">
        <v>464</v>
      </c>
      <c r="L432" s="1" t="s">
        <v>34</v>
      </c>
      <c r="M432" s="1"/>
      <c r="O432" s="1"/>
      <c r="P432" s="1"/>
      <c r="Q432" s="1"/>
      <c r="S432" s="2"/>
      <c r="T432" s="1"/>
      <c r="U432" s="1"/>
      <c r="V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 t="s">
        <v>12</v>
      </c>
      <c r="AN432" s="1" t="s">
        <v>14</v>
      </c>
      <c r="AO432" s="1">
        <v>243</v>
      </c>
      <c r="AP432" s="3">
        <v>0.40500000000000003</v>
      </c>
      <c r="AQ432" s="1"/>
    </row>
    <row r="433" spans="1:43" ht="12.3" x14ac:dyDescent="0.4">
      <c r="A433" s="1" t="s">
        <v>301</v>
      </c>
      <c r="B433" s="1"/>
      <c r="C433" s="1" t="s">
        <v>33</v>
      </c>
      <c r="D433" s="5" t="s">
        <v>7</v>
      </c>
      <c r="E433" s="5" t="s">
        <v>463</v>
      </c>
      <c r="F433" s="4" t="s">
        <v>465</v>
      </c>
      <c r="G433" s="4" t="s">
        <v>465</v>
      </c>
      <c r="I433" s="1" t="s">
        <v>8</v>
      </c>
      <c r="J433" s="1" t="s">
        <v>9</v>
      </c>
      <c r="K433" s="4" t="s">
        <v>464</v>
      </c>
      <c r="L433" s="1" t="s">
        <v>34</v>
      </c>
      <c r="M433" s="1"/>
      <c r="O433" s="1"/>
      <c r="P433" s="1"/>
      <c r="Q433" s="1"/>
      <c r="S433" s="2"/>
      <c r="T433" s="1"/>
      <c r="U433" s="1"/>
      <c r="V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 t="s">
        <v>15</v>
      </c>
      <c r="AN433" s="1" t="s">
        <v>14</v>
      </c>
      <c r="AO433" s="1">
        <v>319</v>
      </c>
      <c r="AP433" s="3">
        <v>0.53166666666666662</v>
      </c>
      <c r="AQ433" s="1"/>
    </row>
    <row r="434" spans="1:43" ht="12.3" x14ac:dyDescent="0.4">
      <c r="A434" s="1" t="s">
        <v>302</v>
      </c>
      <c r="B434" s="1"/>
      <c r="C434" s="1" t="s">
        <v>33</v>
      </c>
      <c r="D434" s="5" t="s">
        <v>7</v>
      </c>
      <c r="E434" s="5" t="s">
        <v>463</v>
      </c>
      <c r="F434" s="4" t="s">
        <v>465</v>
      </c>
      <c r="G434" s="4" t="s">
        <v>465</v>
      </c>
      <c r="I434" s="1" t="s">
        <v>8</v>
      </c>
      <c r="J434" s="1" t="s">
        <v>9</v>
      </c>
      <c r="K434" s="4" t="s">
        <v>464</v>
      </c>
      <c r="L434" s="1" t="s">
        <v>35</v>
      </c>
      <c r="M434" s="1"/>
      <c r="O434" s="1"/>
      <c r="P434" s="1"/>
      <c r="Q434" s="1"/>
      <c r="S434" s="2"/>
      <c r="T434" s="1"/>
      <c r="U434" s="1"/>
      <c r="V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 t="s">
        <v>12</v>
      </c>
      <c r="AN434" s="1" t="s">
        <v>20</v>
      </c>
      <c r="AO434" s="1">
        <v>373</v>
      </c>
      <c r="AP434" s="3">
        <v>0.6216666666666667</v>
      </c>
      <c r="AQ434" s="1"/>
    </row>
    <row r="435" spans="1:43" ht="12.3" x14ac:dyDescent="0.4">
      <c r="A435" s="1" t="s">
        <v>302</v>
      </c>
      <c r="B435" s="1"/>
      <c r="C435" s="1" t="s">
        <v>33</v>
      </c>
      <c r="D435" s="5" t="s">
        <v>7</v>
      </c>
      <c r="E435" s="5" t="s">
        <v>463</v>
      </c>
      <c r="F435" s="4" t="s">
        <v>465</v>
      </c>
      <c r="G435" s="4" t="s">
        <v>465</v>
      </c>
      <c r="I435" s="1" t="s">
        <v>16</v>
      </c>
      <c r="J435" s="1" t="s">
        <v>10</v>
      </c>
      <c r="K435" s="4" t="s">
        <v>464</v>
      </c>
      <c r="L435" s="1" t="s">
        <v>35</v>
      </c>
      <c r="M435" s="1"/>
      <c r="O435" s="1"/>
      <c r="P435" s="1"/>
      <c r="Q435" s="1"/>
      <c r="S435" s="2"/>
      <c r="T435" s="1"/>
      <c r="U435" s="2"/>
      <c r="V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 t="s">
        <v>15</v>
      </c>
      <c r="AN435" s="1" t="s">
        <v>20</v>
      </c>
      <c r="AO435" s="1">
        <v>415</v>
      </c>
      <c r="AP435" s="3">
        <v>0.69166666666666665</v>
      </c>
      <c r="AQ435" s="1"/>
    </row>
    <row r="436" spans="1:43" ht="12.3" x14ac:dyDescent="0.4">
      <c r="A436" s="1" t="s">
        <v>303</v>
      </c>
      <c r="B436" s="1"/>
      <c r="C436" s="1" t="s">
        <v>33</v>
      </c>
      <c r="D436" s="5" t="s">
        <v>7</v>
      </c>
      <c r="E436" s="5" t="s">
        <v>463</v>
      </c>
      <c r="F436" s="4" t="s">
        <v>465</v>
      </c>
      <c r="G436" s="4" t="s">
        <v>465</v>
      </c>
      <c r="I436" s="1" t="s">
        <v>16</v>
      </c>
      <c r="J436" s="1" t="s">
        <v>10</v>
      </c>
      <c r="K436" s="4" t="s">
        <v>464</v>
      </c>
      <c r="L436" s="1" t="s">
        <v>44</v>
      </c>
      <c r="M436" s="1"/>
      <c r="O436" s="1"/>
      <c r="P436" s="1"/>
      <c r="Q436" s="1"/>
      <c r="S436" s="2"/>
      <c r="T436" s="1"/>
      <c r="U436" s="2"/>
      <c r="V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 t="s">
        <v>12</v>
      </c>
      <c r="AN436" s="1" t="s">
        <v>20</v>
      </c>
      <c r="AO436" s="1">
        <v>428</v>
      </c>
      <c r="AP436" s="3">
        <v>0.71333333333333337</v>
      </c>
      <c r="AQ436" s="1"/>
    </row>
    <row r="437" spans="1:43" ht="12.3" x14ac:dyDescent="0.4">
      <c r="A437" s="1" t="s">
        <v>303</v>
      </c>
      <c r="B437" s="1"/>
      <c r="C437" s="1" t="s">
        <v>33</v>
      </c>
      <c r="D437" s="5" t="s">
        <v>7</v>
      </c>
      <c r="E437" s="5" t="s">
        <v>463</v>
      </c>
      <c r="F437" s="4" t="s">
        <v>465</v>
      </c>
      <c r="G437" s="4" t="s">
        <v>465</v>
      </c>
      <c r="I437" s="1" t="s">
        <v>16</v>
      </c>
      <c r="J437" s="1" t="s">
        <v>10</v>
      </c>
      <c r="K437" s="4" t="s">
        <v>464</v>
      </c>
      <c r="L437" s="1" t="s">
        <v>44</v>
      </c>
      <c r="M437" s="1"/>
      <c r="O437" s="1"/>
      <c r="P437" s="1"/>
      <c r="Q437" s="1"/>
      <c r="S437" s="2"/>
      <c r="T437" s="1"/>
      <c r="U437" s="1"/>
      <c r="V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 t="s">
        <v>15</v>
      </c>
      <c r="AN437" s="1" t="s">
        <v>20</v>
      </c>
      <c r="AO437" s="1">
        <v>454</v>
      </c>
      <c r="AP437" s="3">
        <v>0.75666666666666671</v>
      </c>
      <c r="AQ437" s="1"/>
    </row>
    <row r="438" spans="1:43" ht="12.3" x14ac:dyDescent="0.4">
      <c r="A438" s="1" t="s">
        <v>304</v>
      </c>
      <c r="B438" s="1"/>
      <c r="C438" s="1" t="s">
        <v>33</v>
      </c>
      <c r="D438" s="5" t="s">
        <v>7</v>
      </c>
      <c r="E438" s="5" t="s">
        <v>463</v>
      </c>
      <c r="F438" s="4" t="s">
        <v>465</v>
      </c>
      <c r="G438" s="4" t="s">
        <v>465</v>
      </c>
      <c r="I438" s="1" t="s">
        <v>16</v>
      </c>
      <c r="J438" s="1" t="s">
        <v>10</v>
      </c>
      <c r="K438" s="4" t="s">
        <v>464</v>
      </c>
      <c r="L438" s="1" t="s">
        <v>34</v>
      </c>
      <c r="M438" s="1"/>
      <c r="O438" s="1"/>
      <c r="P438" s="1"/>
      <c r="Q438" s="1"/>
      <c r="S438" s="2"/>
      <c r="T438" s="1"/>
      <c r="U438" s="1"/>
      <c r="V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 t="s">
        <v>12</v>
      </c>
      <c r="AN438" s="1" t="s">
        <v>14</v>
      </c>
      <c r="AO438" s="1">
        <v>254</v>
      </c>
      <c r="AP438" s="3">
        <v>0.42333333333333334</v>
      </c>
      <c r="AQ438" s="1"/>
    </row>
    <row r="439" spans="1:43" ht="12.3" x14ac:dyDescent="0.4">
      <c r="A439" s="1" t="s">
        <v>304</v>
      </c>
      <c r="B439" s="1"/>
      <c r="C439" s="1" t="s">
        <v>33</v>
      </c>
      <c r="D439" s="5" t="s">
        <v>7</v>
      </c>
      <c r="E439" s="5" t="s">
        <v>463</v>
      </c>
      <c r="F439" s="4" t="s">
        <v>465</v>
      </c>
      <c r="G439" s="4" t="s">
        <v>465</v>
      </c>
      <c r="I439" s="1" t="s">
        <v>16</v>
      </c>
      <c r="J439" s="1" t="s">
        <v>10</v>
      </c>
      <c r="K439" s="4" t="s">
        <v>464</v>
      </c>
      <c r="L439" s="1" t="s">
        <v>34</v>
      </c>
      <c r="M439" s="1"/>
      <c r="O439" s="1"/>
      <c r="P439" s="1"/>
      <c r="Q439" s="1"/>
      <c r="S439" s="2"/>
      <c r="T439" s="1"/>
      <c r="U439" s="1"/>
      <c r="V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 t="s">
        <v>15</v>
      </c>
      <c r="AN439" s="1" t="s">
        <v>14</v>
      </c>
      <c r="AO439" s="1">
        <v>337</v>
      </c>
      <c r="AP439" s="3">
        <v>0.56166666666666665</v>
      </c>
      <c r="AQ439" s="1"/>
    </row>
    <row r="440" spans="1:43" ht="12.3" x14ac:dyDescent="0.4">
      <c r="A440" s="1" t="s">
        <v>305</v>
      </c>
      <c r="B440" s="1"/>
      <c r="C440" s="1" t="s">
        <v>33</v>
      </c>
      <c r="D440" s="5" t="s">
        <v>7</v>
      </c>
      <c r="E440" s="5" t="s">
        <v>463</v>
      </c>
      <c r="F440" s="4" t="s">
        <v>465</v>
      </c>
      <c r="G440" s="4" t="s">
        <v>465</v>
      </c>
      <c r="I440" s="1" t="s">
        <v>16</v>
      </c>
      <c r="J440" s="1" t="s">
        <v>10</v>
      </c>
      <c r="K440" s="4" t="s">
        <v>464</v>
      </c>
      <c r="L440" s="1" t="s">
        <v>43</v>
      </c>
      <c r="M440" s="1"/>
      <c r="O440" s="1"/>
      <c r="P440" s="1"/>
      <c r="Q440" s="1"/>
      <c r="S440" s="2"/>
      <c r="T440" s="1"/>
      <c r="U440" s="1"/>
      <c r="V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 t="s">
        <v>15</v>
      </c>
      <c r="AN440" s="1" t="s">
        <v>20</v>
      </c>
      <c r="AO440" s="1">
        <v>400</v>
      </c>
      <c r="AP440" s="3">
        <v>0.66666666666666663</v>
      </c>
      <c r="AQ440" s="1"/>
    </row>
    <row r="441" spans="1:43" ht="12.3" x14ac:dyDescent="0.4">
      <c r="A441" s="1" t="s">
        <v>306</v>
      </c>
      <c r="B441" s="1"/>
      <c r="C441" s="1" t="s">
        <v>33</v>
      </c>
      <c r="D441" s="5" t="s">
        <v>7</v>
      </c>
      <c r="E441" s="5" t="s">
        <v>463</v>
      </c>
      <c r="F441" s="4" t="s">
        <v>465</v>
      </c>
      <c r="G441" s="4" t="s">
        <v>465</v>
      </c>
      <c r="I441" s="1" t="s">
        <v>16</v>
      </c>
      <c r="J441" s="1" t="s">
        <v>10</v>
      </c>
      <c r="K441" s="4" t="s">
        <v>464</v>
      </c>
      <c r="L441" s="1" t="s">
        <v>34</v>
      </c>
      <c r="M441" s="1"/>
      <c r="O441" s="1"/>
      <c r="P441" s="1"/>
      <c r="Q441" s="1"/>
      <c r="S441" s="2"/>
      <c r="T441" s="1"/>
      <c r="U441" s="2"/>
      <c r="V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 t="s">
        <v>12</v>
      </c>
      <c r="AN441" s="1" t="s">
        <v>20</v>
      </c>
      <c r="AO441" s="1">
        <v>332</v>
      </c>
      <c r="AP441" s="3">
        <v>0.55333333333333334</v>
      </c>
      <c r="AQ441" s="1"/>
    </row>
    <row r="442" spans="1:43" ht="12.3" x14ac:dyDescent="0.4">
      <c r="A442" s="1" t="s">
        <v>306</v>
      </c>
      <c r="B442" s="1"/>
      <c r="C442" s="1" t="s">
        <v>33</v>
      </c>
      <c r="D442" s="5" t="s">
        <v>7</v>
      </c>
      <c r="E442" s="5" t="s">
        <v>463</v>
      </c>
      <c r="F442" s="4" t="s">
        <v>465</v>
      </c>
      <c r="G442" s="4" t="s">
        <v>465</v>
      </c>
      <c r="I442" s="1" t="s">
        <v>8</v>
      </c>
      <c r="J442" s="1" t="s">
        <v>9</v>
      </c>
      <c r="K442" s="4" t="s">
        <v>464</v>
      </c>
      <c r="L442" s="1" t="s">
        <v>34</v>
      </c>
      <c r="M442" s="1"/>
      <c r="O442" s="1"/>
      <c r="P442" s="1"/>
      <c r="Q442" s="1"/>
      <c r="S442" s="2"/>
      <c r="T442" s="1"/>
      <c r="U442" s="1"/>
      <c r="V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 t="s">
        <v>15</v>
      </c>
      <c r="AN442" s="1" t="s">
        <v>18</v>
      </c>
      <c r="AO442" s="1">
        <v>372</v>
      </c>
      <c r="AP442" s="3">
        <v>0.62</v>
      </c>
      <c r="AQ442" s="1"/>
    </row>
    <row r="443" spans="1:43" ht="12.3" x14ac:dyDescent="0.4">
      <c r="A443" s="1" t="s">
        <v>307</v>
      </c>
      <c r="B443" s="1"/>
      <c r="C443" s="1" t="s">
        <v>33</v>
      </c>
      <c r="D443" s="5" t="s">
        <v>7</v>
      </c>
      <c r="E443" s="5" t="s">
        <v>463</v>
      </c>
      <c r="F443" s="4" t="s">
        <v>465</v>
      </c>
      <c r="G443" s="4" t="s">
        <v>465</v>
      </c>
      <c r="I443" s="1" t="s">
        <v>8</v>
      </c>
      <c r="J443" s="1" t="s">
        <v>9</v>
      </c>
      <c r="K443" s="4" t="s">
        <v>464</v>
      </c>
      <c r="L443" s="1" t="s">
        <v>43</v>
      </c>
      <c r="M443" s="1"/>
      <c r="O443" s="1"/>
      <c r="P443" s="1"/>
      <c r="Q443" s="1"/>
      <c r="S443" s="2"/>
      <c r="T443" s="1"/>
      <c r="U443" s="1"/>
      <c r="V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 t="s">
        <v>12</v>
      </c>
      <c r="AN443" s="1" t="s">
        <v>13</v>
      </c>
      <c r="AO443" s="1">
        <v>303</v>
      </c>
      <c r="AP443" s="3">
        <v>0.505</v>
      </c>
      <c r="AQ443" s="1"/>
    </row>
    <row r="444" spans="1:43" ht="12.3" x14ac:dyDescent="0.4">
      <c r="A444" s="1" t="s">
        <v>307</v>
      </c>
      <c r="B444" s="1"/>
      <c r="C444" s="1" t="s">
        <v>33</v>
      </c>
      <c r="D444" s="5" t="s">
        <v>7</v>
      </c>
      <c r="E444" s="5" t="s">
        <v>463</v>
      </c>
      <c r="F444" s="4" t="s">
        <v>465</v>
      </c>
      <c r="G444" s="4" t="s">
        <v>465</v>
      </c>
      <c r="I444" s="1" t="s">
        <v>8</v>
      </c>
      <c r="J444" s="1" t="s">
        <v>9</v>
      </c>
      <c r="K444" s="4" t="s">
        <v>464</v>
      </c>
      <c r="L444" s="1" t="s">
        <v>43</v>
      </c>
      <c r="M444" s="1"/>
      <c r="O444" s="1"/>
      <c r="P444" s="1"/>
      <c r="Q444" s="1"/>
      <c r="S444" s="1"/>
      <c r="T444" s="1"/>
      <c r="U444" s="2"/>
      <c r="V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 t="s">
        <v>15</v>
      </c>
      <c r="AN444" s="1" t="s">
        <v>18</v>
      </c>
      <c r="AO444" s="1">
        <v>383</v>
      </c>
      <c r="AP444" s="3">
        <v>0.63833333333333331</v>
      </c>
      <c r="AQ444" s="1"/>
    </row>
    <row r="445" spans="1:43" ht="12.3" x14ac:dyDescent="0.4">
      <c r="A445" s="1" t="s">
        <v>308</v>
      </c>
      <c r="B445" s="1"/>
      <c r="C445" s="1" t="s">
        <v>33</v>
      </c>
      <c r="D445" s="5" t="s">
        <v>7</v>
      </c>
      <c r="E445" s="5" t="s">
        <v>463</v>
      </c>
      <c r="F445" s="4" t="s">
        <v>465</v>
      </c>
      <c r="G445" s="4" t="s">
        <v>465</v>
      </c>
      <c r="I445" s="1" t="s">
        <v>8</v>
      </c>
      <c r="J445" s="1" t="s">
        <v>9</v>
      </c>
      <c r="K445" s="4" t="s">
        <v>464</v>
      </c>
      <c r="L445" s="1" t="s">
        <v>42</v>
      </c>
      <c r="M445" s="1"/>
      <c r="O445" s="1"/>
      <c r="P445" s="1"/>
      <c r="Q445" s="1"/>
      <c r="S445" s="1"/>
      <c r="T445" s="1"/>
      <c r="U445" s="2"/>
      <c r="V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 t="s">
        <v>12</v>
      </c>
      <c r="AN445" s="1" t="s">
        <v>20</v>
      </c>
      <c r="AO445" s="1">
        <v>430</v>
      </c>
      <c r="AP445" s="3">
        <v>0.71666666666666667</v>
      </c>
      <c r="AQ445" s="1"/>
    </row>
    <row r="446" spans="1:43" ht="12.3" x14ac:dyDescent="0.4">
      <c r="A446" s="1" t="s">
        <v>308</v>
      </c>
      <c r="B446" s="1"/>
      <c r="C446" s="1" t="s">
        <v>33</v>
      </c>
      <c r="D446" s="5" t="s">
        <v>7</v>
      </c>
      <c r="E446" s="5" t="s">
        <v>463</v>
      </c>
      <c r="F446" s="4" t="s">
        <v>465</v>
      </c>
      <c r="G446" s="4" t="s">
        <v>465</v>
      </c>
      <c r="I446" s="1" t="s">
        <v>16</v>
      </c>
      <c r="J446" s="1" t="s">
        <v>10</v>
      </c>
      <c r="K446" s="4" t="s">
        <v>464</v>
      </c>
      <c r="L446" s="1" t="s">
        <v>42</v>
      </c>
      <c r="M446" s="1"/>
      <c r="O446" s="1"/>
      <c r="P446" s="1"/>
      <c r="Q446" s="1"/>
      <c r="S446" s="2"/>
      <c r="T446" s="1"/>
      <c r="U446" s="1"/>
      <c r="V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 t="s">
        <v>15</v>
      </c>
      <c r="AN446" s="1" t="s">
        <v>20</v>
      </c>
      <c r="AO446" s="1">
        <v>464</v>
      </c>
      <c r="AP446" s="3">
        <v>0.77333333333333332</v>
      </c>
      <c r="AQ446" s="1"/>
    </row>
    <row r="447" spans="1:43" ht="12.3" x14ac:dyDescent="0.4">
      <c r="A447" s="1" t="s">
        <v>309</v>
      </c>
      <c r="B447" s="1"/>
      <c r="C447" s="1" t="s">
        <v>33</v>
      </c>
      <c r="D447" s="5" t="s">
        <v>7</v>
      </c>
      <c r="E447" s="5" t="s">
        <v>463</v>
      </c>
      <c r="F447" s="4" t="s">
        <v>465</v>
      </c>
      <c r="G447" s="4" t="s">
        <v>465</v>
      </c>
      <c r="I447" s="1" t="s">
        <v>16</v>
      </c>
      <c r="J447" s="1" t="s">
        <v>10</v>
      </c>
      <c r="K447" s="4" t="s">
        <v>464</v>
      </c>
      <c r="L447" s="1" t="s">
        <v>37</v>
      </c>
      <c r="M447" s="1"/>
      <c r="O447" s="1"/>
      <c r="P447" s="1"/>
      <c r="Q447" s="1"/>
      <c r="S447" s="2"/>
      <c r="T447" s="1"/>
      <c r="U447" s="1"/>
      <c r="V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 t="s">
        <v>12</v>
      </c>
      <c r="AN447" s="1" t="s">
        <v>20</v>
      </c>
      <c r="AO447" s="1">
        <v>385</v>
      </c>
      <c r="AP447" s="3">
        <v>0.64166666666666672</v>
      </c>
      <c r="AQ447" s="1"/>
    </row>
    <row r="448" spans="1:43" ht="12.3" x14ac:dyDescent="0.4">
      <c r="A448" s="1" t="s">
        <v>309</v>
      </c>
      <c r="B448" s="1"/>
      <c r="C448" s="1" t="s">
        <v>33</v>
      </c>
      <c r="D448" s="5" t="s">
        <v>7</v>
      </c>
      <c r="E448" s="5" t="s">
        <v>463</v>
      </c>
      <c r="F448" s="4" t="s">
        <v>465</v>
      </c>
      <c r="G448" s="4" t="s">
        <v>465</v>
      </c>
      <c r="I448" s="1" t="s">
        <v>16</v>
      </c>
      <c r="J448" s="1" t="s">
        <v>10</v>
      </c>
      <c r="K448" s="4" t="s">
        <v>464</v>
      </c>
      <c r="L448" s="1" t="s">
        <v>37</v>
      </c>
      <c r="M448" s="1"/>
      <c r="O448" s="1"/>
      <c r="P448" s="1"/>
      <c r="Q448" s="1"/>
      <c r="S448" s="2"/>
      <c r="T448" s="1"/>
      <c r="U448" s="2"/>
      <c r="V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 t="s">
        <v>15</v>
      </c>
      <c r="AN448" s="1" t="s">
        <v>20</v>
      </c>
      <c r="AO448" s="1">
        <v>424</v>
      </c>
      <c r="AP448" s="3">
        <v>0.70666666666666667</v>
      </c>
      <c r="AQ448" s="1"/>
    </row>
    <row r="449" spans="1:43" ht="12.3" x14ac:dyDescent="0.4">
      <c r="A449" s="1" t="s">
        <v>310</v>
      </c>
      <c r="B449" s="1"/>
      <c r="C449" s="1" t="s">
        <v>33</v>
      </c>
      <c r="D449" s="5" t="s">
        <v>7</v>
      </c>
      <c r="E449" s="5" t="s">
        <v>463</v>
      </c>
      <c r="F449" s="4" t="s">
        <v>465</v>
      </c>
      <c r="G449" s="4" t="s">
        <v>465</v>
      </c>
      <c r="I449" s="1" t="s">
        <v>16</v>
      </c>
      <c r="J449" s="1" t="s">
        <v>10</v>
      </c>
      <c r="K449" s="4" t="s">
        <v>464</v>
      </c>
      <c r="L449" s="1" t="s">
        <v>39</v>
      </c>
      <c r="M449" s="1"/>
      <c r="O449" s="1"/>
      <c r="P449" s="1"/>
      <c r="Q449" s="1"/>
      <c r="S449" s="2"/>
      <c r="T449" s="1"/>
      <c r="U449" s="2"/>
      <c r="V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 t="s">
        <v>12</v>
      </c>
      <c r="AN449" s="1" t="s">
        <v>20</v>
      </c>
      <c r="AO449" s="1">
        <v>347</v>
      </c>
      <c r="AP449" s="3">
        <v>0.57833333333333337</v>
      </c>
      <c r="AQ449" s="1"/>
    </row>
    <row r="450" spans="1:43" ht="12.3" x14ac:dyDescent="0.4">
      <c r="A450" s="1" t="s">
        <v>310</v>
      </c>
      <c r="B450" s="1"/>
      <c r="C450" s="1" t="s">
        <v>33</v>
      </c>
      <c r="D450" s="5" t="s">
        <v>7</v>
      </c>
      <c r="E450" s="5" t="s">
        <v>463</v>
      </c>
      <c r="F450" s="4" t="s">
        <v>465</v>
      </c>
      <c r="G450" s="4" t="s">
        <v>465</v>
      </c>
      <c r="I450" s="1" t="s">
        <v>8</v>
      </c>
      <c r="J450" s="1" t="s">
        <v>9</v>
      </c>
      <c r="K450" s="4" t="s">
        <v>464</v>
      </c>
      <c r="L450" s="1" t="s">
        <v>39</v>
      </c>
      <c r="M450" s="1"/>
      <c r="O450" s="1"/>
      <c r="P450" s="1"/>
      <c r="Q450" s="1"/>
      <c r="S450" s="2"/>
      <c r="T450" s="1"/>
      <c r="U450" s="2"/>
      <c r="V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 t="s">
        <v>15</v>
      </c>
      <c r="AN450" s="1" t="s">
        <v>18</v>
      </c>
      <c r="AO450" s="1">
        <v>387</v>
      </c>
      <c r="AP450" s="3">
        <v>0.64500000000000002</v>
      </c>
      <c r="AQ450" s="1"/>
    </row>
    <row r="451" spans="1:43" ht="12.3" x14ac:dyDescent="0.4">
      <c r="A451" s="1" t="s">
        <v>311</v>
      </c>
      <c r="B451" s="1"/>
      <c r="C451" s="1" t="s">
        <v>33</v>
      </c>
      <c r="D451" s="5" t="s">
        <v>7</v>
      </c>
      <c r="E451" s="5" t="s">
        <v>463</v>
      </c>
      <c r="F451" s="4" t="s">
        <v>465</v>
      </c>
      <c r="G451" s="4" t="s">
        <v>465</v>
      </c>
      <c r="I451" s="1" t="s">
        <v>8</v>
      </c>
      <c r="J451" s="1" t="s">
        <v>9</v>
      </c>
      <c r="K451" s="4" t="s">
        <v>464</v>
      </c>
      <c r="L451" s="1" t="s">
        <v>41</v>
      </c>
      <c r="M451" s="1"/>
      <c r="O451" s="1"/>
      <c r="P451" s="1"/>
      <c r="Q451" s="1"/>
      <c r="S451" s="2"/>
      <c r="T451" s="1"/>
      <c r="U451" s="2"/>
      <c r="V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 t="s">
        <v>12</v>
      </c>
      <c r="AN451" s="1" t="s">
        <v>13</v>
      </c>
      <c r="AO451" s="1">
        <v>302</v>
      </c>
      <c r="AP451" s="3">
        <v>0.5033333333333333</v>
      </c>
      <c r="AQ451" s="1"/>
    </row>
    <row r="452" spans="1:43" ht="12.3" x14ac:dyDescent="0.4">
      <c r="A452" s="1" t="s">
        <v>311</v>
      </c>
      <c r="B452" s="1"/>
      <c r="C452" s="1" t="s">
        <v>33</v>
      </c>
      <c r="D452" s="5" t="s">
        <v>7</v>
      </c>
      <c r="E452" s="5" t="s">
        <v>463</v>
      </c>
      <c r="F452" s="4" t="s">
        <v>465</v>
      </c>
      <c r="G452" s="4" t="s">
        <v>465</v>
      </c>
      <c r="I452" s="1" t="s">
        <v>16</v>
      </c>
      <c r="J452" s="1" t="s">
        <v>10</v>
      </c>
      <c r="K452" s="4" t="s">
        <v>464</v>
      </c>
      <c r="L452" s="1" t="s">
        <v>41</v>
      </c>
      <c r="M452" s="1"/>
      <c r="O452" s="1"/>
      <c r="P452" s="1"/>
      <c r="Q452" s="1"/>
      <c r="S452" s="2"/>
      <c r="T452" s="1"/>
      <c r="U452" s="1"/>
      <c r="V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 t="s">
        <v>15</v>
      </c>
      <c r="AN452" s="1" t="s">
        <v>20</v>
      </c>
      <c r="AO452" s="1">
        <v>393</v>
      </c>
      <c r="AP452" s="3">
        <v>0.65500000000000003</v>
      </c>
      <c r="AQ452" s="1"/>
    </row>
    <row r="453" spans="1:43" ht="12.3" x14ac:dyDescent="0.4">
      <c r="A453" s="1" t="s">
        <v>312</v>
      </c>
      <c r="B453" s="1"/>
      <c r="C453" s="1" t="s">
        <v>33</v>
      </c>
      <c r="D453" s="5" t="s">
        <v>7</v>
      </c>
      <c r="E453" s="5" t="s">
        <v>463</v>
      </c>
      <c r="F453" s="4" t="s">
        <v>465</v>
      </c>
      <c r="G453" s="4" t="s">
        <v>465</v>
      </c>
      <c r="I453" s="1" t="s">
        <v>16</v>
      </c>
      <c r="J453" s="1" t="s">
        <v>10</v>
      </c>
      <c r="K453" s="4" t="s">
        <v>464</v>
      </c>
      <c r="L453" s="1" t="s">
        <v>37</v>
      </c>
      <c r="M453" s="1"/>
      <c r="O453" s="1"/>
      <c r="P453" s="1"/>
      <c r="Q453" s="1"/>
      <c r="S453" s="2"/>
      <c r="T453" s="1"/>
      <c r="U453" s="1"/>
      <c r="V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 t="s">
        <v>12</v>
      </c>
      <c r="AN453" s="1" t="s">
        <v>20</v>
      </c>
      <c r="AO453" s="1">
        <v>376</v>
      </c>
      <c r="AP453" s="3">
        <v>0.62666666666666671</v>
      </c>
      <c r="AQ453" s="1"/>
    </row>
    <row r="454" spans="1:43" ht="12.3" x14ac:dyDescent="0.4">
      <c r="A454" s="1" t="s">
        <v>312</v>
      </c>
      <c r="B454" s="1"/>
      <c r="C454" s="1" t="s">
        <v>33</v>
      </c>
      <c r="D454" s="5" t="s">
        <v>7</v>
      </c>
      <c r="E454" s="5" t="s">
        <v>463</v>
      </c>
      <c r="F454" s="4" t="s">
        <v>465</v>
      </c>
      <c r="G454" s="4" t="s">
        <v>465</v>
      </c>
      <c r="I454" s="1" t="s">
        <v>16</v>
      </c>
      <c r="J454" s="1" t="s">
        <v>10</v>
      </c>
      <c r="K454" s="4" t="s">
        <v>464</v>
      </c>
      <c r="L454" s="1" t="s">
        <v>37</v>
      </c>
      <c r="M454" s="1"/>
      <c r="O454" s="1"/>
      <c r="P454" s="1"/>
      <c r="Q454" s="1"/>
      <c r="S454" s="2"/>
      <c r="T454" s="1"/>
      <c r="U454" s="2"/>
      <c r="V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 t="s">
        <v>15</v>
      </c>
      <c r="AN454" s="1" t="s">
        <v>20</v>
      </c>
      <c r="AO454" s="1">
        <v>411</v>
      </c>
      <c r="AP454" s="3">
        <v>0.68500000000000005</v>
      </c>
      <c r="AQ454" s="1"/>
    </row>
    <row r="455" spans="1:43" ht="12.3" x14ac:dyDescent="0.4">
      <c r="A455" s="1" t="s">
        <v>313</v>
      </c>
      <c r="B455" s="1"/>
      <c r="C455" s="1" t="s">
        <v>33</v>
      </c>
      <c r="D455" s="5" t="s">
        <v>7</v>
      </c>
      <c r="E455" s="5" t="s">
        <v>463</v>
      </c>
      <c r="F455" s="4" t="s">
        <v>465</v>
      </c>
      <c r="G455" s="4" t="s">
        <v>465</v>
      </c>
      <c r="I455" s="1" t="s">
        <v>16</v>
      </c>
      <c r="J455" s="1" t="s">
        <v>10</v>
      </c>
      <c r="K455" s="4" t="s">
        <v>464</v>
      </c>
      <c r="L455" s="1" t="s">
        <v>44</v>
      </c>
      <c r="M455" s="1"/>
      <c r="O455" s="1"/>
      <c r="P455" s="1"/>
      <c r="Q455" s="1"/>
      <c r="S455" s="2"/>
      <c r="T455" s="1"/>
      <c r="U455" s="2"/>
      <c r="V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 t="s">
        <v>12</v>
      </c>
      <c r="AN455" s="1" t="s">
        <v>13</v>
      </c>
      <c r="AO455" s="1">
        <v>305</v>
      </c>
      <c r="AP455" s="3">
        <v>0.5083333333333333</v>
      </c>
      <c r="AQ455" s="1"/>
    </row>
    <row r="456" spans="1:43" ht="12.3" x14ac:dyDescent="0.4">
      <c r="A456" s="1" t="s">
        <v>313</v>
      </c>
      <c r="B456" s="1"/>
      <c r="C456" s="1" t="s">
        <v>33</v>
      </c>
      <c r="D456" s="5" t="s">
        <v>7</v>
      </c>
      <c r="E456" s="5" t="s">
        <v>463</v>
      </c>
      <c r="F456" s="4" t="s">
        <v>465</v>
      </c>
      <c r="G456" s="4" t="s">
        <v>465</v>
      </c>
      <c r="I456" s="1" t="s">
        <v>16</v>
      </c>
      <c r="J456" s="1" t="s">
        <v>10</v>
      </c>
      <c r="K456" s="4" t="s">
        <v>464</v>
      </c>
      <c r="L456" s="1" t="s">
        <v>44</v>
      </c>
      <c r="M456" s="1"/>
      <c r="O456" s="1"/>
      <c r="P456" s="1"/>
      <c r="Q456" s="1"/>
      <c r="S456" s="2"/>
      <c r="T456" s="1"/>
      <c r="U456" s="1"/>
      <c r="V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 t="s">
        <v>15</v>
      </c>
      <c r="AN456" s="1" t="s">
        <v>20</v>
      </c>
      <c r="AO456" s="1">
        <v>400</v>
      </c>
      <c r="AP456" s="3">
        <v>0.66666666666666663</v>
      </c>
      <c r="AQ456" s="1"/>
    </row>
    <row r="457" spans="1:43" ht="12.3" x14ac:dyDescent="0.4">
      <c r="A457" s="1" t="s">
        <v>314</v>
      </c>
      <c r="B457" s="1"/>
      <c r="C457" s="1" t="s">
        <v>33</v>
      </c>
      <c r="D457" s="5" t="s">
        <v>7</v>
      </c>
      <c r="E457" s="5" t="s">
        <v>463</v>
      </c>
      <c r="F457" s="4" t="s">
        <v>465</v>
      </c>
      <c r="G457" s="4" t="s">
        <v>465</v>
      </c>
      <c r="I457" s="1" t="s">
        <v>16</v>
      </c>
      <c r="J457" s="1" t="s">
        <v>10</v>
      </c>
      <c r="K457" s="4" t="s">
        <v>464</v>
      </c>
      <c r="L457" s="1" t="s">
        <v>38</v>
      </c>
      <c r="M457" s="1"/>
      <c r="O457" s="1"/>
      <c r="P457" s="1"/>
      <c r="Q457" s="1"/>
      <c r="S457" s="2"/>
      <c r="T457" s="1"/>
      <c r="U457" s="1"/>
      <c r="V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 t="s">
        <v>12</v>
      </c>
      <c r="AN457" s="1" t="s">
        <v>13</v>
      </c>
      <c r="AO457" s="1">
        <v>286</v>
      </c>
      <c r="AP457" s="3">
        <v>0.47666666666666668</v>
      </c>
      <c r="AQ457" s="1"/>
    </row>
    <row r="458" spans="1:43" ht="12.3" x14ac:dyDescent="0.4">
      <c r="A458" s="1" t="s">
        <v>314</v>
      </c>
      <c r="B458" s="1"/>
      <c r="C458" s="1" t="s">
        <v>33</v>
      </c>
      <c r="D458" s="5" t="s">
        <v>7</v>
      </c>
      <c r="E458" s="5" t="s">
        <v>463</v>
      </c>
      <c r="F458" s="4" t="s">
        <v>465</v>
      </c>
      <c r="G458" s="4" t="s">
        <v>465</v>
      </c>
      <c r="I458" s="1" t="s">
        <v>16</v>
      </c>
      <c r="J458" s="1" t="s">
        <v>10</v>
      </c>
      <c r="K458" s="4" t="s">
        <v>464</v>
      </c>
      <c r="L458" s="1" t="s">
        <v>38</v>
      </c>
      <c r="M458" s="1"/>
      <c r="O458" s="1"/>
      <c r="P458" s="1"/>
      <c r="Q458" s="1"/>
      <c r="S458" s="2"/>
      <c r="T458" s="1"/>
      <c r="U458" s="2"/>
      <c r="V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 t="s">
        <v>15</v>
      </c>
      <c r="AN458" s="1" t="s">
        <v>14</v>
      </c>
      <c r="AO458" s="1">
        <v>343</v>
      </c>
      <c r="AP458" s="3">
        <v>0.57166666666666666</v>
      </c>
      <c r="AQ458" s="1"/>
    </row>
    <row r="459" spans="1:43" ht="12.3" x14ac:dyDescent="0.4">
      <c r="A459" s="1" t="s">
        <v>315</v>
      </c>
      <c r="B459" s="1"/>
      <c r="C459" s="1" t="s">
        <v>33</v>
      </c>
      <c r="D459" s="5" t="s">
        <v>7</v>
      </c>
      <c r="E459" s="5" t="s">
        <v>463</v>
      </c>
      <c r="F459" s="4" t="s">
        <v>465</v>
      </c>
      <c r="G459" s="4" t="s">
        <v>465</v>
      </c>
      <c r="I459" s="1" t="s">
        <v>16</v>
      </c>
      <c r="J459" s="1" t="s">
        <v>10</v>
      </c>
      <c r="K459" s="4" t="s">
        <v>464</v>
      </c>
      <c r="L459" s="1" t="s">
        <v>34</v>
      </c>
      <c r="M459" s="1"/>
      <c r="O459" s="1"/>
      <c r="P459" s="1"/>
      <c r="Q459" s="1"/>
      <c r="S459" s="2"/>
      <c r="T459" s="1"/>
      <c r="U459" s="2"/>
      <c r="V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 t="s">
        <v>12</v>
      </c>
      <c r="AN459" s="1" t="s">
        <v>14</v>
      </c>
      <c r="AO459" s="1">
        <v>272</v>
      </c>
      <c r="AP459" s="3">
        <v>0.45333333333333331</v>
      </c>
      <c r="AQ459" s="1"/>
    </row>
    <row r="460" spans="1:43" ht="12.3" x14ac:dyDescent="0.4">
      <c r="A460" s="1" t="s">
        <v>315</v>
      </c>
      <c r="B460" s="1"/>
      <c r="C460" s="1" t="s">
        <v>33</v>
      </c>
      <c r="D460" s="5" t="s">
        <v>7</v>
      </c>
      <c r="E460" s="5" t="s">
        <v>463</v>
      </c>
      <c r="F460" s="4" t="s">
        <v>465</v>
      </c>
      <c r="G460" s="4" t="s">
        <v>465</v>
      </c>
      <c r="I460" s="1" t="s">
        <v>8</v>
      </c>
      <c r="J460" s="1" t="s">
        <v>9</v>
      </c>
      <c r="K460" s="4" t="s">
        <v>464</v>
      </c>
      <c r="L460" s="1" t="s">
        <v>34</v>
      </c>
      <c r="M460" s="1"/>
      <c r="O460" s="1"/>
      <c r="P460" s="1"/>
      <c r="Q460" s="1"/>
      <c r="S460" s="1"/>
      <c r="T460" s="1"/>
      <c r="U460" s="1"/>
      <c r="V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 t="s">
        <v>15</v>
      </c>
      <c r="AN460" s="1" t="s">
        <v>14</v>
      </c>
      <c r="AO460" s="1">
        <v>338</v>
      </c>
      <c r="AP460" s="3">
        <v>0.56333333333333335</v>
      </c>
      <c r="AQ460" s="1"/>
    </row>
    <row r="461" spans="1:43" ht="12.3" x14ac:dyDescent="0.4">
      <c r="A461" s="1" t="s">
        <v>316</v>
      </c>
      <c r="B461" s="1"/>
      <c r="C461" s="1" t="s">
        <v>33</v>
      </c>
      <c r="D461" s="5" t="s">
        <v>7</v>
      </c>
      <c r="E461" s="5" t="s">
        <v>463</v>
      </c>
      <c r="F461" s="4" t="s">
        <v>465</v>
      </c>
      <c r="G461" s="4" t="s">
        <v>465</v>
      </c>
      <c r="I461" s="1" t="s">
        <v>8</v>
      </c>
      <c r="J461" s="1" t="s">
        <v>9</v>
      </c>
      <c r="K461" s="4" t="s">
        <v>464</v>
      </c>
      <c r="L461" s="1" t="s">
        <v>41</v>
      </c>
      <c r="M461" s="1"/>
      <c r="O461" s="1"/>
      <c r="P461" s="1"/>
      <c r="Q461" s="1"/>
      <c r="S461" s="1"/>
      <c r="T461" s="1"/>
      <c r="U461" s="1"/>
      <c r="V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 t="s">
        <v>12</v>
      </c>
      <c r="AN461" s="1" t="s">
        <v>14</v>
      </c>
      <c r="AO461" s="1">
        <v>269</v>
      </c>
      <c r="AP461" s="3">
        <v>0.44833333333333331</v>
      </c>
      <c r="AQ461" s="1"/>
    </row>
    <row r="462" spans="1:43" ht="12.3" x14ac:dyDescent="0.4">
      <c r="A462" s="1" t="s">
        <v>316</v>
      </c>
      <c r="B462" s="1"/>
      <c r="C462" s="1" t="s">
        <v>33</v>
      </c>
      <c r="D462" s="5" t="s">
        <v>7</v>
      </c>
      <c r="E462" s="5" t="s">
        <v>463</v>
      </c>
      <c r="F462" s="4" t="s">
        <v>465</v>
      </c>
      <c r="G462" s="4" t="s">
        <v>465</v>
      </c>
      <c r="I462" s="1" t="s">
        <v>8</v>
      </c>
      <c r="J462" s="1" t="s">
        <v>9</v>
      </c>
      <c r="K462" s="4" t="s">
        <v>464</v>
      </c>
      <c r="L462" s="1" t="s">
        <v>41</v>
      </c>
      <c r="M462" s="1"/>
      <c r="O462" s="1"/>
      <c r="P462" s="1"/>
      <c r="Q462" s="1"/>
      <c r="S462" s="2"/>
      <c r="T462" s="1"/>
      <c r="U462" s="2"/>
      <c r="V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 t="s">
        <v>15</v>
      </c>
      <c r="AN462" s="1" t="s">
        <v>18</v>
      </c>
      <c r="AO462" s="1">
        <v>375</v>
      </c>
      <c r="AP462" s="3">
        <v>0.625</v>
      </c>
      <c r="AQ462" s="1"/>
    </row>
    <row r="463" spans="1:43" ht="12.3" x14ac:dyDescent="0.4">
      <c r="A463" s="1" t="s">
        <v>317</v>
      </c>
      <c r="B463" s="1"/>
      <c r="C463" s="1" t="s">
        <v>33</v>
      </c>
      <c r="D463" s="5" t="s">
        <v>7</v>
      </c>
      <c r="E463" s="5" t="s">
        <v>463</v>
      </c>
      <c r="F463" s="4" t="s">
        <v>465</v>
      </c>
      <c r="G463" s="4" t="s">
        <v>465</v>
      </c>
      <c r="I463" s="1" t="s">
        <v>8</v>
      </c>
      <c r="J463" s="1" t="s">
        <v>9</v>
      </c>
      <c r="K463" s="4" t="s">
        <v>464</v>
      </c>
      <c r="L463" s="1" t="s">
        <v>40</v>
      </c>
      <c r="M463" s="1"/>
      <c r="O463" s="1"/>
      <c r="P463" s="1"/>
      <c r="Q463" s="1"/>
      <c r="S463" s="2"/>
      <c r="T463" s="1"/>
      <c r="U463" s="2"/>
      <c r="V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 t="s">
        <v>12</v>
      </c>
      <c r="AN463" s="1" t="s">
        <v>14</v>
      </c>
      <c r="AO463" s="1">
        <v>269</v>
      </c>
      <c r="AP463" s="3">
        <v>0.44833333333333331</v>
      </c>
      <c r="AQ463" s="1"/>
    </row>
    <row r="464" spans="1:43" ht="12.3" x14ac:dyDescent="0.4">
      <c r="A464" s="1" t="s">
        <v>317</v>
      </c>
      <c r="B464" s="1"/>
      <c r="C464" s="1" t="s">
        <v>33</v>
      </c>
      <c r="D464" s="5" t="s">
        <v>7</v>
      </c>
      <c r="E464" s="5" t="s">
        <v>463</v>
      </c>
      <c r="F464" s="4" t="s">
        <v>465</v>
      </c>
      <c r="G464" s="4" t="s">
        <v>465</v>
      </c>
      <c r="I464" s="1" t="s">
        <v>16</v>
      </c>
      <c r="J464" s="1" t="s">
        <v>10</v>
      </c>
      <c r="K464" s="4" t="s">
        <v>464</v>
      </c>
      <c r="L464" s="1" t="s">
        <v>40</v>
      </c>
      <c r="M464" s="1"/>
      <c r="O464" s="1"/>
      <c r="P464" s="1"/>
      <c r="Q464" s="1"/>
      <c r="S464" s="2"/>
      <c r="T464" s="1"/>
      <c r="U464" s="1"/>
      <c r="V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 t="s">
        <v>15</v>
      </c>
      <c r="AN464" s="1" t="s">
        <v>14</v>
      </c>
      <c r="AO464" s="1">
        <v>343</v>
      </c>
      <c r="AP464" s="3">
        <v>0.57166666666666666</v>
      </c>
      <c r="AQ464" s="1"/>
    </row>
    <row r="465" spans="1:43" ht="12.3" x14ac:dyDescent="0.4">
      <c r="A465" s="1" t="s">
        <v>318</v>
      </c>
      <c r="B465" s="1"/>
      <c r="C465" s="1" t="s">
        <v>33</v>
      </c>
      <c r="D465" s="5" t="s">
        <v>7</v>
      </c>
      <c r="E465" s="5" t="s">
        <v>463</v>
      </c>
      <c r="F465" s="4" t="s">
        <v>465</v>
      </c>
      <c r="G465" s="4" t="s">
        <v>465</v>
      </c>
      <c r="I465" s="1" t="s">
        <v>16</v>
      </c>
      <c r="J465" s="1" t="s">
        <v>10</v>
      </c>
      <c r="K465" s="4" t="s">
        <v>464</v>
      </c>
      <c r="L465" s="1" t="s">
        <v>35</v>
      </c>
      <c r="M465" s="1"/>
      <c r="O465" s="1"/>
      <c r="P465" s="1"/>
      <c r="Q465" s="1"/>
      <c r="S465" s="2"/>
      <c r="T465" s="1"/>
      <c r="U465" s="1"/>
      <c r="V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 t="s">
        <v>12</v>
      </c>
      <c r="AN465" s="1" t="s">
        <v>18</v>
      </c>
      <c r="AO465" s="1">
        <v>319</v>
      </c>
      <c r="AP465" s="3">
        <v>0.53166666666666662</v>
      </c>
      <c r="AQ465" s="1"/>
    </row>
    <row r="466" spans="1:43" ht="12.3" x14ac:dyDescent="0.4">
      <c r="A466" s="1" t="s">
        <v>318</v>
      </c>
      <c r="B466" s="1"/>
      <c r="C466" s="1" t="s">
        <v>33</v>
      </c>
      <c r="D466" s="5" t="s">
        <v>7</v>
      </c>
      <c r="E466" s="5" t="s">
        <v>463</v>
      </c>
      <c r="F466" s="4" t="s">
        <v>465</v>
      </c>
      <c r="G466" s="4" t="s">
        <v>465</v>
      </c>
      <c r="I466" s="1" t="s">
        <v>16</v>
      </c>
      <c r="J466" s="1" t="s">
        <v>10</v>
      </c>
      <c r="K466" s="4" t="s">
        <v>464</v>
      </c>
      <c r="L466" s="1" t="s">
        <v>35</v>
      </c>
      <c r="M466" s="1"/>
      <c r="O466" s="1"/>
      <c r="P466" s="1"/>
      <c r="Q466" s="1"/>
      <c r="S466" s="2"/>
      <c r="T466" s="1"/>
      <c r="U466" s="2"/>
      <c r="V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 t="s">
        <v>15</v>
      </c>
      <c r="AN466" s="1" t="s">
        <v>18</v>
      </c>
      <c r="AO466" s="1">
        <v>373</v>
      </c>
      <c r="AP466" s="3">
        <v>0.6216666666666667</v>
      </c>
      <c r="AQ466" s="1"/>
    </row>
    <row r="467" spans="1:43" ht="12.3" x14ac:dyDescent="0.4">
      <c r="A467" s="1" t="s">
        <v>319</v>
      </c>
      <c r="B467" s="1"/>
      <c r="C467" s="1" t="s">
        <v>33</v>
      </c>
      <c r="D467" s="5" t="s">
        <v>7</v>
      </c>
      <c r="E467" s="5" t="s">
        <v>463</v>
      </c>
      <c r="F467" s="4" t="s">
        <v>465</v>
      </c>
      <c r="G467" s="4" t="s">
        <v>465</v>
      </c>
      <c r="I467" s="1" t="s">
        <v>16</v>
      </c>
      <c r="J467" s="1" t="s">
        <v>10</v>
      </c>
      <c r="K467" s="4" t="s">
        <v>464</v>
      </c>
      <c r="L467" s="1" t="s">
        <v>38</v>
      </c>
      <c r="M467" s="1"/>
      <c r="O467" s="1"/>
      <c r="P467" s="1"/>
      <c r="Q467" s="1"/>
      <c r="S467" s="2"/>
      <c r="T467" s="1"/>
      <c r="U467" s="2"/>
      <c r="V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 t="s">
        <v>12</v>
      </c>
      <c r="AN467" s="1" t="s">
        <v>20</v>
      </c>
      <c r="AO467" s="1">
        <v>389</v>
      </c>
      <c r="AP467" s="3">
        <v>0.64833333333333332</v>
      </c>
      <c r="AQ467" s="1"/>
    </row>
    <row r="468" spans="1:43" ht="12.3" x14ac:dyDescent="0.4">
      <c r="A468" s="1" t="s">
        <v>319</v>
      </c>
      <c r="B468" s="1"/>
      <c r="C468" s="1" t="s">
        <v>33</v>
      </c>
      <c r="D468" s="5" t="s">
        <v>7</v>
      </c>
      <c r="E468" s="5" t="s">
        <v>463</v>
      </c>
      <c r="F468" s="4" t="s">
        <v>465</v>
      </c>
      <c r="G468" s="4" t="s">
        <v>465</v>
      </c>
      <c r="I468" s="1" t="s">
        <v>16</v>
      </c>
      <c r="J468" s="1" t="s">
        <v>10</v>
      </c>
      <c r="K468" s="4" t="s">
        <v>464</v>
      </c>
      <c r="L468" s="1" t="s">
        <v>38</v>
      </c>
      <c r="M468" s="1"/>
      <c r="O468" s="1"/>
      <c r="P468" s="1"/>
      <c r="Q468" s="1"/>
      <c r="S468" s="2"/>
      <c r="T468" s="1"/>
      <c r="U468" s="2"/>
      <c r="V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 t="s">
        <v>15</v>
      </c>
      <c r="AN468" s="1" t="s">
        <v>20</v>
      </c>
      <c r="AO468" s="1">
        <v>444</v>
      </c>
      <c r="AP468" s="3">
        <v>0.74</v>
      </c>
      <c r="AQ468" s="1"/>
    </row>
    <row r="469" spans="1:43" ht="12.3" x14ac:dyDescent="0.4">
      <c r="A469" s="1" t="s">
        <v>320</v>
      </c>
      <c r="B469" s="1"/>
      <c r="C469" s="1" t="s">
        <v>33</v>
      </c>
      <c r="D469" s="5" t="s">
        <v>7</v>
      </c>
      <c r="E469" s="5" t="s">
        <v>463</v>
      </c>
      <c r="F469" s="4" t="s">
        <v>465</v>
      </c>
      <c r="G469" s="4" t="s">
        <v>465</v>
      </c>
      <c r="I469" s="1" t="s">
        <v>16</v>
      </c>
      <c r="J469" s="1" t="s">
        <v>10</v>
      </c>
      <c r="K469" s="4" t="s">
        <v>464</v>
      </c>
      <c r="L469" s="1" t="s">
        <v>43</v>
      </c>
      <c r="M469" s="1"/>
      <c r="O469" s="1"/>
      <c r="P469" s="1"/>
      <c r="Q469" s="1"/>
      <c r="S469" s="2"/>
      <c r="T469" s="1"/>
      <c r="U469" s="2"/>
      <c r="V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 t="s">
        <v>12</v>
      </c>
      <c r="AN469" s="1" t="s">
        <v>13</v>
      </c>
      <c r="AO469" s="1">
        <v>300</v>
      </c>
      <c r="AP469" s="3">
        <v>0.5</v>
      </c>
      <c r="AQ469" s="1"/>
    </row>
    <row r="470" spans="1:43" ht="12.3" x14ac:dyDescent="0.4">
      <c r="A470" s="1" t="s">
        <v>320</v>
      </c>
      <c r="B470" s="1"/>
      <c r="C470" s="1" t="s">
        <v>33</v>
      </c>
      <c r="D470" s="5" t="s">
        <v>7</v>
      </c>
      <c r="E470" s="5" t="s">
        <v>463</v>
      </c>
      <c r="F470" s="4" t="s">
        <v>465</v>
      </c>
      <c r="G470" s="4" t="s">
        <v>465</v>
      </c>
      <c r="I470" s="1" t="s">
        <v>8</v>
      </c>
      <c r="J470" s="1" t="s">
        <v>9</v>
      </c>
      <c r="K470" s="4" t="s">
        <v>464</v>
      </c>
      <c r="L470" s="1" t="s">
        <v>43</v>
      </c>
      <c r="M470" s="1"/>
      <c r="O470" s="1"/>
      <c r="P470" s="1"/>
      <c r="Q470" s="1"/>
      <c r="S470" s="2"/>
      <c r="T470" s="1"/>
      <c r="U470" s="2"/>
      <c r="V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 t="s">
        <v>15</v>
      </c>
      <c r="AN470" s="1" t="s">
        <v>18</v>
      </c>
      <c r="AO470" s="1">
        <v>385</v>
      </c>
      <c r="AP470" s="3">
        <v>0.64166666666666672</v>
      </c>
      <c r="AQ470" s="1"/>
    </row>
    <row r="471" spans="1:43" ht="12.3" x14ac:dyDescent="0.4">
      <c r="A471" s="1" t="s">
        <v>321</v>
      </c>
      <c r="B471" s="1"/>
      <c r="C471" s="1" t="s">
        <v>33</v>
      </c>
      <c r="D471" s="5" t="s">
        <v>7</v>
      </c>
      <c r="E471" s="5" t="s">
        <v>463</v>
      </c>
      <c r="F471" s="4" t="s">
        <v>465</v>
      </c>
      <c r="G471" s="4" t="s">
        <v>465</v>
      </c>
      <c r="I471" s="1" t="s">
        <v>8</v>
      </c>
      <c r="J471" s="1" t="s">
        <v>9</v>
      </c>
      <c r="K471" s="4" t="s">
        <v>464</v>
      </c>
      <c r="L471" s="1" t="s">
        <v>40</v>
      </c>
      <c r="M471" s="1"/>
      <c r="O471" s="1"/>
      <c r="P471" s="1"/>
      <c r="Q471" s="1"/>
      <c r="S471" s="2"/>
      <c r="T471" s="1"/>
      <c r="U471" s="2"/>
      <c r="V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 t="s">
        <v>12</v>
      </c>
      <c r="AN471" s="1" t="s">
        <v>18</v>
      </c>
      <c r="AO471" s="1">
        <v>315</v>
      </c>
      <c r="AP471" s="3">
        <v>0.52500000000000002</v>
      </c>
      <c r="AQ471" s="1"/>
    </row>
    <row r="472" spans="1:43" ht="12.3" x14ac:dyDescent="0.4">
      <c r="A472" s="1" t="s">
        <v>321</v>
      </c>
      <c r="B472" s="1"/>
      <c r="C472" s="1" t="s">
        <v>33</v>
      </c>
      <c r="D472" s="5" t="s">
        <v>7</v>
      </c>
      <c r="E472" s="5" t="s">
        <v>463</v>
      </c>
      <c r="F472" s="4" t="s">
        <v>465</v>
      </c>
      <c r="G472" s="4" t="s">
        <v>465</v>
      </c>
      <c r="I472" s="1" t="s">
        <v>16</v>
      </c>
      <c r="J472" s="1" t="s">
        <v>10</v>
      </c>
      <c r="K472" s="4" t="s">
        <v>464</v>
      </c>
      <c r="L472" s="1" t="s">
        <v>40</v>
      </c>
      <c r="M472" s="1"/>
      <c r="O472" s="1"/>
      <c r="P472" s="1"/>
      <c r="Q472" s="1"/>
      <c r="S472" s="2"/>
      <c r="T472" s="1"/>
      <c r="U472" s="2"/>
      <c r="V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 t="s">
        <v>15</v>
      </c>
      <c r="AN472" s="1" t="s">
        <v>20</v>
      </c>
      <c r="AO472" s="1">
        <v>396</v>
      </c>
      <c r="AP472" s="3">
        <v>0.66</v>
      </c>
      <c r="AQ472" s="1"/>
    </row>
    <row r="473" spans="1:43" ht="12.3" x14ac:dyDescent="0.4">
      <c r="A473" s="1" t="s">
        <v>322</v>
      </c>
      <c r="B473" s="1"/>
      <c r="C473" s="1" t="s">
        <v>33</v>
      </c>
      <c r="D473" s="5" t="s">
        <v>7</v>
      </c>
      <c r="E473" s="5" t="s">
        <v>463</v>
      </c>
      <c r="F473" s="4" t="s">
        <v>465</v>
      </c>
      <c r="G473" s="4" t="s">
        <v>465</v>
      </c>
      <c r="I473" s="1" t="s">
        <v>16</v>
      </c>
      <c r="J473" s="1" t="s">
        <v>10</v>
      </c>
      <c r="K473" s="4" t="s">
        <v>464</v>
      </c>
      <c r="L473" s="1" t="s">
        <v>35</v>
      </c>
      <c r="M473" s="1"/>
      <c r="O473" s="1"/>
      <c r="P473" s="1"/>
      <c r="Q473" s="1"/>
      <c r="S473" s="2"/>
      <c r="T473" s="1"/>
      <c r="U473" s="2"/>
      <c r="V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 t="s">
        <v>12</v>
      </c>
      <c r="AN473" s="1" t="s">
        <v>14</v>
      </c>
      <c r="AO473" s="1">
        <v>247</v>
      </c>
      <c r="AP473" s="3">
        <v>0.41166666666666668</v>
      </c>
      <c r="AQ473" s="1"/>
    </row>
    <row r="474" spans="1:43" ht="12.3" x14ac:dyDescent="0.4">
      <c r="A474" s="1" t="s">
        <v>322</v>
      </c>
      <c r="B474" s="1"/>
      <c r="C474" s="1" t="s">
        <v>33</v>
      </c>
      <c r="D474" s="5" t="s">
        <v>7</v>
      </c>
      <c r="E474" s="5" t="s">
        <v>463</v>
      </c>
      <c r="F474" s="4" t="s">
        <v>465</v>
      </c>
      <c r="G474" s="4" t="s">
        <v>465</v>
      </c>
      <c r="I474" s="1" t="s">
        <v>8</v>
      </c>
      <c r="J474" s="1" t="s">
        <v>9</v>
      </c>
      <c r="K474" s="4" t="s">
        <v>464</v>
      </c>
      <c r="L474" s="1" t="s">
        <v>35</v>
      </c>
      <c r="M474" s="1"/>
      <c r="O474" s="1"/>
      <c r="P474" s="1"/>
      <c r="Q474" s="1"/>
      <c r="S474" s="2"/>
      <c r="T474" s="1"/>
      <c r="U474" s="1"/>
      <c r="V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 t="s">
        <v>15</v>
      </c>
      <c r="AN474" s="1" t="s">
        <v>14</v>
      </c>
      <c r="AO474" s="1">
        <v>327</v>
      </c>
      <c r="AP474" s="3">
        <v>0.54500000000000004</v>
      </c>
      <c r="AQ474" s="1"/>
    </row>
    <row r="475" spans="1:43" ht="12.3" x14ac:dyDescent="0.4">
      <c r="A475" s="1" t="s">
        <v>323</v>
      </c>
      <c r="B475" s="1"/>
      <c r="C475" s="1" t="s">
        <v>33</v>
      </c>
      <c r="D475" s="5" t="s">
        <v>7</v>
      </c>
      <c r="E475" s="5" t="s">
        <v>463</v>
      </c>
      <c r="F475" s="4" t="s">
        <v>465</v>
      </c>
      <c r="G475" s="4" t="s">
        <v>465</v>
      </c>
      <c r="I475" s="1" t="s">
        <v>8</v>
      </c>
      <c r="J475" s="1" t="s">
        <v>9</v>
      </c>
      <c r="K475" s="4" t="s">
        <v>464</v>
      </c>
      <c r="L475" s="1" t="s">
        <v>36</v>
      </c>
      <c r="M475" s="1"/>
      <c r="O475" s="1"/>
      <c r="P475" s="1"/>
      <c r="Q475" s="1"/>
      <c r="S475" s="2"/>
      <c r="T475" s="1"/>
      <c r="U475" s="1"/>
      <c r="V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 t="s">
        <v>15</v>
      </c>
      <c r="AN475" s="1" t="s">
        <v>14</v>
      </c>
      <c r="AO475" s="1">
        <v>352</v>
      </c>
      <c r="AP475" s="3">
        <v>0.58666666666666667</v>
      </c>
      <c r="AQ475" s="1"/>
    </row>
    <row r="476" spans="1:43" ht="12.3" x14ac:dyDescent="0.4">
      <c r="A476" s="1" t="s">
        <v>324</v>
      </c>
      <c r="B476" s="1"/>
      <c r="C476" s="1" t="s">
        <v>33</v>
      </c>
      <c r="D476" s="5" t="s">
        <v>7</v>
      </c>
      <c r="E476" s="5" t="s">
        <v>463</v>
      </c>
      <c r="F476" s="4" t="s">
        <v>465</v>
      </c>
      <c r="G476" s="4" t="s">
        <v>465</v>
      </c>
      <c r="I476" s="1" t="s">
        <v>16</v>
      </c>
      <c r="J476" s="1" t="s">
        <v>10</v>
      </c>
      <c r="K476" s="4" t="s">
        <v>464</v>
      </c>
      <c r="O476" s="1"/>
      <c r="P476" s="1"/>
      <c r="Q476" s="1"/>
      <c r="S476" s="2"/>
      <c r="T476" s="1"/>
      <c r="U476" s="1"/>
      <c r="V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 t="s">
        <v>12</v>
      </c>
      <c r="AN476" s="1" t="s">
        <v>14</v>
      </c>
      <c r="AO476" s="1">
        <v>268</v>
      </c>
      <c r="AP476" s="3">
        <v>0.44666666666666666</v>
      </c>
      <c r="AQ476" s="1"/>
    </row>
    <row r="477" spans="1:43" ht="12.3" x14ac:dyDescent="0.4">
      <c r="A477" s="1" t="s">
        <v>325</v>
      </c>
      <c r="B477" s="1"/>
      <c r="C477" s="1" t="s">
        <v>33</v>
      </c>
      <c r="D477" s="5" t="s">
        <v>7</v>
      </c>
      <c r="E477" s="5" t="s">
        <v>463</v>
      </c>
      <c r="F477" s="4" t="s">
        <v>465</v>
      </c>
      <c r="G477" s="4" t="s">
        <v>465</v>
      </c>
      <c r="I477" s="1" t="s">
        <v>16</v>
      </c>
      <c r="J477" s="1" t="s">
        <v>9</v>
      </c>
      <c r="K477" s="4" t="s">
        <v>464</v>
      </c>
      <c r="O477" s="1"/>
      <c r="P477" s="1"/>
      <c r="Q477" s="1"/>
      <c r="S477" s="2"/>
      <c r="T477" s="1"/>
      <c r="U477" s="1"/>
      <c r="V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 t="s">
        <v>12</v>
      </c>
      <c r="AN477" s="1" t="s">
        <v>20</v>
      </c>
      <c r="AO477" s="1">
        <v>431</v>
      </c>
      <c r="AP477" s="3">
        <v>0.71833333333333338</v>
      </c>
      <c r="AQ477" s="1"/>
    </row>
    <row r="478" spans="1:43" ht="12.3" x14ac:dyDescent="0.4">
      <c r="A478" s="1" t="s">
        <v>326</v>
      </c>
      <c r="B478" s="1"/>
      <c r="C478" s="1" t="s">
        <v>33</v>
      </c>
      <c r="D478" s="5" t="s">
        <v>7</v>
      </c>
      <c r="E478" s="5" t="s">
        <v>463</v>
      </c>
      <c r="F478" s="4" t="s">
        <v>465</v>
      </c>
      <c r="G478" s="4" t="s">
        <v>465</v>
      </c>
      <c r="I478" s="1" t="s">
        <v>8</v>
      </c>
      <c r="J478" s="1" t="s">
        <v>9</v>
      </c>
      <c r="K478" s="4" t="s">
        <v>464</v>
      </c>
      <c r="L478" s="1" t="s">
        <v>35</v>
      </c>
      <c r="M478" s="1"/>
      <c r="O478" s="1"/>
      <c r="P478" s="1"/>
      <c r="Q478" s="1"/>
      <c r="S478" s="2"/>
      <c r="T478" s="1"/>
      <c r="U478" s="1"/>
      <c r="V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 t="s">
        <v>12</v>
      </c>
      <c r="AN478" s="1" t="s">
        <v>20</v>
      </c>
      <c r="AO478" s="1">
        <v>350</v>
      </c>
      <c r="AP478" s="3">
        <v>0.58333333333333337</v>
      </c>
      <c r="AQ478" s="1"/>
    </row>
    <row r="479" spans="1:43" ht="12.3" x14ac:dyDescent="0.4">
      <c r="A479" s="1" t="s">
        <v>326</v>
      </c>
      <c r="B479" s="1"/>
      <c r="C479" s="1" t="s">
        <v>33</v>
      </c>
      <c r="D479" s="5" t="s">
        <v>7</v>
      </c>
      <c r="E479" s="5" t="s">
        <v>463</v>
      </c>
      <c r="F479" s="4" t="s">
        <v>465</v>
      </c>
      <c r="G479" s="4" t="s">
        <v>465</v>
      </c>
      <c r="I479" s="1" t="s">
        <v>8</v>
      </c>
      <c r="J479" s="1" t="s">
        <v>9</v>
      </c>
      <c r="K479" s="4" t="s">
        <v>464</v>
      </c>
      <c r="L479" s="1" t="s">
        <v>35</v>
      </c>
      <c r="M479" s="1"/>
      <c r="O479" s="1"/>
      <c r="P479" s="1"/>
      <c r="Q479" s="1"/>
      <c r="S479" s="2"/>
      <c r="T479" s="1"/>
      <c r="U479" s="1"/>
      <c r="V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 t="s">
        <v>15</v>
      </c>
      <c r="AN479" s="1" t="s">
        <v>18</v>
      </c>
      <c r="AO479" s="1">
        <v>381</v>
      </c>
      <c r="AP479" s="3">
        <v>0.63500000000000001</v>
      </c>
      <c r="AQ479" s="1"/>
    </row>
    <row r="480" spans="1:43" ht="12.3" x14ac:dyDescent="0.4">
      <c r="A480" s="1" t="s">
        <v>327</v>
      </c>
      <c r="B480" s="1"/>
      <c r="C480" s="1" t="s">
        <v>33</v>
      </c>
      <c r="D480" s="5" t="s">
        <v>7</v>
      </c>
      <c r="E480" s="5" t="s">
        <v>463</v>
      </c>
      <c r="F480" s="4" t="s">
        <v>465</v>
      </c>
      <c r="G480" s="4" t="s">
        <v>465</v>
      </c>
      <c r="I480" s="1" t="s">
        <v>8</v>
      </c>
      <c r="J480" s="1" t="s">
        <v>9</v>
      </c>
      <c r="K480" s="4" t="s">
        <v>464</v>
      </c>
      <c r="L480" s="1" t="s">
        <v>41</v>
      </c>
      <c r="M480" s="1"/>
      <c r="O480" s="1"/>
      <c r="P480" s="1"/>
      <c r="Q480" s="1"/>
      <c r="S480" s="2"/>
      <c r="T480" s="1"/>
      <c r="U480" s="1"/>
      <c r="V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 t="s">
        <v>12</v>
      </c>
      <c r="AN480" s="1" t="s">
        <v>20</v>
      </c>
      <c r="AO480" s="1">
        <v>385</v>
      </c>
      <c r="AP480" s="3">
        <v>0.64166666666666672</v>
      </c>
      <c r="AQ480" s="1"/>
    </row>
    <row r="481" spans="1:43" ht="12.3" x14ac:dyDescent="0.4">
      <c r="A481" s="1" t="s">
        <v>327</v>
      </c>
      <c r="B481" s="1"/>
      <c r="C481" s="1" t="s">
        <v>33</v>
      </c>
      <c r="D481" s="5" t="s">
        <v>7</v>
      </c>
      <c r="E481" s="5" t="s">
        <v>463</v>
      </c>
      <c r="F481" s="4" t="s">
        <v>465</v>
      </c>
      <c r="G481" s="4" t="s">
        <v>465</v>
      </c>
      <c r="I481" s="1" t="s">
        <v>8</v>
      </c>
      <c r="J481" s="1" t="s">
        <v>9</v>
      </c>
      <c r="K481" s="4" t="s">
        <v>464</v>
      </c>
      <c r="L481" s="1" t="s">
        <v>41</v>
      </c>
      <c r="M481" s="1"/>
      <c r="O481" s="1"/>
      <c r="P481" s="1"/>
      <c r="Q481" s="1"/>
      <c r="S481" s="2"/>
      <c r="T481" s="1"/>
      <c r="U481" s="2"/>
      <c r="V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 t="s">
        <v>15</v>
      </c>
      <c r="AN481" s="1" t="s">
        <v>20</v>
      </c>
      <c r="AO481" s="1">
        <v>404</v>
      </c>
      <c r="AP481" s="3">
        <v>0.67333333333333334</v>
      </c>
      <c r="AQ481" s="1"/>
    </row>
    <row r="482" spans="1:43" ht="12.3" x14ac:dyDescent="0.4">
      <c r="A482" s="1" t="s">
        <v>328</v>
      </c>
      <c r="B482" s="1"/>
      <c r="C482" s="1" t="s">
        <v>33</v>
      </c>
      <c r="D482" s="5" t="s">
        <v>7</v>
      </c>
      <c r="E482" s="5" t="s">
        <v>463</v>
      </c>
      <c r="F482" s="4" t="s">
        <v>465</v>
      </c>
      <c r="G482" s="4" t="s">
        <v>465</v>
      </c>
      <c r="I482" s="1" t="s">
        <v>8</v>
      </c>
      <c r="J482" s="1" t="s">
        <v>9</v>
      </c>
      <c r="K482" s="4" t="s">
        <v>464</v>
      </c>
      <c r="L482" s="1" t="s">
        <v>40</v>
      </c>
      <c r="M482" s="1"/>
      <c r="O482" s="1"/>
      <c r="P482" s="1"/>
      <c r="Q482" s="1"/>
      <c r="S482" s="2"/>
      <c r="T482" s="1"/>
      <c r="U482" s="2"/>
      <c r="V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 t="s">
        <v>12</v>
      </c>
      <c r="AN482" s="1" t="s">
        <v>14</v>
      </c>
      <c r="AO482" s="1">
        <v>258</v>
      </c>
      <c r="AP482" s="3">
        <v>0.43</v>
      </c>
      <c r="AQ482" s="1"/>
    </row>
    <row r="483" spans="1:43" ht="12.3" x14ac:dyDescent="0.4">
      <c r="A483" s="1" t="s">
        <v>328</v>
      </c>
      <c r="B483" s="1"/>
      <c r="C483" s="1" t="s">
        <v>33</v>
      </c>
      <c r="D483" s="5" t="s">
        <v>7</v>
      </c>
      <c r="E483" s="5" t="s">
        <v>463</v>
      </c>
      <c r="F483" s="4" t="s">
        <v>465</v>
      </c>
      <c r="G483" s="4" t="s">
        <v>465</v>
      </c>
      <c r="I483" s="1" t="s">
        <v>16</v>
      </c>
      <c r="J483" s="1" t="s">
        <v>10</v>
      </c>
      <c r="K483" s="4" t="s">
        <v>464</v>
      </c>
      <c r="L483" s="1" t="s">
        <v>40</v>
      </c>
      <c r="M483" s="1"/>
      <c r="O483" s="1"/>
      <c r="P483" s="1"/>
      <c r="Q483" s="1"/>
      <c r="S483" s="2"/>
      <c r="T483" s="1"/>
      <c r="U483" s="1"/>
      <c r="V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 t="s">
        <v>15</v>
      </c>
      <c r="AN483" s="1" t="s">
        <v>14</v>
      </c>
      <c r="AO483" s="1">
        <v>329</v>
      </c>
      <c r="AP483" s="3">
        <v>0.54833333333333334</v>
      </c>
      <c r="AQ483" s="1"/>
    </row>
    <row r="484" spans="1:43" ht="12.3" x14ac:dyDescent="0.4">
      <c r="A484" s="1" t="s">
        <v>329</v>
      </c>
      <c r="B484" s="1"/>
      <c r="C484" s="1" t="s">
        <v>33</v>
      </c>
      <c r="D484" s="5" t="s">
        <v>7</v>
      </c>
      <c r="E484" s="5" t="s">
        <v>463</v>
      </c>
      <c r="F484" s="4" t="s">
        <v>465</v>
      </c>
      <c r="G484" s="4" t="s">
        <v>465</v>
      </c>
      <c r="I484" s="1" t="s">
        <v>16</v>
      </c>
      <c r="J484" s="1" t="s">
        <v>10</v>
      </c>
      <c r="K484" s="4" t="s">
        <v>464</v>
      </c>
      <c r="L484" s="1" t="s">
        <v>44</v>
      </c>
      <c r="M484" s="1"/>
      <c r="O484" s="1"/>
      <c r="P484" s="1"/>
      <c r="Q484" s="1"/>
      <c r="S484" s="2"/>
      <c r="T484" s="1"/>
      <c r="U484" s="1"/>
      <c r="V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 t="s">
        <v>12</v>
      </c>
      <c r="AN484" s="1" t="s">
        <v>20</v>
      </c>
      <c r="AO484" s="1">
        <v>348</v>
      </c>
      <c r="AP484" s="3">
        <v>0.57999999999999996</v>
      </c>
      <c r="AQ484" s="1"/>
    </row>
    <row r="485" spans="1:43" ht="12.3" x14ac:dyDescent="0.4">
      <c r="A485" s="1" t="s">
        <v>329</v>
      </c>
      <c r="B485" s="1"/>
      <c r="C485" s="1" t="s">
        <v>33</v>
      </c>
      <c r="D485" s="5" t="s">
        <v>7</v>
      </c>
      <c r="E485" s="5" t="s">
        <v>463</v>
      </c>
      <c r="F485" s="4" t="s">
        <v>465</v>
      </c>
      <c r="G485" s="4" t="s">
        <v>465</v>
      </c>
      <c r="I485" s="1" t="s">
        <v>16</v>
      </c>
      <c r="J485" s="1" t="s">
        <v>10</v>
      </c>
      <c r="K485" s="4" t="s">
        <v>464</v>
      </c>
      <c r="L485" s="1" t="s">
        <v>44</v>
      </c>
      <c r="M485" s="1"/>
      <c r="O485" s="1"/>
      <c r="P485" s="1"/>
      <c r="Q485" s="1"/>
      <c r="S485" s="2"/>
      <c r="T485" s="1"/>
      <c r="U485" s="1"/>
      <c r="V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 t="s">
        <v>15</v>
      </c>
      <c r="AN485" s="1" t="s">
        <v>20</v>
      </c>
      <c r="AO485" s="1">
        <v>468</v>
      </c>
      <c r="AP485" s="3">
        <v>0.78</v>
      </c>
      <c r="AQ485" s="1"/>
    </row>
    <row r="486" spans="1:43" ht="12.3" x14ac:dyDescent="0.4">
      <c r="A486" s="1" t="s">
        <v>330</v>
      </c>
      <c r="B486" s="1"/>
      <c r="C486" s="1" t="s">
        <v>33</v>
      </c>
      <c r="D486" s="5" t="s">
        <v>7</v>
      </c>
      <c r="E486" s="5" t="s">
        <v>463</v>
      </c>
      <c r="F486" s="4" t="s">
        <v>465</v>
      </c>
      <c r="G486" s="4" t="s">
        <v>465</v>
      </c>
      <c r="I486" s="1" t="s">
        <v>16</v>
      </c>
      <c r="J486" s="1" t="s">
        <v>10</v>
      </c>
      <c r="K486" s="4" t="s">
        <v>464</v>
      </c>
      <c r="L486" s="1" t="s">
        <v>39</v>
      </c>
      <c r="M486" s="1"/>
      <c r="O486" s="1"/>
      <c r="P486" s="1"/>
      <c r="Q486" s="1"/>
      <c r="S486" s="2"/>
      <c r="T486" s="1"/>
      <c r="U486" s="1"/>
      <c r="V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 t="s">
        <v>12</v>
      </c>
      <c r="AN486" s="1" t="s">
        <v>14</v>
      </c>
      <c r="AO486" s="1">
        <v>249</v>
      </c>
      <c r="AP486" s="3">
        <v>0.41499999999999998</v>
      </c>
      <c r="AQ486" s="1"/>
    </row>
    <row r="487" spans="1:43" ht="12.3" x14ac:dyDescent="0.4">
      <c r="A487" s="1" t="s">
        <v>330</v>
      </c>
      <c r="B487" s="1"/>
      <c r="C487" s="1" t="s">
        <v>33</v>
      </c>
      <c r="D487" s="5" t="s">
        <v>7</v>
      </c>
      <c r="E487" s="5" t="s">
        <v>463</v>
      </c>
      <c r="F487" s="4" t="s">
        <v>465</v>
      </c>
      <c r="G487" s="4" t="s">
        <v>465</v>
      </c>
      <c r="I487" s="1" t="s">
        <v>8</v>
      </c>
      <c r="J487" s="1" t="s">
        <v>9</v>
      </c>
      <c r="K487" s="4" t="s">
        <v>464</v>
      </c>
      <c r="L487" s="1" t="s">
        <v>39</v>
      </c>
      <c r="M487" s="1"/>
      <c r="O487" s="1"/>
      <c r="P487" s="1"/>
      <c r="Q487" s="1"/>
      <c r="S487" s="2"/>
      <c r="T487" s="1"/>
      <c r="U487" s="2"/>
      <c r="V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 t="s">
        <v>15</v>
      </c>
      <c r="AN487" s="1" t="s">
        <v>14</v>
      </c>
      <c r="AO487" s="1">
        <v>327</v>
      </c>
      <c r="AP487" s="3">
        <v>0.54500000000000004</v>
      </c>
      <c r="AQ487" s="1"/>
    </row>
    <row r="488" spans="1:43" ht="12.3" x14ac:dyDescent="0.4">
      <c r="A488" s="1" t="s">
        <v>331</v>
      </c>
      <c r="B488" s="1"/>
      <c r="C488" s="1" t="s">
        <v>33</v>
      </c>
      <c r="D488" s="5" t="s">
        <v>7</v>
      </c>
      <c r="E488" s="5" t="s">
        <v>463</v>
      </c>
      <c r="F488" s="4" t="s">
        <v>465</v>
      </c>
      <c r="G488" s="4" t="s">
        <v>465</v>
      </c>
      <c r="I488" s="1" t="s">
        <v>8</v>
      </c>
      <c r="J488" s="1" t="s">
        <v>9</v>
      </c>
      <c r="K488" s="4" t="s">
        <v>464</v>
      </c>
      <c r="L488" s="1" t="s">
        <v>35</v>
      </c>
      <c r="M488" s="1"/>
      <c r="O488" s="1"/>
      <c r="P488" s="1"/>
      <c r="Q488" s="1"/>
      <c r="S488" s="2"/>
      <c r="T488" s="1"/>
      <c r="U488" s="2"/>
      <c r="V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 t="s">
        <v>12</v>
      </c>
      <c r="AN488" s="1" t="s">
        <v>14</v>
      </c>
      <c r="AO488" s="1">
        <v>248</v>
      </c>
      <c r="AP488" s="3">
        <v>0.41333333333333333</v>
      </c>
      <c r="AQ488" s="1"/>
    </row>
    <row r="489" spans="1:43" ht="12.3" x14ac:dyDescent="0.4">
      <c r="A489" s="1" t="s">
        <v>331</v>
      </c>
      <c r="B489" s="1"/>
      <c r="C489" s="1" t="s">
        <v>33</v>
      </c>
      <c r="D489" s="5" t="s">
        <v>7</v>
      </c>
      <c r="E489" s="5" t="s">
        <v>463</v>
      </c>
      <c r="F489" s="4" t="s">
        <v>465</v>
      </c>
      <c r="G489" s="4" t="s">
        <v>465</v>
      </c>
      <c r="I489" s="1" t="s">
        <v>8</v>
      </c>
      <c r="J489" s="1" t="s">
        <v>9</v>
      </c>
      <c r="K489" s="4" t="s">
        <v>464</v>
      </c>
      <c r="L489" s="1" t="s">
        <v>35</v>
      </c>
      <c r="M489" s="1"/>
      <c r="O489" s="1"/>
      <c r="P489" s="1"/>
      <c r="Q489" s="1"/>
      <c r="S489" s="2"/>
      <c r="T489" s="1"/>
      <c r="U489" s="2"/>
      <c r="V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 t="s">
        <v>15</v>
      </c>
      <c r="AN489" s="1" t="s">
        <v>14</v>
      </c>
      <c r="AO489" s="1">
        <v>324</v>
      </c>
      <c r="AP489" s="3">
        <v>0.54</v>
      </c>
      <c r="AQ489" s="1"/>
    </row>
    <row r="490" spans="1:43" ht="12.3" x14ac:dyDescent="0.4">
      <c r="A490" s="1" t="s">
        <v>332</v>
      </c>
      <c r="B490" s="1"/>
      <c r="C490" s="1" t="s">
        <v>33</v>
      </c>
      <c r="D490" s="5" t="s">
        <v>7</v>
      </c>
      <c r="E490" s="5" t="s">
        <v>463</v>
      </c>
      <c r="F490" s="4" t="s">
        <v>465</v>
      </c>
      <c r="G490" s="4" t="s">
        <v>465</v>
      </c>
      <c r="I490" s="1" t="s">
        <v>8</v>
      </c>
      <c r="J490" s="1" t="s">
        <v>9</v>
      </c>
      <c r="K490" s="4" t="s">
        <v>464</v>
      </c>
      <c r="L490" s="1" t="s">
        <v>34</v>
      </c>
      <c r="M490" s="1"/>
      <c r="O490" s="1"/>
      <c r="P490" s="1"/>
      <c r="Q490" s="1"/>
      <c r="S490" s="2"/>
      <c r="T490" s="1"/>
      <c r="U490" s="2"/>
      <c r="V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 t="s">
        <v>12</v>
      </c>
      <c r="AN490" s="1" t="s">
        <v>20</v>
      </c>
      <c r="AO490" s="1">
        <v>333</v>
      </c>
      <c r="AP490" s="3">
        <v>0.55500000000000005</v>
      </c>
      <c r="AQ490" s="1"/>
    </row>
    <row r="491" spans="1:43" ht="12.3" x14ac:dyDescent="0.4">
      <c r="A491" s="1" t="s">
        <v>332</v>
      </c>
      <c r="B491" s="1"/>
      <c r="C491" s="1" t="s">
        <v>33</v>
      </c>
      <c r="D491" s="5" t="s">
        <v>7</v>
      </c>
      <c r="E491" s="5" t="s">
        <v>463</v>
      </c>
      <c r="F491" s="4" t="s">
        <v>465</v>
      </c>
      <c r="G491" s="4" t="s">
        <v>465</v>
      </c>
      <c r="I491" s="1" t="s">
        <v>8</v>
      </c>
      <c r="J491" s="1" t="s">
        <v>9</v>
      </c>
      <c r="K491" s="4" t="s">
        <v>464</v>
      </c>
      <c r="L491" s="1" t="s">
        <v>34</v>
      </c>
      <c r="M491" s="1"/>
      <c r="O491" s="1"/>
      <c r="P491" s="1"/>
      <c r="Q491" s="1"/>
      <c r="S491" s="2"/>
      <c r="T491" s="1"/>
      <c r="U491" s="2"/>
      <c r="V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 t="s">
        <v>15</v>
      </c>
      <c r="AN491" s="1" t="s">
        <v>18</v>
      </c>
      <c r="AO491" s="1">
        <v>389</v>
      </c>
      <c r="AP491" s="3">
        <v>0.64833333333333332</v>
      </c>
      <c r="AQ491" s="1"/>
    </row>
    <row r="492" spans="1:43" ht="12.3" x14ac:dyDescent="0.4">
      <c r="A492" s="1" t="s">
        <v>333</v>
      </c>
      <c r="B492" s="1"/>
      <c r="C492" s="1" t="s">
        <v>33</v>
      </c>
      <c r="D492" s="5" t="s">
        <v>7</v>
      </c>
      <c r="E492" s="5" t="s">
        <v>463</v>
      </c>
      <c r="F492" s="4" t="s">
        <v>465</v>
      </c>
      <c r="G492" s="4" t="s">
        <v>465</v>
      </c>
      <c r="I492" s="1" t="s">
        <v>8</v>
      </c>
      <c r="J492" s="1" t="s">
        <v>9</v>
      </c>
      <c r="K492" s="4" t="s">
        <v>464</v>
      </c>
      <c r="L492" s="1" t="s">
        <v>43</v>
      </c>
      <c r="M492" s="1"/>
      <c r="O492" s="1"/>
      <c r="P492" s="1"/>
      <c r="Q492" s="1"/>
      <c r="S492" s="2"/>
      <c r="T492" s="1"/>
      <c r="U492" s="2"/>
      <c r="V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 t="s">
        <v>12</v>
      </c>
      <c r="AN492" s="1" t="s">
        <v>14</v>
      </c>
      <c r="AO492" s="1">
        <v>259</v>
      </c>
      <c r="AP492" s="3">
        <v>0.43166666666666664</v>
      </c>
      <c r="AQ492" s="1"/>
    </row>
    <row r="493" spans="1:43" ht="12.3" x14ac:dyDescent="0.4">
      <c r="A493" s="1" t="s">
        <v>333</v>
      </c>
      <c r="B493" s="1"/>
      <c r="C493" s="1" t="s">
        <v>33</v>
      </c>
      <c r="D493" s="5" t="s">
        <v>7</v>
      </c>
      <c r="E493" s="5" t="s">
        <v>463</v>
      </c>
      <c r="F493" s="4" t="s">
        <v>465</v>
      </c>
      <c r="G493" s="4" t="s">
        <v>465</v>
      </c>
      <c r="I493" s="1" t="s">
        <v>16</v>
      </c>
      <c r="J493" s="1" t="s">
        <v>10</v>
      </c>
      <c r="K493" s="4" t="s">
        <v>464</v>
      </c>
      <c r="L493" s="1" t="s">
        <v>43</v>
      </c>
      <c r="M493" s="1"/>
      <c r="O493" s="1"/>
      <c r="P493" s="1"/>
      <c r="Q493" s="1"/>
      <c r="S493" s="2"/>
      <c r="T493" s="1"/>
      <c r="U493" s="2"/>
      <c r="V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 t="s">
        <v>15</v>
      </c>
      <c r="AN493" s="1" t="s">
        <v>14</v>
      </c>
      <c r="AO493" s="1">
        <v>337</v>
      </c>
      <c r="AP493" s="3">
        <v>0.56166666666666665</v>
      </c>
      <c r="AQ493" s="1"/>
    </row>
    <row r="494" spans="1:43" ht="12.3" x14ac:dyDescent="0.4">
      <c r="A494" s="1" t="s">
        <v>334</v>
      </c>
      <c r="B494" s="1"/>
      <c r="C494" s="1" t="s">
        <v>33</v>
      </c>
      <c r="D494" s="5" t="s">
        <v>7</v>
      </c>
      <c r="E494" s="5" t="s">
        <v>463</v>
      </c>
      <c r="F494" s="4" t="s">
        <v>465</v>
      </c>
      <c r="G494" s="4" t="s">
        <v>465</v>
      </c>
      <c r="I494" s="1" t="s">
        <v>16</v>
      </c>
      <c r="J494" s="1" t="s">
        <v>10</v>
      </c>
      <c r="K494" s="4" t="s">
        <v>464</v>
      </c>
      <c r="L494" s="1" t="s">
        <v>39</v>
      </c>
      <c r="M494" s="1"/>
      <c r="O494" s="1"/>
      <c r="P494" s="1"/>
      <c r="Q494" s="1"/>
      <c r="S494" s="2"/>
      <c r="T494" s="1"/>
      <c r="U494" s="2"/>
      <c r="V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 t="s">
        <v>12</v>
      </c>
      <c r="AN494" s="1" t="s">
        <v>18</v>
      </c>
      <c r="AO494" s="1">
        <v>330</v>
      </c>
      <c r="AP494" s="3">
        <v>0.55000000000000004</v>
      </c>
      <c r="AQ494" s="1"/>
    </row>
    <row r="495" spans="1:43" ht="12.3" x14ac:dyDescent="0.4">
      <c r="A495" s="1" t="s">
        <v>334</v>
      </c>
      <c r="B495" s="1"/>
      <c r="C495" s="1" t="s">
        <v>33</v>
      </c>
      <c r="D495" s="5" t="s">
        <v>7</v>
      </c>
      <c r="E495" s="5" t="s">
        <v>463</v>
      </c>
      <c r="F495" s="4" t="s">
        <v>465</v>
      </c>
      <c r="G495" s="4" t="s">
        <v>465</v>
      </c>
      <c r="I495" s="1" t="s">
        <v>16</v>
      </c>
      <c r="J495" s="1" t="s">
        <v>10</v>
      </c>
      <c r="K495" s="4" t="s">
        <v>464</v>
      </c>
      <c r="L495" s="1" t="s">
        <v>39</v>
      </c>
      <c r="M495" s="1"/>
      <c r="O495" s="1"/>
      <c r="P495" s="1"/>
      <c r="Q495" s="1"/>
      <c r="S495" s="2"/>
      <c r="T495" s="1"/>
      <c r="U495" s="2"/>
      <c r="V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 t="s">
        <v>15</v>
      </c>
      <c r="AN495" s="1" t="s">
        <v>18</v>
      </c>
      <c r="AO495" s="1">
        <v>385</v>
      </c>
      <c r="AP495" s="3">
        <v>0.64166666666666672</v>
      </c>
      <c r="AQ495" s="1"/>
    </row>
    <row r="496" spans="1:43" ht="12.3" x14ac:dyDescent="0.4">
      <c r="A496" s="1" t="s">
        <v>335</v>
      </c>
      <c r="B496" s="1"/>
      <c r="C496" s="1" t="s">
        <v>33</v>
      </c>
      <c r="D496" s="5" t="s">
        <v>7</v>
      </c>
      <c r="E496" s="5" t="s">
        <v>463</v>
      </c>
      <c r="F496" s="4" t="s">
        <v>465</v>
      </c>
      <c r="G496" s="4" t="s">
        <v>465</v>
      </c>
      <c r="I496" s="1" t="s">
        <v>16</v>
      </c>
      <c r="J496" s="1" t="s">
        <v>10</v>
      </c>
      <c r="K496" s="4" t="s">
        <v>464</v>
      </c>
      <c r="L496" s="1" t="s">
        <v>35</v>
      </c>
      <c r="M496" s="1"/>
      <c r="O496" s="1"/>
      <c r="P496" s="1"/>
      <c r="Q496" s="1"/>
      <c r="S496" s="2"/>
      <c r="T496" s="1"/>
      <c r="U496" s="2"/>
      <c r="V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 t="s">
        <v>12</v>
      </c>
      <c r="AN496" s="1" t="s">
        <v>14</v>
      </c>
      <c r="AO496" s="1">
        <v>247</v>
      </c>
      <c r="AP496" s="3">
        <v>0.41166666666666668</v>
      </c>
      <c r="AQ496" s="1"/>
    </row>
    <row r="497" spans="1:43" ht="12.3" x14ac:dyDescent="0.4">
      <c r="A497" s="1" t="s">
        <v>335</v>
      </c>
      <c r="B497" s="1"/>
      <c r="C497" s="1" t="s">
        <v>33</v>
      </c>
      <c r="D497" s="5" t="s">
        <v>7</v>
      </c>
      <c r="E497" s="5" t="s">
        <v>463</v>
      </c>
      <c r="F497" s="4" t="s">
        <v>465</v>
      </c>
      <c r="G497" s="4" t="s">
        <v>465</v>
      </c>
      <c r="I497" s="1" t="s">
        <v>16</v>
      </c>
      <c r="J497" s="1" t="s">
        <v>10</v>
      </c>
      <c r="K497" s="4" t="s">
        <v>464</v>
      </c>
      <c r="L497" s="1" t="s">
        <v>35</v>
      </c>
      <c r="M497" s="1"/>
      <c r="O497" s="1"/>
      <c r="P497" s="1"/>
      <c r="Q497" s="1"/>
      <c r="S497" s="2"/>
      <c r="T497" s="1"/>
      <c r="U497" s="1"/>
      <c r="V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 t="s">
        <v>15</v>
      </c>
      <c r="AN497" s="1" t="s">
        <v>14</v>
      </c>
      <c r="AO497" s="1">
        <v>329</v>
      </c>
      <c r="AP497" s="3">
        <v>0.54833333333333334</v>
      </c>
      <c r="AQ497" s="1"/>
    </row>
    <row r="498" spans="1:43" ht="12.3" x14ac:dyDescent="0.4">
      <c r="A498" s="1" t="s">
        <v>336</v>
      </c>
      <c r="B498" s="1"/>
      <c r="C498" s="1" t="s">
        <v>33</v>
      </c>
      <c r="D498" s="5" t="s">
        <v>7</v>
      </c>
      <c r="E498" s="5" t="s">
        <v>463</v>
      </c>
      <c r="F498" s="4" t="s">
        <v>465</v>
      </c>
      <c r="G498" s="4" t="s">
        <v>465</v>
      </c>
      <c r="I498" s="1" t="s">
        <v>16</v>
      </c>
      <c r="J498" s="1" t="s">
        <v>10</v>
      </c>
      <c r="K498" s="4" t="s">
        <v>464</v>
      </c>
      <c r="L498" s="1" t="s">
        <v>34</v>
      </c>
      <c r="M498" s="1"/>
      <c r="O498" s="1"/>
      <c r="P498" s="1"/>
      <c r="Q498" s="1"/>
      <c r="S498" s="2"/>
      <c r="T498" s="1"/>
      <c r="U498" s="1"/>
      <c r="V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 t="s">
        <v>12</v>
      </c>
      <c r="AN498" s="1" t="s">
        <v>18</v>
      </c>
      <c r="AO498" s="1">
        <v>328</v>
      </c>
      <c r="AP498" s="3">
        <v>0.54666666666666663</v>
      </c>
      <c r="AQ498" s="1"/>
    </row>
    <row r="499" spans="1:43" ht="12.3" x14ac:dyDescent="0.4">
      <c r="A499" s="1" t="s">
        <v>336</v>
      </c>
      <c r="B499" s="1"/>
      <c r="C499" s="1" t="s">
        <v>33</v>
      </c>
      <c r="D499" s="5" t="s">
        <v>7</v>
      </c>
      <c r="E499" s="5" t="s">
        <v>463</v>
      </c>
      <c r="F499" s="4" t="s">
        <v>465</v>
      </c>
      <c r="G499" s="4" t="s">
        <v>465</v>
      </c>
      <c r="I499" s="1" t="s">
        <v>16</v>
      </c>
      <c r="J499" s="1" t="s">
        <v>10</v>
      </c>
      <c r="K499" s="4" t="s">
        <v>464</v>
      </c>
      <c r="L499" s="1" t="s">
        <v>34</v>
      </c>
      <c r="M499" s="1"/>
      <c r="O499" s="1"/>
      <c r="P499" s="1"/>
      <c r="Q499" s="1"/>
      <c r="S499" s="2"/>
      <c r="T499" s="1"/>
      <c r="U499" s="1"/>
      <c r="V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 t="s">
        <v>15</v>
      </c>
      <c r="AN499" s="1" t="s">
        <v>18</v>
      </c>
      <c r="AO499" s="1">
        <v>381</v>
      </c>
      <c r="AP499" s="3">
        <v>0.63500000000000001</v>
      </c>
      <c r="AQ499" s="1"/>
    </row>
    <row r="500" spans="1:43" ht="12.3" x14ac:dyDescent="0.4">
      <c r="A500" s="1" t="s">
        <v>337</v>
      </c>
      <c r="B500" s="1"/>
      <c r="C500" s="1" t="s">
        <v>33</v>
      </c>
      <c r="D500" s="5" t="s">
        <v>7</v>
      </c>
      <c r="E500" s="5" t="s">
        <v>463</v>
      </c>
      <c r="F500" s="4" t="s">
        <v>465</v>
      </c>
      <c r="G500" s="4" t="s">
        <v>465</v>
      </c>
      <c r="I500" s="1" t="s">
        <v>16</v>
      </c>
      <c r="J500" s="1" t="s">
        <v>10</v>
      </c>
      <c r="K500" s="4" t="s">
        <v>464</v>
      </c>
      <c r="L500" s="1" t="s">
        <v>34</v>
      </c>
      <c r="M500" s="1"/>
      <c r="O500" s="1"/>
      <c r="P500" s="1"/>
      <c r="Q500" s="1"/>
      <c r="S500" s="2"/>
      <c r="T500" s="1"/>
      <c r="U500" s="1"/>
      <c r="V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 t="s">
        <v>12</v>
      </c>
      <c r="AN500" s="1" t="s">
        <v>18</v>
      </c>
      <c r="AO500" s="1">
        <v>324</v>
      </c>
      <c r="AP500" s="3">
        <v>0.54</v>
      </c>
      <c r="AQ500" s="1"/>
    </row>
    <row r="501" spans="1:43" ht="12.3" x14ac:dyDescent="0.4">
      <c r="A501" s="1" t="s">
        <v>337</v>
      </c>
      <c r="B501" s="1"/>
      <c r="C501" s="1" t="s">
        <v>33</v>
      </c>
      <c r="D501" s="5" t="s">
        <v>7</v>
      </c>
      <c r="E501" s="5" t="s">
        <v>463</v>
      </c>
      <c r="F501" s="4" t="s">
        <v>465</v>
      </c>
      <c r="G501" s="4" t="s">
        <v>465</v>
      </c>
      <c r="I501" s="1" t="s">
        <v>8</v>
      </c>
      <c r="J501" s="1" t="s">
        <v>9</v>
      </c>
      <c r="K501" s="4" t="s">
        <v>464</v>
      </c>
      <c r="L501" s="1" t="s">
        <v>34</v>
      </c>
      <c r="M501" s="1"/>
      <c r="O501" s="1"/>
      <c r="P501" s="1"/>
      <c r="Q501" s="1"/>
      <c r="S501" s="2"/>
      <c r="T501" s="1"/>
      <c r="U501" s="1"/>
      <c r="V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 t="s">
        <v>15</v>
      </c>
      <c r="AN501" s="1" t="s">
        <v>18</v>
      </c>
      <c r="AO501" s="1">
        <v>390</v>
      </c>
      <c r="AP501" s="3">
        <v>0.65</v>
      </c>
      <c r="AQ501" s="1"/>
    </row>
    <row r="502" spans="1:43" ht="12.3" x14ac:dyDescent="0.4">
      <c r="A502" s="1" t="s">
        <v>338</v>
      </c>
      <c r="B502" s="1"/>
      <c r="C502" s="1" t="s">
        <v>33</v>
      </c>
      <c r="D502" s="5" t="s">
        <v>7</v>
      </c>
      <c r="E502" s="5" t="s">
        <v>463</v>
      </c>
      <c r="F502" s="4" t="s">
        <v>465</v>
      </c>
      <c r="G502" s="4" t="s">
        <v>465</v>
      </c>
      <c r="I502" s="1" t="s">
        <v>8</v>
      </c>
      <c r="J502" s="1" t="s">
        <v>9</v>
      </c>
      <c r="K502" s="4" t="s">
        <v>464</v>
      </c>
      <c r="L502" s="1" t="s">
        <v>36</v>
      </c>
      <c r="M502" s="1"/>
      <c r="O502" s="1"/>
      <c r="P502" s="1"/>
      <c r="Q502" s="1"/>
      <c r="S502" s="2"/>
      <c r="T502" s="1"/>
      <c r="U502" s="1"/>
      <c r="V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 t="s">
        <v>12</v>
      </c>
      <c r="AN502" s="1" t="s">
        <v>20</v>
      </c>
      <c r="AO502" s="1">
        <v>375</v>
      </c>
      <c r="AP502" s="3">
        <v>0.625</v>
      </c>
      <c r="AQ502" s="1"/>
    </row>
    <row r="503" spans="1:43" ht="12.3" x14ac:dyDescent="0.4">
      <c r="A503" s="1" t="s">
        <v>338</v>
      </c>
      <c r="B503" s="1"/>
      <c r="C503" s="1" t="s">
        <v>33</v>
      </c>
      <c r="D503" s="5" t="s">
        <v>7</v>
      </c>
      <c r="E503" s="5" t="s">
        <v>463</v>
      </c>
      <c r="F503" s="4" t="s">
        <v>465</v>
      </c>
      <c r="G503" s="4" t="s">
        <v>465</v>
      </c>
      <c r="I503" s="1" t="s">
        <v>16</v>
      </c>
      <c r="J503" s="1" t="s">
        <v>10</v>
      </c>
      <c r="K503" s="4" t="s">
        <v>464</v>
      </c>
      <c r="L503" s="1" t="s">
        <v>36</v>
      </c>
      <c r="M503" s="1"/>
      <c r="O503" s="1"/>
      <c r="P503" s="1"/>
      <c r="Q503" s="1"/>
      <c r="S503" s="2"/>
      <c r="T503" s="1"/>
      <c r="U503" s="1"/>
      <c r="V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 t="s">
        <v>15</v>
      </c>
      <c r="AN503" s="1" t="s">
        <v>20</v>
      </c>
      <c r="AO503" s="1">
        <v>401</v>
      </c>
      <c r="AP503" s="3">
        <v>0.66833333333333333</v>
      </c>
      <c r="AQ503" s="1"/>
    </row>
    <row r="504" spans="1:43" ht="12.3" x14ac:dyDescent="0.4">
      <c r="A504" s="1" t="s">
        <v>339</v>
      </c>
      <c r="B504" s="1"/>
      <c r="C504" s="1" t="s">
        <v>33</v>
      </c>
      <c r="D504" s="5" t="s">
        <v>7</v>
      </c>
      <c r="E504" s="5" t="s">
        <v>463</v>
      </c>
      <c r="F504" s="4" t="s">
        <v>465</v>
      </c>
      <c r="G504" s="4" t="s">
        <v>465</v>
      </c>
      <c r="I504" s="1" t="s">
        <v>16</v>
      </c>
      <c r="J504" s="1" t="s">
        <v>10</v>
      </c>
      <c r="K504" s="4" t="s">
        <v>464</v>
      </c>
      <c r="L504" s="1" t="s">
        <v>34</v>
      </c>
      <c r="M504" s="1"/>
      <c r="O504" s="1"/>
      <c r="P504" s="1"/>
      <c r="Q504" s="1"/>
      <c r="S504" s="2"/>
      <c r="T504" s="1"/>
      <c r="U504" s="1"/>
      <c r="V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 t="s">
        <v>12</v>
      </c>
      <c r="AN504" s="1" t="s">
        <v>20</v>
      </c>
      <c r="AO504" s="1">
        <v>371</v>
      </c>
      <c r="AP504" s="3">
        <v>0.61833333333333329</v>
      </c>
      <c r="AQ504" s="1"/>
    </row>
    <row r="505" spans="1:43" ht="12.3" x14ac:dyDescent="0.4">
      <c r="A505" s="1" t="s">
        <v>339</v>
      </c>
      <c r="B505" s="1"/>
      <c r="C505" s="1" t="s">
        <v>33</v>
      </c>
      <c r="D505" s="5" t="s">
        <v>7</v>
      </c>
      <c r="E505" s="5" t="s">
        <v>463</v>
      </c>
      <c r="F505" s="4" t="s">
        <v>465</v>
      </c>
      <c r="G505" s="4" t="s">
        <v>465</v>
      </c>
      <c r="I505" s="1" t="s">
        <v>16</v>
      </c>
      <c r="J505" s="1" t="s">
        <v>10</v>
      </c>
      <c r="K505" s="4" t="s">
        <v>464</v>
      </c>
      <c r="L505" s="1" t="s">
        <v>34</v>
      </c>
      <c r="M505" s="1"/>
      <c r="O505" s="1"/>
      <c r="P505" s="1"/>
      <c r="Q505" s="1"/>
      <c r="S505" s="2"/>
      <c r="T505" s="1"/>
      <c r="U505" s="2"/>
      <c r="V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 t="s">
        <v>15</v>
      </c>
      <c r="AN505" s="1" t="s">
        <v>20</v>
      </c>
      <c r="AO505" s="1">
        <v>422</v>
      </c>
      <c r="AP505" s="3">
        <v>0.70333333333333337</v>
      </c>
      <c r="AQ505" s="1"/>
    </row>
    <row r="506" spans="1:43" ht="12.3" x14ac:dyDescent="0.4">
      <c r="A506" s="1" t="s">
        <v>340</v>
      </c>
      <c r="B506" s="1"/>
      <c r="C506" s="1" t="s">
        <v>33</v>
      </c>
      <c r="D506" s="5" t="s">
        <v>7</v>
      </c>
      <c r="E506" s="5" t="s">
        <v>463</v>
      </c>
      <c r="F506" s="4" t="s">
        <v>465</v>
      </c>
      <c r="G506" s="4" t="s">
        <v>465</v>
      </c>
      <c r="I506" s="1" t="s">
        <v>16</v>
      </c>
      <c r="J506" s="1" t="s">
        <v>10</v>
      </c>
      <c r="K506" s="4" t="s">
        <v>464</v>
      </c>
      <c r="L506" s="1" t="s">
        <v>40</v>
      </c>
      <c r="M506" s="1"/>
      <c r="O506" s="1"/>
      <c r="P506" s="1"/>
      <c r="Q506" s="1"/>
      <c r="S506" s="2"/>
      <c r="T506" s="1"/>
      <c r="U506" s="2"/>
      <c r="V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 t="s">
        <v>12</v>
      </c>
      <c r="AN506" s="1" t="s">
        <v>20</v>
      </c>
      <c r="AO506" s="1">
        <v>425</v>
      </c>
      <c r="AP506" s="3">
        <v>0.70833333333333337</v>
      </c>
      <c r="AQ506" s="1"/>
    </row>
    <row r="507" spans="1:43" ht="12.3" x14ac:dyDescent="0.4">
      <c r="A507" s="1" t="s">
        <v>340</v>
      </c>
      <c r="B507" s="1"/>
      <c r="C507" s="1" t="s">
        <v>33</v>
      </c>
      <c r="D507" s="5" t="s">
        <v>7</v>
      </c>
      <c r="E507" s="5" t="s">
        <v>463</v>
      </c>
      <c r="F507" s="4" t="s">
        <v>465</v>
      </c>
      <c r="G507" s="4" t="s">
        <v>465</v>
      </c>
      <c r="I507" s="1" t="s">
        <v>16</v>
      </c>
      <c r="J507" s="1" t="s">
        <v>9</v>
      </c>
      <c r="K507" s="4" t="s">
        <v>464</v>
      </c>
      <c r="L507" s="1" t="s">
        <v>40</v>
      </c>
      <c r="M507" s="1"/>
      <c r="O507" s="1"/>
      <c r="P507" s="1"/>
      <c r="Q507" s="1"/>
      <c r="S507" s="1"/>
      <c r="T507" s="1"/>
      <c r="U507" s="2"/>
      <c r="V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 t="s">
        <v>15</v>
      </c>
      <c r="AN507" s="1" t="s">
        <v>20</v>
      </c>
      <c r="AO507" s="1">
        <v>399</v>
      </c>
      <c r="AP507" s="3">
        <v>0.66500000000000004</v>
      </c>
      <c r="AQ507" s="1"/>
    </row>
    <row r="508" spans="1:43" ht="12.3" x14ac:dyDescent="0.4">
      <c r="A508" s="1" t="s">
        <v>341</v>
      </c>
      <c r="B508" s="1"/>
      <c r="C508" s="1" t="s">
        <v>33</v>
      </c>
      <c r="D508" s="5" t="s">
        <v>7</v>
      </c>
      <c r="E508" s="5" t="s">
        <v>463</v>
      </c>
      <c r="F508" s="4" t="s">
        <v>465</v>
      </c>
      <c r="G508" s="4" t="s">
        <v>465</v>
      </c>
      <c r="I508" s="1" t="s">
        <v>16</v>
      </c>
      <c r="J508" s="1" t="s">
        <v>9</v>
      </c>
      <c r="K508" s="4" t="s">
        <v>464</v>
      </c>
      <c r="L508" s="1" t="s">
        <v>39</v>
      </c>
      <c r="M508" s="1"/>
      <c r="O508" s="1"/>
      <c r="P508" s="1"/>
      <c r="Q508" s="1"/>
      <c r="S508" s="1"/>
      <c r="T508" s="1"/>
      <c r="U508" s="2"/>
      <c r="V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 t="s">
        <v>12</v>
      </c>
      <c r="AN508" s="1" t="s">
        <v>20</v>
      </c>
      <c r="AO508" s="1">
        <v>395</v>
      </c>
      <c r="AP508" s="3">
        <v>0.65833333333333333</v>
      </c>
      <c r="AQ508" s="1"/>
    </row>
    <row r="509" spans="1:43" ht="12.3" x14ac:dyDescent="0.4">
      <c r="A509" s="1" t="s">
        <v>341</v>
      </c>
      <c r="B509" s="1"/>
      <c r="C509" s="1" t="s">
        <v>33</v>
      </c>
      <c r="D509" s="5" t="s">
        <v>7</v>
      </c>
      <c r="E509" s="5" t="s">
        <v>463</v>
      </c>
      <c r="F509" s="4" t="s">
        <v>465</v>
      </c>
      <c r="G509" s="4" t="s">
        <v>465</v>
      </c>
      <c r="I509" s="1" t="s">
        <v>8</v>
      </c>
      <c r="J509" s="1" t="s">
        <v>9</v>
      </c>
      <c r="K509" s="4" t="s">
        <v>464</v>
      </c>
      <c r="L509" s="1" t="s">
        <v>39</v>
      </c>
      <c r="M509" s="1"/>
      <c r="O509" s="1"/>
      <c r="P509" s="1"/>
      <c r="Q509" s="1"/>
      <c r="S509" s="1"/>
      <c r="T509" s="1"/>
      <c r="U509" s="1"/>
      <c r="V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 t="s">
        <v>15</v>
      </c>
      <c r="AN509" s="1" t="s">
        <v>20</v>
      </c>
      <c r="AO509" s="1">
        <v>401</v>
      </c>
      <c r="AP509" s="3">
        <v>0.66833333333333333</v>
      </c>
      <c r="AQ509" s="1"/>
    </row>
    <row r="510" spans="1:43" ht="12.3" x14ac:dyDescent="0.4">
      <c r="A510" s="1" t="s">
        <v>342</v>
      </c>
      <c r="B510" s="1"/>
      <c r="C510" s="1" t="s">
        <v>33</v>
      </c>
      <c r="D510" s="5" t="s">
        <v>7</v>
      </c>
      <c r="E510" s="5" t="s">
        <v>463</v>
      </c>
      <c r="F510" s="4" t="s">
        <v>465</v>
      </c>
      <c r="G510" s="4" t="s">
        <v>465</v>
      </c>
      <c r="I510" s="1" t="s">
        <v>8</v>
      </c>
      <c r="J510" s="1" t="s">
        <v>9</v>
      </c>
      <c r="K510" s="4" t="s">
        <v>464</v>
      </c>
      <c r="L510" s="1" t="s">
        <v>41</v>
      </c>
      <c r="M510" s="1"/>
      <c r="O510" s="1"/>
      <c r="P510" s="1"/>
      <c r="Q510" s="1"/>
      <c r="S510" s="1"/>
      <c r="T510" s="1"/>
      <c r="U510" s="1"/>
      <c r="V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 t="s">
        <v>12</v>
      </c>
      <c r="AN510" s="1" t="s">
        <v>14</v>
      </c>
      <c r="AO510" s="1">
        <v>247</v>
      </c>
      <c r="AP510" s="3">
        <v>0.41166666666666668</v>
      </c>
      <c r="AQ510" s="1"/>
    </row>
    <row r="511" spans="1:43" ht="12.3" x14ac:dyDescent="0.4">
      <c r="A511" s="1" t="s">
        <v>342</v>
      </c>
      <c r="B511" s="1"/>
      <c r="C511" s="1" t="s">
        <v>33</v>
      </c>
      <c r="D511" s="5" t="s">
        <v>7</v>
      </c>
      <c r="E511" s="5" t="s">
        <v>463</v>
      </c>
      <c r="F511" s="4" t="s">
        <v>465</v>
      </c>
      <c r="G511" s="4" t="s">
        <v>465</v>
      </c>
      <c r="I511" s="1" t="s">
        <v>16</v>
      </c>
      <c r="J511" s="1" t="s">
        <v>10</v>
      </c>
      <c r="K511" s="4" t="s">
        <v>464</v>
      </c>
      <c r="L511" s="1" t="s">
        <v>41</v>
      </c>
      <c r="M511" s="1"/>
      <c r="O511" s="1"/>
      <c r="P511" s="1"/>
      <c r="Q511" s="1"/>
      <c r="S511" s="2"/>
      <c r="T511" s="1"/>
      <c r="U511" s="1"/>
      <c r="V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 t="s">
        <v>15</v>
      </c>
      <c r="AN511" s="1" t="s">
        <v>14</v>
      </c>
      <c r="AO511" s="1">
        <v>333</v>
      </c>
      <c r="AP511" s="3">
        <v>0.55500000000000005</v>
      </c>
      <c r="AQ511" s="1"/>
    </row>
    <row r="512" spans="1:43" ht="12.3" x14ac:dyDescent="0.4">
      <c r="A512" s="1" t="s">
        <v>343</v>
      </c>
      <c r="B512" s="1"/>
      <c r="C512" s="1" t="s">
        <v>33</v>
      </c>
      <c r="D512" s="5" t="s">
        <v>7</v>
      </c>
      <c r="E512" s="5" t="s">
        <v>463</v>
      </c>
      <c r="F512" s="4" t="s">
        <v>465</v>
      </c>
      <c r="G512" s="4" t="s">
        <v>465</v>
      </c>
      <c r="I512" s="1" t="s">
        <v>16</v>
      </c>
      <c r="J512" s="1" t="s">
        <v>10</v>
      </c>
      <c r="K512" s="4" t="s">
        <v>464</v>
      </c>
      <c r="L512" s="1" t="s">
        <v>38</v>
      </c>
      <c r="M512" s="1"/>
      <c r="O512" s="1"/>
      <c r="P512" s="1"/>
      <c r="Q512" s="1"/>
      <c r="S512" s="2"/>
      <c r="T512" s="1"/>
      <c r="U512" s="1"/>
      <c r="V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 t="s">
        <v>12</v>
      </c>
      <c r="AN512" s="1" t="s">
        <v>20</v>
      </c>
      <c r="AO512" s="1">
        <v>347</v>
      </c>
      <c r="AP512" s="3">
        <v>0.57833333333333337</v>
      </c>
      <c r="AQ512" s="1"/>
    </row>
    <row r="513" spans="1:43" ht="12.3" x14ac:dyDescent="0.4">
      <c r="A513" s="1" t="s">
        <v>343</v>
      </c>
      <c r="B513" s="1"/>
      <c r="C513" s="1" t="s">
        <v>33</v>
      </c>
      <c r="D513" s="5" t="s">
        <v>7</v>
      </c>
      <c r="E513" s="5" t="s">
        <v>463</v>
      </c>
      <c r="F513" s="4" t="s">
        <v>465</v>
      </c>
      <c r="G513" s="4" t="s">
        <v>465</v>
      </c>
      <c r="I513" s="1" t="s">
        <v>16</v>
      </c>
      <c r="J513" s="1" t="s">
        <v>10</v>
      </c>
      <c r="K513" s="4" t="s">
        <v>464</v>
      </c>
      <c r="L513" s="1" t="s">
        <v>38</v>
      </c>
      <c r="M513" s="1"/>
      <c r="O513" s="1"/>
      <c r="P513" s="1"/>
      <c r="Q513" s="1"/>
      <c r="S513" s="2"/>
      <c r="T513" s="1"/>
      <c r="U513" s="2"/>
      <c r="V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 t="s">
        <v>15</v>
      </c>
      <c r="AN513" s="1" t="s">
        <v>20</v>
      </c>
      <c r="AO513" s="1">
        <v>395</v>
      </c>
      <c r="AP513" s="3">
        <v>0.65833333333333333</v>
      </c>
      <c r="AQ513" s="1"/>
    </row>
    <row r="514" spans="1:43" ht="12.3" x14ac:dyDescent="0.4">
      <c r="A514" s="1" t="s">
        <v>344</v>
      </c>
      <c r="B514" s="1"/>
      <c r="C514" s="1" t="s">
        <v>33</v>
      </c>
      <c r="D514" s="5" t="s">
        <v>7</v>
      </c>
      <c r="E514" s="5" t="s">
        <v>463</v>
      </c>
      <c r="F514" s="4" t="s">
        <v>465</v>
      </c>
      <c r="G514" s="4" t="s">
        <v>465</v>
      </c>
      <c r="I514" s="1" t="s">
        <v>16</v>
      </c>
      <c r="J514" s="1" t="s">
        <v>10</v>
      </c>
      <c r="K514" s="4" t="s">
        <v>464</v>
      </c>
      <c r="L514" s="1" t="s">
        <v>43</v>
      </c>
      <c r="M514" s="1"/>
      <c r="O514" s="1"/>
      <c r="P514" s="1"/>
      <c r="Q514" s="1"/>
      <c r="S514" s="2"/>
      <c r="T514" s="1"/>
      <c r="U514" s="2"/>
      <c r="V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 t="s">
        <v>12</v>
      </c>
      <c r="AN514" s="1" t="s">
        <v>18</v>
      </c>
      <c r="AO514" s="1">
        <v>320</v>
      </c>
      <c r="AP514" s="3">
        <v>0.53333333333333333</v>
      </c>
      <c r="AQ514" s="1"/>
    </row>
    <row r="515" spans="1:43" ht="12.3" x14ac:dyDescent="0.4">
      <c r="A515" s="1" t="s">
        <v>344</v>
      </c>
      <c r="B515" s="1"/>
      <c r="C515" s="1" t="s">
        <v>33</v>
      </c>
      <c r="D515" s="5" t="s">
        <v>7</v>
      </c>
      <c r="E515" s="5" t="s">
        <v>463</v>
      </c>
      <c r="F515" s="4" t="s">
        <v>465</v>
      </c>
      <c r="G515" s="4" t="s">
        <v>465</v>
      </c>
      <c r="I515" s="1" t="s">
        <v>16</v>
      </c>
      <c r="J515" s="1" t="s">
        <v>10</v>
      </c>
      <c r="K515" s="4" t="s">
        <v>464</v>
      </c>
      <c r="L515" s="1" t="s">
        <v>43</v>
      </c>
      <c r="M515" s="1"/>
      <c r="O515" s="1"/>
      <c r="P515" s="1"/>
      <c r="Q515" s="1"/>
      <c r="S515" s="2"/>
      <c r="T515" s="1"/>
      <c r="U515" s="2"/>
      <c r="V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 t="s">
        <v>15</v>
      </c>
      <c r="AN515" s="1" t="s">
        <v>18</v>
      </c>
      <c r="AO515" s="1">
        <v>389</v>
      </c>
      <c r="AP515" s="3">
        <v>0.64833333333333332</v>
      </c>
      <c r="AQ515" s="1"/>
    </row>
    <row r="516" spans="1:43" ht="12.3" x14ac:dyDescent="0.4">
      <c r="A516" s="1" t="s">
        <v>345</v>
      </c>
      <c r="B516" s="1"/>
      <c r="C516" s="1" t="s">
        <v>33</v>
      </c>
      <c r="D516" s="5" t="s">
        <v>7</v>
      </c>
      <c r="E516" s="5" t="s">
        <v>463</v>
      </c>
      <c r="F516" s="4" t="s">
        <v>465</v>
      </c>
      <c r="G516" s="4" t="s">
        <v>465</v>
      </c>
      <c r="I516" s="1" t="s">
        <v>16</v>
      </c>
      <c r="J516" s="1" t="s">
        <v>10</v>
      </c>
      <c r="K516" s="4" t="s">
        <v>464</v>
      </c>
      <c r="L516" s="1" t="s">
        <v>43</v>
      </c>
      <c r="M516" s="1"/>
      <c r="O516" s="1"/>
      <c r="P516" s="1"/>
      <c r="Q516" s="1"/>
      <c r="S516" s="2"/>
      <c r="T516" s="1"/>
      <c r="U516" s="2"/>
      <c r="V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 t="s">
        <v>12</v>
      </c>
      <c r="AN516" s="1" t="s">
        <v>14</v>
      </c>
      <c r="AO516" s="1">
        <v>262</v>
      </c>
      <c r="AP516" s="3">
        <v>0.43666666666666665</v>
      </c>
      <c r="AQ516" s="1"/>
    </row>
    <row r="517" spans="1:43" ht="12.3" x14ac:dyDescent="0.4">
      <c r="A517" s="1" t="s">
        <v>345</v>
      </c>
      <c r="B517" s="1"/>
      <c r="C517" s="1" t="s">
        <v>33</v>
      </c>
      <c r="D517" s="5" t="s">
        <v>7</v>
      </c>
      <c r="E517" s="5" t="s">
        <v>463</v>
      </c>
      <c r="F517" s="4" t="s">
        <v>465</v>
      </c>
      <c r="G517" s="4" t="s">
        <v>465</v>
      </c>
      <c r="I517" s="1" t="s">
        <v>16</v>
      </c>
      <c r="J517" s="1" t="s">
        <v>10</v>
      </c>
      <c r="K517" s="4" t="s">
        <v>464</v>
      </c>
      <c r="L517" s="1" t="s">
        <v>43</v>
      </c>
      <c r="M517" s="1"/>
      <c r="O517" s="1"/>
      <c r="P517" s="1"/>
      <c r="Q517" s="1"/>
      <c r="S517" s="2"/>
      <c r="T517" s="1"/>
      <c r="U517" s="1"/>
      <c r="V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 t="s">
        <v>15</v>
      </c>
      <c r="AN517" s="1" t="s">
        <v>13</v>
      </c>
      <c r="AO517" s="1">
        <v>358</v>
      </c>
      <c r="AP517" s="3">
        <v>0.59666666666666668</v>
      </c>
      <c r="AQ517" s="1"/>
    </row>
    <row r="518" spans="1:43" ht="12.3" x14ac:dyDescent="0.4">
      <c r="A518" s="1" t="s">
        <v>346</v>
      </c>
      <c r="B518" s="1"/>
      <c r="C518" s="1" t="s">
        <v>33</v>
      </c>
      <c r="D518" s="5" t="s">
        <v>7</v>
      </c>
      <c r="E518" s="5" t="s">
        <v>463</v>
      </c>
      <c r="F518" s="4" t="s">
        <v>465</v>
      </c>
      <c r="G518" s="4" t="s">
        <v>465</v>
      </c>
      <c r="I518" s="1" t="s">
        <v>16</v>
      </c>
      <c r="J518" s="1" t="s">
        <v>10</v>
      </c>
      <c r="K518" s="4" t="s">
        <v>464</v>
      </c>
      <c r="L518" s="1" t="s">
        <v>42</v>
      </c>
      <c r="M518" s="1"/>
      <c r="O518" s="1"/>
      <c r="P518" s="1"/>
      <c r="Q518" s="1"/>
      <c r="S518" s="2"/>
      <c r="T518" s="1"/>
      <c r="U518" s="1"/>
      <c r="V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 t="s">
        <v>12</v>
      </c>
      <c r="AN518" s="1" t="s">
        <v>18</v>
      </c>
      <c r="AO518" s="1">
        <v>312</v>
      </c>
      <c r="AP518" s="3">
        <v>0.52</v>
      </c>
      <c r="AQ518" s="1"/>
    </row>
    <row r="519" spans="1:43" ht="12.3" x14ac:dyDescent="0.4">
      <c r="A519" s="1" t="s">
        <v>346</v>
      </c>
      <c r="B519" s="1"/>
      <c r="C519" s="1" t="s">
        <v>33</v>
      </c>
      <c r="D519" s="5" t="s">
        <v>7</v>
      </c>
      <c r="E519" s="5" t="s">
        <v>463</v>
      </c>
      <c r="F519" s="4" t="s">
        <v>465</v>
      </c>
      <c r="G519" s="4" t="s">
        <v>465</v>
      </c>
      <c r="I519" s="1" t="s">
        <v>16</v>
      </c>
      <c r="J519" s="1" t="s">
        <v>10</v>
      </c>
      <c r="K519" s="4" t="s">
        <v>464</v>
      </c>
      <c r="L519" s="1" t="s">
        <v>42</v>
      </c>
      <c r="M519" s="1"/>
      <c r="O519" s="1"/>
      <c r="P519" s="1"/>
      <c r="Q519" s="1"/>
      <c r="S519" s="2"/>
      <c r="T519" s="1"/>
      <c r="U519" s="1"/>
      <c r="V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 t="s">
        <v>15</v>
      </c>
      <c r="AN519" s="1" t="s">
        <v>18</v>
      </c>
      <c r="AO519" s="1">
        <v>384</v>
      </c>
      <c r="AP519" s="3">
        <v>0.64</v>
      </c>
      <c r="AQ519" s="1"/>
    </row>
    <row r="520" spans="1:43" ht="12.3" x14ac:dyDescent="0.4">
      <c r="A520" s="1" t="s">
        <v>347</v>
      </c>
      <c r="B520" s="1"/>
      <c r="C520" s="1" t="s">
        <v>33</v>
      </c>
      <c r="D520" s="5" t="s">
        <v>7</v>
      </c>
      <c r="E520" s="5" t="s">
        <v>463</v>
      </c>
      <c r="F520" s="4" t="s">
        <v>465</v>
      </c>
      <c r="G520" s="4" t="s">
        <v>465</v>
      </c>
      <c r="I520" s="1" t="s">
        <v>16</v>
      </c>
      <c r="J520" s="1" t="s">
        <v>10</v>
      </c>
      <c r="K520" s="4" t="s">
        <v>464</v>
      </c>
      <c r="L520" s="1" t="s">
        <v>43</v>
      </c>
      <c r="M520" s="1"/>
      <c r="O520" s="1"/>
      <c r="P520" s="1"/>
      <c r="Q520" s="1"/>
      <c r="S520" s="2"/>
      <c r="T520" s="1"/>
      <c r="U520" s="1"/>
      <c r="V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 t="s">
        <v>12</v>
      </c>
      <c r="AN520" s="1" t="s">
        <v>14</v>
      </c>
      <c r="AO520" s="1">
        <v>271</v>
      </c>
      <c r="AP520" s="3">
        <v>0.45166666666666666</v>
      </c>
      <c r="AQ520" s="1"/>
    </row>
    <row r="521" spans="1:43" ht="12.3" x14ac:dyDescent="0.4">
      <c r="A521" s="1" t="s">
        <v>347</v>
      </c>
      <c r="B521" s="1"/>
      <c r="C521" s="1" t="s">
        <v>33</v>
      </c>
      <c r="D521" s="5" t="s">
        <v>7</v>
      </c>
      <c r="E521" s="5" t="s">
        <v>463</v>
      </c>
      <c r="F521" s="4" t="s">
        <v>465</v>
      </c>
      <c r="G521" s="4" t="s">
        <v>465</v>
      </c>
      <c r="I521" s="1" t="s">
        <v>16</v>
      </c>
      <c r="J521" s="1" t="s">
        <v>10</v>
      </c>
      <c r="K521" s="4" t="s">
        <v>464</v>
      </c>
      <c r="L521" s="1" t="s">
        <v>43</v>
      </c>
      <c r="M521" s="1"/>
      <c r="O521" s="1"/>
      <c r="P521" s="1"/>
      <c r="Q521" s="1"/>
      <c r="S521" s="2"/>
      <c r="T521" s="1"/>
      <c r="U521" s="2"/>
      <c r="V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 t="s">
        <v>15</v>
      </c>
      <c r="AN521" s="1" t="s">
        <v>14</v>
      </c>
      <c r="AO521" s="1">
        <v>353</v>
      </c>
      <c r="AP521" s="3">
        <v>0.58833333333333337</v>
      </c>
      <c r="AQ521" s="1"/>
    </row>
    <row r="522" spans="1:43" ht="12.3" x14ac:dyDescent="0.4">
      <c r="A522" s="1" t="s">
        <v>348</v>
      </c>
      <c r="B522" s="1"/>
      <c r="C522" s="1" t="s">
        <v>33</v>
      </c>
      <c r="D522" s="5" t="s">
        <v>7</v>
      </c>
      <c r="E522" s="5" t="s">
        <v>463</v>
      </c>
      <c r="F522" s="4" t="s">
        <v>465</v>
      </c>
      <c r="G522" s="4" t="s">
        <v>465</v>
      </c>
      <c r="I522" s="1" t="s">
        <v>16</v>
      </c>
      <c r="J522" s="1" t="s">
        <v>10</v>
      </c>
      <c r="K522" s="4" t="s">
        <v>464</v>
      </c>
      <c r="L522" s="1" t="s">
        <v>38</v>
      </c>
      <c r="M522" s="1"/>
      <c r="O522" s="1"/>
      <c r="P522" s="1"/>
      <c r="Q522" s="1"/>
      <c r="S522" s="2"/>
      <c r="T522" s="1"/>
      <c r="U522" s="2"/>
      <c r="V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 t="s">
        <v>12</v>
      </c>
      <c r="AN522" s="1" t="s">
        <v>13</v>
      </c>
      <c r="AO522" s="1">
        <v>296</v>
      </c>
      <c r="AP522" s="3">
        <v>0.49333333333333335</v>
      </c>
      <c r="AQ522" s="1"/>
    </row>
    <row r="523" spans="1:43" ht="12.3" x14ac:dyDescent="0.4">
      <c r="A523" s="1" t="s">
        <v>348</v>
      </c>
      <c r="B523" s="1"/>
      <c r="C523" s="1" t="s">
        <v>33</v>
      </c>
      <c r="D523" s="5" t="s">
        <v>7</v>
      </c>
      <c r="E523" s="5" t="s">
        <v>463</v>
      </c>
      <c r="F523" s="4" t="s">
        <v>465</v>
      </c>
      <c r="G523" s="4" t="s">
        <v>465</v>
      </c>
      <c r="I523" s="1" t="s">
        <v>8</v>
      </c>
      <c r="J523" s="1" t="s">
        <v>9</v>
      </c>
      <c r="K523" s="4" t="s">
        <v>464</v>
      </c>
      <c r="L523" s="1" t="s">
        <v>38</v>
      </c>
      <c r="M523" s="1"/>
      <c r="O523" s="1"/>
      <c r="P523" s="1"/>
      <c r="Q523" s="1"/>
      <c r="S523" s="2"/>
      <c r="T523" s="1"/>
      <c r="U523" s="1"/>
      <c r="V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 t="s">
        <v>15</v>
      </c>
      <c r="AN523" s="1" t="s">
        <v>18</v>
      </c>
      <c r="AO523" s="1">
        <v>381</v>
      </c>
      <c r="AP523" s="3">
        <v>0.63500000000000001</v>
      </c>
      <c r="AQ523" s="1"/>
    </row>
    <row r="524" spans="1:43" ht="12.3" x14ac:dyDescent="0.4">
      <c r="A524" s="1" t="s">
        <v>151</v>
      </c>
      <c r="B524" s="1"/>
      <c r="C524" s="1" t="s">
        <v>33</v>
      </c>
      <c r="D524" s="5" t="s">
        <v>7</v>
      </c>
      <c r="E524" s="5" t="s">
        <v>463</v>
      </c>
      <c r="F524" s="4" t="s">
        <v>465</v>
      </c>
      <c r="G524" s="4" t="s">
        <v>465</v>
      </c>
      <c r="I524" s="1" t="s">
        <v>8</v>
      </c>
      <c r="J524" s="1" t="s">
        <v>9</v>
      </c>
      <c r="K524" s="4" t="s">
        <v>464</v>
      </c>
      <c r="O524" s="1"/>
      <c r="P524" s="1"/>
      <c r="Q524" s="1"/>
      <c r="S524" s="2"/>
      <c r="T524" s="1"/>
      <c r="U524" s="1"/>
      <c r="V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 t="s">
        <v>12</v>
      </c>
      <c r="AN524" s="1" t="s">
        <v>13</v>
      </c>
      <c r="AO524" s="1">
        <v>299</v>
      </c>
      <c r="AP524" s="3">
        <v>0.49833333333333335</v>
      </c>
      <c r="AQ524" s="1"/>
    </row>
    <row r="525" spans="1:43" ht="12.3" x14ac:dyDescent="0.4">
      <c r="A525" s="1" t="s">
        <v>349</v>
      </c>
      <c r="B525" s="1"/>
      <c r="C525" s="1" t="s">
        <v>33</v>
      </c>
      <c r="D525" s="5" t="s">
        <v>7</v>
      </c>
      <c r="E525" s="5" t="s">
        <v>463</v>
      </c>
      <c r="F525" s="4" t="s">
        <v>465</v>
      </c>
      <c r="G525" s="4" t="s">
        <v>465</v>
      </c>
      <c r="I525" s="1" t="s">
        <v>8</v>
      </c>
      <c r="J525" s="1" t="s">
        <v>9</v>
      </c>
      <c r="K525" s="4" t="s">
        <v>464</v>
      </c>
      <c r="L525" s="1" t="s">
        <v>38</v>
      </c>
      <c r="M525" s="1"/>
      <c r="O525" s="1"/>
      <c r="P525" s="1"/>
      <c r="Q525" s="1"/>
      <c r="S525" s="2"/>
      <c r="T525" s="1"/>
      <c r="U525" s="1"/>
      <c r="V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 t="s">
        <v>12</v>
      </c>
      <c r="AN525" s="1" t="s">
        <v>20</v>
      </c>
      <c r="AO525" s="1">
        <v>341</v>
      </c>
      <c r="AP525" s="3">
        <v>0.56833333333333336</v>
      </c>
      <c r="AQ525" s="1"/>
    </row>
    <row r="526" spans="1:43" ht="12.3" x14ac:dyDescent="0.4">
      <c r="A526" s="1" t="s">
        <v>349</v>
      </c>
      <c r="B526" s="1"/>
      <c r="C526" s="1" t="s">
        <v>33</v>
      </c>
      <c r="D526" s="5" t="s">
        <v>7</v>
      </c>
      <c r="E526" s="5" t="s">
        <v>463</v>
      </c>
      <c r="F526" s="4" t="s">
        <v>465</v>
      </c>
      <c r="G526" s="4" t="s">
        <v>465</v>
      </c>
      <c r="I526" s="1" t="s">
        <v>8</v>
      </c>
      <c r="J526" s="1" t="s">
        <v>9</v>
      </c>
      <c r="K526" s="4" t="s">
        <v>464</v>
      </c>
      <c r="L526" s="1" t="s">
        <v>38</v>
      </c>
      <c r="M526" s="1"/>
      <c r="O526" s="1"/>
      <c r="P526" s="1"/>
      <c r="Q526" s="1"/>
      <c r="S526" s="2"/>
      <c r="T526" s="1"/>
      <c r="U526" s="1"/>
      <c r="V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 t="s">
        <v>15</v>
      </c>
      <c r="AN526" s="1" t="s">
        <v>18</v>
      </c>
      <c r="AO526" s="1">
        <v>386</v>
      </c>
      <c r="AP526" s="3">
        <v>0.64333333333333331</v>
      </c>
      <c r="AQ526" s="1"/>
    </row>
    <row r="527" spans="1:43" ht="12.3" x14ac:dyDescent="0.4">
      <c r="A527" s="1" t="s">
        <v>350</v>
      </c>
      <c r="B527" s="1"/>
      <c r="C527" s="1" t="s">
        <v>33</v>
      </c>
      <c r="D527" s="5" t="s">
        <v>7</v>
      </c>
      <c r="E527" s="5" t="s">
        <v>463</v>
      </c>
      <c r="F527" s="4" t="s">
        <v>465</v>
      </c>
      <c r="G527" s="4" t="s">
        <v>465</v>
      </c>
      <c r="I527" s="1" t="s">
        <v>8</v>
      </c>
      <c r="J527" s="1" t="s">
        <v>9</v>
      </c>
      <c r="K527" s="4" t="s">
        <v>464</v>
      </c>
      <c r="L527" s="1" t="s">
        <v>38</v>
      </c>
      <c r="M527" s="1"/>
      <c r="O527" s="1"/>
      <c r="P527" s="1"/>
      <c r="Q527" s="1"/>
      <c r="S527" s="2"/>
      <c r="T527" s="1"/>
      <c r="U527" s="1"/>
      <c r="V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 t="s">
        <v>12</v>
      </c>
      <c r="AN527" s="1" t="s">
        <v>20</v>
      </c>
      <c r="AO527" s="1">
        <v>340</v>
      </c>
      <c r="AP527" s="3">
        <v>0.56666666666666665</v>
      </c>
      <c r="AQ527" s="1"/>
    </row>
    <row r="528" spans="1:43" ht="12.3" x14ac:dyDescent="0.4">
      <c r="A528" s="1" t="s">
        <v>350</v>
      </c>
      <c r="B528" s="1"/>
      <c r="C528" s="1" t="s">
        <v>33</v>
      </c>
      <c r="D528" s="5" t="s">
        <v>7</v>
      </c>
      <c r="E528" s="5" t="s">
        <v>463</v>
      </c>
      <c r="F528" s="4" t="s">
        <v>465</v>
      </c>
      <c r="G528" s="4" t="s">
        <v>465</v>
      </c>
      <c r="I528" s="1" t="s">
        <v>16</v>
      </c>
      <c r="J528" s="1" t="s">
        <v>10</v>
      </c>
      <c r="K528" s="4" t="s">
        <v>464</v>
      </c>
      <c r="L528" s="1" t="s">
        <v>38</v>
      </c>
      <c r="M528" s="1"/>
      <c r="O528" s="1"/>
      <c r="P528" s="1"/>
      <c r="Q528" s="1"/>
      <c r="S528" s="2"/>
      <c r="T528" s="1"/>
      <c r="U528" s="1"/>
      <c r="V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 t="s">
        <v>15</v>
      </c>
      <c r="AN528" s="1" t="s">
        <v>20</v>
      </c>
      <c r="AO528" s="1">
        <v>400</v>
      </c>
      <c r="AP528" s="3">
        <v>0.66666666666666663</v>
      </c>
      <c r="AQ528" s="1"/>
    </row>
    <row r="529" spans="1:43" ht="12.3" x14ac:dyDescent="0.4">
      <c r="A529" s="1" t="s">
        <v>351</v>
      </c>
      <c r="B529" s="1"/>
      <c r="C529" s="1" t="s">
        <v>33</v>
      </c>
      <c r="D529" s="5" t="s">
        <v>7</v>
      </c>
      <c r="E529" s="5" t="s">
        <v>463</v>
      </c>
      <c r="F529" s="4" t="s">
        <v>465</v>
      </c>
      <c r="G529" s="4" t="s">
        <v>465</v>
      </c>
      <c r="I529" s="1" t="s">
        <v>16</v>
      </c>
      <c r="J529" s="1" t="s">
        <v>10</v>
      </c>
      <c r="K529" s="4" t="s">
        <v>464</v>
      </c>
      <c r="L529" s="1" t="s">
        <v>36</v>
      </c>
      <c r="M529" s="1"/>
      <c r="O529" s="1"/>
      <c r="P529" s="1"/>
      <c r="Q529" s="1"/>
      <c r="S529" s="2"/>
      <c r="T529" s="1"/>
      <c r="U529" s="1"/>
      <c r="V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 t="s">
        <v>12</v>
      </c>
      <c r="AN529" s="1" t="s">
        <v>14</v>
      </c>
      <c r="AO529" s="1">
        <v>272</v>
      </c>
      <c r="AP529" s="3">
        <v>0.45333333333333331</v>
      </c>
      <c r="AQ529" s="1"/>
    </row>
    <row r="530" spans="1:43" ht="12.3" x14ac:dyDescent="0.4">
      <c r="A530" s="1" t="s">
        <v>351</v>
      </c>
      <c r="B530" s="1"/>
      <c r="C530" s="1" t="s">
        <v>33</v>
      </c>
      <c r="D530" s="5" t="s">
        <v>7</v>
      </c>
      <c r="E530" s="5" t="s">
        <v>463</v>
      </c>
      <c r="F530" s="4" t="s">
        <v>465</v>
      </c>
      <c r="G530" s="4" t="s">
        <v>465</v>
      </c>
      <c r="I530" s="1" t="s">
        <v>16</v>
      </c>
      <c r="J530" s="1" t="s">
        <v>10</v>
      </c>
      <c r="K530" s="4" t="s">
        <v>464</v>
      </c>
      <c r="L530" s="1" t="s">
        <v>36</v>
      </c>
      <c r="M530" s="1"/>
      <c r="O530" s="1"/>
      <c r="P530" s="1"/>
      <c r="Q530" s="1"/>
      <c r="S530" s="2"/>
      <c r="T530" s="1"/>
      <c r="U530" s="1"/>
      <c r="V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 t="s">
        <v>15</v>
      </c>
      <c r="AN530" s="1" t="s">
        <v>14</v>
      </c>
      <c r="AO530" s="1">
        <v>353</v>
      </c>
      <c r="AP530" s="3">
        <v>0.58833333333333337</v>
      </c>
      <c r="AQ530" s="1"/>
    </row>
    <row r="531" spans="1:43" ht="12.3" x14ac:dyDescent="0.4">
      <c r="A531" s="1" t="s">
        <v>352</v>
      </c>
      <c r="B531" s="1"/>
      <c r="C531" s="1" t="s">
        <v>33</v>
      </c>
      <c r="D531" s="5" t="s">
        <v>7</v>
      </c>
      <c r="E531" s="5" t="s">
        <v>463</v>
      </c>
      <c r="F531" s="4" t="s">
        <v>465</v>
      </c>
      <c r="G531" s="4" t="s">
        <v>465</v>
      </c>
      <c r="I531" s="1" t="s">
        <v>16</v>
      </c>
      <c r="J531" s="1" t="s">
        <v>10</v>
      </c>
      <c r="K531" s="4" t="s">
        <v>464</v>
      </c>
      <c r="L531" s="1" t="s">
        <v>42</v>
      </c>
      <c r="M531" s="1"/>
      <c r="O531" s="1"/>
      <c r="P531" s="1"/>
      <c r="Q531" s="1"/>
      <c r="S531" s="2"/>
      <c r="T531" s="1"/>
      <c r="U531" s="1"/>
      <c r="V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 t="s">
        <v>12</v>
      </c>
      <c r="AN531" s="1" t="s">
        <v>20</v>
      </c>
      <c r="AO531" s="1">
        <v>382</v>
      </c>
      <c r="AP531" s="3">
        <v>0.63666666666666671</v>
      </c>
      <c r="AQ531" s="1"/>
    </row>
    <row r="532" spans="1:43" ht="12.3" x14ac:dyDescent="0.4">
      <c r="A532" s="1" t="s">
        <v>352</v>
      </c>
      <c r="B532" s="1"/>
      <c r="C532" s="1" t="s">
        <v>33</v>
      </c>
      <c r="D532" s="5" t="s">
        <v>7</v>
      </c>
      <c r="E532" s="5" t="s">
        <v>463</v>
      </c>
      <c r="F532" s="4" t="s">
        <v>465</v>
      </c>
      <c r="G532" s="4" t="s">
        <v>465</v>
      </c>
      <c r="I532" s="1" t="s">
        <v>8</v>
      </c>
      <c r="J532" s="1" t="s">
        <v>9</v>
      </c>
      <c r="K532" s="4" t="s">
        <v>464</v>
      </c>
      <c r="L532" s="1" t="s">
        <v>42</v>
      </c>
      <c r="M532" s="1"/>
      <c r="O532" s="1"/>
      <c r="P532" s="1"/>
      <c r="Q532" s="1"/>
      <c r="S532" s="2"/>
      <c r="T532" s="1"/>
      <c r="U532" s="1"/>
      <c r="V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 t="s">
        <v>15</v>
      </c>
      <c r="AN532" s="1" t="s">
        <v>20</v>
      </c>
      <c r="AO532" s="1">
        <v>436</v>
      </c>
      <c r="AP532" s="3">
        <v>0.72666666666666668</v>
      </c>
      <c r="AQ532" s="1"/>
    </row>
    <row r="533" spans="1:43" ht="12.3" x14ac:dyDescent="0.4">
      <c r="A533" s="1" t="s">
        <v>353</v>
      </c>
      <c r="B533" s="1"/>
      <c r="C533" s="1" t="s">
        <v>33</v>
      </c>
      <c r="D533" s="5" t="s">
        <v>7</v>
      </c>
      <c r="E533" s="5" t="s">
        <v>463</v>
      </c>
      <c r="F533" s="4" t="s">
        <v>465</v>
      </c>
      <c r="G533" s="4" t="s">
        <v>465</v>
      </c>
      <c r="I533" s="1" t="s">
        <v>8</v>
      </c>
      <c r="J533" s="1" t="s">
        <v>9</v>
      </c>
      <c r="K533" s="4" t="s">
        <v>464</v>
      </c>
      <c r="L533" s="1" t="s">
        <v>41</v>
      </c>
      <c r="M533" s="1"/>
      <c r="O533" s="1"/>
      <c r="P533" s="1"/>
      <c r="Q533" s="1"/>
      <c r="S533" s="2"/>
      <c r="T533" s="1"/>
      <c r="U533" s="1"/>
      <c r="V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 t="s">
        <v>15</v>
      </c>
      <c r="AN533" s="1" t="s">
        <v>20</v>
      </c>
      <c r="AO533" s="1">
        <v>406</v>
      </c>
      <c r="AP533" s="3">
        <v>0.67666666666666664</v>
      </c>
      <c r="AQ533" s="1"/>
    </row>
    <row r="534" spans="1:43" ht="12.3" x14ac:dyDescent="0.4">
      <c r="A534" s="1" t="s">
        <v>354</v>
      </c>
      <c r="B534" s="1"/>
      <c r="C534" s="1" t="s">
        <v>33</v>
      </c>
      <c r="D534" s="5" t="s">
        <v>7</v>
      </c>
      <c r="E534" s="5" t="s">
        <v>463</v>
      </c>
      <c r="F534" s="4" t="s">
        <v>465</v>
      </c>
      <c r="G534" s="4" t="s">
        <v>465</v>
      </c>
      <c r="I534" s="1" t="s">
        <v>8</v>
      </c>
      <c r="J534" s="1" t="s">
        <v>9</v>
      </c>
      <c r="K534" s="4" t="s">
        <v>464</v>
      </c>
      <c r="L534" s="1" t="s">
        <v>43</v>
      </c>
      <c r="M534" s="1"/>
      <c r="O534" s="1"/>
      <c r="P534" s="1"/>
      <c r="Q534" s="1"/>
      <c r="S534" s="2"/>
      <c r="T534" s="1"/>
      <c r="U534" s="2"/>
      <c r="V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 t="s">
        <v>12</v>
      </c>
      <c r="AN534" s="1" t="s">
        <v>14</v>
      </c>
      <c r="AO534" s="1">
        <v>250</v>
      </c>
      <c r="AP534" s="3">
        <v>0.41666666666666669</v>
      </c>
      <c r="AQ534" s="1"/>
    </row>
    <row r="535" spans="1:43" ht="12.3" x14ac:dyDescent="0.4">
      <c r="A535" s="1" t="s">
        <v>354</v>
      </c>
      <c r="B535" s="1"/>
      <c r="C535" s="1" t="s">
        <v>33</v>
      </c>
      <c r="D535" s="5" t="s">
        <v>7</v>
      </c>
      <c r="E535" s="5" t="s">
        <v>463</v>
      </c>
      <c r="F535" s="4" t="s">
        <v>465</v>
      </c>
      <c r="G535" s="4" t="s">
        <v>465</v>
      </c>
      <c r="I535" s="1" t="s">
        <v>8</v>
      </c>
      <c r="J535" s="1" t="s">
        <v>9</v>
      </c>
      <c r="K535" s="4" t="s">
        <v>464</v>
      </c>
      <c r="L535" s="1" t="s">
        <v>43</v>
      </c>
      <c r="M535" s="1"/>
      <c r="O535" s="1"/>
      <c r="P535" s="1"/>
      <c r="Q535" s="1"/>
      <c r="S535" s="2"/>
      <c r="T535" s="1"/>
      <c r="U535" s="1"/>
      <c r="V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 t="s">
        <v>15</v>
      </c>
      <c r="AN535" s="1" t="s">
        <v>14</v>
      </c>
      <c r="AO535" s="1">
        <v>335</v>
      </c>
      <c r="AP535" s="3">
        <v>0.55833333333333335</v>
      </c>
      <c r="AQ535" s="1"/>
    </row>
    <row r="536" spans="1:43" ht="12.3" x14ac:dyDescent="0.4">
      <c r="A536" s="1" t="s">
        <v>355</v>
      </c>
      <c r="B536" s="1"/>
      <c r="C536" s="1" t="s">
        <v>33</v>
      </c>
      <c r="D536" s="5" t="s">
        <v>7</v>
      </c>
      <c r="E536" s="5" t="s">
        <v>463</v>
      </c>
      <c r="F536" s="4" t="s">
        <v>465</v>
      </c>
      <c r="G536" s="4" t="s">
        <v>465</v>
      </c>
      <c r="I536" s="1" t="s">
        <v>8</v>
      </c>
      <c r="J536" s="1" t="s">
        <v>9</v>
      </c>
      <c r="K536" s="4" t="s">
        <v>464</v>
      </c>
      <c r="O536" s="1"/>
      <c r="P536" s="1"/>
      <c r="Q536" s="1"/>
      <c r="S536" s="2"/>
      <c r="T536" s="1"/>
      <c r="U536" s="1"/>
      <c r="V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 t="s">
        <v>12</v>
      </c>
      <c r="AN536" s="1" t="s">
        <v>20</v>
      </c>
      <c r="AO536" s="1">
        <v>355</v>
      </c>
      <c r="AP536" s="3">
        <v>0.59166666666666667</v>
      </c>
      <c r="AQ536" s="1"/>
    </row>
    <row r="537" spans="1:43" ht="12.3" x14ac:dyDescent="0.4">
      <c r="A537" s="1" t="s">
        <v>356</v>
      </c>
      <c r="B537" s="1"/>
      <c r="C537" s="1" t="s">
        <v>33</v>
      </c>
      <c r="D537" s="5" t="s">
        <v>7</v>
      </c>
      <c r="E537" s="5" t="s">
        <v>463</v>
      </c>
      <c r="F537" s="4" t="s">
        <v>465</v>
      </c>
      <c r="G537" s="4" t="s">
        <v>465</v>
      </c>
      <c r="I537" s="1" t="s">
        <v>8</v>
      </c>
      <c r="J537" s="1" t="s">
        <v>9</v>
      </c>
      <c r="K537" s="4" t="s">
        <v>464</v>
      </c>
      <c r="L537" s="1" t="s">
        <v>41</v>
      </c>
      <c r="M537" s="1"/>
      <c r="O537" s="1"/>
      <c r="P537" s="1"/>
      <c r="Q537" s="1"/>
      <c r="S537" s="2"/>
      <c r="T537" s="1"/>
      <c r="U537" s="1"/>
      <c r="V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 t="s">
        <v>12</v>
      </c>
      <c r="AN537" s="1" t="s">
        <v>14</v>
      </c>
      <c r="AO537" s="1">
        <v>254</v>
      </c>
      <c r="AP537" s="3">
        <v>0.42333333333333334</v>
      </c>
      <c r="AQ537" s="1"/>
    </row>
    <row r="538" spans="1:43" ht="12.3" x14ac:dyDescent="0.4">
      <c r="A538" s="1" t="s">
        <v>356</v>
      </c>
      <c r="B538" s="1"/>
      <c r="C538" s="1" t="s">
        <v>33</v>
      </c>
      <c r="D538" s="5" t="s">
        <v>7</v>
      </c>
      <c r="E538" s="5" t="s">
        <v>463</v>
      </c>
      <c r="F538" s="4" t="s">
        <v>465</v>
      </c>
      <c r="G538" s="4" t="s">
        <v>465</v>
      </c>
      <c r="I538" s="1" t="s">
        <v>16</v>
      </c>
      <c r="J538" s="1" t="s">
        <v>10</v>
      </c>
      <c r="K538" s="4" t="s">
        <v>464</v>
      </c>
      <c r="L538" s="1" t="s">
        <v>41</v>
      </c>
      <c r="M538" s="1"/>
      <c r="O538" s="1"/>
      <c r="P538" s="1"/>
      <c r="Q538" s="1"/>
      <c r="S538" s="2"/>
      <c r="T538" s="1"/>
      <c r="U538" s="1"/>
      <c r="V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 t="s">
        <v>15</v>
      </c>
      <c r="AN538" s="1" t="s">
        <v>14</v>
      </c>
      <c r="AO538" s="1">
        <v>348</v>
      </c>
      <c r="AP538" s="3">
        <v>0.57999999999999996</v>
      </c>
      <c r="AQ538" s="1"/>
    </row>
    <row r="539" spans="1:43" ht="12.3" x14ac:dyDescent="0.4">
      <c r="A539" s="1" t="s">
        <v>357</v>
      </c>
      <c r="B539" s="1"/>
      <c r="C539" s="1" t="s">
        <v>33</v>
      </c>
      <c r="D539" s="5" t="s">
        <v>7</v>
      </c>
      <c r="E539" s="5" t="s">
        <v>463</v>
      </c>
      <c r="F539" s="4" t="s">
        <v>465</v>
      </c>
      <c r="G539" s="4" t="s">
        <v>465</v>
      </c>
      <c r="I539" s="1" t="s">
        <v>16</v>
      </c>
      <c r="J539" s="1" t="s">
        <v>10</v>
      </c>
      <c r="K539" s="4" t="s">
        <v>464</v>
      </c>
      <c r="L539" s="1" t="s">
        <v>37</v>
      </c>
      <c r="M539" s="1"/>
      <c r="O539" s="1"/>
      <c r="P539" s="1"/>
      <c r="Q539" s="1"/>
      <c r="S539" s="2"/>
      <c r="T539" s="1"/>
      <c r="U539" s="1"/>
      <c r="V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 t="s">
        <v>12</v>
      </c>
      <c r="AN539" s="1" t="s">
        <v>20</v>
      </c>
      <c r="AO539" s="1">
        <v>536</v>
      </c>
      <c r="AP539" s="3">
        <v>0.89333333333333331</v>
      </c>
      <c r="AQ539" s="1"/>
    </row>
    <row r="540" spans="1:43" ht="12.3" x14ac:dyDescent="0.4">
      <c r="A540" s="1" t="s">
        <v>357</v>
      </c>
      <c r="B540" s="1"/>
      <c r="C540" s="1" t="s">
        <v>33</v>
      </c>
      <c r="D540" s="5" t="s">
        <v>7</v>
      </c>
      <c r="E540" s="5" t="s">
        <v>463</v>
      </c>
      <c r="F540" s="4" t="s">
        <v>465</v>
      </c>
      <c r="G540" s="4" t="s">
        <v>465</v>
      </c>
      <c r="I540" s="1" t="s">
        <v>8</v>
      </c>
      <c r="J540" s="1" t="s">
        <v>9</v>
      </c>
      <c r="K540" s="4" t="s">
        <v>464</v>
      </c>
      <c r="L540" s="1" t="s">
        <v>37</v>
      </c>
      <c r="M540" s="1"/>
      <c r="O540" s="1"/>
      <c r="P540" s="1"/>
      <c r="Q540" s="1"/>
      <c r="S540" s="1"/>
      <c r="T540" s="1"/>
      <c r="U540" s="1"/>
      <c r="V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 t="s">
        <v>15</v>
      </c>
      <c r="AN540" s="1" t="s">
        <v>20</v>
      </c>
      <c r="AO540" s="1">
        <v>494</v>
      </c>
      <c r="AP540" s="3">
        <v>0.82333333333333336</v>
      </c>
      <c r="AQ540" s="1"/>
    </row>
    <row r="541" spans="1:43" ht="12.3" x14ac:dyDescent="0.4">
      <c r="A541" s="1" t="s">
        <v>358</v>
      </c>
      <c r="B541" s="1"/>
      <c r="C541" s="1" t="s">
        <v>33</v>
      </c>
      <c r="D541" s="5" t="s">
        <v>7</v>
      </c>
      <c r="E541" s="5" t="s">
        <v>463</v>
      </c>
      <c r="F541" s="4" t="s">
        <v>465</v>
      </c>
      <c r="G541" s="4" t="s">
        <v>465</v>
      </c>
      <c r="I541" s="1" t="s">
        <v>8</v>
      </c>
      <c r="J541" s="1" t="s">
        <v>9</v>
      </c>
      <c r="K541" s="4" t="s">
        <v>464</v>
      </c>
      <c r="L541" s="1" t="s">
        <v>35</v>
      </c>
      <c r="M541" s="1"/>
      <c r="O541" s="1"/>
      <c r="P541" s="1"/>
      <c r="Q541" s="1"/>
      <c r="S541" s="1"/>
      <c r="T541" s="1"/>
      <c r="U541" s="1"/>
      <c r="V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 t="s">
        <v>12</v>
      </c>
      <c r="AN541" s="1" t="s">
        <v>14</v>
      </c>
      <c r="AO541" s="1">
        <v>256</v>
      </c>
      <c r="AP541" s="3">
        <v>0.42666666666666669</v>
      </c>
      <c r="AQ541" s="1"/>
    </row>
    <row r="542" spans="1:43" ht="12.3" x14ac:dyDescent="0.4">
      <c r="A542" s="1" t="s">
        <v>358</v>
      </c>
      <c r="B542" s="1"/>
      <c r="C542" s="1" t="s">
        <v>33</v>
      </c>
      <c r="D542" s="5" t="s">
        <v>7</v>
      </c>
      <c r="E542" s="5" t="s">
        <v>463</v>
      </c>
      <c r="F542" s="4" t="s">
        <v>465</v>
      </c>
      <c r="G542" s="4" t="s">
        <v>465</v>
      </c>
      <c r="I542" s="1" t="s">
        <v>8</v>
      </c>
      <c r="J542" s="1" t="s">
        <v>9</v>
      </c>
      <c r="K542" s="4" t="s">
        <v>464</v>
      </c>
      <c r="L542" s="1" t="s">
        <v>35</v>
      </c>
      <c r="M542" s="1"/>
      <c r="O542" s="1"/>
      <c r="P542" s="1"/>
      <c r="Q542" s="1"/>
      <c r="S542" s="2"/>
      <c r="T542" s="1"/>
      <c r="U542" s="1"/>
      <c r="V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 t="s">
        <v>15</v>
      </c>
      <c r="AN542" s="1" t="s">
        <v>14</v>
      </c>
      <c r="AO542" s="1">
        <v>320</v>
      </c>
      <c r="AP542" s="3">
        <v>0.53333333333333333</v>
      </c>
      <c r="AQ542" s="1"/>
    </row>
    <row r="543" spans="1:43" ht="12.3" x14ac:dyDescent="0.4">
      <c r="A543" s="1" t="s">
        <v>359</v>
      </c>
      <c r="B543" s="1"/>
      <c r="C543" s="1" t="s">
        <v>33</v>
      </c>
      <c r="D543" s="5" t="s">
        <v>7</v>
      </c>
      <c r="E543" s="5" t="s">
        <v>463</v>
      </c>
      <c r="F543" s="4" t="s">
        <v>465</v>
      </c>
      <c r="G543" s="4" t="s">
        <v>465</v>
      </c>
      <c r="I543" s="1" t="s">
        <v>8</v>
      </c>
      <c r="J543" s="1" t="s">
        <v>9</v>
      </c>
      <c r="K543" s="4" t="s">
        <v>464</v>
      </c>
      <c r="L543" s="1" t="s">
        <v>41</v>
      </c>
      <c r="M543" s="1"/>
      <c r="O543" s="1"/>
      <c r="P543" s="1"/>
      <c r="Q543" s="1"/>
      <c r="S543" s="2"/>
      <c r="T543" s="1"/>
      <c r="U543" s="1"/>
      <c r="V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 t="s">
        <v>12</v>
      </c>
      <c r="AN543" s="1" t="s">
        <v>18</v>
      </c>
      <c r="AO543" s="1">
        <v>325</v>
      </c>
      <c r="AP543" s="3">
        <v>0.54166666666666663</v>
      </c>
      <c r="AQ543" s="1"/>
    </row>
    <row r="544" spans="1:43" ht="12.3" x14ac:dyDescent="0.4">
      <c r="A544" s="1" t="s">
        <v>359</v>
      </c>
      <c r="B544" s="1"/>
      <c r="C544" s="1" t="s">
        <v>33</v>
      </c>
      <c r="D544" s="5" t="s">
        <v>7</v>
      </c>
      <c r="E544" s="5" t="s">
        <v>463</v>
      </c>
      <c r="F544" s="4" t="s">
        <v>465</v>
      </c>
      <c r="G544" s="4" t="s">
        <v>465</v>
      </c>
      <c r="I544" s="1" t="s">
        <v>8</v>
      </c>
      <c r="J544" s="1" t="s">
        <v>9</v>
      </c>
      <c r="K544" s="4" t="s">
        <v>464</v>
      </c>
      <c r="L544" s="1" t="s">
        <v>41</v>
      </c>
      <c r="M544" s="1"/>
      <c r="O544" s="1"/>
      <c r="P544" s="1"/>
      <c r="Q544" s="1"/>
      <c r="S544" s="2"/>
      <c r="T544" s="1"/>
      <c r="U544" s="1"/>
      <c r="V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 t="s">
        <v>15</v>
      </c>
      <c r="AN544" s="1" t="s">
        <v>20</v>
      </c>
      <c r="AO544" s="1">
        <v>411</v>
      </c>
      <c r="AP544" s="3">
        <v>0.68500000000000005</v>
      </c>
      <c r="AQ544" s="1"/>
    </row>
    <row r="545" spans="1:43" ht="12.3" x14ac:dyDescent="0.4">
      <c r="A545" s="1" t="s">
        <v>360</v>
      </c>
      <c r="B545" s="1"/>
      <c r="C545" s="1" t="s">
        <v>33</v>
      </c>
      <c r="D545" s="5" t="s">
        <v>7</v>
      </c>
      <c r="E545" s="5" t="s">
        <v>463</v>
      </c>
      <c r="F545" s="4" t="s">
        <v>465</v>
      </c>
      <c r="G545" s="4" t="s">
        <v>465</v>
      </c>
      <c r="I545" s="1" t="s">
        <v>8</v>
      </c>
      <c r="J545" s="1" t="s">
        <v>9</v>
      </c>
      <c r="K545" s="4" t="s">
        <v>464</v>
      </c>
      <c r="O545" s="1"/>
      <c r="P545" s="1"/>
      <c r="Q545" s="1"/>
      <c r="S545" s="2"/>
      <c r="T545" s="1"/>
      <c r="U545" s="1"/>
      <c r="V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 t="s">
        <v>12</v>
      </c>
      <c r="AN545" s="1" t="s">
        <v>14</v>
      </c>
      <c r="AO545" s="1">
        <v>252</v>
      </c>
      <c r="AP545" s="3">
        <v>0.42</v>
      </c>
      <c r="AQ545" s="1"/>
    </row>
    <row r="546" spans="1:43" ht="12.3" x14ac:dyDescent="0.4">
      <c r="A546" s="1" t="s">
        <v>361</v>
      </c>
      <c r="B546" s="1"/>
      <c r="C546" s="1" t="s">
        <v>33</v>
      </c>
      <c r="D546" s="5" t="s">
        <v>7</v>
      </c>
      <c r="E546" s="5" t="s">
        <v>463</v>
      </c>
      <c r="F546" s="4" t="s">
        <v>465</v>
      </c>
      <c r="G546" s="4" t="s">
        <v>465</v>
      </c>
      <c r="I546" s="1" t="s">
        <v>8</v>
      </c>
      <c r="J546" s="1" t="s">
        <v>9</v>
      </c>
      <c r="K546" s="4" t="s">
        <v>464</v>
      </c>
      <c r="L546" s="1" t="s">
        <v>36</v>
      </c>
      <c r="M546" s="1"/>
      <c r="O546" s="1"/>
      <c r="P546" s="1"/>
      <c r="Q546" s="1"/>
      <c r="S546" s="2"/>
      <c r="T546" s="1"/>
      <c r="U546" s="2"/>
      <c r="V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 t="s">
        <v>12</v>
      </c>
      <c r="AN546" s="1" t="s">
        <v>14</v>
      </c>
      <c r="AO546" s="1">
        <v>271</v>
      </c>
      <c r="AP546" s="3">
        <v>0.45166666666666666</v>
      </c>
      <c r="AQ546" s="1"/>
    </row>
    <row r="547" spans="1:43" ht="12.3" x14ac:dyDescent="0.4">
      <c r="A547" s="1" t="s">
        <v>361</v>
      </c>
      <c r="B547" s="1"/>
      <c r="C547" s="1" t="s">
        <v>33</v>
      </c>
      <c r="D547" s="5" t="s">
        <v>7</v>
      </c>
      <c r="E547" s="5" t="s">
        <v>463</v>
      </c>
      <c r="F547" s="4" t="s">
        <v>465</v>
      </c>
      <c r="G547" s="4" t="s">
        <v>465</v>
      </c>
      <c r="I547" s="1" t="s">
        <v>8</v>
      </c>
      <c r="J547" s="1" t="s">
        <v>9</v>
      </c>
      <c r="K547" s="4" t="s">
        <v>464</v>
      </c>
      <c r="L547" s="1" t="s">
        <v>36</v>
      </c>
      <c r="M547" s="1"/>
      <c r="O547" s="1"/>
      <c r="P547" s="1"/>
      <c r="Q547" s="1"/>
      <c r="S547" s="2"/>
      <c r="T547" s="1"/>
      <c r="U547" s="1"/>
      <c r="V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 t="s">
        <v>15</v>
      </c>
      <c r="AN547" s="1" t="s">
        <v>14</v>
      </c>
      <c r="AO547" s="1">
        <v>352</v>
      </c>
      <c r="AP547" s="3">
        <v>0.58666666666666667</v>
      </c>
      <c r="AQ547" s="1"/>
    </row>
    <row r="548" spans="1:43" ht="12.3" x14ac:dyDescent="0.4">
      <c r="A548" s="1" t="s">
        <v>362</v>
      </c>
      <c r="B548" s="1"/>
      <c r="C548" s="1" t="s">
        <v>33</v>
      </c>
      <c r="D548" s="5" t="s">
        <v>7</v>
      </c>
      <c r="E548" s="5" t="s">
        <v>463</v>
      </c>
      <c r="F548" s="4" t="s">
        <v>465</v>
      </c>
      <c r="G548" s="4" t="s">
        <v>465</v>
      </c>
      <c r="I548" s="1" t="s">
        <v>8</v>
      </c>
      <c r="J548" s="1" t="s">
        <v>9</v>
      </c>
      <c r="K548" s="4" t="s">
        <v>464</v>
      </c>
      <c r="L548" s="1" t="s">
        <v>43</v>
      </c>
      <c r="M548" s="1"/>
      <c r="O548" s="1"/>
      <c r="P548" s="1"/>
      <c r="Q548" s="1"/>
      <c r="S548" s="2"/>
      <c r="T548" s="1"/>
      <c r="U548" s="1"/>
      <c r="V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 t="s">
        <v>12</v>
      </c>
      <c r="AN548" s="1" t="s">
        <v>20</v>
      </c>
      <c r="AO548" s="1">
        <v>337</v>
      </c>
      <c r="AP548" s="3">
        <v>0.56166666666666665</v>
      </c>
      <c r="AQ548" s="1"/>
    </row>
    <row r="549" spans="1:43" ht="12.3" x14ac:dyDescent="0.4">
      <c r="A549" s="1" t="s">
        <v>362</v>
      </c>
      <c r="B549" s="1"/>
      <c r="C549" s="1" t="s">
        <v>33</v>
      </c>
      <c r="D549" s="5" t="s">
        <v>7</v>
      </c>
      <c r="E549" s="5" t="s">
        <v>463</v>
      </c>
      <c r="F549" s="4" t="s">
        <v>465</v>
      </c>
      <c r="G549" s="4" t="s">
        <v>465</v>
      </c>
      <c r="I549" s="1" t="s">
        <v>16</v>
      </c>
      <c r="J549" s="1" t="s">
        <v>10</v>
      </c>
      <c r="K549" s="4" t="s">
        <v>464</v>
      </c>
      <c r="L549" s="1" t="s">
        <v>43</v>
      </c>
      <c r="M549" s="1"/>
      <c r="O549" s="1"/>
      <c r="P549" s="1"/>
      <c r="Q549" s="1"/>
      <c r="S549" s="2"/>
      <c r="T549" s="1"/>
      <c r="U549" s="1"/>
      <c r="V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 t="s">
        <v>15</v>
      </c>
      <c r="AN549" s="1" t="s">
        <v>18</v>
      </c>
      <c r="AO549" s="1">
        <v>371</v>
      </c>
      <c r="AP549" s="3">
        <v>0.61833333333333329</v>
      </c>
      <c r="AQ549" s="1"/>
    </row>
    <row r="550" spans="1:43" ht="12.3" x14ac:dyDescent="0.4">
      <c r="A550" s="1" t="s">
        <v>363</v>
      </c>
      <c r="B550" s="1"/>
      <c r="C550" s="1" t="s">
        <v>33</v>
      </c>
      <c r="D550" s="5" t="s">
        <v>7</v>
      </c>
      <c r="E550" s="5" t="s">
        <v>463</v>
      </c>
      <c r="F550" s="4" t="s">
        <v>465</v>
      </c>
      <c r="G550" s="4" t="s">
        <v>465</v>
      </c>
      <c r="I550" s="1" t="s">
        <v>16</v>
      </c>
      <c r="J550" s="1" t="s">
        <v>10</v>
      </c>
      <c r="K550" s="4" t="s">
        <v>464</v>
      </c>
      <c r="L550" s="1" t="s">
        <v>43</v>
      </c>
      <c r="M550" s="1"/>
      <c r="O550" s="1"/>
      <c r="P550" s="1"/>
      <c r="Q550" s="1"/>
      <c r="S550" s="2"/>
      <c r="T550" s="1"/>
      <c r="U550" s="1"/>
      <c r="V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 t="s">
        <v>15</v>
      </c>
      <c r="AN550" s="1" t="s">
        <v>14</v>
      </c>
      <c r="AO550" s="1">
        <v>335</v>
      </c>
      <c r="AP550" s="3">
        <v>0.55833333333333335</v>
      </c>
      <c r="AQ550" s="1"/>
    </row>
    <row r="551" spans="1:43" ht="12.3" x14ac:dyDescent="0.4">
      <c r="A551" s="1" t="s">
        <v>364</v>
      </c>
      <c r="B551" s="1"/>
      <c r="C551" s="1" t="s">
        <v>33</v>
      </c>
      <c r="D551" s="5" t="s">
        <v>7</v>
      </c>
      <c r="E551" s="5" t="s">
        <v>463</v>
      </c>
      <c r="F551" s="4" t="s">
        <v>465</v>
      </c>
      <c r="G551" s="4" t="s">
        <v>465</v>
      </c>
      <c r="I551" s="1" t="s">
        <v>16</v>
      </c>
      <c r="J551" s="1" t="s">
        <v>10</v>
      </c>
      <c r="K551" s="4" t="s">
        <v>464</v>
      </c>
      <c r="L551" s="1" t="s">
        <v>39</v>
      </c>
      <c r="M551" s="1"/>
      <c r="O551" s="1"/>
      <c r="P551" s="1"/>
      <c r="Q551" s="1"/>
      <c r="S551" s="2"/>
      <c r="T551" s="1"/>
      <c r="U551" s="1"/>
      <c r="V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 t="s">
        <v>12</v>
      </c>
      <c r="AN551" s="1" t="s">
        <v>13</v>
      </c>
      <c r="AO551" s="1">
        <v>281</v>
      </c>
      <c r="AP551" s="3">
        <v>0.46833333333333332</v>
      </c>
      <c r="AQ551" s="1"/>
    </row>
    <row r="552" spans="1:43" ht="12.3" x14ac:dyDescent="0.4">
      <c r="A552" s="1" t="s">
        <v>364</v>
      </c>
      <c r="B552" s="1"/>
      <c r="C552" s="1" t="s">
        <v>33</v>
      </c>
      <c r="D552" s="5" t="s">
        <v>7</v>
      </c>
      <c r="E552" s="5" t="s">
        <v>463</v>
      </c>
      <c r="F552" s="4" t="s">
        <v>465</v>
      </c>
      <c r="G552" s="4" t="s">
        <v>465</v>
      </c>
      <c r="I552" s="1" t="s">
        <v>8</v>
      </c>
      <c r="J552" s="1" t="s">
        <v>9</v>
      </c>
      <c r="K552" s="4" t="s">
        <v>464</v>
      </c>
      <c r="L552" s="1" t="s">
        <v>39</v>
      </c>
      <c r="M552" s="1"/>
      <c r="O552" s="1"/>
      <c r="P552" s="1"/>
      <c r="Q552" s="1"/>
      <c r="S552" s="2"/>
      <c r="T552" s="1"/>
      <c r="U552" s="1"/>
      <c r="V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 t="s">
        <v>15</v>
      </c>
      <c r="AN552" s="1" t="s">
        <v>13</v>
      </c>
      <c r="AO552" s="1">
        <v>369</v>
      </c>
      <c r="AP552" s="3">
        <v>0.61499999999999999</v>
      </c>
      <c r="AQ552" s="1"/>
    </row>
    <row r="553" spans="1:43" ht="12.3" x14ac:dyDescent="0.4">
      <c r="A553" s="1" t="s">
        <v>365</v>
      </c>
      <c r="B553" s="1"/>
      <c r="C553" s="1" t="s">
        <v>33</v>
      </c>
      <c r="D553" s="5" t="s">
        <v>7</v>
      </c>
      <c r="E553" s="5" t="s">
        <v>463</v>
      </c>
      <c r="F553" s="4" t="s">
        <v>465</v>
      </c>
      <c r="G553" s="4" t="s">
        <v>465</v>
      </c>
      <c r="I553" s="1" t="s">
        <v>8</v>
      </c>
      <c r="J553" s="1" t="s">
        <v>9</v>
      </c>
      <c r="K553" s="4" t="s">
        <v>464</v>
      </c>
      <c r="L553" s="1" t="s">
        <v>36</v>
      </c>
      <c r="M553" s="1"/>
      <c r="O553" s="1"/>
      <c r="P553" s="1"/>
      <c r="Q553" s="1"/>
      <c r="S553" s="2"/>
      <c r="T553" s="1"/>
      <c r="U553" s="1"/>
      <c r="V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 t="s">
        <v>12</v>
      </c>
      <c r="AN553" s="1" t="s">
        <v>13</v>
      </c>
      <c r="AO553" s="1">
        <v>282</v>
      </c>
      <c r="AP553" s="3">
        <v>0.47</v>
      </c>
      <c r="AQ553" s="1"/>
    </row>
    <row r="554" spans="1:43" ht="12.3" x14ac:dyDescent="0.4">
      <c r="A554" s="1" t="s">
        <v>365</v>
      </c>
      <c r="B554" s="1"/>
      <c r="C554" s="1" t="s">
        <v>33</v>
      </c>
      <c r="D554" s="5" t="s">
        <v>7</v>
      </c>
      <c r="E554" s="5" t="s">
        <v>463</v>
      </c>
      <c r="F554" s="4" t="s">
        <v>465</v>
      </c>
      <c r="G554" s="4" t="s">
        <v>465</v>
      </c>
      <c r="I554" s="1" t="s">
        <v>16</v>
      </c>
      <c r="J554" s="1" t="s">
        <v>10</v>
      </c>
      <c r="K554" s="4" t="s">
        <v>464</v>
      </c>
      <c r="L554" s="1" t="s">
        <v>36</v>
      </c>
      <c r="M554" s="1"/>
      <c r="O554" s="1"/>
      <c r="P554" s="1"/>
      <c r="Q554" s="1"/>
      <c r="S554" s="1"/>
      <c r="T554" s="1"/>
      <c r="U554" s="1"/>
      <c r="V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 t="s">
        <v>15</v>
      </c>
      <c r="AN554" s="1" t="s">
        <v>14</v>
      </c>
      <c r="AO554" s="1">
        <v>352</v>
      </c>
      <c r="AP554" s="3">
        <v>0.58666666666666667</v>
      </c>
      <c r="AQ554" s="1"/>
    </row>
    <row r="555" spans="1:43" ht="12.3" x14ac:dyDescent="0.4">
      <c r="A555" s="1" t="s">
        <v>366</v>
      </c>
      <c r="B555" s="1"/>
      <c r="C555" s="1" t="s">
        <v>33</v>
      </c>
      <c r="D555" s="5" t="s">
        <v>7</v>
      </c>
      <c r="E555" s="5" t="s">
        <v>463</v>
      </c>
      <c r="F555" s="4" t="s">
        <v>465</v>
      </c>
      <c r="G555" s="4" t="s">
        <v>465</v>
      </c>
      <c r="I555" s="1" t="s">
        <v>16</v>
      </c>
      <c r="J555" s="1" t="s">
        <v>10</v>
      </c>
      <c r="K555" s="4" t="s">
        <v>464</v>
      </c>
      <c r="L555" s="1" t="s">
        <v>41</v>
      </c>
      <c r="M555" s="1"/>
      <c r="O555" s="1"/>
      <c r="P555" s="1"/>
      <c r="Q555" s="1"/>
      <c r="S555" s="1"/>
      <c r="T555" s="1"/>
      <c r="U555" s="1"/>
      <c r="V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 t="s">
        <v>12</v>
      </c>
      <c r="AN555" s="1" t="s">
        <v>20</v>
      </c>
      <c r="AO555" s="1">
        <v>361</v>
      </c>
      <c r="AP555" s="3">
        <v>0.60166666666666668</v>
      </c>
      <c r="AQ555" s="1"/>
    </row>
    <row r="556" spans="1:43" ht="12.3" x14ac:dyDescent="0.4">
      <c r="A556" s="1" t="s">
        <v>366</v>
      </c>
      <c r="B556" s="1"/>
      <c r="C556" s="1" t="s">
        <v>33</v>
      </c>
      <c r="D556" s="5" t="s">
        <v>7</v>
      </c>
      <c r="E556" s="5" t="s">
        <v>463</v>
      </c>
      <c r="F556" s="4" t="s">
        <v>465</v>
      </c>
      <c r="G556" s="4" t="s">
        <v>465</v>
      </c>
      <c r="I556" s="1" t="s">
        <v>29</v>
      </c>
      <c r="J556" s="1" t="s">
        <v>9</v>
      </c>
      <c r="K556" s="4" t="s">
        <v>464</v>
      </c>
      <c r="L556" s="1" t="s">
        <v>41</v>
      </c>
      <c r="M556" s="1"/>
      <c r="O556" s="1"/>
      <c r="P556" s="1"/>
      <c r="Q556" s="1"/>
      <c r="S556" s="2"/>
      <c r="T556" s="1"/>
      <c r="U556" s="1"/>
      <c r="V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 t="s">
        <v>15</v>
      </c>
      <c r="AN556" s="1" t="s">
        <v>20</v>
      </c>
      <c r="AO556" s="1">
        <v>396</v>
      </c>
      <c r="AP556" s="3">
        <v>0.66</v>
      </c>
      <c r="AQ556" s="1"/>
    </row>
    <row r="557" spans="1:43" ht="12.3" x14ac:dyDescent="0.4">
      <c r="A557" s="1" t="s">
        <v>367</v>
      </c>
      <c r="B557" s="1"/>
      <c r="C557" s="1" t="s">
        <v>33</v>
      </c>
      <c r="D557" s="5" t="s">
        <v>7</v>
      </c>
      <c r="E557" s="5" t="s">
        <v>463</v>
      </c>
      <c r="F557" s="4" t="s">
        <v>465</v>
      </c>
      <c r="G557" s="4" t="s">
        <v>465</v>
      </c>
      <c r="I557" s="1" t="s">
        <v>29</v>
      </c>
      <c r="J557" s="1" t="s">
        <v>9</v>
      </c>
      <c r="K557" s="4" t="s">
        <v>464</v>
      </c>
      <c r="L557" s="1" t="s">
        <v>39</v>
      </c>
      <c r="M557" s="1"/>
      <c r="O557" s="1"/>
      <c r="P557" s="1"/>
      <c r="Q557" s="1"/>
      <c r="S557" s="2"/>
      <c r="T557" s="1"/>
      <c r="U557" s="1"/>
      <c r="V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 t="s">
        <v>12</v>
      </c>
      <c r="AN557" s="1" t="s">
        <v>13</v>
      </c>
      <c r="AO557" s="1">
        <v>290</v>
      </c>
      <c r="AP557" s="3">
        <v>0.48333333333333334</v>
      </c>
      <c r="AQ557" s="1"/>
    </row>
    <row r="558" spans="1:43" ht="12.3" x14ac:dyDescent="0.4">
      <c r="A558" s="1" t="s">
        <v>367</v>
      </c>
      <c r="B558" s="1"/>
      <c r="C558" s="1" t="s">
        <v>33</v>
      </c>
      <c r="D558" s="5" t="s">
        <v>7</v>
      </c>
      <c r="E558" s="5" t="s">
        <v>463</v>
      </c>
      <c r="F558" s="4" t="s">
        <v>465</v>
      </c>
      <c r="G558" s="4" t="s">
        <v>465</v>
      </c>
      <c r="I558" s="1" t="s">
        <v>8</v>
      </c>
      <c r="J558" s="1" t="s">
        <v>9</v>
      </c>
      <c r="K558" s="4" t="s">
        <v>464</v>
      </c>
      <c r="L558" s="1" t="s">
        <v>39</v>
      </c>
      <c r="M558" s="1"/>
      <c r="O558" s="1"/>
      <c r="P558" s="1"/>
      <c r="Q558" s="1"/>
      <c r="S558" s="2"/>
      <c r="T558" s="1"/>
      <c r="U558" s="2"/>
      <c r="V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 t="s">
        <v>15</v>
      </c>
      <c r="AN558" s="1" t="s">
        <v>13</v>
      </c>
      <c r="AO558" s="1">
        <v>364</v>
      </c>
      <c r="AP558" s="3">
        <v>0.60666666666666669</v>
      </c>
      <c r="AQ558" s="1"/>
    </row>
    <row r="559" spans="1:43" ht="12.3" x14ac:dyDescent="0.4">
      <c r="A559" s="1" t="s">
        <v>368</v>
      </c>
      <c r="B559" s="1"/>
      <c r="C559" s="1" t="s">
        <v>33</v>
      </c>
      <c r="D559" s="5" t="s">
        <v>7</v>
      </c>
      <c r="E559" s="5" t="s">
        <v>463</v>
      </c>
      <c r="F559" s="4" t="s">
        <v>465</v>
      </c>
      <c r="G559" s="4" t="s">
        <v>465</v>
      </c>
      <c r="I559" s="1" t="s">
        <v>8</v>
      </c>
      <c r="J559" s="1" t="s">
        <v>9</v>
      </c>
      <c r="K559" s="4" t="s">
        <v>464</v>
      </c>
      <c r="L559" s="1" t="s">
        <v>40</v>
      </c>
      <c r="M559" s="1"/>
      <c r="O559" s="1"/>
      <c r="P559" s="1"/>
      <c r="Q559" s="1"/>
      <c r="S559" s="2"/>
      <c r="T559" s="1"/>
      <c r="U559" s="2"/>
      <c r="V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 t="s">
        <v>12</v>
      </c>
      <c r="AN559" s="1" t="s">
        <v>14</v>
      </c>
      <c r="AO559" s="1">
        <v>278</v>
      </c>
      <c r="AP559" s="3">
        <v>0.46333333333333332</v>
      </c>
      <c r="AQ559" s="1"/>
    </row>
    <row r="560" spans="1:43" ht="12.3" x14ac:dyDescent="0.4">
      <c r="A560" s="1" t="s">
        <v>368</v>
      </c>
      <c r="B560" s="1"/>
      <c r="C560" s="1" t="s">
        <v>33</v>
      </c>
      <c r="D560" s="5" t="s">
        <v>7</v>
      </c>
      <c r="E560" s="5" t="s">
        <v>463</v>
      </c>
      <c r="F560" s="4" t="s">
        <v>465</v>
      </c>
      <c r="G560" s="4" t="s">
        <v>465</v>
      </c>
      <c r="I560" s="1" t="s">
        <v>16</v>
      </c>
      <c r="J560" s="1" t="s">
        <v>10</v>
      </c>
      <c r="K560" s="4" t="s">
        <v>464</v>
      </c>
      <c r="L560" s="1" t="s">
        <v>40</v>
      </c>
      <c r="M560" s="1"/>
      <c r="O560" s="1"/>
      <c r="P560" s="1"/>
      <c r="Q560" s="1"/>
      <c r="S560" s="2"/>
      <c r="T560" s="1"/>
      <c r="U560" s="2"/>
      <c r="V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 t="s">
        <v>15</v>
      </c>
      <c r="AN560" s="1" t="s">
        <v>14</v>
      </c>
      <c r="AO560" s="1">
        <v>350</v>
      </c>
      <c r="AP560" s="3">
        <v>0.58333333333333337</v>
      </c>
      <c r="AQ560" s="1"/>
    </row>
    <row r="561" spans="1:43" ht="12.3" x14ac:dyDescent="0.4">
      <c r="A561" s="1" t="s">
        <v>369</v>
      </c>
      <c r="B561" s="1"/>
      <c r="C561" s="1" t="s">
        <v>33</v>
      </c>
      <c r="D561" s="5" t="s">
        <v>7</v>
      </c>
      <c r="E561" s="5" t="s">
        <v>463</v>
      </c>
      <c r="F561" s="4" t="s">
        <v>465</v>
      </c>
      <c r="G561" s="4" t="s">
        <v>465</v>
      </c>
      <c r="I561" s="1" t="s">
        <v>16</v>
      </c>
      <c r="J561" s="1" t="s">
        <v>10</v>
      </c>
      <c r="K561" s="4" t="s">
        <v>464</v>
      </c>
      <c r="L561" s="1" t="s">
        <v>41</v>
      </c>
      <c r="M561" s="1"/>
      <c r="O561" s="1"/>
      <c r="P561" s="1"/>
      <c r="Q561" s="1"/>
      <c r="S561" s="2"/>
      <c r="T561" s="1"/>
      <c r="U561" s="2"/>
      <c r="V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 t="s">
        <v>12</v>
      </c>
      <c r="AN561" s="1" t="s">
        <v>18</v>
      </c>
      <c r="AO561" s="1">
        <v>315</v>
      </c>
      <c r="AP561" s="3">
        <v>0.52500000000000002</v>
      </c>
      <c r="AQ561" s="1"/>
    </row>
    <row r="562" spans="1:43" ht="12.3" x14ac:dyDescent="0.4">
      <c r="A562" s="1" t="s">
        <v>369</v>
      </c>
      <c r="B562" s="1"/>
      <c r="C562" s="1" t="s">
        <v>33</v>
      </c>
      <c r="D562" s="5" t="s">
        <v>7</v>
      </c>
      <c r="E562" s="5" t="s">
        <v>463</v>
      </c>
      <c r="F562" s="4" t="s">
        <v>465</v>
      </c>
      <c r="G562" s="4" t="s">
        <v>465</v>
      </c>
      <c r="I562" s="1" t="s">
        <v>8</v>
      </c>
      <c r="J562" s="1" t="s">
        <v>9</v>
      </c>
      <c r="K562" s="4" t="s">
        <v>464</v>
      </c>
      <c r="L562" s="1" t="s">
        <v>41</v>
      </c>
      <c r="M562" s="1"/>
      <c r="O562" s="1"/>
      <c r="P562" s="1"/>
      <c r="Q562" s="1"/>
      <c r="S562" s="2"/>
      <c r="T562" s="1"/>
      <c r="U562" s="1"/>
      <c r="V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 t="s">
        <v>15</v>
      </c>
      <c r="AN562" s="1" t="s">
        <v>20</v>
      </c>
      <c r="AO562" s="1">
        <v>402</v>
      </c>
      <c r="AP562" s="3">
        <v>0.67</v>
      </c>
      <c r="AQ562" s="1"/>
    </row>
    <row r="563" spans="1:43" ht="12.3" x14ac:dyDescent="0.4">
      <c r="A563" s="1" t="s">
        <v>370</v>
      </c>
      <c r="B563" s="1"/>
      <c r="C563" s="1" t="s">
        <v>33</v>
      </c>
      <c r="D563" s="5" t="s">
        <v>7</v>
      </c>
      <c r="E563" s="5" t="s">
        <v>463</v>
      </c>
      <c r="F563" s="4" t="s">
        <v>465</v>
      </c>
      <c r="G563" s="4" t="s">
        <v>465</v>
      </c>
      <c r="I563" s="1" t="s">
        <v>8</v>
      </c>
      <c r="J563" s="1" t="s">
        <v>9</v>
      </c>
      <c r="K563" s="4" t="s">
        <v>464</v>
      </c>
      <c r="L563" s="1" t="s">
        <v>42</v>
      </c>
      <c r="M563" s="1"/>
      <c r="O563" s="1"/>
      <c r="P563" s="1"/>
      <c r="Q563" s="1"/>
      <c r="S563" s="2"/>
      <c r="T563" s="1"/>
      <c r="U563" s="1"/>
      <c r="V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 t="s">
        <v>12</v>
      </c>
      <c r="AN563" s="1" t="s">
        <v>14</v>
      </c>
      <c r="AO563" s="1">
        <v>262</v>
      </c>
      <c r="AP563" s="3">
        <v>0.43666666666666665</v>
      </c>
      <c r="AQ563" s="1"/>
    </row>
    <row r="564" spans="1:43" ht="12.3" x14ac:dyDescent="0.4">
      <c r="A564" s="1" t="s">
        <v>370</v>
      </c>
      <c r="B564" s="1"/>
      <c r="C564" s="1" t="s">
        <v>33</v>
      </c>
      <c r="D564" s="5" t="s">
        <v>7</v>
      </c>
      <c r="E564" s="5" t="s">
        <v>463</v>
      </c>
      <c r="F564" s="4" t="s">
        <v>465</v>
      </c>
      <c r="G564" s="4" t="s">
        <v>465</v>
      </c>
      <c r="I564" s="1" t="s">
        <v>16</v>
      </c>
      <c r="J564" s="1" t="s">
        <v>10</v>
      </c>
      <c r="K564" s="4" t="s">
        <v>464</v>
      </c>
      <c r="L564" s="1" t="s">
        <v>42</v>
      </c>
      <c r="M564" s="1"/>
      <c r="O564" s="1"/>
      <c r="P564" s="1"/>
      <c r="Q564" s="1"/>
      <c r="S564" s="2"/>
      <c r="T564" s="1"/>
      <c r="U564" s="2"/>
      <c r="V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 t="s">
        <v>15</v>
      </c>
      <c r="AN564" s="1" t="s">
        <v>14</v>
      </c>
      <c r="AO564" s="1">
        <v>338</v>
      </c>
      <c r="AP564" s="3">
        <v>0.56333333333333335</v>
      </c>
      <c r="AQ564" s="1"/>
    </row>
    <row r="565" spans="1:43" ht="12.3" x14ac:dyDescent="0.4">
      <c r="A565" s="1" t="s">
        <v>371</v>
      </c>
      <c r="B565" s="1"/>
      <c r="C565" s="1" t="s">
        <v>33</v>
      </c>
      <c r="D565" s="5" t="s">
        <v>7</v>
      </c>
      <c r="E565" s="5" t="s">
        <v>463</v>
      </c>
      <c r="F565" s="4" t="s">
        <v>465</v>
      </c>
      <c r="G565" s="4" t="s">
        <v>465</v>
      </c>
      <c r="I565" s="1" t="s">
        <v>16</v>
      </c>
      <c r="J565" s="1" t="s">
        <v>10</v>
      </c>
      <c r="K565" s="4" t="s">
        <v>464</v>
      </c>
      <c r="L565" s="1" t="s">
        <v>36</v>
      </c>
      <c r="M565" s="1"/>
      <c r="O565" s="1"/>
      <c r="P565" s="1"/>
      <c r="Q565" s="1"/>
      <c r="S565" s="2"/>
      <c r="T565" s="1"/>
      <c r="U565" s="2"/>
      <c r="V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 t="s">
        <v>12</v>
      </c>
      <c r="AN565" s="1" t="s">
        <v>14</v>
      </c>
      <c r="AO565" s="1">
        <v>261</v>
      </c>
      <c r="AP565" s="3">
        <v>0.435</v>
      </c>
      <c r="AQ565" s="1"/>
    </row>
    <row r="566" spans="1:43" ht="12.3" x14ac:dyDescent="0.4">
      <c r="A566" s="1" t="s">
        <v>371</v>
      </c>
      <c r="B566" s="1"/>
      <c r="C566" s="1" t="s">
        <v>33</v>
      </c>
      <c r="D566" s="5" t="s">
        <v>7</v>
      </c>
      <c r="E566" s="5" t="s">
        <v>463</v>
      </c>
      <c r="F566" s="4" t="s">
        <v>465</v>
      </c>
      <c r="G566" s="4" t="s">
        <v>465</v>
      </c>
      <c r="I566" s="1" t="s">
        <v>8</v>
      </c>
      <c r="J566" s="1" t="s">
        <v>9</v>
      </c>
      <c r="K566" s="4" t="s">
        <v>464</v>
      </c>
      <c r="L566" s="1" t="s">
        <v>36</v>
      </c>
      <c r="M566" s="1"/>
      <c r="O566" s="1"/>
      <c r="P566" s="1"/>
      <c r="Q566" s="1"/>
      <c r="S566" s="2"/>
      <c r="T566" s="1"/>
      <c r="U566" s="1"/>
      <c r="V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 t="s">
        <v>15</v>
      </c>
      <c r="AN566" s="1" t="s">
        <v>14</v>
      </c>
      <c r="AO566" s="1">
        <v>345</v>
      </c>
      <c r="AP566" s="3">
        <v>0.57499999999999996</v>
      </c>
      <c r="AQ566" s="1"/>
    </row>
    <row r="567" spans="1:43" ht="12.3" x14ac:dyDescent="0.4">
      <c r="A567" s="1" t="s">
        <v>372</v>
      </c>
      <c r="B567" s="1"/>
      <c r="C567" s="1" t="s">
        <v>33</v>
      </c>
      <c r="D567" s="5" t="s">
        <v>7</v>
      </c>
      <c r="E567" s="5" t="s">
        <v>463</v>
      </c>
      <c r="F567" s="4" t="s">
        <v>465</v>
      </c>
      <c r="G567" s="4" t="s">
        <v>465</v>
      </c>
      <c r="I567" s="1" t="s">
        <v>8</v>
      </c>
      <c r="J567" s="1" t="s">
        <v>9</v>
      </c>
      <c r="K567" s="4" t="s">
        <v>464</v>
      </c>
      <c r="L567" s="1" t="s">
        <v>36</v>
      </c>
      <c r="M567" s="1"/>
      <c r="O567" s="1"/>
      <c r="P567" s="1"/>
      <c r="Q567" s="1"/>
      <c r="S567" s="2"/>
      <c r="T567" s="1"/>
      <c r="U567" s="1"/>
      <c r="V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 t="s">
        <v>12</v>
      </c>
      <c r="AN567" s="1" t="s">
        <v>14</v>
      </c>
      <c r="AO567" s="1">
        <v>261</v>
      </c>
      <c r="AP567" s="3">
        <v>0.435</v>
      </c>
      <c r="AQ567" s="1"/>
    </row>
    <row r="568" spans="1:43" ht="12.3" x14ac:dyDescent="0.4">
      <c r="A568" s="1" t="s">
        <v>372</v>
      </c>
      <c r="B568" s="1"/>
      <c r="C568" s="1" t="s">
        <v>33</v>
      </c>
      <c r="D568" s="5" t="s">
        <v>7</v>
      </c>
      <c r="E568" s="5" t="s">
        <v>463</v>
      </c>
      <c r="F568" s="4" t="s">
        <v>465</v>
      </c>
      <c r="G568" s="4" t="s">
        <v>465</v>
      </c>
      <c r="I568" s="1" t="s">
        <v>16</v>
      </c>
      <c r="J568" s="1" t="s">
        <v>10</v>
      </c>
      <c r="K568" s="4" t="s">
        <v>464</v>
      </c>
      <c r="L568" s="1" t="s">
        <v>36</v>
      </c>
      <c r="M568" s="1"/>
      <c r="O568" s="1"/>
      <c r="P568" s="1"/>
      <c r="Q568" s="1"/>
      <c r="S568" s="2"/>
      <c r="T568" s="1"/>
      <c r="U568" s="1"/>
      <c r="V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 t="s">
        <v>15</v>
      </c>
      <c r="AN568" s="1" t="s">
        <v>14</v>
      </c>
      <c r="AO568" s="1">
        <v>346</v>
      </c>
      <c r="AP568" s="3">
        <v>0.57666666666666666</v>
      </c>
      <c r="AQ568" s="1"/>
    </row>
    <row r="569" spans="1:43" ht="12.3" x14ac:dyDescent="0.4">
      <c r="A569" s="1" t="s">
        <v>373</v>
      </c>
      <c r="B569" s="1"/>
      <c r="C569" s="1" t="s">
        <v>33</v>
      </c>
      <c r="D569" s="5" t="s">
        <v>7</v>
      </c>
      <c r="E569" s="5" t="s">
        <v>463</v>
      </c>
      <c r="F569" s="4" t="s">
        <v>465</v>
      </c>
      <c r="G569" s="4" t="s">
        <v>465</v>
      </c>
      <c r="I569" s="1" t="s">
        <v>16</v>
      </c>
      <c r="J569" s="1" t="s">
        <v>10</v>
      </c>
      <c r="K569" s="4" t="s">
        <v>464</v>
      </c>
      <c r="L569" s="1" t="s">
        <v>38</v>
      </c>
      <c r="M569" s="1"/>
      <c r="O569" s="1"/>
      <c r="P569" s="1"/>
      <c r="Q569" s="1"/>
      <c r="S569" s="2"/>
      <c r="T569" s="1"/>
      <c r="U569" s="1"/>
      <c r="V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 t="s">
        <v>12</v>
      </c>
      <c r="AN569" s="1" t="s">
        <v>20</v>
      </c>
      <c r="AO569" s="1">
        <v>332</v>
      </c>
      <c r="AP569" s="3">
        <v>0.55333333333333334</v>
      </c>
      <c r="AQ569" s="1"/>
    </row>
    <row r="570" spans="1:43" ht="12.3" x14ac:dyDescent="0.4">
      <c r="A570" s="1" t="s">
        <v>373</v>
      </c>
      <c r="B570" s="1"/>
      <c r="C570" s="1" t="s">
        <v>33</v>
      </c>
      <c r="D570" s="5" t="s">
        <v>7</v>
      </c>
      <c r="E570" s="5" t="s">
        <v>463</v>
      </c>
      <c r="F570" s="4" t="s">
        <v>465</v>
      </c>
      <c r="G570" s="4" t="s">
        <v>465</v>
      </c>
      <c r="I570" s="1" t="s">
        <v>16</v>
      </c>
      <c r="J570" s="1" t="s">
        <v>10</v>
      </c>
      <c r="K570" s="4" t="s">
        <v>464</v>
      </c>
      <c r="L570" s="1" t="s">
        <v>38</v>
      </c>
      <c r="M570" s="1"/>
      <c r="O570" s="1"/>
      <c r="P570" s="1"/>
      <c r="Q570" s="1"/>
      <c r="S570" s="2"/>
      <c r="T570" s="1"/>
      <c r="U570" s="1"/>
      <c r="V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 t="s">
        <v>15</v>
      </c>
      <c r="AN570" s="1" t="s">
        <v>20</v>
      </c>
      <c r="AO570" s="1">
        <v>404</v>
      </c>
      <c r="AP570" s="3">
        <v>0.67333333333333334</v>
      </c>
      <c r="AQ570" s="1"/>
    </row>
    <row r="571" spans="1:43" ht="12.3" x14ac:dyDescent="0.4">
      <c r="A571" s="1" t="s">
        <v>374</v>
      </c>
      <c r="B571" s="1"/>
      <c r="C571" s="1" t="s">
        <v>33</v>
      </c>
      <c r="D571" s="5" t="s">
        <v>7</v>
      </c>
      <c r="E571" s="5" t="s">
        <v>463</v>
      </c>
      <c r="F571" s="4" t="s">
        <v>465</v>
      </c>
      <c r="G571" s="4" t="s">
        <v>465</v>
      </c>
      <c r="I571" s="1" t="s">
        <v>16</v>
      </c>
      <c r="J571" s="1" t="s">
        <v>10</v>
      </c>
      <c r="K571" s="4" t="s">
        <v>464</v>
      </c>
      <c r="L571" s="1" t="s">
        <v>40</v>
      </c>
      <c r="M571" s="1"/>
      <c r="O571" s="1"/>
      <c r="P571" s="1"/>
      <c r="Q571" s="1"/>
      <c r="S571" s="2"/>
      <c r="T571" s="1"/>
      <c r="U571" s="1"/>
      <c r="V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 t="s">
        <v>12</v>
      </c>
      <c r="AN571" s="1" t="s">
        <v>18</v>
      </c>
      <c r="AO571" s="1">
        <v>328</v>
      </c>
      <c r="AP571" s="3">
        <v>0.54666666666666663</v>
      </c>
      <c r="AQ571" s="1"/>
    </row>
    <row r="572" spans="1:43" ht="12.3" x14ac:dyDescent="0.4">
      <c r="A572" s="1" t="s">
        <v>374</v>
      </c>
      <c r="B572" s="1"/>
      <c r="C572" s="1" t="s">
        <v>33</v>
      </c>
      <c r="D572" s="5" t="s">
        <v>7</v>
      </c>
      <c r="E572" s="5" t="s">
        <v>463</v>
      </c>
      <c r="F572" s="4" t="s">
        <v>465</v>
      </c>
      <c r="G572" s="4" t="s">
        <v>465</v>
      </c>
      <c r="I572" s="1" t="s">
        <v>16</v>
      </c>
      <c r="J572" s="1" t="s">
        <v>10</v>
      </c>
      <c r="K572" s="4" t="s">
        <v>464</v>
      </c>
      <c r="L572" s="1" t="s">
        <v>40</v>
      </c>
      <c r="M572" s="1"/>
      <c r="O572" s="1"/>
      <c r="P572" s="1"/>
      <c r="Q572" s="1"/>
      <c r="S572" s="2"/>
      <c r="T572" s="1"/>
      <c r="U572" s="1"/>
      <c r="V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 t="s">
        <v>15</v>
      </c>
      <c r="AN572" s="1" t="s">
        <v>20</v>
      </c>
      <c r="AO572" s="1">
        <v>407</v>
      </c>
      <c r="AP572" s="3">
        <v>0.67833333333333334</v>
      </c>
      <c r="AQ572" s="1"/>
    </row>
    <row r="573" spans="1:43" ht="12.3" x14ac:dyDescent="0.4">
      <c r="A573" s="1" t="s">
        <v>375</v>
      </c>
      <c r="B573" s="1"/>
      <c r="C573" s="1" t="s">
        <v>33</v>
      </c>
      <c r="D573" s="5" t="s">
        <v>7</v>
      </c>
      <c r="E573" s="5" t="s">
        <v>463</v>
      </c>
      <c r="F573" s="4" t="s">
        <v>465</v>
      </c>
      <c r="G573" s="4" t="s">
        <v>465</v>
      </c>
      <c r="I573" s="1" t="s">
        <v>16</v>
      </c>
      <c r="J573" s="1" t="s">
        <v>10</v>
      </c>
      <c r="K573" s="4" t="s">
        <v>464</v>
      </c>
      <c r="L573" s="1" t="s">
        <v>41</v>
      </c>
      <c r="M573" s="1"/>
      <c r="O573" s="1"/>
      <c r="P573" s="1"/>
      <c r="Q573" s="1"/>
      <c r="S573" s="2"/>
      <c r="T573" s="1"/>
      <c r="U573" s="1"/>
      <c r="V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 t="s">
        <v>12</v>
      </c>
      <c r="AN573" s="1" t="s">
        <v>18</v>
      </c>
      <c r="AO573" s="1">
        <v>328</v>
      </c>
      <c r="AP573" s="3">
        <v>0.54666666666666663</v>
      </c>
      <c r="AQ573" s="1"/>
    </row>
    <row r="574" spans="1:43" ht="12.3" x14ac:dyDescent="0.4">
      <c r="A574" s="1" t="s">
        <v>375</v>
      </c>
      <c r="B574" s="1"/>
      <c r="C574" s="1" t="s">
        <v>33</v>
      </c>
      <c r="D574" s="5" t="s">
        <v>7</v>
      </c>
      <c r="E574" s="5" t="s">
        <v>463</v>
      </c>
      <c r="F574" s="4" t="s">
        <v>465</v>
      </c>
      <c r="G574" s="4" t="s">
        <v>465</v>
      </c>
      <c r="I574" s="1" t="s">
        <v>16</v>
      </c>
      <c r="J574" s="1" t="s">
        <v>10</v>
      </c>
      <c r="K574" s="4" t="s">
        <v>464</v>
      </c>
      <c r="L574" s="1" t="s">
        <v>41</v>
      </c>
      <c r="M574" s="1"/>
      <c r="O574" s="1"/>
      <c r="P574" s="1"/>
      <c r="Q574" s="1"/>
      <c r="S574" s="2"/>
      <c r="T574" s="1"/>
      <c r="U574" s="2"/>
      <c r="V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 t="s">
        <v>15</v>
      </c>
      <c r="AN574" s="1" t="s">
        <v>20</v>
      </c>
      <c r="AO574" s="1">
        <v>401</v>
      </c>
      <c r="AP574" s="3">
        <v>0.66833333333333333</v>
      </c>
      <c r="AQ574" s="1"/>
    </row>
    <row r="575" spans="1:43" ht="12.3" x14ac:dyDescent="0.4">
      <c r="A575" s="1" t="s">
        <v>376</v>
      </c>
      <c r="B575" s="1"/>
      <c r="C575" s="1" t="s">
        <v>33</v>
      </c>
      <c r="D575" s="5" t="s">
        <v>7</v>
      </c>
      <c r="E575" s="5" t="s">
        <v>463</v>
      </c>
      <c r="F575" s="4" t="s">
        <v>465</v>
      </c>
      <c r="G575" s="4" t="s">
        <v>465</v>
      </c>
      <c r="I575" s="1" t="s">
        <v>16</v>
      </c>
      <c r="J575" s="1" t="s">
        <v>10</v>
      </c>
      <c r="K575" s="4" t="s">
        <v>464</v>
      </c>
      <c r="L575" s="1" t="s">
        <v>40</v>
      </c>
      <c r="M575" s="1"/>
      <c r="O575" s="1"/>
      <c r="P575" s="1"/>
      <c r="Q575" s="1"/>
      <c r="S575" s="2"/>
      <c r="T575" s="1"/>
      <c r="U575" s="2"/>
      <c r="V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 t="s">
        <v>12</v>
      </c>
      <c r="AN575" s="1" t="s">
        <v>13</v>
      </c>
      <c r="AO575" s="1">
        <v>293</v>
      </c>
      <c r="AP575" s="3">
        <v>0.48833333333333334</v>
      </c>
      <c r="AQ575" s="1"/>
    </row>
    <row r="576" spans="1:43" ht="12.3" x14ac:dyDescent="0.4">
      <c r="A576" s="1" t="s">
        <v>376</v>
      </c>
      <c r="B576" s="1"/>
      <c r="C576" s="1" t="s">
        <v>33</v>
      </c>
      <c r="D576" s="5" t="s">
        <v>7</v>
      </c>
      <c r="E576" s="5" t="s">
        <v>463</v>
      </c>
      <c r="F576" s="4" t="s">
        <v>465</v>
      </c>
      <c r="G576" s="4" t="s">
        <v>465</v>
      </c>
      <c r="I576" s="1" t="s">
        <v>16</v>
      </c>
      <c r="J576" s="1" t="s">
        <v>10</v>
      </c>
      <c r="K576" s="4" t="s">
        <v>464</v>
      </c>
      <c r="L576" s="1" t="s">
        <v>40</v>
      </c>
      <c r="M576" s="1"/>
      <c r="O576" s="1"/>
      <c r="P576" s="1"/>
      <c r="Q576" s="1"/>
      <c r="S576" s="2"/>
      <c r="T576" s="1"/>
      <c r="U576" s="2"/>
      <c r="V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 t="s">
        <v>15</v>
      </c>
      <c r="AN576" s="1" t="s">
        <v>20</v>
      </c>
      <c r="AO576" s="1">
        <v>407</v>
      </c>
      <c r="AP576" s="3">
        <v>0.67833333333333334</v>
      </c>
      <c r="AQ576" s="1"/>
    </row>
    <row r="577" spans="1:43" ht="12.3" x14ac:dyDescent="0.4">
      <c r="A577" s="1" t="s">
        <v>377</v>
      </c>
      <c r="B577" s="1"/>
      <c r="C577" s="1" t="s">
        <v>33</v>
      </c>
      <c r="D577" s="5" t="s">
        <v>7</v>
      </c>
      <c r="E577" s="5" t="s">
        <v>463</v>
      </c>
      <c r="F577" s="4" t="s">
        <v>465</v>
      </c>
      <c r="G577" s="4" t="s">
        <v>465</v>
      </c>
      <c r="I577" s="1" t="s">
        <v>16</v>
      </c>
      <c r="J577" s="1" t="s">
        <v>10</v>
      </c>
      <c r="K577" s="4" t="s">
        <v>464</v>
      </c>
      <c r="L577" s="1" t="s">
        <v>41</v>
      </c>
      <c r="M577" s="1"/>
      <c r="O577" s="1"/>
      <c r="P577" s="1"/>
      <c r="Q577" s="1"/>
      <c r="S577" s="2"/>
      <c r="T577" s="1"/>
      <c r="U577" s="2"/>
      <c r="V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 t="s">
        <v>12</v>
      </c>
      <c r="AN577" s="1" t="s">
        <v>18</v>
      </c>
      <c r="AO577" s="1">
        <v>311</v>
      </c>
      <c r="AP577" s="3">
        <v>0.51833333333333331</v>
      </c>
      <c r="AQ577" s="1"/>
    </row>
    <row r="578" spans="1:43" ht="12.3" x14ac:dyDescent="0.4">
      <c r="A578" s="1" t="s">
        <v>377</v>
      </c>
      <c r="B578" s="1"/>
      <c r="C578" s="1" t="s">
        <v>33</v>
      </c>
      <c r="D578" s="5" t="s">
        <v>7</v>
      </c>
      <c r="E578" s="5" t="s">
        <v>463</v>
      </c>
      <c r="F578" s="4" t="s">
        <v>465</v>
      </c>
      <c r="G578" s="4" t="s">
        <v>465</v>
      </c>
      <c r="I578" s="1" t="s">
        <v>16</v>
      </c>
      <c r="J578" s="1" t="s">
        <v>10</v>
      </c>
      <c r="K578" s="4" t="s">
        <v>464</v>
      </c>
      <c r="L578" s="1" t="s">
        <v>41</v>
      </c>
      <c r="M578" s="1"/>
      <c r="O578" s="1"/>
      <c r="P578" s="1"/>
      <c r="Q578" s="1"/>
      <c r="S578" s="2"/>
      <c r="T578" s="1"/>
      <c r="U578" s="1"/>
      <c r="V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 t="s">
        <v>15</v>
      </c>
      <c r="AN578" s="1" t="s">
        <v>20</v>
      </c>
      <c r="AO578" s="1">
        <v>397</v>
      </c>
      <c r="AP578" s="3">
        <v>0.66166666666666663</v>
      </c>
      <c r="AQ578" s="1"/>
    </row>
    <row r="579" spans="1:43" ht="12.3" x14ac:dyDescent="0.4">
      <c r="A579" s="1" t="s">
        <v>378</v>
      </c>
      <c r="B579" s="1"/>
      <c r="C579" s="1" t="s">
        <v>33</v>
      </c>
      <c r="D579" s="5" t="s">
        <v>7</v>
      </c>
      <c r="E579" s="5" t="s">
        <v>463</v>
      </c>
      <c r="F579" s="4" t="s">
        <v>465</v>
      </c>
      <c r="G579" s="4" t="s">
        <v>465</v>
      </c>
      <c r="I579" s="1" t="s">
        <v>16</v>
      </c>
      <c r="J579" s="1" t="s">
        <v>10</v>
      </c>
      <c r="K579" s="4" t="s">
        <v>464</v>
      </c>
      <c r="L579" s="1" t="s">
        <v>39</v>
      </c>
      <c r="M579" s="1"/>
      <c r="O579" s="1"/>
      <c r="P579" s="1"/>
      <c r="Q579" s="1"/>
      <c r="S579" s="2"/>
      <c r="T579" s="1"/>
      <c r="U579" s="1"/>
      <c r="V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 t="s">
        <v>12</v>
      </c>
      <c r="AN579" s="1" t="s">
        <v>14</v>
      </c>
      <c r="AO579" s="1">
        <v>276</v>
      </c>
      <c r="AP579" s="3">
        <v>0.46</v>
      </c>
      <c r="AQ579" s="1"/>
    </row>
    <row r="580" spans="1:43" ht="12.3" x14ac:dyDescent="0.4">
      <c r="A580" s="1" t="s">
        <v>378</v>
      </c>
      <c r="B580" s="1"/>
      <c r="C580" s="1" t="s">
        <v>33</v>
      </c>
      <c r="D580" s="5" t="s">
        <v>7</v>
      </c>
      <c r="E580" s="5" t="s">
        <v>463</v>
      </c>
      <c r="F580" s="4" t="s">
        <v>465</v>
      </c>
      <c r="G580" s="4" t="s">
        <v>465</v>
      </c>
      <c r="I580" s="1" t="s">
        <v>16</v>
      </c>
      <c r="J580" s="1" t="s">
        <v>10</v>
      </c>
      <c r="K580" s="4" t="s">
        <v>464</v>
      </c>
      <c r="L580" s="1" t="s">
        <v>39</v>
      </c>
      <c r="M580" s="1"/>
      <c r="O580" s="1"/>
      <c r="P580" s="1"/>
      <c r="Q580" s="1"/>
      <c r="S580" s="2"/>
      <c r="T580" s="1"/>
      <c r="U580" s="1"/>
      <c r="V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 t="s">
        <v>15</v>
      </c>
      <c r="AN580" s="1" t="s">
        <v>18</v>
      </c>
      <c r="AO580" s="1">
        <v>376</v>
      </c>
      <c r="AP580" s="3">
        <v>0.62666666666666671</v>
      </c>
      <c r="AQ580" s="1"/>
    </row>
    <row r="581" spans="1:43" ht="12.3" x14ac:dyDescent="0.4">
      <c r="A581" s="1" t="s">
        <v>379</v>
      </c>
      <c r="B581" s="1"/>
      <c r="C581" s="1" t="s">
        <v>33</v>
      </c>
      <c r="D581" s="5" t="s">
        <v>7</v>
      </c>
      <c r="E581" s="5" t="s">
        <v>463</v>
      </c>
      <c r="F581" s="4" t="s">
        <v>465</v>
      </c>
      <c r="G581" s="4" t="s">
        <v>465</v>
      </c>
      <c r="I581" s="1" t="s">
        <v>16</v>
      </c>
      <c r="J581" s="1" t="s">
        <v>10</v>
      </c>
      <c r="K581" s="4" t="s">
        <v>464</v>
      </c>
      <c r="L581" s="1" t="s">
        <v>39</v>
      </c>
      <c r="M581" s="1"/>
      <c r="O581" s="1"/>
      <c r="P581" s="1"/>
      <c r="Q581" s="1"/>
      <c r="S581" s="2"/>
      <c r="T581" s="1"/>
      <c r="U581" s="1"/>
      <c r="V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 t="s">
        <v>12</v>
      </c>
      <c r="AN581" s="1" t="s">
        <v>18</v>
      </c>
      <c r="AO581" s="1">
        <v>321</v>
      </c>
      <c r="AP581" s="3">
        <v>0.53500000000000003</v>
      </c>
      <c r="AQ581" s="1"/>
    </row>
    <row r="582" spans="1:43" ht="12.3" x14ac:dyDescent="0.4">
      <c r="A582" s="1" t="s">
        <v>379</v>
      </c>
      <c r="B582" s="1"/>
      <c r="C582" s="1" t="s">
        <v>33</v>
      </c>
      <c r="D582" s="5" t="s">
        <v>7</v>
      </c>
      <c r="E582" s="5" t="s">
        <v>463</v>
      </c>
      <c r="F582" s="4" t="s">
        <v>465</v>
      </c>
      <c r="G582" s="4" t="s">
        <v>465</v>
      </c>
      <c r="I582" s="1" t="s">
        <v>16</v>
      </c>
      <c r="J582" s="1" t="s">
        <v>10</v>
      </c>
      <c r="K582" s="4" t="s">
        <v>464</v>
      </c>
      <c r="L582" s="1" t="s">
        <v>39</v>
      </c>
      <c r="M582" s="1"/>
      <c r="O582" s="1"/>
      <c r="P582" s="1"/>
      <c r="Q582" s="1"/>
      <c r="S582" s="2"/>
      <c r="T582" s="1"/>
      <c r="U582" s="1"/>
      <c r="V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 t="s">
        <v>15</v>
      </c>
      <c r="AN582" s="1" t="s">
        <v>18</v>
      </c>
      <c r="AO582" s="1">
        <v>384</v>
      </c>
      <c r="AP582" s="3">
        <v>0.64</v>
      </c>
      <c r="AQ582" s="1"/>
    </row>
    <row r="583" spans="1:43" ht="12.3" x14ac:dyDescent="0.4">
      <c r="A583" s="1" t="s">
        <v>380</v>
      </c>
      <c r="B583" s="1"/>
      <c r="C583" s="1" t="s">
        <v>33</v>
      </c>
      <c r="D583" s="5" t="s">
        <v>7</v>
      </c>
      <c r="E583" s="5" t="s">
        <v>463</v>
      </c>
      <c r="F583" s="4" t="s">
        <v>465</v>
      </c>
      <c r="G583" s="4" t="s">
        <v>465</v>
      </c>
      <c r="I583" s="1" t="s">
        <v>16</v>
      </c>
      <c r="J583" s="1" t="s">
        <v>10</v>
      </c>
      <c r="K583" s="4" t="s">
        <v>464</v>
      </c>
      <c r="L583" s="1" t="s">
        <v>35</v>
      </c>
      <c r="M583" s="1"/>
      <c r="O583" s="1"/>
      <c r="P583" s="1"/>
      <c r="Q583" s="1"/>
      <c r="S583" s="2"/>
      <c r="T583" s="1"/>
      <c r="U583" s="1"/>
      <c r="V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 t="s">
        <v>12</v>
      </c>
      <c r="AN583" s="1" t="s">
        <v>14</v>
      </c>
      <c r="AO583" s="1">
        <v>262</v>
      </c>
      <c r="AP583" s="3">
        <v>0.43666666666666665</v>
      </c>
      <c r="AQ583" s="1"/>
    </row>
    <row r="584" spans="1:43" ht="12.3" x14ac:dyDescent="0.4">
      <c r="A584" s="1" t="s">
        <v>380</v>
      </c>
      <c r="B584" s="1"/>
      <c r="C584" s="1" t="s">
        <v>33</v>
      </c>
      <c r="D584" s="5" t="s">
        <v>7</v>
      </c>
      <c r="E584" s="5" t="s">
        <v>463</v>
      </c>
      <c r="F584" s="4" t="s">
        <v>465</v>
      </c>
      <c r="G584" s="4" t="s">
        <v>465</v>
      </c>
      <c r="I584" s="1" t="s">
        <v>16</v>
      </c>
      <c r="J584" s="1" t="s">
        <v>10</v>
      </c>
      <c r="K584" s="4" t="s">
        <v>464</v>
      </c>
      <c r="L584" s="1" t="s">
        <v>35</v>
      </c>
      <c r="M584" s="1"/>
      <c r="O584" s="1"/>
      <c r="P584" s="1"/>
      <c r="Q584" s="1"/>
      <c r="S584" s="2"/>
      <c r="T584" s="1"/>
      <c r="U584" s="1"/>
      <c r="V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 t="s">
        <v>15</v>
      </c>
      <c r="AN584" s="1" t="s">
        <v>13</v>
      </c>
      <c r="AO584" s="1">
        <v>366</v>
      </c>
      <c r="AP584" s="3">
        <v>0.61</v>
      </c>
      <c r="AQ584" s="1"/>
    </row>
    <row r="585" spans="1:43" ht="12.3" x14ac:dyDescent="0.4">
      <c r="A585" s="1" t="s">
        <v>381</v>
      </c>
      <c r="B585" s="1"/>
      <c r="C585" s="1" t="s">
        <v>33</v>
      </c>
      <c r="D585" s="5" t="s">
        <v>7</v>
      </c>
      <c r="E585" s="5" t="s">
        <v>463</v>
      </c>
      <c r="F585" s="4" t="s">
        <v>465</v>
      </c>
      <c r="G585" s="4" t="s">
        <v>465</v>
      </c>
      <c r="I585" s="1" t="s">
        <v>16</v>
      </c>
      <c r="J585" s="1" t="s">
        <v>10</v>
      </c>
      <c r="K585" s="4" t="s">
        <v>464</v>
      </c>
      <c r="L585" s="1" t="s">
        <v>39</v>
      </c>
      <c r="M585" s="1"/>
      <c r="O585" s="1"/>
      <c r="P585" s="1"/>
      <c r="Q585" s="1"/>
      <c r="S585" s="2"/>
      <c r="T585" s="1"/>
      <c r="U585" s="1"/>
      <c r="V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 t="s">
        <v>12</v>
      </c>
      <c r="AN585" s="1" t="s">
        <v>18</v>
      </c>
      <c r="AO585" s="1">
        <v>322</v>
      </c>
      <c r="AP585" s="3">
        <v>0.53666666666666663</v>
      </c>
      <c r="AQ585" s="1"/>
    </row>
    <row r="586" spans="1:43" ht="12.3" x14ac:dyDescent="0.4">
      <c r="A586" s="1" t="s">
        <v>381</v>
      </c>
      <c r="B586" s="1"/>
      <c r="C586" s="1" t="s">
        <v>33</v>
      </c>
      <c r="D586" s="5" t="s">
        <v>7</v>
      </c>
      <c r="E586" s="5" t="s">
        <v>463</v>
      </c>
      <c r="F586" s="4" t="s">
        <v>465</v>
      </c>
      <c r="G586" s="4" t="s">
        <v>465</v>
      </c>
      <c r="I586" s="1" t="s">
        <v>8</v>
      </c>
      <c r="J586" s="1" t="s">
        <v>9</v>
      </c>
      <c r="K586" s="4" t="s">
        <v>464</v>
      </c>
      <c r="L586" s="1" t="s">
        <v>39</v>
      </c>
      <c r="M586" s="1"/>
      <c r="O586" s="1"/>
      <c r="P586" s="1"/>
      <c r="Q586" s="1"/>
      <c r="S586" s="2"/>
      <c r="T586" s="1"/>
      <c r="U586" s="1"/>
      <c r="V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 t="s">
        <v>15</v>
      </c>
      <c r="AN586" s="1" t="s">
        <v>18</v>
      </c>
      <c r="AO586" s="1">
        <v>386</v>
      </c>
      <c r="AP586" s="3">
        <v>0.64333333333333331</v>
      </c>
      <c r="AQ586" s="1"/>
    </row>
    <row r="587" spans="1:43" ht="12.3" x14ac:dyDescent="0.4">
      <c r="A587" s="1" t="s">
        <v>382</v>
      </c>
      <c r="B587" s="1"/>
      <c r="C587" s="1" t="s">
        <v>33</v>
      </c>
      <c r="D587" s="5" t="s">
        <v>7</v>
      </c>
      <c r="E587" s="5" t="s">
        <v>463</v>
      </c>
      <c r="F587" s="4" t="s">
        <v>465</v>
      </c>
      <c r="G587" s="4" t="s">
        <v>465</v>
      </c>
      <c r="I587" s="1" t="s">
        <v>8</v>
      </c>
      <c r="J587" s="1" t="s">
        <v>9</v>
      </c>
      <c r="K587" s="4" t="s">
        <v>464</v>
      </c>
      <c r="L587" s="1" t="s">
        <v>34</v>
      </c>
      <c r="M587" s="1"/>
      <c r="O587" s="1"/>
      <c r="P587" s="1"/>
      <c r="Q587" s="1"/>
      <c r="S587" s="2"/>
      <c r="T587" s="1"/>
      <c r="U587" s="1"/>
      <c r="V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 t="s">
        <v>12</v>
      </c>
      <c r="AN587" s="1" t="s">
        <v>14</v>
      </c>
      <c r="AO587" s="1">
        <v>275</v>
      </c>
      <c r="AP587" s="3">
        <v>0.45833333333333331</v>
      </c>
      <c r="AQ587" s="1"/>
    </row>
    <row r="588" spans="1:43" ht="12.3" x14ac:dyDescent="0.4">
      <c r="A588" s="1" t="s">
        <v>382</v>
      </c>
      <c r="B588" s="1"/>
      <c r="C588" s="1" t="s">
        <v>33</v>
      </c>
      <c r="D588" s="5" t="s">
        <v>7</v>
      </c>
      <c r="E588" s="5" t="s">
        <v>463</v>
      </c>
      <c r="F588" s="4" t="s">
        <v>465</v>
      </c>
      <c r="G588" s="4" t="s">
        <v>465</v>
      </c>
      <c r="I588" s="1" t="s">
        <v>16</v>
      </c>
      <c r="J588" s="1" t="s">
        <v>10</v>
      </c>
      <c r="K588" s="4" t="s">
        <v>464</v>
      </c>
      <c r="L588" s="1" t="s">
        <v>34</v>
      </c>
      <c r="M588" s="1"/>
      <c r="O588" s="1"/>
      <c r="P588" s="1"/>
      <c r="Q588" s="1"/>
      <c r="S588" s="2"/>
      <c r="T588" s="1"/>
      <c r="U588" s="1"/>
      <c r="V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 t="s">
        <v>15</v>
      </c>
      <c r="AN588" s="1" t="s">
        <v>13</v>
      </c>
      <c r="AO588" s="1">
        <v>358</v>
      </c>
      <c r="AP588" s="3">
        <v>0.59666666666666668</v>
      </c>
      <c r="AQ588" s="1"/>
    </row>
    <row r="589" spans="1:43" ht="12.3" x14ac:dyDescent="0.4">
      <c r="A589" s="1" t="s">
        <v>383</v>
      </c>
      <c r="B589" s="1"/>
      <c r="C589" s="1" t="s">
        <v>33</v>
      </c>
      <c r="D589" s="5" t="s">
        <v>7</v>
      </c>
      <c r="E589" s="5" t="s">
        <v>463</v>
      </c>
      <c r="F589" s="4" t="s">
        <v>465</v>
      </c>
      <c r="G589" s="4" t="s">
        <v>465</v>
      </c>
      <c r="I589" s="1" t="s">
        <v>16</v>
      </c>
      <c r="J589" s="1" t="s">
        <v>10</v>
      </c>
      <c r="K589" s="4" t="s">
        <v>464</v>
      </c>
      <c r="L589" s="1" t="s">
        <v>41</v>
      </c>
      <c r="M589" s="1"/>
      <c r="O589" s="1"/>
      <c r="P589" s="1"/>
      <c r="Q589" s="1"/>
      <c r="S589" s="2"/>
      <c r="T589" s="1"/>
      <c r="U589" s="1"/>
      <c r="V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 t="s">
        <v>15</v>
      </c>
      <c r="AN589" s="1" t="s">
        <v>18</v>
      </c>
      <c r="AO589" s="1">
        <v>389</v>
      </c>
      <c r="AP589" s="3">
        <v>0.64833333333333332</v>
      </c>
      <c r="AQ589" s="1"/>
    </row>
    <row r="590" spans="1:43" ht="12.3" x14ac:dyDescent="0.4">
      <c r="A590" s="1" t="s">
        <v>384</v>
      </c>
      <c r="B590" s="1"/>
      <c r="C590" s="1" t="s">
        <v>33</v>
      </c>
      <c r="D590" s="5" t="s">
        <v>7</v>
      </c>
      <c r="E590" s="5" t="s">
        <v>463</v>
      </c>
      <c r="F590" s="4" t="s">
        <v>465</v>
      </c>
      <c r="G590" s="4" t="s">
        <v>465</v>
      </c>
      <c r="I590" s="1" t="s">
        <v>16</v>
      </c>
      <c r="J590" s="1" t="s">
        <v>10</v>
      </c>
      <c r="K590" s="4" t="s">
        <v>464</v>
      </c>
      <c r="L590" s="1" t="s">
        <v>36</v>
      </c>
      <c r="M590" s="1"/>
      <c r="O590" s="1"/>
      <c r="P590" s="1"/>
      <c r="Q590" s="1"/>
      <c r="S590" s="2"/>
      <c r="T590" s="1"/>
      <c r="U590" s="1"/>
      <c r="V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 t="s">
        <v>12</v>
      </c>
      <c r="AN590" s="1" t="s">
        <v>14</v>
      </c>
      <c r="AO590" s="1">
        <v>249</v>
      </c>
      <c r="AP590" s="3">
        <v>0.41499999999999998</v>
      </c>
      <c r="AQ590" s="1"/>
    </row>
    <row r="591" spans="1:43" ht="12.3" x14ac:dyDescent="0.4">
      <c r="A591" s="1" t="s">
        <v>384</v>
      </c>
      <c r="B591" s="1"/>
      <c r="C591" s="1" t="s">
        <v>33</v>
      </c>
      <c r="D591" s="5" t="s">
        <v>7</v>
      </c>
      <c r="E591" s="5" t="s">
        <v>463</v>
      </c>
      <c r="F591" s="4" t="s">
        <v>465</v>
      </c>
      <c r="G591" s="4" t="s">
        <v>465</v>
      </c>
      <c r="I591" s="1" t="s">
        <v>16</v>
      </c>
      <c r="J591" s="1" t="s">
        <v>10</v>
      </c>
      <c r="K591" s="4" t="s">
        <v>464</v>
      </c>
      <c r="L591" s="1" t="s">
        <v>36</v>
      </c>
      <c r="M591" s="1"/>
      <c r="O591" s="1"/>
      <c r="P591" s="1"/>
      <c r="Q591" s="1"/>
      <c r="S591" s="2"/>
      <c r="T591" s="1"/>
      <c r="U591" s="2"/>
      <c r="V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 t="s">
        <v>15</v>
      </c>
      <c r="AN591" s="1" t="s">
        <v>14</v>
      </c>
      <c r="AO591" s="1">
        <v>319</v>
      </c>
      <c r="AP591" s="3">
        <v>0.53166666666666662</v>
      </c>
      <c r="AQ591" s="1"/>
    </row>
    <row r="592" spans="1:43" ht="12.3" x14ac:dyDescent="0.4">
      <c r="A592" s="1" t="s">
        <v>385</v>
      </c>
      <c r="B592" s="1"/>
      <c r="C592" s="1" t="s">
        <v>33</v>
      </c>
      <c r="D592" s="5" t="s">
        <v>7</v>
      </c>
      <c r="E592" s="5" t="s">
        <v>463</v>
      </c>
      <c r="F592" s="4" t="s">
        <v>465</v>
      </c>
      <c r="G592" s="4" t="s">
        <v>465</v>
      </c>
      <c r="I592" s="1" t="s">
        <v>16</v>
      </c>
      <c r="J592" s="1" t="s">
        <v>10</v>
      </c>
      <c r="K592" s="4" t="s">
        <v>464</v>
      </c>
      <c r="L592" s="1" t="s">
        <v>34</v>
      </c>
      <c r="M592" s="1"/>
      <c r="O592" s="1"/>
      <c r="P592" s="1"/>
      <c r="Q592" s="1"/>
      <c r="S592" s="2"/>
      <c r="T592" s="1"/>
      <c r="U592" s="2"/>
      <c r="V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 t="s">
        <v>12</v>
      </c>
      <c r="AN592" s="1" t="s">
        <v>14</v>
      </c>
      <c r="AO592" s="1">
        <v>276</v>
      </c>
      <c r="AP592" s="3">
        <v>0.46</v>
      </c>
      <c r="AQ592" s="1"/>
    </row>
    <row r="593" spans="1:43" ht="12.3" x14ac:dyDescent="0.4">
      <c r="A593" s="1" t="s">
        <v>385</v>
      </c>
      <c r="B593" s="1"/>
      <c r="C593" s="1" t="s">
        <v>33</v>
      </c>
      <c r="D593" s="5" t="s">
        <v>7</v>
      </c>
      <c r="E593" s="5" t="s">
        <v>463</v>
      </c>
      <c r="F593" s="4" t="s">
        <v>465</v>
      </c>
      <c r="G593" s="4" t="s">
        <v>465</v>
      </c>
      <c r="I593" s="1" t="s">
        <v>16</v>
      </c>
      <c r="J593" s="1" t="s">
        <v>10</v>
      </c>
      <c r="K593" s="4" t="s">
        <v>464</v>
      </c>
      <c r="L593" s="1" t="s">
        <v>34</v>
      </c>
      <c r="M593" s="1"/>
      <c r="O593" s="1"/>
      <c r="P593" s="1"/>
      <c r="Q593" s="1"/>
      <c r="S593" s="2"/>
      <c r="T593" s="1"/>
      <c r="U593" s="1"/>
      <c r="V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 t="s">
        <v>15</v>
      </c>
      <c r="AN593" s="1" t="s">
        <v>13</v>
      </c>
      <c r="AO593" s="1">
        <v>366</v>
      </c>
      <c r="AP593" s="3">
        <v>0.61</v>
      </c>
      <c r="AQ593" s="1"/>
    </row>
    <row r="594" spans="1:43" ht="12.3" x14ac:dyDescent="0.4">
      <c r="A594" s="1" t="s">
        <v>386</v>
      </c>
      <c r="B594" s="1"/>
      <c r="C594" s="1" t="s">
        <v>33</v>
      </c>
      <c r="D594" s="5" t="s">
        <v>7</v>
      </c>
      <c r="E594" s="5" t="s">
        <v>463</v>
      </c>
      <c r="F594" s="4" t="s">
        <v>465</v>
      </c>
      <c r="G594" s="4" t="s">
        <v>465</v>
      </c>
      <c r="I594" s="1" t="s">
        <v>16</v>
      </c>
      <c r="J594" s="1" t="s">
        <v>10</v>
      </c>
      <c r="K594" s="4" t="s">
        <v>464</v>
      </c>
      <c r="L594" s="1" t="s">
        <v>38</v>
      </c>
      <c r="M594" s="1"/>
      <c r="O594" s="1"/>
      <c r="P594" s="1"/>
      <c r="Q594" s="1"/>
      <c r="S594" s="2"/>
      <c r="T594" s="1"/>
      <c r="U594" s="1"/>
      <c r="V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 t="s">
        <v>12</v>
      </c>
      <c r="AN594" s="1" t="s">
        <v>20</v>
      </c>
      <c r="AO594" s="1">
        <v>338</v>
      </c>
      <c r="AP594" s="3">
        <v>0.56333333333333335</v>
      </c>
      <c r="AQ594" s="1"/>
    </row>
    <row r="595" spans="1:43" ht="12.3" x14ac:dyDescent="0.4">
      <c r="A595" s="1" t="s">
        <v>386</v>
      </c>
      <c r="B595" s="1"/>
      <c r="C595" s="1" t="s">
        <v>33</v>
      </c>
      <c r="D595" s="5" t="s">
        <v>7</v>
      </c>
      <c r="E595" s="5" t="s">
        <v>463</v>
      </c>
      <c r="F595" s="4" t="s">
        <v>465</v>
      </c>
      <c r="G595" s="4" t="s">
        <v>465</v>
      </c>
      <c r="I595" s="1" t="s">
        <v>16</v>
      </c>
      <c r="J595" s="1" t="s">
        <v>10</v>
      </c>
      <c r="K595" s="4" t="s">
        <v>464</v>
      </c>
      <c r="L595" s="1" t="s">
        <v>38</v>
      </c>
      <c r="M595" s="1"/>
      <c r="O595" s="1"/>
      <c r="P595" s="1"/>
      <c r="Q595" s="1"/>
      <c r="S595" s="2"/>
      <c r="T595" s="1"/>
      <c r="U595" s="1"/>
      <c r="V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 t="s">
        <v>15</v>
      </c>
      <c r="AN595" s="1" t="s">
        <v>20</v>
      </c>
      <c r="AO595" s="1">
        <v>397</v>
      </c>
      <c r="AP595" s="3">
        <v>0.66166666666666663</v>
      </c>
      <c r="AQ595" s="1"/>
    </row>
    <row r="596" spans="1:43" ht="12.3" x14ac:dyDescent="0.4">
      <c r="A596" s="1" t="s">
        <v>387</v>
      </c>
      <c r="B596" s="1"/>
      <c r="C596" s="1" t="s">
        <v>33</v>
      </c>
      <c r="D596" s="5" t="s">
        <v>7</v>
      </c>
      <c r="E596" s="5" t="s">
        <v>463</v>
      </c>
      <c r="F596" s="4" t="s">
        <v>465</v>
      </c>
      <c r="G596" s="4" t="s">
        <v>465</v>
      </c>
      <c r="I596" s="1" t="s">
        <v>16</v>
      </c>
      <c r="J596" s="1" t="s">
        <v>10</v>
      </c>
      <c r="K596" s="4" t="s">
        <v>464</v>
      </c>
      <c r="L596" s="1" t="s">
        <v>40</v>
      </c>
      <c r="M596" s="1"/>
      <c r="O596" s="1"/>
      <c r="P596" s="1"/>
      <c r="Q596" s="1"/>
      <c r="S596" s="2"/>
      <c r="T596" s="1"/>
      <c r="U596" s="1"/>
      <c r="V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 t="s">
        <v>12</v>
      </c>
      <c r="AN596" s="1" t="s">
        <v>20</v>
      </c>
      <c r="AO596" s="1">
        <v>342</v>
      </c>
      <c r="AP596" s="3">
        <v>0.56999999999999995</v>
      </c>
      <c r="AQ596" s="1"/>
    </row>
    <row r="597" spans="1:43" ht="12.3" x14ac:dyDescent="0.4">
      <c r="A597" s="1" t="s">
        <v>387</v>
      </c>
      <c r="B597" s="1"/>
      <c r="C597" s="1" t="s">
        <v>33</v>
      </c>
      <c r="D597" s="5" t="s">
        <v>7</v>
      </c>
      <c r="E597" s="5" t="s">
        <v>463</v>
      </c>
      <c r="F597" s="4" t="s">
        <v>465</v>
      </c>
      <c r="G597" s="4" t="s">
        <v>465</v>
      </c>
      <c r="I597" s="1" t="s">
        <v>16</v>
      </c>
      <c r="J597" s="1" t="s">
        <v>10</v>
      </c>
      <c r="K597" s="4" t="s">
        <v>464</v>
      </c>
      <c r="L597" s="1" t="s">
        <v>40</v>
      </c>
      <c r="M597" s="1"/>
      <c r="O597" s="1"/>
      <c r="P597" s="1"/>
      <c r="Q597" s="1"/>
      <c r="S597" s="2"/>
      <c r="T597" s="1"/>
      <c r="U597" s="2"/>
      <c r="V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 t="s">
        <v>15</v>
      </c>
      <c r="AN597" s="1" t="s">
        <v>18</v>
      </c>
      <c r="AO597" s="1">
        <v>376</v>
      </c>
      <c r="AP597" s="3">
        <v>0.62666666666666671</v>
      </c>
      <c r="AQ597" s="1"/>
    </row>
    <row r="598" spans="1:43" ht="12.3" x14ac:dyDescent="0.4">
      <c r="A598" s="1" t="s">
        <v>388</v>
      </c>
      <c r="B598" s="1"/>
      <c r="C598" s="1" t="s">
        <v>33</v>
      </c>
      <c r="D598" s="5" t="s">
        <v>7</v>
      </c>
      <c r="E598" s="5" t="s">
        <v>463</v>
      </c>
      <c r="F598" s="4" t="s">
        <v>465</v>
      </c>
      <c r="G598" s="4" t="s">
        <v>465</v>
      </c>
      <c r="I598" s="1" t="s">
        <v>16</v>
      </c>
      <c r="J598" s="1" t="s">
        <v>10</v>
      </c>
      <c r="K598" s="4" t="s">
        <v>464</v>
      </c>
      <c r="L598" s="1" t="s">
        <v>34</v>
      </c>
      <c r="M598" s="1"/>
      <c r="O598" s="1"/>
      <c r="P598" s="1"/>
      <c r="Q598" s="1"/>
      <c r="S598" s="2"/>
      <c r="T598" s="1"/>
      <c r="U598" s="2"/>
      <c r="V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 t="s">
        <v>12</v>
      </c>
      <c r="AN598" s="1" t="s">
        <v>13</v>
      </c>
      <c r="AO598" s="1">
        <v>290</v>
      </c>
      <c r="AP598" s="3">
        <v>0.48333333333333334</v>
      </c>
      <c r="AQ598" s="1"/>
    </row>
    <row r="599" spans="1:43" ht="12.3" x14ac:dyDescent="0.4">
      <c r="A599" s="1" t="s">
        <v>388</v>
      </c>
      <c r="B599" s="1"/>
      <c r="C599" s="1" t="s">
        <v>33</v>
      </c>
      <c r="D599" s="5" t="s">
        <v>7</v>
      </c>
      <c r="E599" s="5" t="s">
        <v>463</v>
      </c>
      <c r="F599" s="4" t="s">
        <v>465</v>
      </c>
      <c r="G599" s="4" t="s">
        <v>465</v>
      </c>
      <c r="I599" s="1" t="s">
        <v>8</v>
      </c>
      <c r="J599" s="1" t="s">
        <v>9</v>
      </c>
      <c r="K599" s="4" t="s">
        <v>464</v>
      </c>
      <c r="L599" s="1" t="s">
        <v>34</v>
      </c>
      <c r="M599" s="1"/>
      <c r="O599" s="1"/>
      <c r="P599" s="1"/>
      <c r="Q599" s="1"/>
      <c r="S599" s="2"/>
      <c r="T599" s="1"/>
      <c r="U599" s="2"/>
      <c r="V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 t="s">
        <v>15</v>
      </c>
      <c r="AN599" s="1" t="s">
        <v>13</v>
      </c>
      <c r="AO599" s="1">
        <v>365</v>
      </c>
      <c r="AP599" s="3">
        <v>0.60833333333333328</v>
      </c>
      <c r="AQ599" s="1"/>
    </row>
    <row r="600" spans="1:43" ht="12.3" x14ac:dyDescent="0.4">
      <c r="A600" s="1" t="s">
        <v>389</v>
      </c>
      <c r="B600" s="1"/>
      <c r="C600" s="1" t="s">
        <v>33</v>
      </c>
      <c r="D600" s="5" t="s">
        <v>7</v>
      </c>
      <c r="E600" s="5" t="s">
        <v>463</v>
      </c>
      <c r="F600" s="4" t="s">
        <v>465</v>
      </c>
      <c r="G600" s="4" t="s">
        <v>465</v>
      </c>
      <c r="I600" s="1" t="s">
        <v>8</v>
      </c>
      <c r="J600" s="1" t="s">
        <v>9</v>
      </c>
      <c r="K600" s="4" t="s">
        <v>464</v>
      </c>
      <c r="L600" s="1" t="s">
        <v>39</v>
      </c>
      <c r="M600" s="1"/>
      <c r="O600" s="1"/>
      <c r="P600" s="1"/>
      <c r="Q600" s="1"/>
      <c r="S600" s="2"/>
      <c r="T600" s="1"/>
      <c r="U600" s="2"/>
      <c r="V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 t="s">
        <v>12</v>
      </c>
      <c r="AN600" s="1" t="s">
        <v>18</v>
      </c>
      <c r="AO600" s="1">
        <v>320</v>
      </c>
      <c r="AP600" s="3">
        <v>0.53333333333333333</v>
      </c>
      <c r="AQ600" s="1"/>
    </row>
    <row r="601" spans="1:43" ht="12.3" x14ac:dyDescent="0.4">
      <c r="A601" s="1" t="s">
        <v>389</v>
      </c>
      <c r="B601" s="1"/>
      <c r="C601" s="1" t="s">
        <v>33</v>
      </c>
      <c r="D601" s="5" t="s">
        <v>7</v>
      </c>
      <c r="E601" s="5" t="s">
        <v>463</v>
      </c>
      <c r="F601" s="4" t="s">
        <v>465</v>
      </c>
      <c r="G601" s="4" t="s">
        <v>465</v>
      </c>
      <c r="I601" s="1" t="s">
        <v>8</v>
      </c>
      <c r="J601" s="1" t="s">
        <v>9</v>
      </c>
      <c r="K601" s="4" t="s">
        <v>464</v>
      </c>
      <c r="L601" s="1" t="s">
        <v>39</v>
      </c>
      <c r="M601" s="1"/>
      <c r="O601" s="1"/>
      <c r="P601" s="1"/>
      <c r="Q601" s="1"/>
      <c r="S601" s="2"/>
      <c r="T601" s="1"/>
      <c r="U601" s="2"/>
      <c r="V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 t="s">
        <v>15</v>
      </c>
      <c r="AN601" s="1" t="s">
        <v>18</v>
      </c>
      <c r="AO601" s="1">
        <v>380</v>
      </c>
      <c r="AP601" s="3">
        <v>0.6333333333333333</v>
      </c>
      <c r="AQ601" s="1"/>
    </row>
    <row r="602" spans="1:43" ht="12.3" x14ac:dyDescent="0.4">
      <c r="A602" s="1" t="s">
        <v>390</v>
      </c>
      <c r="B602" s="1"/>
      <c r="C602" s="1" t="s">
        <v>33</v>
      </c>
      <c r="D602" s="5" t="s">
        <v>7</v>
      </c>
      <c r="E602" s="5" t="s">
        <v>463</v>
      </c>
      <c r="F602" s="4" t="s">
        <v>465</v>
      </c>
      <c r="G602" s="4" t="s">
        <v>465</v>
      </c>
      <c r="I602" s="1" t="s">
        <v>8</v>
      </c>
      <c r="J602" s="1" t="s">
        <v>9</v>
      </c>
      <c r="K602" s="4" t="s">
        <v>464</v>
      </c>
      <c r="L602" s="1" t="s">
        <v>41</v>
      </c>
      <c r="M602" s="1"/>
      <c r="O602" s="1"/>
      <c r="P602" s="1"/>
      <c r="Q602" s="1"/>
      <c r="S602" s="2"/>
      <c r="T602" s="1"/>
      <c r="U602" s="2"/>
      <c r="V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 t="s">
        <v>15</v>
      </c>
      <c r="AN602" s="1" t="s">
        <v>18</v>
      </c>
      <c r="AO602" s="1">
        <v>376</v>
      </c>
      <c r="AP602" s="3">
        <v>0.62666666666666671</v>
      </c>
      <c r="AQ602" s="1"/>
    </row>
    <row r="603" spans="1:43" ht="12.3" x14ac:dyDescent="0.4">
      <c r="A603" s="1" t="s">
        <v>391</v>
      </c>
      <c r="B603" s="1"/>
      <c r="C603" s="1" t="s">
        <v>33</v>
      </c>
      <c r="D603" s="5" t="s">
        <v>7</v>
      </c>
      <c r="E603" s="5" t="s">
        <v>463</v>
      </c>
      <c r="F603" s="4" t="s">
        <v>465</v>
      </c>
      <c r="G603" s="4" t="s">
        <v>465</v>
      </c>
      <c r="I603" s="1" t="s">
        <v>8</v>
      </c>
      <c r="J603" s="1" t="s">
        <v>9</v>
      </c>
      <c r="K603" s="4" t="s">
        <v>464</v>
      </c>
      <c r="L603" s="1" t="s">
        <v>38</v>
      </c>
      <c r="M603" s="1"/>
      <c r="O603" s="1"/>
      <c r="P603" s="1"/>
      <c r="Q603" s="1"/>
      <c r="S603" s="2"/>
      <c r="T603" s="1"/>
      <c r="U603" s="2"/>
      <c r="V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 t="s">
        <v>12</v>
      </c>
      <c r="AN603" s="1" t="s">
        <v>18</v>
      </c>
      <c r="AO603" s="1">
        <v>322</v>
      </c>
      <c r="AP603" s="3">
        <v>0.53666666666666663</v>
      </c>
      <c r="AQ603" s="1"/>
    </row>
    <row r="604" spans="1:43" ht="12.3" x14ac:dyDescent="0.4">
      <c r="A604" s="1" t="s">
        <v>391</v>
      </c>
      <c r="B604" s="1"/>
      <c r="C604" s="1" t="s">
        <v>33</v>
      </c>
      <c r="D604" s="5" t="s">
        <v>7</v>
      </c>
      <c r="E604" s="5" t="s">
        <v>463</v>
      </c>
      <c r="F604" s="4" t="s">
        <v>465</v>
      </c>
      <c r="G604" s="4" t="s">
        <v>465</v>
      </c>
      <c r="I604" s="1" t="s">
        <v>16</v>
      </c>
      <c r="J604" s="1" t="s">
        <v>10</v>
      </c>
      <c r="K604" s="4" t="s">
        <v>464</v>
      </c>
      <c r="L604" s="1" t="s">
        <v>38</v>
      </c>
      <c r="M604" s="1"/>
      <c r="O604" s="1"/>
      <c r="P604" s="1"/>
      <c r="Q604" s="1"/>
      <c r="S604" s="2"/>
      <c r="T604" s="1"/>
      <c r="U604" s="1"/>
      <c r="V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 t="s">
        <v>15</v>
      </c>
      <c r="AN604" s="1" t="s">
        <v>20</v>
      </c>
      <c r="AO604" s="1">
        <v>410</v>
      </c>
      <c r="AP604" s="3">
        <v>0.68333333333333335</v>
      </c>
      <c r="AQ604" s="1"/>
    </row>
    <row r="605" spans="1:43" ht="12.3" x14ac:dyDescent="0.4">
      <c r="A605" s="1" t="s">
        <v>392</v>
      </c>
      <c r="B605" s="1"/>
      <c r="C605" s="1" t="s">
        <v>33</v>
      </c>
      <c r="D605" s="5" t="s">
        <v>7</v>
      </c>
      <c r="E605" s="5" t="s">
        <v>463</v>
      </c>
      <c r="F605" s="4" t="s">
        <v>465</v>
      </c>
      <c r="G605" s="4" t="s">
        <v>465</v>
      </c>
      <c r="I605" s="1" t="s">
        <v>16</v>
      </c>
      <c r="J605" s="1" t="s">
        <v>10</v>
      </c>
      <c r="K605" s="4" t="s">
        <v>464</v>
      </c>
      <c r="L605" s="1" t="s">
        <v>44</v>
      </c>
      <c r="M605" s="1"/>
      <c r="O605" s="1"/>
      <c r="P605" s="1"/>
      <c r="Q605" s="1"/>
      <c r="S605" s="2"/>
      <c r="T605" s="1"/>
      <c r="U605" s="1"/>
      <c r="V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 t="s">
        <v>12</v>
      </c>
      <c r="AN605" s="1" t="s">
        <v>20</v>
      </c>
      <c r="AO605" s="1">
        <v>414</v>
      </c>
      <c r="AP605" s="3">
        <v>0.69</v>
      </c>
      <c r="AQ605" s="1"/>
    </row>
    <row r="606" spans="1:43" ht="12.3" x14ac:dyDescent="0.4">
      <c r="A606" s="1" t="s">
        <v>392</v>
      </c>
      <c r="B606" s="1"/>
      <c r="C606" s="1" t="s">
        <v>33</v>
      </c>
      <c r="D606" s="5" t="s">
        <v>7</v>
      </c>
      <c r="E606" s="5" t="s">
        <v>463</v>
      </c>
      <c r="F606" s="4" t="s">
        <v>465</v>
      </c>
      <c r="G606" s="4" t="s">
        <v>465</v>
      </c>
      <c r="I606" s="1" t="s">
        <v>16</v>
      </c>
      <c r="J606" s="1" t="s">
        <v>10</v>
      </c>
      <c r="K606" s="4" t="s">
        <v>464</v>
      </c>
      <c r="L606" s="1" t="s">
        <v>44</v>
      </c>
      <c r="M606" s="1"/>
      <c r="O606" s="1"/>
      <c r="P606" s="1"/>
      <c r="Q606" s="1"/>
      <c r="S606" s="2"/>
      <c r="T606" s="1"/>
      <c r="U606" s="2"/>
      <c r="V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 t="s">
        <v>15</v>
      </c>
      <c r="AN606" s="1" t="s">
        <v>20</v>
      </c>
      <c r="AO606" s="1">
        <v>472</v>
      </c>
      <c r="AP606" s="3">
        <v>0.78666666666666663</v>
      </c>
      <c r="AQ606" s="1"/>
    </row>
    <row r="607" spans="1:43" ht="12.3" x14ac:dyDescent="0.4">
      <c r="A607" s="1" t="s">
        <v>393</v>
      </c>
      <c r="B607" s="1"/>
      <c r="C607" s="1" t="s">
        <v>33</v>
      </c>
      <c r="D607" s="5" t="s">
        <v>7</v>
      </c>
      <c r="E607" s="5" t="s">
        <v>463</v>
      </c>
      <c r="F607" s="4" t="s">
        <v>465</v>
      </c>
      <c r="G607" s="4" t="s">
        <v>465</v>
      </c>
      <c r="I607" s="1" t="s">
        <v>16</v>
      </c>
      <c r="J607" s="1" t="s">
        <v>10</v>
      </c>
      <c r="K607" s="4" t="s">
        <v>464</v>
      </c>
      <c r="L607" s="1" t="s">
        <v>37</v>
      </c>
      <c r="M607" s="1"/>
      <c r="O607" s="1"/>
      <c r="P607" s="1"/>
      <c r="Q607" s="1"/>
      <c r="S607" s="2"/>
      <c r="T607" s="1"/>
      <c r="U607" s="2"/>
      <c r="V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 t="s">
        <v>12</v>
      </c>
      <c r="AN607" s="1" t="s">
        <v>20</v>
      </c>
      <c r="AO607" s="1">
        <v>339</v>
      </c>
      <c r="AP607" s="3">
        <v>0.56499999999999995</v>
      </c>
      <c r="AQ607" s="1"/>
    </row>
    <row r="608" spans="1:43" ht="12.3" x14ac:dyDescent="0.4">
      <c r="A608" s="1" t="s">
        <v>393</v>
      </c>
      <c r="B608" s="1"/>
      <c r="C608" s="1" t="s">
        <v>33</v>
      </c>
      <c r="D608" s="5" t="s">
        <v>7</v>
      </c>
      <c r="E608" s="5" t="s">
        <v>463</v>
      </c>
      <c r="F608" s="4" t="s">
        <v>465</v>
      </c>
      <c r="G608" s="4" t="s">
        <v>465</v>
      </c>
      <c r="I608" s="1" t="s">
        <v>16</v>
      </c>
      <c r="J608" s="1" t="s">
        <v>10</v>
      </c>
      <c r="K608" s="4" t="s">
        <v>464</v>
      </c>
      <c r="L608" s="1" t="s">
        <v>37</v>
      </c>
      <c r="M608" s="1"/>
      <c r="O608" s="1"/>
      <c r="P608" s="1"/>
      <c r="Q608" s="1"/>
      <c r="S608" s="2"/>
      <c r="T608" s="1"/>
      <c r="U608" s="2"/>
      <c r="V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 t="s">
        <v>15</v>
      </c>
      <c r="AN608" s="1" t="s">
        <v>20</v>
      </c>
      <c r="AO608" s="1">
        <v>408</v>
      </c>
      <c r="AP608" s="3">
        <v>0.68</v>
      </c>
      <c r="AQ608" s="1"/>
    </row>
    <row r="609" spans="1:43" ht="12.3" x14ac:dyDescent="0.4">
      <c r="A609" s="1" t="s">
        <v>394</v>
      </c>
      <c r="B609" s="1"/>
      <c r="C609" s="1" t="s">
        <v>33</v>
      </c>
      <c r="D609" s="5" t="s">
        <v>7</v>
      </c>
      <c r="E609" s="5" t="s">
        <v>463</v>
      </c>
      <c r="F609" s="4" t="s">
        <v>465</v>
      </c>
      <c r="G609" s="4" t="s">
        <v>465</v>
      </c>
      <c r="I609" s="1" t="s">
        <v>16</v>
      </c>
      <c r="J609" s="1" t="s">
        <v>10</v>
      </c>
      <c r="K609" s="4" t="s">
        <v>464</v>
      </c>
      <c r="L609" s="1" t="s">
        <v>39</v>
      </c>
      <c r="M609" s="1"/>
      <c r="O609" s="1"/>
      <c r="P609" s="1"/>
      <c r="Q609" s="1"/>
      <c r="S609" s="2"/>
      <c r="T609" s="1"/>
      <c r="U609" s="2"/>
      <c r="V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 t="s">
        <v>12</v>
      </c>
      <c r="AN609" s="1" t="s">
        <v>18</v>
      </c>
      <c r="AO609" s="1">
        <v>320</v>
      </c>
      <c r="AP609" s="3">
        <v>0.53333333333333333</v>
      </c>
      <c r="AQ609" s="1"/>
    </row>
    <row r="610" spans="1:43" ht="12.3" x14ac:dyDescent="0.4">
      <c r="A610" s="1" t="s">
        <v>394</v>
      </c>
      <c r="B610" s="1"/>
      <c r="C610" s="1" t="s">
        <v>33</v>
      </c>
      <c r="D610" s="5" t="s">
        <v>7</v>
      </c>
      <c r="E610" s="5" t="s">
        <v>463</v>
      </c>
      <c r="F610" s="4" t="s">
        <v>465</v>
      </c>
      <c r="G610" s="4" t="s">
        <v>465</v>
      </c>
      <c r="I610" s="1" t="s">
        <v>16</v>
      </c>
      <c r="J610" s="1" t="s">
        <v>10</v>
      </c>
      <c r="K610" s="4" t="s">
        <v>464</v>
      </c>
      <c r="L610" s="1" t="s">
        <v>39</v>
      </c>
      <c r="M610" s="1"/>
      <c r="O610" s="1"/>
      <c r="P610" s="1"/>
      <c r="Q610" s="1"/>
      <c r="S610" s="2"/>
      <c r="T610" s="1"/>
      <c r="U610" s="1"/>
      <c r="V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 t="s">
        <v>15</v>
      </c>
      <c r="AN610" s="1" t="s">
        <v>13</v>
      </c>
      <c r="AO610" s="1">
        <v>363</v>
      </c>
      <c r="AP610" s="3">
        <v>0.60499999999999998</v>
      </c>
      <c r="AQ610" s="1"/>
    </row>
    <row r="611" spans="1:43" ht="12.3" x14ac:dyDescent="0.4">
      <c r="A611" s="1" t="s">
        <v>395</v>
      </c>
      <c r="B611" s="1"/>
      <c r="C611" s="1" t="s">
        <v>33</v>
      </c>
      <c r="D611" s="5" t="s">
        <v>7</v>
      </c>
      <c r="E611" s="5" t="s">
        <v>463</v>
      </c>
      <c r="F611" s="4" t="s">
        <v>465</v>
      </c>
      <c r="G611" s="4" t="s">
        <v>465</v>
      </c>
      <c r="I611" s="1" t="s">
        <v>16</v>
      </c>
      <c r="J611" s="1" t="s">
        <v>10</v>
      </c>
      <c r="K611" s="4" t="s">
        <v>464</v>
      </c>
      <c r="L611" s="1" t="s">
        <v>44</v>
      </c>
      <c r="M611" s="1"/>
      <c r="O611" s="1"/>
      <c r="P611" s="1"/>
      <c r="Q611" s="1"/>
      <c r="S611" s="2"/>
      <c r="T611" s="1"/>
      <c r="U611" s="1"/>
      <c r="V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 t="s">
        <v>12</v>
      </c>
      <c r="AN611" s="1" t="s">
        <v>20</v>
      </c>
      <c r="AO611" s="1">
        <v>480</v>
      </c>
      <c r="AP611" s="3">
        <v>0.8</v>
      </c>
      <c r="AQ611" s="1"/>
    </row>
    <row r="612" spans="1:43" ht="12.3" x14ac:dyDescent="0.4">
      <c r="A612" s="1" t="s">
        <v>395</v>
      </c>
      <c r="B612" s="1"/>
      <c r="C612" s="1" t="s">
        <v>33</v>
      </c>
      <c r="D612" s="5" t="s">
        <v>7</v>
      </c>
      <c r="E612" s="5" t="s">
        <v>463</v>
      </c>
      <c r="F612" s="4" t="s">
        <v>465</v>
      </c>
      <c r="G612" s="4" t="s">
        <v>465</v>
      </c>
      <c r="I612" s="1" t="s">
        <v>16</v>
      </c>
      <c r="J612" s="1" t="s">
        <v>10</v>
      </c>
      <c r="K612" s="4" t="s">
        <v>464</v>
      </c>
      <c r="L612" s="1" t="s">
        <v>44</v>
      </c>
      <c r="M612" s="1"/>
      <c r="O612" s="1"/>
      <c r="P612" s="1"/>
      <c r="Q612" s="1"/>
      <c r="S612" s="2"/>
      <c r="T612" s="1"/>
      <c r="U612" s="2"/>
      <c r="V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 t="s">
        <v>15</v>
      </c>
      <c r="AN612" s="1" t="s">
        <v>20</v>
      </c>
      <c r="AO612" s="1">
        <v>484</v>
      </c>
      <c r="AP612" s="3">
        <v>0.80666666666666664</v>
      </c>
      <c r="AQ612" s="1"/>
    </row>
    <row r="613" spans="1:43" ht="12.3" x14ac:dyDescent="0.4">
      <c r="A613" s="1" t="s">
        <v>396</v>
      </c>
      <c r="B613" s="1"/>
      <c r="C613" s="1" t="s">
        <v>33</v>
      </c>
      <c r="D613" s="5" t="s">
        <v>7</v>
      </c>
      <c r="E613" s="5" t="s">
        <v>463</v>
      </c>
      <c r="F613" s="4" t="s">
        <v>465</v>
      </c>
      <c r="G613" s="4" t="s">
        <v>465</v>
      </c>
      <c r="I613" s="1" t="s">
        <v>16</v>
      </c>
      <c r="J613" s="1" t="s">
        <v>10</v>
      </c>
      <c r="K613" s="4" t="s">
        <v>464</v>
      </c>
      <c r="L613" s="1" t="s">
        <v>40</v>
      </c>
      <c r="M613" s="1"/>
      <c r="O613" s="1"/>
      <c r="P613" s="1"/>
      <c r="Q613" s="1"/>
      <c r="S613" s="2"/>
      <c r="T613" s="1"/>
      <c r="U613" s="2"/>
      <c r="V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 t="s">
        <v>12</v>
      </c>
      <c r="AN613" s="1" t="s">
        <v>20</v>
      </c>
      <c r="AO613" s="1">
        <v>342</v>
      </c>
      <c r="AP613" s="3">
        <v>0.56999999999999995</v>
      </c>
      <c r="AQ613" s="1"/>
    </row>
    <row r="614" spans="1:43" ht="12.3" x14ac:dyDescent="0.4">
      <c r="A614" s="1" t="s">
        <v>396</v>
      </c>
      <c r="B614" s="1"/>
      <c r="C614" s="1" t="s">
        <v>33</v>
      </c>
      <c r="D614" s="5" t="s">
        <v>7</v>
      </c>
      <c r="E614" s="5" t="s">
        <v>463</v>
      </c>
      <c r="F614" s="4" t="s">
        <v>465</v>
      </c>
      <c r="G614" s="4" t="s">
        <v>465</v>
      </c>
      <c r="I614" s="1" t="s">
        <v>8</v>
      </c>
      <c r="J614" s="1" t="s">
        <v>9</v>
      </c>
      <c r="K614" s="4" t="s">
        <v>464</v>
      </c>
      <c r="L614" s="1" t="s">
        <v>40</v>
      </c>
      <c r="M614" s="1"/>
      <c r="O614" s="1"/>
      <c r="P614" s="1"/>
      <c r="Q614" s="1"/>
      <c r="S614" s="2"/>
      <c r="T614" s="1"/>
      <c r="U614" s="2"/>
      <c r="V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 t="s">
        <v>15</v>
      </c>
      <c r="AN614" s="1" t="s">
        <v>20</v>
      </c>
      <c r="AO614" s="1">
        <v>427</v>
      </c>
      <c r="AP614" s="3">
        <v>0.71166666666666667</v>
      </c>
      <c r="AQ614" s="1"/>
    </row>
    <row r="615" spans="1:43" ht="12.3" x14ac:dyDescent="0.4">
      <c r="A615" s="1" t="s">
        <v>397</v>
      </c>
      <c r="B615" s="1"/>
      <c r="C615" s="1" t="s">
        <v>33</v>
      </c>
      <c r="D615" s="5" t="s">
        <v>7</v>
      </c>
      <c r="E615" s="5" t="s">
        <v>463</v>
      </c>
      <c r="F615" s="4" t="s">
        <v>465</v>
      </c>
      <c r="G615" s="4" t="s">
        <v>465</v>
      </c>
      <c r="I615" s="1" t="s">
        <v>8</v>
      </c>
      <c r="J615" s="1" t="s">
        <v>9</v>
      </c>
      <c r="K615" s="4" t="s">
        <v>464</v>
      </c>
      <c r="L615" s="1" t="s">
        <v>41</v>
      </c>
      <c r="M615" s="1"/>
      <c r="O615" s="1"/>
      <c r="P615" s="1"/>
      <c r="Q615" s="1"/>
      <c r="S615" s="2"/>
      <c r="T615" s="1"/>
      <c r="U615" s="2"/>
      <c r="V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 t="s">
        <v>12</v>
      </c>
      <c r="AN615" s="1" t="s">
        <v>20</v>
      </c>
      <c r="AO615" s="1">
        <v>339</v>
      </c>
      <c r="AP615" s="3">
        <v>0.56499999999999995</v>
      </c>
      <c r="AQ615" s="1"/>
    </row>
    <row r="616" spans="1:43" ht="12.3" x14ac:dyDescent="0.4">
      <c r="A616" s="1" t="s">
        <v>397</v>
      </c>
      <c r="B616" s="1"/>
      <c r="C616" s="1" t="s">
        <v>33</v>
      </c>
      <c r="D616" s="5" t="s">
        <v>7</v>
      </c>
      <c r="E616" s="5" t="s">
        <v>463</v>
      </c>
      <c r="F616" s="4" t="s">
        <v>465</v>
      </c>
      <c r="G616" s="4" t="s">
        <v>465</v>
      </c>
      <c r="I616" s="1" t="s">
        <v>8</v>
      </c>
      <c r="J616" s="1" t="s">
        <v>9</v>
      </c>
      <c r="K616" s="4" t="s">
        <v>464</v>
      </c>
      <c r="L616" s="1" t="s">
        <v>41</v>
      </c>
      <c r="M616" s="1"/>
      <c r="O616" s="1"/>
      <c r="P616" s="1"/>
      <c r="Q616" s="1"/>
      <c r="S616" s="2"/>
      <c r="T616" s="1"/>
      <c r="U616" s="1"/>
      <c r="V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 t="s">
        <v>15</v>
      </c>
      <c r="AN616" s="1" t="s">
        <v>20</v>
      </c>
      <c r="AO616" s="1">
        <v>433</v>
      </c>
      <c r="AP616" s="3">
        <v>0.72166666666666668</v>
      </c>
      <c r="AQ616" s="1"/>
    </row>
    <row r="617" spans="1:43" ht="12.3" x14ac:dyDescent="0.4">
      <c r="A617" s="1" t="s">
        <v>398</v>
      </c>
      <c r="B617" s="1"/>
      <c r="C617" s="1" t="s">
        <v>33</v>
      </c>
      <c r="D617" s="5" t="s">
        <v>7</v>
      </c>
      <c r="E617" s="5" t="s">
        <v>463</v>
      </c>
      <c r="F617" s="4" t="s">
        <v>465</v>
      </c>
      <c r="G617" s="4" t="s">
        <v>465</v>
      </c>
      <c r="I617" s="1" t="s">
        <v>8</v>
      </c>
      <c r="J617" s="1" t="s">
        <v>9</v>
      </c>
      <c r="K617" s="4" t="s">
        <v>464</v>
      </c>
      <c r="L617" s="1" t="s">
        <v>37</v>
      </c>
      <c r="M617" s="1"/>
      <c r="O617" s="1"/>
      <c r="P617" s="1"/>
      <c r="Q617" s="1"/>
      <c r="S617" s="2"/>
      <c r="T617" s="1"/>
      <c r="U617" s="1"/>
      <c r="V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 t="s">
        <v>12</v>
      </c>
      <c r="AN617" s="1" t="s">
        <v>20</v>
      </c>
      <c r="AO617" s="1">
        <v>373</v>
      </c>
      <c r="AP617" s="3">
        <v>0.6216666666666667</v>
      </c>
      <c r="AQ617" s="1"/>
    </row>
    <row r="618" spans="1:43" ht="12.3" x14ac:dyDescent="0.4">
      <c r="A618" s="1" t="s">
        <v>398</v>
      </c>
      <c r="B618" s="1"/>
      <c r="C618" s="1" t="s">
        <v>33</v>
      </c>
      <c r="D618" s="5" t="s">
        <v>7</v>
      </c>
      <c r="E618" s="5" t="s">
        <v>463</v>
      </c>
      <c r="F618" s="4" t="s">
        <v>465</v>
      </c>
      <c r="G618" s="4" t="s">
        <v>465</v>
      </c>
      <c r="I618" s="1" t="s">
        <v>29</v>
      </c>
      <c r="J618" s="1" t="s">
        <v>9</v>
      </c>
      <c r="K618" s="4" t="s">
        <v>464</v>
      </c>
      <c r="L618" s="1" t="s">
        <v>37</v>
      </c>
      <c r="M618" s="1"/>
      <c r="O618" s="1"/>
      <c r="P618" s="1"/>
      <c r="Q618" s="1"/>
      <c r="S618" s="2"/>
      <c r="T618" s="1"/>
      <c r="U618" s="1"/>
      <c r="V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 t="s">
        <v>15</v>
      </c>
      <c r="AN618" s="1" t="s">
        <v>20</v>
      </c>
      <c r="AO618" s="1">
        <v>434</v>
      </c>
      <c r="AP618" s="3">
        <v>0.72333333333333338</v>
      </c>
      <c r="AQ618" s="1"/>
    </row>
    <row r="619" spans="1:43" ht="12.3" x14ac:dyDescent="0.4">
      <c r="A619" s="1" t="s">
        <v>399</v>
      </c>
      <c r="B619" s="1"/>
      <c r="C619" s="1" t="s">
        <v>33</v>
      </c>
      <c r="D619" s="5" t="s">
        <v>7</v>
      </c>
      <c r="E619" s="5" t="s">
        <v>463</v>
      </c>
      <c r="F619" s="4" t="s">
        <v>465</v>
      </c>
      <c r="G619" s="4" t="s">
        <v>465</v>
      </c>
      <c r="I619" s="1" t="s">
        <v>29</v>
      </c>
      <c r="J619" s="1" t="s">
        <v>9</v>
      </c>
      <c r="K619" s="4" t="s">
        <v>464</v>
      </c>
      <c r="L619" s="1" t="s">
        <v>39</v>
      </c>
      <c r="M619" s="1"/>
      <c r="O619" s="1"/>
      <c r="P619" s="1"/>
      <c r="Q619" s="1"/>
      <c r="S619" s="2"/>
      <c r="T619" s="1"/>
      <c r="U619" s="1"/>
      <c r="V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 t="s">
        <v>12</v>
      </c>
      <c r="AN619" s="1" t="s">
        <v>14</v>
      </c>
      <c r="AO619" s="1">
        <v>267</v>
      </c>
      <c r="AP619" s="3">
        <v>0.44500000000000001</v>
      </c>
      <c r="AQ619" s="1"/>
    </row>
    <row r="620" spans="1:43" ht="12.3" x14ac:dyDescent="0.4">
      <c r="A620" s="1" t="s">
        <v>399</v>
      </c>
      <c r="B620" s="1"/>
      <c r="C620" s="1" t="s">
        <v>33</v>
      </c>
      <c r="D620" s="5" t="s">
        <v>7</v>
      </c>
      <c r="E620" s="5" t="s">
        <v>463</v>
      </c>
      <c r="F620" s="4" t="s">
        <v>465</v>
      </c>
      <c r="G620" s="4" t="s">
        <v>465</v>
      </c>
      <c r="I620" s="1" t="s">
        <v>8</v>
      </c>
      <c r="J620" s="1" t="s">
        <v>9</v>
      </c>
      <c r="K620" s="4" t="s">
        <v>464</v>
      </c>
      <c r="L620" s="1" t="s">
        <v>39</v>
      </c>
      <c r="M620" s="1"/>
      <c r="O620" s="1"/>
      <c r="P620" s="1"/>
      <c r="Q620" s="1"/>
      <c r="S620" s="2"/>
      <c r="T620" s="1"/>
      <c r="U620" s="1"/>
      <c r="V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 t="s">
        <v>15</v>
      </c>
      <c r="AN620" s="1" t="s">
        <v>14</v>
      </c>
      <c r="AO620" s="1">
        <v>327</v>
      </c>
      <c r="AP620" s="3">
        <v>0.54500000000000004</v>
      </c>
      <c r="AQ620" s="1"/>
    </row>
    <row r="621" spans="1:43" ht="12.3" x14ac:dyDescent="0.4">
      <c r="A621" s="1" t="s">
        <v>400</v>
      </c>
      <c r="B621" s="1"/>
      <c r="C621" s="1" t="s">
        <v>33</v>
      </c>
      <c r="D621" s="5" t="s">
        <v>7</v>
      </c>
      <c r="E621" s="5" t="s">
        <v>463</v>
      </c>
      <c r="F621" s="4" t="s">
        <v>465</v>
      </c>
      <c r="G621" s="4" t="s">
        <v>465</v>
      </c>
      <c r="I621" s="1" t="s">
        <v>8</v>
      </c>
      <c r="J621" s="1" t="s">
        <v>9</v>
      </c>
      <c r="K621" s="4" t="s">
        <v>464</v>
      </c>
      <c r="L621" s="1" t="s">
        <v>44</v>
      </c>
      <c r="M621" s="1"/>
      <c r="O621" s="1"/>
      <c r="P621" s="1"/>
      <c r="Q621" s="1"/>
      <c r="S621" s="2"/>
      <c r="T621" s="1"/>
      <c r="U621" s="1"/>
      <c r="V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 t="s">
        <v>12</v>
      </c>
      <c r="AN621" s="1" t="s">
        <v>20</v>
      </c>
      <c r="AO621" s="1">
        <v>357</v>
      </c>
      <c r="AP621" s="3">
        <v>0.59499999999999997</v>
      </c>
      <c r="AQ621" s="1"/>
    </row>
    <row r="622" spans="1:43" ht="12.3" x14ac:dyDescent="0.4">
      <c r="A622" s="1" t="s">
        <v>400</v>
      </c>
      <c r="B622" s="1"/>
      <c r="C622" s="1" t="s">
        <v>33</v>
      </c>
      <c r="D622" s="5" t="s">
        <v>7</v>
      </c>
      <c r="E622" s="5" t="s">
        <v>463</v>
      </c>
      <c r="F622" s="4" t="s">
        <v>465</v>
      </c>
      <c r="G622" s="4" t="s">
        <v>465</v>
      </c>
      <c r="I622" s="1" t="s">
        <v>16</v>
      </c>
      <c r="J622" s="1" t="s">
        <v>10</v>
      </c>
      <c r="K622" s="4" t="s">
        <v>464</v>
      </c>
      <c r="L622" s="1" t="s">
        <v>44</v>
      </c>
      <c r="M622" s="1"/>
      <c r="O622" s="1"/>
      <c r="P622" s="1"/>
      <c r="Q622" s="1"/>
      <c r="S622" s="2"/>
      <c r="T622" s="1"/>
      <c r="U622" s="2"/>
      <c r="V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 t="s">
        <v>15</v>
      </c>
      <c r="AN622" s="1" t="s">
        <v>20</v>
      </c>
      <c r="AO622" s="1">
        <v>404</v>
      </c>
      <c r="AP622" s="3">
        <v>0.67333333333333334</v>
      </c>
      <c r="AQ622" s="1"/>
    </row>
    <row r="623" spans="1:43" ht="12.3" x14ac:dyDescent="0.4">
      <c r="A623" s="1" t="s">
        <v>401</v>
      </c>
      <c r="B623" s="1"/>
      <c r="C623" s="1" t="s">
        <v>33</v>
      </c>
      <c r="D623" s="5" t="s">
        <v>7</v>
      </c>
      <c r="E623" s="5" t="s">
        <v>463</v>
      </c>
      <c r="F623" s="4" t="s">
        <v>465</v>
      </c>
      <c r="G623" s="4" t="s">
        <v>465</v>
      </c>
      <c r="I623" s="1" t="s">
        <v>16</v>
      </c>
      <c r="J623" s="1" t="s">
        <v>10</v>
      </c>
      <c r="K623" s="4" t="s">
        <v>464</v>
      </c>
      <c r="L623" s="1" t="s">
        <v>40</v>
      </c>
      <c r="M623" s="1"/>
      <c r="O623" s="1"/>
      <c r="P623" s="1"/>
      <c r="Q623" s="1"/>
      <c r="S623" s="2"/>
      <c r="T623" s="1"/>
      <c r="U623" s="2"/>
      <c r="V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 t="s">
        <v>12</v>
      </c>
      <c r="AN623" s="1" t="s">
        <v>18</v>
      </c>
      <c r="AO623" s="1">
        <v>321</v>
      </c>
      <c r="AP623" s="3">
        <v>0.53500000000000003</v>
      </c>
      <c r="AQ623" s="1"/>
    </row>
    <row r="624" spans="1:43" ht="12.3" x14ac:dyDescent="0.4">
      <c r="A624" s="1" t="s">
        <v>401</v>
      </c>
      <c r="B624" s="1"/>
      <c r="C624" s="1" t="s">
        <v>33</v>
      </c>
      <c r="D624" s="5" t="s">
        <v>7</v>
      </c>
      <c r="E624" s="5" t="s">
        <v>463</v>
      </c>
      <c r="F624" s="4" t="s">
        <v>465</v>
      </c>
      <c r="G624" s="4" t="s">
        <v>465</v>
      </c>
      <c r="I624" s="1" t="s">
        <v>16</v>
      </c>
      <c r="J624" s="1" t="s">
        <v>10</v>
      </c>
      <c r="K624" s="4" t="s">
        <v>464</v>
      </c>
      <c r="L624" s="1" t="s">
        <v>40</v>
      </c>
      <c r="M624" s="1"/>
      <c r="O624" s="1"/>
      <c r="P624" s="1"/>
      <c r="Q624" s="1"/>
      <c r="S624" s="2"/>
      <c r="T624" s="1"/>
      <c r="U624" s="1"/>
      <c r="V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 t="s">
        <v>15</v>
      </c>
      <c r="AN624" s="1" t="s">
        <v>18</v>
      </c>
      <c r="AO624" s="1">
        <v>382</v>
      </c>
      <c r="AP624" s="3">
        <v>0.63666666666666671</v>
      </c>
      <c r="AQ624" s="1"/>
    </row>
    <row r="625" spans="1:43" ht="12.3" x14ac:dyDescent="0.4">
      <c r="A625" s="1" t="s">
        <v>402</v>
      </c>
      <c r="B625" s="1"/>
      <c r="C625" s="1" t="s">
        <v>33</v>
      </c>
      <c r="D625" s="5" t="s">
        <v>7</v>
      </c>
      <c r="E625" s="5" t="s">
        <v>463</v>
      </c>
      <c r="F625" s="4" t="s">
        <v>465</v>
      </c>
      <c r="G625" s="4" t="s">
        <v>465</v>
      </c>
      <c r="I625" s="1" t="s">
        <v>16</v>
      </c>
      <c r="J625" s="1" t="s">
        <v>10</v>
      </c>
      <c r="K625" s="4" t="s">
        <v>464</v>
      </c>
      <c r="L625" s="1" t="s">
        <v>34</v>
      </c>
      <c r="M625" s="1"/>
      <c r="O625" s="1"/>
      <c r="P625" s="1"/>
      <c r="Q625" s="1"/>
      <c r="S625" s="2"/>
      <c r="T625" s="1"/>
      <c r="U625" s="1"/>
      <c r="V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 t="s">
        <v>12</v>
      </c>
      <c r="AN625" s="1" t="s">
        <v>18</v>
      </c>
      <c r="AO625" s="1">
        <v>313</v>
      </c>
      <c r="AP625" s="3">
        <v>0.52166666666666661</v>
      </c>
      <c r="AQ625" s="1"/>
    </row>
    <row r="626" spans="1:43" ht="12.3" x14ac:dyDescent="0.4">
      <c r="A626" s="1" t="s">
        <v>402</v>
      </c>
      <c r="B626" s="1"/>
      <c r="C626" s="1" t="s">
        <v>33</v>
      </c>
      <c r="D626" s="5" t="s">
        <v>7</v>
      </c>
      <c r="E626" s="5" t="s">
        <v>463</v>
      </c>
      <c r="F626" s="4" t="s">
        <v>465</v>
      </c>
      <c r="G626" s="4" t="s">
        <v>465</v>
      </c>
      <c r="I626" s="1" t="s">
        <v>16</v>
      </c>
      <c r="J626" s="1" t="s">
        <v>10</v>
      </c>
      <c r="K626" s="4" t="s">
        <v>464</v>
      </c>
      <c r="L626" s="1" t="s">
        <v>34</v>
      </c>
      <c r="M626" s="1"/>
      <c r="O626" s="1"/>
      <c r="P626" s="1"/>
      <c r="Q626" s="1"/>
      <c r="S626" s="2"/>
      <c r="T626" s="1"/>
      <c r="U626" s="1"/>
      <c r="V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 t="s">
        <v>15</v>
      </c>
      <c r="AN626" s="1" t="s">
        <v>20</v>
      </c>
      <c r="AO626" s="1">
        <v>421</v>
      </c>
      <c r="AP626" s="3">
        <v>0.70166666666666666</v>
      </c>
      <c r="AQ626" s="1"/>
    </row>
    <row r="627" spans="1:43" ht="12.3" x14ac:dyDescent="0.4">
      <c r="A627" s="1" t="s">
        <v>403</v>
      </c>
      <c r="B627" s="1"/>
      <c r="C627" s="1" t="s">
        <v>33</v>
      </c>
      <c r="D627" s="5" t="s">
        <v>7</v>
      </c>
      <c r="E627" s="5" t="s">
        <v>463</v>
      </c>
      <c r="F627" s="4" t="s">
        <v>465</v>
      </c>
      <c r="G627" s="4" t="s">
        <v>465</v>
      </c>
      <c r="I627" s="1" t="s">
        <v>16</v>
      </c>
      <c r="J627" s="1" t="s">
        <v>10</v>
      </c>
      <c r="K627" s="4" t="s">
        <v>464</v>
      </c>
      <c r="O627" s="1"/>
      <c r="P627" s="1"/>
      <c r="Q627" s="1"/>
      <c r="S627" s="2"/>
      <c r="T627" s="1"/>
      <c r="U627" s="1"/>
      <c r="V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 t="s">
        <v>12</v>
      </c>
      <c r="AN627" s="1" t="s">
        <v>14</v>
      </c>
      <c r="AO627" s="1">
        <v>243</v>
      </c>
      <c r="AP627" s="3">
        <v>0.40500000000000003</v>
      </c>
      <c r="AQ627" s="1"/>
    </row>
    <row r="628" spans="1:43" ht="12.3" x14ac:dyDescent="0.4">
      <c r="A628" s="1" t="s">
        <v>404</v>
      </c>
      <c r="B628" s="1"/>
      <c r="C628" s="1" t="s">
        <v>33</v>
      </c>
      <c r="D628" s="5" t="s">
        <v>7</v>
      </c>
      <c r="E628" s="5" t="s">
        <v>463</v>
      </c>
      <c r="F628" s="4" t="s">
        <v>465</v>
      </c>
      <c r="G628" s="4" t="s">
        <v>465</v>
      </c>
      <c r="I628" s="1" t="s">
        <v>16</v>
      </c>
      <c r="J628" s="1" t="s">
        <v>10</v>
      </c>
      <c r="K628" s="4" t="s">
        <v>464</v>
      </c>
      <c r="O628" s="1"/>
      <c r="P628" s="1"/>
      <c r="Q628" s="1"/>
      <c r="S628" s="2"/>
      <c r="T628" s="1"/>
      <c r="U628" s="2"/>
      <c r="V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 t="s">
        <v>12</v>
      </c>
      <c r="AN628" s="1" t="s">
        <v>13</v>
      </c>
      <c r="AO628" s="1">
        <v>281</v>
      </c>
      <c r="AP628" s="3">
        <v>0.46833333333333332</v>
      </c>
      <c r="AQ628" s="1"/>
    </row>
    <row r="629" spans="1:43" ht="12.3" x14ac:dyDescent="0.4">
      <c r="A629" s="1" t="s">
        <v>405</v>
      </c>
      <c r="B629" s="1"/>
      <c r="C629" s="1" t="s">
        <v>33</v>
      </c>
      <c r="D629" s="5" t="s">
        <v>7</v>
      </c>
      <c r="E629" s="5" t="s">
        <v>463</v>
      </c>
      <c r="F629" s="4" t="s">
        <v>465</v>
      </c>
      <c r="G629" s="4" t="s">
        <v>465</v>
      </c>
      <c r="I629" s="1" t="s">
        <v>8</v>
      </c>
      <c r="J629" s="1" t="s">
        <v>10</v>
      </c>
      <c r="K629" s="4" t="s">
        <v>464</v>
      </c>
      <c r="L629" s="1" t="s">
        <v>34</v>
      </c>
      <c r="M629" s="1"/>
      <c r="O629" s="1"/>
      <c r="P629" s="1"/>
      <c r="Q629" s="1"/>
      <c r="S629" s="2"/>
      <c r="T629" s="1"/>
      <c r="U629" s="2"/>
      <c r="V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 t="s">
        <v>12</v>
      </c>
      <c r="AN629" s="1" t="s">
        <v>18</v>
      </c>
      <c r="AO629" s="1">
        <v>323</v>
      </c>
      <c r="AP629" s="3">
        <v>0.53833333333333333</v>
      </c>
      <c r="AQ629" s="1"/>
    </row>
    <row r="630" spans="1:43" ht="12.3" x14ac:dyDescent="0.4">
      <c r="A630" s="1" t="s">
        <v>405</v>
      </c>
      <c r="B630" s="1"/>
      <c r="C630" s="1" t="s">
        <v>33</v>
      </c>
      <c r="D630" s="5" t="s">
        <v>7</v>
      </c>
      <c r="E630" s="5" t="s">
        <v>463</v>
      </c>
      <c r="F630" s="4" t="s">
        <v>465</v>
      </c>
      <c r="G630" s="4" t="s">
        <v>465</v>
      </c>
      <c r="I630" s="1" t="s">
        <v>8</v>
      </c>
      <c r="J630" s="1" t="s">
        <v>9</v>
      </c>
      <c r="K630" s="4" t="s">
        <v>464</v>
      </c>
      <c r="L630" s="1" t="s">
        <v>34</v>
      </c>
      <c r="M630" s="1"/>
      <c r="O630" s="1"/>
      <c r="P630" s="1"/>
      <c r="Q630" s="1"/>
      <c r="S630" s="2"/>
      <c r="T630" s="1"/>
      <c r="U630" s="1"/>
      <c r="V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 t="s">
        <v>15</v>
      </c>
      <c r="AN630" s="1" t="s">
        <v>18</v>
      </c>
      <c r="AO630" s="1">
        <v>392</v>
      </c>
      <c r="AP630" s="3">
        <v>0.65333333333333332</v>
      </c>
      <c r="AQ630" s="1"/>
    </row>
    <row r="631" spans="1:43" ht="12.3" x14ac:dyDescent="0.4">
      <c r="A631" s="1" t="s">
        <v>406</v>
      </c>
      <c r="B631" s="1"/>
      <c r="C631" s="1" t="s">
        <v>33</v>
      </c>
      <c r="D631" s="5" t="s">
        <v>7</v>
      </c>
      <c r="E631" s="5" t="s">
        <v>463</v>
      </c>
      <c r="F631" s="4" t="s">
        <v>465</v>
      </c>
      <c r="G631" s="4" t="s">
        <v>465</v>
      </c>
      <c r="I631" s="1" t="s">
        <v>8</v>
      </c>
      <c r="J631" s="1" t="s">
        <v>9</v>
      </c>
      <c r="K631" s="4" t="s">
        <v>464</v>
      </c>
      <c r="L631" s="1" t="s">
        <v>40</v>
      </c>
      <c r="M631" s="1"/>
      <c r="O631" s="1"/>
      <c r="P631" s="1"/>
      <c r="Q631" s="1"/>
      <c r="S631" s="2"/>
      <c r="T631" s="1"/>
      <c r="U631" s="1"/>
      <c r="V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 t="s">
        <v>12</v>
      </c>
      <c r="AN631" s="1" t="s">
        <v>14</v>
      </c>
      <c r="AO631" s="1">
        <v>269</v>
      </c>
      <c r="AP631" s="3">
        <v>0.44833333333333331</v>
      </c>
      <c r="AQ631" s="1"/>
    </row>
    <row r="632" spans="1:43" ht="12.3" x14ac:dyDescent="0.4">
      <c r="A632" s="1" t="s">
        <v>406</v>
      </c>
      <c r="B632" s="1"/>
      <c r="C632" s="1" t="s">
        <v>33</v>
      </c>
      <c r="D632" s="5" t="s">
        <v>7</v>
      </c>
      <c r="E632" s="5" t="s">
        <v>463</v>
      </c>
      <c r="F632" s="4" t="s">
        <v>465</v>
      </c>
      <c r="G632" s="4" t="s">
        <v>465</v>
      </c>
      <c r="I632" s="1" t="s">
        <v>8</v>
      </c>
      <c r="J632" s="1" t="s">
        <v>9</v>
      </c>
      <c r="K632" s="4" t="s">
        <v>464</v>
      </c>
      <c r="L632" s="1" t="s">
        <v>40</v>
      </c>
      <c r="M632" s="1"/>
      <c r="O632" s="1"/>
      <c r="P632" s="1"/>
      <c r="Q632" s="1"/>
      <c r="S632" s="2"/>
      <c r="T632" s="1"/>
      <c r="U632" s="2"/>
      <c r="V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 t="s">
        <v>15</v>
      </c>
      <c r="AN632" s="1" t="s">
        <v>13</v>
      </c>
      <c r="AO632" s="1">
        <v>365</v>
      </c>
      <c r="AP632" s="3">
        <v>0.60833333333333328</v>
      </c>
      <c r="AQ632" s="1"/>
    </row>
    <row r="633" spans="1:43" ht="12.3" x14ac:dyDescent="0.4">
      <c r="A633" s="1" t="s">
        <v>407</v>
      </c>
      <c r="B633" s="1"/>
      <c r="C633" s="1" t="s">
        <v>33</v>
      </c>
      <c r="D633" s="5" t="s">
        <v>7</v>
      </c>
      <c r="E633" s="5" t="s">
        <v>463</v>
      </c>
      <c r="F633" s="4" t="s">
        <v>465</v>
      </c>
      <c r="G633" s="4" t="s">
        <v>465</v>
      </c>
      <c r="I633" s="1" t="s">
        <v>8</v>
      </c>
      <c r="J633" s="1" t="s">
        <v>9</v>
      </c>
      <c r="K633" s="4" t="s">
        <v>464</v>
      </c>
      <c r="L633" s="1" t="s">
        <v>43</v>
      </c>
      <c r="M633" s="1"/>
      <c r="O633" s="1"/>
      <c r="P633" s="1"/>
      <c r="Q633" s="1"/>
      <c r="S633" s="2"/>
      <c r="T633" s="1"/>
      <c r="U633" s="2"/>
      <c r="V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 t="s">
        <v>12</v>
      </c>
      <c r="AN633" s="1" t="s">
        <v>20</v>
      </c>
      <c r="AO633" s="1">
        <v>367</v>
      </c>
      <c r="AP633" s="3">
        <v>0.61166666666666669</v>
      </c>
      <c r="AQ633" s="1"/>
    </row>
    <row r="634" spans="1:43" ht="12.3" x14ac:dyDescent="0.4">
      <c r="A634" s="1" t="s">
        <v>407</v>
      </c>
      <c r="B634" s="1"/>
      <c r="C634" s="1" t="s">
        <v>33</v>
      </c>
      <c r="D634" s="5" t="s">
        <v>7</v>
      </c>
      <c r="E634" s="5" t="s">
        <v>463</v>
      </c>
      <c r="F634" s="4" t="s">
        <v>465</v>
      </c>
      <c r="G634" s="4" t="s">
        <v>465</v>
      </c>
      <c r="I634" s="1" t="s">
        <v>29</v>
      </c>
      <c r="J634" s="1" t="s">
        <v>9</v>
      </c>
      <c r="K634" s="4" t="s">
        <v>464</v>
      </c>
      <c r="L634" s="1" t="s">
        <v>43</v>
      </c>
      <c r="M634" s="1"/>
      <c r="O634" s="1"/>
      <c r="P634" s="1"/>
      <c r="Q634" s="1"/>
      <c r="S634" s="2"/>
      <c r="T634" s="1"/>
      <c r="U634" s="2"/>
      <c r="V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 t="s">
        <v>15</v>
      </c>
      <c r="AN634" s="1" t="s">
        <v>18</v>
      </c>
      <c r="AO634" s="1">
        <v>376</v>
      </c>
      <c r="AP634" s="3">
        <v>0.62666666666666671</v>
      </c>
      <c r="AQ634" s="1"/>
    </row>
    <row r="635" spans="1:43" ht="12.3" x14ac:dyDescent="0.4">
      <c r="A635" s="1" t="s">
        <v>408</v>
      </c>
      <c r="B635" s="1"/>
      <c r="C635" s="1" t="s">
        <v>33</v>
      </c>
      <c r="D635" s="5" t="s">
        <v>7</v>
      </c>
      <c r="E635" s="5" t="s">
        <v>463</v>
      </c>
      <c r="F635" s="4" t="s">
        <v>465</v>
      </c>
      <c r="G635" s="4" t="s">
        <v>465</v>
      </c>
      <c r="I635" s="1" t="s">
        <v>29</v>
      </c>
      <c r="J635" s="1" t="s">
        <v>9</v>
      </c>
      <c r="K635" s="4" t="s">
        <v>464</v>
      </c>
      <c r="L635" s="1" t="s">
        <v>43</v>
      </c>
      <c r="M635" s="1"/>
      <c r="O635" s="1"/>
      <c r="P635" s="1"/>
      <c r="Q635" s="1"/>
      <c r="S635" s="2"/>
      <c r="T635" s="1"/>
      <c r="U635" s="2"/>
      <c r="V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 t="s">
        <v>12</v>
      </c>
      <c r="AN635" s="1" t="s">
        <v>14</v>
      </c>
      <c r="AO635" s="1">
        <v>254</v>
      </c>
      <c r="AP635" s="3">
        <v>0.42333333333333334</v>
      </c>
      <c r="AQ635" s="1"/>
    </row>
    <row r="636" spans="1:43" ht="12.3" x14ac:dyDescent="0.4">
      <c r="A636" s="1" t="s">
        <v>408</v>
      </c>
      <c r="B636" s="1"/>
      <c r="C636" s="1" t="s">
        <v>33</v>
      </c>
      <c r="D636" s="5" t="s">
        <v>7</v>
      </c>
      <c r="E636" s="5" t="s">
        <v>463</v>
      </c>
      <c r="F636" s="4" t="s">
        <v>465</v>
      </c>
      <c r="G636" s="4" t="s">
        <v>465</v>
      </c>
      <c r="I636" s="1" t="s">
        <v>16</v>
      </c>
      <c r="J636" s="1" t="s">
        <v>10</v>
      </c>
      <c r="K636" s="4" t="s">
        <v>464</v>
      </c>
      <c r="L636" s="1" t="s">
        <v>43</v>
      </c>
      <c r="M636" s="1"/>
      <c r="O636" s="1"/>
      <c r="P636" s="1"/>
      <c r="Q636" s="1"/>
      <c r="S636" s="2"/>
      <c r="T636" s="1"/>
      <c r="U636" s="1"/>
      <c r="V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 t="s">
        <v>15</v>
      </c>
      <c r="AN636" s="1" t="s">
        <v>14</v>
      </c>
      <c r="AO636" s="1">
        <v>322</v>
      </c>
      <c r="AP636" s="3">
        <v>0.53666666666666663</v>
      </c>
      <c r="AQ636" s="1"/>
    </row>
    <row r="637" spans="1:43" ht="12.3" x14ac:dyDescent="0.4">
      <c r="A637" s="1" t="s">
        <v>409</v>
      </c>
      <c r="B637" s="1"/>
      <c r="C637" s="1" t="s">
        <v>33</v>
      </c>
      <c r="D637" s="5" t="s">
        <v>7</v>
      </c>
      <c r="E637" s="5" t="s">
        <v>463</v>
      </c>
      <c r="F637" s="4" t="s">
        <v>465</v>
      </c>
      <c r="G637" s="4" t="s">
        <v>465</v>
      </c>
      <c r="I637" s="1" t="s">
        <v>16</v>
      </c>
      <c r="J637" s="1" t="s">
        <v>10</v>
      </c>
      <c r="K637" s="4" t="s">
        <v>464</v>
      </c>
      <c r="L637" s="1" t="s">
        <v>41</v>
      </c>
      <c r="M637" s="1"/>
      <c r="O637" s="1"/>
      <c r="P637" s="1"/>
      <c r="Q637" s="1"/>
      <c r="S637" s="2"/>
      <c r="T637" s="1"/>
      <c r="U637" s="1"/>
      <c r="V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 t="s">
        <v>12</v>
      </c>
      <c r="AN637" s="1" t="s">
        <v>20</v>
      </c>
      <c r="AO637" s="1">
        <v>333</v>
      </c>
      <c r="AP637" s="3">
        <v>0.55500000000000005</v>
      </c>
      <c r="AQ637" s="1"/>
    </row>
    <row r="638" spans="1:43" ht="12.3" x14ac:dyDescent="0.4">
      <c r="A638" s="1" t="s">
        <v>409</v>
      </c>
      <c r="B638" s="1"/>
      <c r="C638" s="1" t="s">
        <v>33</v>
      </c>
      <c r="D638" s="5" t="s">
        <v>7</v>
      </c>
      <c r="E638" s="5" t="s">
        <v>463</v>
      </c>
      <c r="F638" s="4" t="s">
        <v>465</v>
      </c>
      <c r="G638" s="4" t="s">
        <v>465</v>
      </c>
      <c r="I638" s="1" t="s">
        <v>16</v>
      </c>
      <c r="J638" s="1" t="s">
        <v>10</v>
      </c>
      <c r="K638" s="4" t="s">
        <v>464</v>
      </c>
      <c r="L638" s="1" t="s">
        <v>41</v>
      </c>
      <c r="M638" s="1"/>
      <c r="O638" s="1"/>
      <c r="P638" s="1"/>
      <c r="Q638" s="1"/>
      <c r="S638" s="2"/>
      <c r="T638" s="1"/>
      <c r="U638" s="2"/>
      <c r="V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 t="s">
        <v>15</v>
      </c>
      <c r="AN638" s="1" t="s">
        <v>20</v>
      </c>
      <c r="AO638" s="1">
        <v>412</v>
      </c>
      <c r="AP638" s="3">
        <v>0.68666666666666665</v>
      </c>
      <c r="AQ638" s="1"/>
    </row>
    <row r="639" spans="1:43" ht="12.3" x14ac:dyDescent="0.4">
      <c r="A639" s="1" t="s">
        <v>410</v>
      </c>
      <c r="B639" s="1"/>
      <c r="C639" s="1" t="s">
        <v>33</v>
      </c>
      <c r="D639" s="5" t="s">
        <v>7</v>
      </c>
      <c r="E639" s="5" t="s">
        <v>463</v>
      </c>
      <c r="F639" s="4" t="s">
        <v>465</v>
      </c>
      <c r="G639" s="4" t="s">
        <v>465</v>
      </c>
      <c r="I639" s="1" t="s">
        <v>16</v>
      </c>
      <c r="J639" s="1" t="s">
        <v>10</v>
      </c>
      <c r="K639" s="4" t="s">
        <v>464</v>
      </c>
      <c r="L639" s="1" t="s">
        <v>43</v>
      </c>
      <c r="M639" s="1"/>
      <c r="O639" s="1"/>
      <c r="P639" s="1"/>
      <c r="Q639" s="1"/>
      <c r="S639" s="2"/>
      <c r="T639" s="1"/>
      <c r="U639" s="2"/>
      <c r="V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 t="s">
        <v>12</v>
      </c>
      <c r="AN639" s="1" t="s">
        <v>14</v>
      </c>
      <c r="AO639" s="1">
        <v>273</v>
      </c>
      <c r="AP639" s="3">
        <v>0.45500000000000002</v>
      </c>
      <c r="AQ639" s="1"/>
    </row>
    <row r="640" spans="1:43" ht="12.3" x14ac:dyDescent="0.4">
      <c r="A640" s="1" t="s">
        <v>410</v>
      </c>
      <c r="B640" s="1"/>
      <c r="C640" s="1" t="s">
        <v>33</v>
      </c>
      <c r="D640" s="5" t="s">
        <v>7</v>
      </c>
      <c r="E640" s="5" t="s">
        <v>463</v>
      </c>
      <c r="F640" s="4" t="s">
        <v>465</v>
      </c>
      <c r="G640" s="4" t="s">
        <v>465</v>
      </c>
      <c r="I640" s="1" t="s">
        <v>16</v>
      </c>
      <c r="J640" s="1" t="s">
        <v>10</v>
      </c>
      <c r="K640" s="4" t="s">
        <v>464</v>
      </c>
      <c r="L640" s="1" t="s">
        <v>43</v>
      </c>
      <c r="M640" s="1"/>
      <c r="O640" s="1"/>
      <c r="P640" s="1"/>
      <c r="Q640" s="1"/>
      <c r="S640" s="2"/>
      <c r="T640" s="1"/>
      <c r="U640" s="1"/>
      <c r="V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 t="s">
        <v>15</v>
      </c>
      <c r="AN640" s="1" t="s">
        <v>14</v>
      </c>
      <c r="AO640" s="1">
        <v>336</v>
      </c>
      <c r="AP640" s="3">
        <v>0.56000000000000005</v>
      </c>
      <c r="AQ640" s="1"/>
    </row>
    <row r="641" spans="1:43" ht="12.3" x14ac:dyDescent="0.4">
      <c r="A641" s="1" t="s">
        <v>411</v>
      </c>
      <c r="B641" s="1"/>
      <c r="C641" s="1" t="s">
        <v>33</v>
      </c>
      <c r="D641" s="5" t="s">
        <v>7</v>
      </c>
      <c r="E641" s="5" t="s">
        <v>463</v>
      </c>
      <c r="F641" s="4" t="s">
        <v>465</v>
      </c>
      <c r="G641" s="4" t="s">
        <v>465</v>
      </c>
      <c r="I641" s="1" t="s">
        <v>16</v>
      </c>
      <c r="J641" s="1" t="s">
        <v>10</v>
      </c>
      <c r="K641" s="4" t="s">
        <v>464</v>
      </c>
      <c r="L641" s="1" t="s">
        <v>35</v>
      </c>
      <c r="M641" s="1"/>
      <c r="O641" s="1"/>
      <c r="P641" s="1"/>
      <c r="Q641" s="1"/>
      <c r="S641" s="2"/>
      <c r="T641" s="1"/>
      <c r="U641" s="1"/>
      <c r="V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 t="s">
        <v>12</v>
      </c>
      <c r="AN641" s="1" t="s">
        <v>18</v>
      </c>
      <c r="AO641" s="1">
        <v>308</v>
      </c>
      <c r="AP641" s="3">
        <v>0.51333333333333331</v>
      </c>
      <c r="AQ641" s="1"/>
    </row>
    <row r="642" spans="1:43" ht="12.3" x14ac:dyDescent="0.4">
      <c r="A642" s="1" t="s">
        <v>411</v>
      </c>
      <c r="B642" s="1"/>
      <c r="C642" s="1" t="s">
        <v>33</v>
      </c>
      <c r="D642" s="5" t="s">
        <v>7</v>
      </c>
      <c r="E642" s="5" t="s">
        <v>463</v>
      </c>
      <c r="F642" s="4" t="s">
        <v>465</v>
      </c>
      <c r="G642" s="4" t="s">
        <v>465</v>
      </c>
      <c r="I642" s="1" t="s">
        <v>16</v>
      </c>
      <c r="J642" s="1" t="s">
        <v>10</v>
      </c>
      <c r="K642" s="4" t="s">
        <v>464</v>
      </c>
      <c r="L642" s="1" t="s">
        <v>35</v>
      </c>
      <c r="M642" s="1"/>
      <c r="O642" s="1"/>
      <c r="P642" s="1"/>
      <c r="Q642" s="1"/>
      <c r="S642" s="2"/>
      <c r="T642" s="1"/>
      <c r="U642" s="1"/>
      <c r="V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 t="s">
        <v>15</v>
      </c>
      <c r="AN642" s="1" t="s">
        <v>13</v>
      </c>
      <c r="AO642" s="1">
        <v>370</v>
      </c>
      <c r="AP642" s="3">
        <v>0.6166666666666667</v>
      </c>
      <c r="AQ642" s="1"/>
    </row>
    <row r="643" spans="1:43" ht="12.3" x14ac:dyDescent="0.4">
      <c r="A643" s="1" t="s">
        <v>412</v>
      </c>
      <c r="B643" s="1"/>
      <c r="C643" s="1" t="s">
        <v>33</v>
      </c>
      <c r="D643" s="5" t="s">
        <v>7</v>
      </c>
      <c r="E643" s="5" t="s">
        <v>463</v>
      </c>
      <c r="F643" s="4" t="s">
        <v>465</v>
      </c>
      <c r="G643" s="4" t="s">
        <v>465</v>
      </c>
      <c r="I643" s="1" t="s">
        <v>16</v>
      </c>
      <c r="J643" s="1" t="s">
        <v>10</v>
      </c>
      <c r="K643" s="4" t="s">
        <v>464</v>
      </c>
      <c r="L643" s="1" t="s">
        <v>35</v>
      </c>
      <c r="M643" s="1"/>
      <c r="O643" s="1"/>
      <c r="P643" s="1"/>
      <c r="Q643" s="1"/>
      <c r="S643" s="2"/>
      <c r="T643" s="1"/>
      <c r="U643" s="1"/>
      <c r="V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 t="s">
        <v>12</v>
      </c>
      <c r="AN643" s="1" t="s">
        <v>18</v>
      </c>
      <c r="AO643" s="1">
        <v>322</v>
      </c>
      <c r="AP643" s="3">
        <v>0.53666666666666663</v>
      </c>
      <c r="AQ643" s="1"/>
    </row>
    <row r="644" spans="1:43" ht="12.3" x14ac:dyDescent="0.4">
      <c r="A644" s="1" t="s">
        <v>412</v>
      </c>
      <c r="B644" s="1"/>
      <c r="C644" s="1" t="s">
        <v>33</v>
      </c>
      <c r="D644" s="5" t="s">
        <v>7</v>
      </c>
      <c r="E644" s="5" t="s">
        <v>463</v>
      </c>
      <c r="F644" s="4" t="s">
        <v>465</v>
      </c>
      <c r="G644" s="4" t="s">
        <v>465</v>
      </c>
      <c r="I644" s="1" t="s">
        <v>16</v>
      </c>
      <c r="J644" s="1" t="s">
        <v>10</v>
      </c>
      <c r="K644" s="4" t="s">
        <v>464</v>
      </c>
      <c r="L644" s="1" t="s">
        <v>35</v>
      </c>
      <c r="M644" s="1"/>
      <c r="O644" s="1"/>
      <c r="P644" s="1"/>
      <c r="Q644" s="1"/>
      <c r="S644" s="2"/>
      <c r="T644" s="1"/>
      <c r="U644" s="2"/>
      <c r="V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 t="s">
        <v>15</v>
      </c>
      <c r="AN644" s="1" t="s">
        <v>13</v>
      </c>
      <c r="AO644" s="1">
        <v>365</v>
      </c>
      <c r="AP644" s="3">
        <v>0.60833333333333328</v>
      </c>
      <c r="AQ644" s="1"/>
    </row>
    <row r="645" spans="1:43" ht="12.3" x14ac:dyDescent="0.4">
      <c r="A645" s="1" t="s">
        <v>413</v>
      </c>
      <c r="B645" s="1"/>
      <c r="C645" s="1" t="s">
        <v>33</v>
      </c>
      <c r="D645" s="5" t="s">
        <v>7</v>
      </c>
      <c r="E645" s="5" t="s">
        <v>463</v>
      </c>
      <c r="F645" s="4" t="s">
        <v>465</v>
      </c>
      <c r="G645" s="4" t="s">
        <v>465</v>
      </c>
      <c r="I645" s="1" t="s">
        <v>16</v>
      </c>
      <c r="J645" s="1" t="s">
        <v>10</v>
      </c>
      <c r="K645" s="4" t="s">
        <v>464</v>
      </c>
      <c r="L645" s="1" t="s">
        <v>38</v>
      </c>
      <c r="M645" s="1"/>
      <c r="O645" s="1"/>
      <c r="P645" s="1"/>
      <c r="Q645" s="1"/>
      <c r="S645" s="2"/>
      <c r="T645" s="1"/>
      <c r="U645" s="2"/>
      <c r="V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 t="s">
        <v>12</v>
      </c>
      <c r="AN645" s="1" t="s">
        <v>13</v>
      </c>
      <c r="AO645" s="1">
        <v>296</v>
      </c>
      <c r="AP645" s="3">
        <v>0.49333333333333335</v>
      </c>
      <c r="AQ645" s="1"/>
    </row>
    <row r="646" spans="1:43" ht="12.3" x14ac:dyDescent="0.4">
      <c r="A646" s="1" t="s">
        <v>413</v>
      </c>
      <c r="B646" s="1"/>
      <c r="C646" s="1" t="s">
        <v>33</v>
      </c>
      <c r="D646" s="5" t="s">
        <v>7</v>
      </c>
      <c r="E646" s="5" t="s">
        <v>463</v>
      </c>
      <c r="F646" s="4" t="s">
        <v>465</v>
      </c>
      <c r="G646" s="4" t="s">
        <v>465</v>
      </c>
      <c r="I646" s="1" t="s">
        <v>16</v>
      </c>
      <c r="J646" s="1" t="s">
        <v>10</v>
      </c>
      <c r="K646" s="4" t="s">
        <v>464</v>
      </c>
      <c r="L646" s="1" t="s">
        <v>38</v>
      </c>
      <c r="M646" s="1"/>
      <c r="O646" s="1"/>
      <c r="P646" s="1"/>
      <c r="Q646" s="1"/>
      <c r="S646" s="2"/>
      <c r="T646" s="1"/>
      <c r="U646" s="1"/>
      <c r="V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 t="s">
        <v>15</v>
      </c>
      <c r="AN646" s="1" t="s">
        <v>14</v>
      </c>
      <c r="AO646" s="1">
        <v>355</v>
      </c>
      <c r="AP646" s="3">
        <v>0.59166666666666667</v>
      </c>
      <c r="AQ646" s="1"/>
    </row>
    <row r="647" spans="1:43" ht="12.3" x14ac:dyDescent="0.4">
      <c r="A647" s="1" t="s">
        <v>414</v>
      </c>
      <c r="B647" s="1"/>
      <c r="C647" s="1" t="s">
        <v>33</v>
      </c>
      <c r="D647" s="5" t="s">
        <v>7</v>
      </c>
      <c r="E647" s="5" t="s">
        <v>463</v>
      </c>
      <c r="F647" s="4" t="s">
        <v>465</v>
      </c>
      <c r="G647" s="4" t="s">
        <v>465</v>
      </c>
      <c r="I647" s="1" t="s">
        <v>16</v>
      </c>
      <c r="J647" s="1" t="s">
        <v>10</v>
      </c>
      <c r="K647" s="4" t="s">
        <v>464</v>
      </c>
      <c r="L647" s="1" t="s">
        <v>36</v>
      </c>
      <c r="M647" s="1"/>
      <c r="O647" s="1"/>
      <c r="P647" s="1"/>
      <c r="Q647" s="1"/>
      <c r="S647" s="2"/>
      <c r="T647" s="1"/>
      <c r="U647" s="1"/>
      <c r="V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 t="s">
        <v>15</v>
      </c>
      <c r="AN647" s="1" t="s">
        <v>14</v>
      </c>
      <c r="AO647" s="1">
        <v>322</v>
      </c>
      <c r="AP647" s="3">
        <v>0.53666666666666663</v>
      </c>
      <c r="AQ647" s="1"/>
    </row>
    <row r="648" spans="1:43" ht="12.3" x14ac:dyDescent="0.4">
      <c r="A648" s="1" t="s">
        <v>415</v>
      </c>
      <c r="B648" s="1"/>
      <c r="C648" s="1" t="s">
        <v>33</v>
      </c>
      <c r="D648" s="5" t="s">
        <v>7</v>
      </c>
      <c r="E648" s="5" t="s">
        <v>463</v>
      </c>
      <c r="F648" s="4" t="s">
        <v>465</v>
      </c>
      <c r="G648" s="4" t="s">
        <v>465</v>
      </c>
      <c r="I648" s="1" t="s">
        <v>16</v>
      </c>
      <c r="J648" s="1" t="s">
        <v>10</v>
      </c>
      <c r="K648" s="4" t="s">
        <v>464</v>
      </c>
      <c r="L648" s="1" t="s">
        <v>37</v>
      </c>
      <c r="M648" s="1"/>
      <c r="O648" s="1"/>
      <c r="P648" s="1"/>
      <c r="Q648" s="1"/>
      <c r="S648" s="2"/>
      <c r="T648" s="1"/>
      <c r="U648" s="1"/>
      <c r="V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 t="s">
        <v>12</v>
      </c>
      <c r="AN648" s="1" t="s">
        <v>20</v>
      </c>
      <c r="AO648" s="1">
        <v>358</v>
      </c>
      <c r="AP648" s="3">
        <v>0.59666666666666668</v>
      </c>
      <c r="AQ648" s="1"/>
    </row>
    <row r="649" spans="1:43" ht="12.3" x14ac:dyDescent="0.4">
      <c r="A649" s="1" t="s">
        <v>415</v>
      </c>
      <c r="B649" s="1"/>
      <c r="C649" s="1" t="s">
        <v>33</v>
      </c>
      <c r="D649" s="5" t="s">
        <v>7</v>
      </c>
      <c r="E649" s="5" t="s">
        <v>463</v>
      </c>
      <c r="F649" s="4" t="s">
        <v>465</v>
      </c>
      <c r="G649" s="4" t="s">
        <v>465</v>
      </c>
      <c r="I649" s="1" t="s">
        <v>29</v>
      </c>
      <c r="J649" s="1" t="s">
        <v>9</v>
      </c>
      <c r="K649" s="4" t="s">
        <v>464</v>
      </c>
      <c r="L649" s="1" t="s">
        <v>37</v>
      </c>
      <c r="M649" s="1"/>
      <c r="O649" s="1"/>
      <c r="P649" s="1"/>
      <c r="Q649" s="1"/>
      <c r="S649" s="2"/>
      <c r="T649" s="1"/>
      <c r="U649" s="1"/>
      <c r="V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 t="s">
        <v>15</v>
      </c>
      <c r="AN649" s="1" t="s">
        <v>20</v>
      </c>
      <c r="AO649" s="1">
        <v>393</v>
      </c>
      <c r="AP649" s="3">
        <v>0.65500000000000003</v>
      </c>
      <c r="AQ649" s="1"/>
    </row>
    <row r="650" spans="1:43" ht="12.3" x14ac:dyDescent="0.4">
      <c r="A650" s="1" t="s">
        <v>416</v>
      </c>
      <c r="B650" s="1"/>
      <c r="C650" s="1" t="s">
        <v>33</v>
      </c>
      <c r="D650" s="5" t="s">
        <v>7</v>
      </c>
      <c r="E650" s="5" t="s">
        <v>463</v>
      </c>
      <c r="F650" s="4" t="s">
        <v>465</v>
      </c>
      <c r="G650" s="4" t="s">
        <v>465</v>
      </c>
      <c r="I650" s="1" t="s">
        <v>29</v>
      </c>
      <c r="J650" s="1" t="s">
        <v>9</v>
      </c>
      <c r="K650" s="4" t="s">
        <v>464</v>
      </c>
      <c r="L650" s="1" t="s">
        <v>41</v>
      </c>
      <c r="M650" s="1"/>
      <c r="O650" s="1"/>
      <c r="P650" s="1"/>
      <c r="Q650" s="1"/>
      <c r="S650" s="2"/>
      <c r="T650" s="1"/>
      <c r="U650" s="1"/>
      <c r="V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 t="s">
        <v>12</v>
      </c>
      <c r="AN650" s="1" t="s">
        <v>14</v>
      </c>
      <c r="AO650" s="1">
        <v>268</v>
      </c>
      <c r="AP650" s="3">
        <v>0.44666666666666666</v>
      </c>
      <c r="AQ650" s="1"/>
    </row>
    <row r="651" spans="1:43" ht="12.3" x14ac:dyDescent="0.4">
      <c r="A651" s="1" t="s">
        <v>416</v>
      </c>
      <c r="B651" s="1"/>
      <c r="C651" s="1" t="s">
        <v>33</v>
      </c>
      <c r="D651" s="5" t="s">
        <v>7</v>
      </c>
      <c r="E651" s="5" t="s">
        <v>463</v>
      </c>
      <c r="F651" s="4" t="s">
        <v>465</v>
      </c>
      <c r="G651" s="4" t="s">
        <v>465</v>
      </c>
      <c r="I651" s="1" t="s">
        <v>16</v>
      </c>
      <c r="J651" s="1" t="s">
        <v>10</v>
      </c>
      <c r="K651" s="4" t="s">
        <v>464</v>
      </c>
      <c r="L651" s="1" t="s">
        <v>41</v>
      </c>
      <c r="M651" s="1"/>
      <c r="O651" s="1"/>
      <c r="P651" s="1"/>
      <c r="Q651" s="1"/>
      <c r="S651" s="2"/>
      <c r="T651" s="1"/>
      <c r="U651" s="1"/>
      <c r="V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 t="s">
        <v>15</v>
      </c>
      <c r="AN651" s="1" t="s">
        <v>13</v>
      </c>
      <c r="AO651" s="1">
        <v>368</v>
      </c>
      <c r="AP651" s="3">
        <v>0.61333333333333329</v>
      </c>
      <c r="AQ651" s="1"/>
    </row>
    <row r="652" spans="1:43" ht="12.3" x14ac:dyDescent="0.4">
      <c r="A652" s="1" t="s">
        <v>417</v>
      </c>
      <c r="B652" s="1"/>
      <c r="C652" s="1" t="s">
        <v>33</v>
      </c>
      <c r="D652" s="5" t="s">
        <v>7</v>
      </c>
      <c r="E652" s="5" t="s">
        <v>463</v>
      </c>
      <c r="F652" s="4" t="s">
        <v>465</v>
      </c>
      <c r="G652" s="4" t="s">
        <v>465</v>
      </c>
      <c r="I652" s="1" t="s">
        <v>16</v>
      </c>
      <c r="J652" s="1" t="s">
        <v>10</v>
      </c>
      <c r="K652" s="4" t="s">
        <v>464</v>
      </c>
      <c r="L652" s="1" t="s">
        <v>39</v>
      </c>
      <c r="M652" s="1"/>
      <c r="O652" s="1"/>
      <c r="P652" s="1"/>
      <c r="Q652" s="1"/>
      <c r="S652" s="2"/>
      <c r="T652" s="1"/>
      <c r="U652" s="1"/>
      <c r="V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 t="s">
        <v>12</v>
      </c>
      <c r="AN652" s="1" t="s">
        <v>18</v>
      </c>
      <c r="AO652" s="1">
        <v>325</v>
      </c>
      <c r="AP652" s="3">
        <v>0.54166666666666663</v>
      </c>
      <c r="AQ652" s="1"/>
    </row>
    <row r="653" spans="1:43" ht="12.3" x14ac:dyDescent="0.4">
      <c r="A653" s="1" t="s">
        <v>417</v>
      </c>
      <c r="B653" s="1"/>
      <c r="C653" s="1" t="s">
        <v>33</v>
      </c>
      <c r="D653" s="5" t="s">
        <v>7</v>
      </c>
      <c r="E653" s="5" t="s">
        <v>463</v>
      </c>
      <c r="F653" s="4" t="s">
        <v>465</v>
      </c>
      <c r="G653" s="4" t="s">
        <v>465</v>
      </c>
      <c r="I653" s="1" t="s">
        <v>8</v>
      </c>
      <c r="J653" s="1" t="s">
        <v>9</v>
      </c>
      <c r="K653" s="4" t="s">
        <v>464</v>
      </c>
      <c r="L653" s="1" t="s">
        <v>39</v>
      </c>
      <c r="M653" s="1"/>
      <c r="O653" s="1"/>
      <c r="P653" s="1"/>
      <c r="Q653" s="1"/>
      <c r="S653" s="2"/>
      <c r="T653" s="1"/>
      <c r="U653" s="1"/>
      <c r="V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 t="s">
        <v>15</v>
      </c>
      <c r="AN653" s="1" t="s">
        <v>18</v>
      </c>
      <c r="AO653" s="1">
        <v>375</v>
      </c>
      <c r="AP653" s="3">
        <v>0.625</v>
      </c>
      <c r="AQ653" s="1"/>
    </row>
    <row r="654" spans="1:43" ht="12.3" x14ac:dyDescent="0.4">
      <c r="A654" s="1" t="s">
        <v>418</v>
      </c>
      <c r="B654" s="1"/>
      <c r="C654" s="1" t="s">
        <v>33</v>
      </c>
      <c r="D654" s="5" t="s">
        <v>7</v>
      </c>
      <c r="E654" s="5" t="s">
        <v>463</v>
      </c>
      <c r="F654" s="4" t="s">
        <v>465</v>
      </c>
      <c r="G654" s="4" t="s">
        <v>465</v>
      </c>
      <c r="I654" s="1" t="s">
        <v>8</v>
      </c>
      <c r="J654" s="1" t="s">
        <v>9</v>
      </c>
      <c r="K654" s="4" t="s">
        <v>464</v>
      </c>
      <c r="L654" s="1" t="s">
        <v>38</v>
      </c>
      <c r="M654" s="1"/>
      <c r="O654" s="1"/>
      <c r="P654" s="1"/>
      <c r="Q654" s="1"/>
      <c r="S654" s="2"/>
      <c r="T654" s="1"/>
      <c r="U654" s="1"/>
      <c r="V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 t="s">
        <v>12</v>
      </c>
      <c r="AN654" s="1" t="s">
        <v>20</v>
      </c>
      <c r="AO654" s="1">
        <v>411</v>
      </c>
      <c r="AP654" s="3">
        <v>0.68500000000000005</v>
      </c>
      <c r="AQ654" s="1"/>
    </row>
    <row r="655" spans="1:43" ht="12.3" x14ac:dyDescent="0.4">
      <c r="A655" s="1" t="s">
        <v>418</v>
      </c>
      <c r="B655" s="1"/>
      <c r="C655" s="1" t="s">
        <v>33</v>
      </c>
      <c r="D655" s="5" t="s">
        <v>7</v>
      </c>
      <c r="E655" s="5" t="s">
        <v>463</v>
      </c>
      <c r="F655" s="4" t="s">
        <v>465</v>
      </c>
      <c r="G655" s="4" t="s">
        <v>465</v>
      </c>
      <c r="I655" s="1" t="s">
        <v>8</v>
      </c>
      <c r="J655" s="1" t="s">
        <v>9</v>
      </c>
      <c r="K655" s="4" t="s">
        <v>464</v>
      </c>
      <c r="L655" s="1" t="s">
        <v>38</v>
      </c>
      <c r="M655" s="1"/>
      <c r="O655" s="1"/>
      <c r="P655" s="1"/>
      <c r="Q655" s="1"/>
      <c r="S655" s="2"/>
      <c r="T655" s="1"/>
      <c r="U655" s="2"/>
      <c r="V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 t="s">
        <v>15</v>
      </c>
      <c r="AN655" s="1" t="s">
        <v>20</v>
      </c>
      <c r="AO655" s="1">
        <v>453</v>
      </c>
      <c r="AP655" s="3">
        <v>0.755</v>
      </c>
      <c r="AQ655" s="1"/>
    </row>
    <row r="656" spans="1:43" ht="12.3" x14ac:dyDescent="0.4">
      <c r="A656" s="1" t="s">
        <v>419</v>
      </c>
      <c r="B656" s="1"/>
      <c r="C656" s="1" t="s">
        <v>33</v>
      </c>
      <c r="D656" s="5" t="s">
        <v>7</v>
      </c>
      <c r="E656" s="5" t="s">
        <v>463</v>
      </c>
      <c r="F656" s="4" t="s">
        <v>465</v>
      </c>
      <c r="G656" s="4" t="s">
        <v>465</v>
      </c>
      <c r="I656" s="1" t="s">
        <v>8</v>
      </c>
      <c r="J656" s="1" t="s">
        <v>9</v>
      </c>
      <c r="K656" s="4" t="s">
        <v>464</v>
      </c>
      <c r="L656" s="1" t="s">
        <v>43</v>
      </c>
      <c r="M656" s="1"/>
      <c r="O656" s="1"/>
      <c r="P656" s="1"/>
      <c r="Q656" s="1"/>
      <c r="S656" s="2"/>
      <c r="T656" s="1"/>
      <c r="U656" s="2"/>
      <c r="V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 t="s">
        <v>12</v>
      </c>
      <c r="AN656" s="1" t="s">
        <v>20</v>
      </c>
      <c r="AO656" s="1">
        <v>333</v>
      </c>
      <c r="AP656" s="3">
        <v>0.55500000000000005</v>
      </c>
      <c r="AQ656" s="1"/>
    </row>
    <row r="657" spans="1:43" ht="12.3" x14ac:dyDescent="0.4">
      <c r="A657" s="1" t="s">
        <v>419</v>
      </c>
      <c r="B657" s="1"/>
      <c r="C657" s="1" t="s">
        <v>33</v>
      </c>
      <c r="D657" s="5" t="s">
        <v>7</v>
      </c>
      <c r="E657" s="5" t="s">
        <v>463</v>
      </c>
      <c r="F657" s="4" t="s">
        <v>465</v>
      </c>
      <c r="G657" s="4" t="s">
        <v>465</v>
      </c>
      <c r="I657" s="1" t="s">
        <v>16</v>
      </c>
      <c r="J657" s="1" t="s">
        <v>10</v>
      </c>
      <c r="K657" s="4" t="s">
        <v>464</v>
      </c>
      <c r="L657" s="1" t="s">
        <v>43</v>
      </c>
      <c r="M657" s="1"/>
      <c r="O657" s="1"/>
      <c r="P657" s="1"/>
      <c r="Q657" s="1"/>
      <c r="S657" s="2"/>
      <c r="T657" s="1"/>
      <c r="U657" s="1"/>
      <c r="V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 t="s">
        <v>15</v>
      </c>
      <c r="AN657" s="1" t="s">
        <v>18</v>
      </c>
      <c r="AO657" s="1">
        <v>384</v>
      </c>
      <c r="AP657" s="3">
        <v>0.64</v>
      </c>
      <c r="AQ657" s="1"/>
    </row>
    <row r="658" spans="1:43" ht="12.3" x14ac:dyDescent="0.4">
      <c r="A658" s="1" t="s">
        <v>420</v>
      </c>
      <c r="B658" s="1"/>
      <c r="C658" s="1" t="s">
        <v>33</v>
      </c>
      <c r="D658" s="5" t="s">
        <v>7</v>
      </c>
      <c r="E658" s="5" t="s">
        <v>463</v>
      </c>
      <c r="F658" s="4" t="s">
        <v>465</v>
      </c>
      <c r="G658" s="4" t="s">
        <v>465</v>
      </c>
      <c r="I658" s="1" t="s">
        <v>16</v>
      </c>
      <c r="J658" s="1" t="s">
        <v>10</v>
      </c>
      <c r="K658" s="4" t="s">
        <v>464</v>
      </c>
      <c r="L658" s="1" t="s">
        <v>42</v>
      </c>
      <c r="M658" s="1"/>
      <c r="O658" s="1"/>
      <c r="P658" s="1"/>
      <c r="Q658" s="1"/>
      <c r="S658" s="2"/>
      <c r="T658" s="1"/>
      <c r="U658" s="1"/>
      <c r="V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 t="s">
        <v>12</v>
      </c>
      <c r="AN658" s="1" t="s">
        <v>20</v>
      </c>
      <c r="AO658" s="1">
        <v>342</v>
      </c>
      <c r="AP658" s="3">
        <v>0.56999999999999995</v>
      </c>
      <c r="AQ658" s="1"/>
    </row>
    <row r="659" spans="1:43" ht="12.3" x14ac:dyDescent="0.4">
      <c r="A659" s="1" t="s">
        <v>420</v>
      </c>
      <c r="B659" s="1"/>
      <c r="C659" s="1" t="s">
        <v>33</v>
      </c>
      <c r="D659" s="5" t="s">
        <v>7</v>
      </c>
      <c r="E659" s="5" t="s">
        <v>463</v>
      </c>
      <c r="F659" s="4" t="s">
        <v>465</v>
      </c>
      <c r="G659" s="4" t="s">
        <v>465</v>
      </c>
      <c r="I659" s="1" t="s">
        <v>8</v>
      </c>
      <c r="J659" s="1" t="s">
        <v>9</v>
      </c>
      <c r="K659" s="4" t="s">
        <v>464</v>
      </c>
      <c r="L659" s="1" t="s">
        <v>42</v>
      </c>
      <c r="M659" s="1"/>
      <c r="O659" s="1"/>
      <c r="P659" s="1"/>
      <c r="Q659" s="1"/>
      <c r="S659" s="2"/>
      <c r="T659" s="1"/>
      <c r="U659" s="2"/>
      <c r="V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 t="s">
        <v>15</v>
      </c>
      <c r="AN659" s="1" t="s">
        <v>18</v>
      </c>
      <c r="AO659" s="1">
        <v>376</v>
      </c>
      <c r="AP659" s="3">
        <v>0.62666666666666671</v>
      </c>
      <c r="AQ659" s="1"/>
    </row>
    <row r="660" spans="1:43" ht="12.3" x14ac:dyDescent="0.4">
      <c r="A660" s="1" t="s">
        <v>421</v>
      </c>
      <c r="B660" s="1"/>
      <c r="C660" s="1" t="s">
        <v>33</v>
      </c>
      <c r="D660" s="5" t="s">
        <v>7</v>
      </c>
      <c r="E660" s="5" t="s">
        <v>463</v>
      </c>
      <c r="F660" s="4" t="s">
        <v>465</v>
      </c>
      <c r="G660" s="4" t="s">
        <v>465</v>
      </c>
      <c r="I660" s="1" t="s">
        <v>8</v>
      </c>
      <c r="J660" s="1" t="s">
        <v>9</v>
      </c>
      <c r="K660" s="4" t="s">
        <v>464</v>
      </c>
      <c r="L660" s="1" t="s">
        <v>34</v>
      </c>
      <c r="M660" s="1"/>
      <c r="O660" s="1"/>
      <c r="P660" s="1"/>
      <c r="Q660" s="1"/>
      <c r="S660" s="2"/>
      <c r="T660" s="1"/>
      <c r="U660" s="2"/>
      <c r="V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 t="s">
        <v>12</v>
      </c>
      <c r="AN660" s="1" t="s">
        <v>18</v>
      </c>
      <c r="AO660" s="1">
        <v>316</v>
      </c>
      <c r="AP660" s="3">
        <v>0.52666666666666662</v>
      </c>
      <c r="AQ660" s="1"/>
    </row>
    <row r="661" spans="1:43" ht="12.3" x14ac:dyDescent="0.4">
      <c r="A661" s="1" t="s">
        <v>421</v>
      </c>
      <c r="B661" s="1"/>
      <c r="C661" s="1" t="s">
        <v>33</v>
      </c>
      <c r="D661" s="5" t="s">
        <v>7</v>
      </c>
      <c r="E661" s="5" t="s">
        <v>463</v>
      </c>
      <c r="F661" s="4" t="s">
        <v>465</v>
      </c>
      <c r="G661" s="4" t="s">
        <v>465</v>
      </c>
      <c r="I661" s="1" t="s">
        <v>16</v>
      </c>
      <c r="J661" s="1" t="s">
        <v>10</v>
      </c>
      <c r="K661" s="4" t="s">
        <v>464</v>
      </c>
      <c r="L661" s="1" t="s">
        <v>34</v>
      </c>
      <c r="M661" s="1"/>
      <c r="O661" s="1"/>
      <c r="P661" s="1"/>
      <c r="Q661" s="1"/>
      <c r="S661" s="2"/>
      <c r="T661" s="1"/>
      <c r="U661" s="1"/>
      <c r="V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 t="s">
        <v>15</v>
      </c>
      <c r="AN661" s="1" t="s">
        <v>20</v>
      </c>
      <c r="AO661" s="1">
        <v>403</v>
      </c>
      <c r="AP661" s="3">
        <v>0.67166666666666663</v>
      </c>
      <c r="AQ661" s="1"/>
    </row>
    <row r="662" spans="1:43" ht="12.3" x14ac:dyDescent="0.4">
      <c r="A662" s="1" t="s">
        <v>422</v>
      </c>
      <c r="B662" s="1"/>
      <c r="C662" s="1" t="s">
        <v>33</v>
      </c>
      <c r="D662" s="5" t="s">
        <v>7</v>
      </c>
      <c r="E662" s="5" t="s">
        <v>463</v>
      </c>
      <c r="F662" s="4" t="s">
        <v>465</v>
      </c>
      <c r="G662" s="4" t="s">
        <v>465</v>
      </c>
      <c r="I662" s="1" t="s">
        <v>16</v>
      </c>
      <c r="J662" s="1" t="s">
        <v>10</v>
      </c>
      <c r="K662" s="4" t="s">
        <v>464</v>
      </c>
      <c r="O662" s="1"/>
      <c r="P662" s="1"/>
      <c r="Q662" s="1"/>
      <c r="S662" s="2"/>
      <c r="T662" s="1"/>
      <c r="U662" s="1"/>
      <c r="V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 t="s">
        <v>12</v>
      </c>
      <c r="AN662" s="1" t="s">
        <v>14</v>
      </c>
      <c r="AO662" s="1">
        <v>270</v>
      </c>
      <c r="AP662" s="3">
        <v>0.45</v>
      </c>
      <c r="AQ662" s="1"/>
    </row>
    <row r="663" spans="1:43" ht="12.3" x14ac:dyDescent="0.4">
      <c r="A663" s="1" t="s">
        <v>423</v>
      </c>
      <c r="B663" s="1"/>
      <c r="C663" s="1" t="s">
        <v>33</v>
      </c>
      <c r="D663" s="5" t="s">
        <v>7</v>
      </c>
      <c r="E663" s="5" t="s">
        <v>463</v>
      </c>
      <c r="F663" s="4" t="s">
        <v>465</v>
      </c>
      <c r="G663" s="4" t="s">
        <v>465</v>
      </c>
      <c r="I663" s="1" t="s">
        <v>16</v>
      </c>
      <c r="J663" s="1" t="s">
        <v>10</v>
      </c>
      <c r="K663" s="4" t="s">
        <v>464</v>
      </c>
      <c r="L663" s="1" t="s">
        <v>41</v>
      </c>
      <c r="M663" s="1"/>
      <c r="O663" s="1"/>
      <c r="P663" s="1"/>
      <c r="Q663" s="1"/>
      <c r="S663" s="2"/>
      <c r="T663" s="1"/>
      <c r="U663" s="1"/>
      <c r="V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 t="s">
        <v>12</v>
      </c>
      <c r="AN663" s="1" t="s">
        <v>14</v>
      </c>
      <c r="AO663" s="1">
        <v>262</v>
      </c>
      <c r="AP663" s="3">
        <v>0.43666666666666665</v>
      </c>
      <c r="AQ663" s="1"/>
    </row>
    <row r="664" spans="1:43" ht="12.3" x14ac:dyDescent="0.4">
      <c r="A664" s="1" t="s">
        <v>423</v>
      </c>
      <c r="B664" s="1"/>
      <c r="C664" s="1" t="s">
        <v>33</v>
      </c>
      <c r="D664" s="5" t="s">
        <v>7</v>
      </c>
      <c r="E664" s="5" t="s">
        <v>463</v>
      </c>
      <c r="F664" s="4" t="s">
        <v>465</v>
      </c>
      <c r="G664" s="4" t="s">
        <v>465</v>
      </c>
      <c r="I664" s="1" t="s">
        <v>16</v>
      </c>
      <c r="J664" s="1" t="s">
        <v>10</v>
      </c>
      <c r="K664" s="4" t="s">
        <v>464</v>
      </c>
      <c r="L664" s="1" t="s">
        <v>41</v>
      </c>
      <c r="M664" s="1"/>
      <c r="O664" s="1"/>
      <c r="P664" s="1"/>
      <c r="Q664" s="1"/>
      <c r="S664" s="2"/>
      <c r="T664" s="1"/>
      <c r="U664" s="1"/>
      <c r="V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 t="s">
        <v>15</v>
      </c>
      <c r="AN664" s="1" t="s">
        <v>14</v>
      </c>
      <c r="AO664" s="1">
        <v>335</v>
      </c>
      <c r="AP664" s="3">
        <v>0.55833333333333335</v>
      </c>
      <c r="AQ664" s="1"/>
    </row>
    <row r="665" spans="1:43" ht="12.3" x14ac:dyDescent="0.4">
      <c r="A665" s="1" t="s">
        <v>424</v>
      </c>
      <c r="B665" s="1"/>
      <c r="C665" s="1" t="s">
        <v>33</v>
      </c>
      <c r="D665" s="5" t="s">
        <v>7</v>
      </c>
      <c r="E665" s="5" t="s">
        <v>463</v>
      </c>
      <c r="F665" s="4" t="s">
        <v>465</v>
      </c>
      <c r="G665" s="4" t="s">
        <v>465</v>
      </c>
      <c r="I665" s="1" t="s">
        <v>16</v>
      </c>
      <c r="J665" s="1" t="s">
        <v>10</v>
      </c>
      <c r="K665" s="4" t="s">
        <v>464</v>
      </c>
      <c r="L665" s="1" t="s">
        <v>43</v>
      </c>
      <c r="M665" s="1"/>
      <c r="O665" s="1"/>
      <c r="P665" s="1"/>
      <c r="Q665" s="1"/>
      <c r="S665" s="2"/>
      <c r="T665" s="1"/>
      <c r="U665" s="1"/>
      <c r="V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 t="s">
        <v>12</v>
      </c>
      <c r="AN665" s="1" t="s">
        <v>20</v>
      </c>
      <c r="AO665" s="1">
        <v>348</v>
      </c>
      <c r="AP665" s="3">
        <v>0.57999999999999996</v>
      </c>
      <c r="AQ665" s="1"/>
    </row>
    <row r="666" spans="1:43" ht="12.3" x14ac:dyDescent="0.4">
      <c r="A666" s="1" t="s">
        <v>424</v>
      </c>
      <c r="B666" s="1"/>
      <c r="C666" s="1" t="s">
        <v>33</v>
      </c>
      <c r="D666" s="5" t="s">
        <v>7</v>
      </c>
      <c r="E666" s="5" t="s">
        <v>463</v>
      </c>
      <c r="F666" s="4" t="s">
        <v>465</v>
      </c>
      <c r="G666" s="4" t="s">
        <v>465</v>
      </c>
      <c r="I666" s="1" t="s">
        <v>8</v>
      </c>
      <c r="J666" s="1" t="s">
        <v>9</v>
      </c>
      <c r="K666" s="4" t="s">
        <v>464</v>
      </c>
      <c r="L666" s="1" t="s">
        <v>43</v>
      </c>
      <c r="M666" s="1"/>
      <c r="O666" s="1"/>
      <c r="P666" s="1"/>
      <c r="Q666" s="1"/>
      <c r="S666" s="2"/>
      <c r="T666" s="1"/>
      <c r="U666" s="1"/>
      <c r="V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 t="s">
        <v>15</v>
      </c>
      <c r="AN666" s="1" t="s">
        <v>14</v>
      </c>
      <c r="AO666" s="1">
        <v>351</v>
      </c>
      <c r="AP666" s="3">
        <v>0.58499999999999996</v>
      </c>
      <c r="AQ666" s="1"/>
    </row>
    <row r="667" spans="1:43" ht="12.3" x14ac:dyDescent="0.4">
      <c r="A667" s="1" t="s">
        <v>425</v>
      </c>
      <c r="B667" s="1"/>
      <c r="C667" s="1" t="s">
        <v>33</v>
      </c>
      <c r="D667" s="5" t="s">
        <v>7</v>
      </c>
      <c r="E667" s="5" t="s">
        <v>463</v>
      </c>
      <c r="F667" s="4" t="s">
        <v>465</v>
      </c>
      <c r="G667" s="4" t="s">
        <v>465</v>
      </c>
      <c r="I667" s="1" t="s">
        <v>8</v>
      </c>
      <c r="J667" s="1" t="s">
        <v>9</v>
      </c>
      <c r="K667" s="4" t="s">
        <v>464</v>
      </c>
      <c r="L667" s="1" t="s">
        <v>35</v>
      </c>
      <c r="M667" s="1"/>
      <c r="O667" s="1"/>
      <c r="P667" s="1"/>
      <c r="Q667" s="1"/>
      <c r="S667" s="2"/>
      <c r="T667" s="1"/>
      <c r="U667" s="1"/>
      <c r="V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 t="s">
        <v>12</v>
      </c>
      <c r="AN667" s="1" t="s">
        <v>14</v>
      </c>
      <c r="AO667" s="1">
        <v>263</v>
      </c>
      <c r="AP667" s="3">
        <v>0.43833333333333335</v>
      </c>
      <c r="AQ667" s="1"/>
    </row>
    <row r="668" spans="1:43" ht="12.3" x14ac:dyDescent="0.4">
      <c r="A668" s="1" t="s">
        <v>425</v>
      </c>
      <c r="B668" s="1"/>
      <c r="C668" s="1" t="s">
        <v>33</v>
      </c>
      <c r="D668" s="5" t="s">
        <v>7</v>
      </c>
      <c r="E668" s="5" t="s">
        <v>463</v>
      </c>
      <c r="F668" s="4" t="s">
        <v>465</v>
      </c>
      <c r="G668" s="4" t="s">
        <v>465</v>
      </c>
      <c r="I668" s="1" t="s">
        <v>16</v>
      </c>
      <c r="J668" s="1" t="s">
        <v>10</v>
      </c>
      <c r="K668" s="4" t="s">
        <v>464</v>
      </c>
      <c r="L668" s="1" t="s">
        <v>35</v>
      </c>
      <c r="M668" s="1"/>
      <c r="O668" s="1"/>
      <c r="P668" s="1"/>
      <c r="Q668" s="1"/>
      <c r="S668" s="2"/>
      <c r="T668" s="1"/>
      <c r="U668" s="1"/>
      <c r="V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 t="s">
        <v>15</v>
      </c>
      <c r="AN668" s="1" t="s">
        <v>13</v>
      </c>
      <c r="AO668" s="1">
        <v>357</v>
      </c>
      <c r="AP668" s="3">
        <v>0.59499999999999997</v>
      </c>
      <c r="AQ668" s="1"/>
    </row>
    <row r="669" spans="1:43" ht="12.3" x14ac:dyDescent="0.4">
      <c r="A669" s="1" t="s">
        <v>426</v>
      </c>
      <c r="B669" s="1"/>
      <c r="C669" s="1" t="s">
        <v>33</v>
      </c>
      <c r="D669" s="5" t="s">
        <v>7</v>
      </c>
      <c r="E669" s="5" t="s">
        <v>463</v>
      </c>
      <c r="F669" s="4" t="s">
        <v>465</v>
      </c>
      <c r="G669" s="4" t="s">
        <v>465</v>
      </c>
      <c r="I669" s="1" t="s">
        <v>16</v>
      </c>
      <c r="J669" s="1" t="s">
        <v>10</v>
      </c>
      <c r="K669" s="4" t="s">
        <v>464</v>
      </c>
      <c r="L669" s="1" t="s">
        <v>35</v>
      </c>
      <c r="M669" s="1"/>
      <c r="O669" s="1"/>
      <c r="P669" s="1"/>
      <c r="Q669" s="1"/>
      <c r="S669" s="2"/>
      <c r="T669" s="1"/>
      <c r="U669" s="1"/>
      <c r="V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 t="s">
        <v>12</v>
      </c>
      <c r="AN669" s="1" t="s">
        <v>13</v>
      </c>
      <c r="AO669" s="1">
        <v>283</v>
      </c>
      <c r="AP669" s="3">
        <v>0.47166666666666668</v>
      </c>
      <c r="AQ669" s="1"/>
    </row>
    <row r="670" spans="1:43" ht="12.3" x14ac:dyDescent="0.4">
      <c r="A670" s="1" t="s">
        <v>426</v>
      </c>
      <c r="B670" s="1"/>
      <c r="C670" s="1" t="s">
        <v>33</v>
      </c>
      <c r="D670" s="5" t="s">
        <v>7</v>
      </c>
      <c r="E670" s="5" t="s">
        <v>463</v>
      </c>
      <c r="F670" s="4" t="s">
        <v>465</v>
      </c>
      <c r="G670" s="4" t="s">
        <v>465</v>
      </c>
      <c r="I670" s="1" t="s">
        <v>8</v>
      </c>
      <c r="J670" s="1" t="s">
        <v>9</v>
      </c>
      <c r="K670" s="4" t="s">
        <v>464</v>
      </c>
      <c r="L670" s="1" t="s">
        <v>35</v>
      </c>
      <c r="M670" s="1"/>
      <c r="O670" s="1"/>
      <c r="P670" s="1"/>
      <c r="Q670" s="1"/>
      <c r="S670" s="2"/>
      <c r="T670" s="1"/>
      <c r="U670" s="1"/>
      <c r="V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 t="s">
        <v>15</v>
      </c>
      <c r="AN670" s="1" t="s">
        <v>14</v>
      </c>
      <c r="AO670" s="1">
        <v>353</v>
      </c>
      <c r="AP670" s="3">
        <v>0.58833333333333337</v>
      </c>
      <c r="AQ670" s="1"/>
    </row>
    <row r="671" spans="1:43" ht="12.3" x14ac:dyDescent="0.4">
      <c r="A671" s="1" t="s">
        <v>427</v>
      </c>
      <c r="B671" s="1"/>
      <c r="C671" s="1" t="s">
        <v>33</v>
      </c>
      <c r="D671" s="5" t="s">
        <v>7</v>
      </c>
      <c r="E671" s="5" t="s">
        <v>463</v>
      </c>
      <c r="F671" s="4" t="s">
        <v>465</v>
      </c>
      <c r="G671" s="4" t="s">
        <v>465</v>
      </c>
      <c r="I671" s="1" t="s">
        <v>8</v>
      </c>
      <c r="J671" s="1" t="s">
        <v>9</v>
      </c>
      <c r="K671" s="4" t="s">
        <v>464</v>
      </c>
      <c r="L671" s="1" t="s">
        <v>35</v>
      </c>
      <c r="M671" s="1"/>
      <c r="O671" s="1"/>
      <c r="P671" s="1"/>
      <c r="Q671" s="1"/>
      <c r="S671" s="2"/>
      <c r="T671" s="1"/>
      <c r="U671" s="1"/>
      <c r="V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 t="s">
        <v>15</v>
      </c>
      <c r="AN671" s="1" t="s">
        <v>14</v>
      </c>
      <c r="AO671" s="1">
        <v>349</v>
      </c>
      <c r="AP671" s="3">
        <v>0.58166666666666667</v>
      </c>
      <c r="AQ671" s="1"/>
    </row>
    <row r="672" spans="1:43" ht="12.3" x14ac:dyDescent="0.4">
      <c r="A672" s="1" t="s">
        <v>428</v>
      </c>
      <c r="B672" s="1"/>
      <c r="C672" s="1" t="s">
        <v>33</v>
      </c>
      <c r="D672" s="5" t="s">
        <v>7</v>
      </c>
      <c r="E672" s="5" t="s">
        <v>463</v>
      </c>
      <c r="F672" s="4" t="s">
        <v>465</v>
      </c>
      <c r="G672" s="4" t="s">
        <v>465</v>
      </c>
      <c r="I672" s="1" t="s">
        <v>8</v>
      </c>
      <c r="J672" s="1" t="s">
        <v>9</v>
      </c>
      <c r="K672" s="4" t="s">
        <v>464</v>
      </c>
      <c r="L672" s="1" t="s">
        <v>39</v>
      </c>
      <c r="M672" s="1"/>
      <c r="O672" s="1"/>
      <c r="P672" s="1"/>
      <c r="Q672" s="1"/>
      <c r="S672" s="2"/>
      <c r="T672" s="1"/>
      <c r="U672" s="2"/>
      <c r="V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 t="s">
        <v>12</v>
      </c>
      <c r="AN672" s="1" t="s">
        <v>14</v>
      </c>
      <c r="AO672" s="1">
        <v>277</v>
      </c>
      <c r="AP672" s="3">
        <v>0.46166666666666667</v>
      </c>
      <c r="AQ672" s="1"/>
    </row>
    <row r="673" spans="1:43" ht="12.3" x14ac:dyDescent="0.4">
      <c r="A673" s="1" t="s">
        <v>428</v>
      </c>
      <c r="B673" s="1"/>
      <c r="C673" s="1" t="s">
        <v>33</v>
      </c>
      <c r="D673" s="5" t="s">
        <v>7</v>
      </c>
      <c r="E673" s="5" t="s">
        <v>463</v>
      </c>
      <c r="F673" s="4" t="s">
        <v>465</v>
      </c>
      <c r="G673" s="4" t="s">
        <v>465</v>
      </c>
      <c r="I673" s="1" t="s">
        <v>8</v>
      </c>
      <c r="J673" s="1" t="s">
        <v>9</v>
      </c>
      <c r="K673" s="4" t="s">
        <v>464</v>
      </c>
      <c r="L673" s="1" t="s">
        <v>39</v>
      </c>
      <c r="M673" s="1"/>
      <c r="O673" s="1"/>
      <c r="P673" s="1"/>
      <c r="Q673" s="1"/>
      <c r="S673" s="2"/>
      <c r="T673" s="1"/>
      <c r="U673" s="1"/>
      <c r="V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 t="s">
        <v>15</v>
      </c>
      <c r="AN673" s="1" t="s">
        <v>14</v>
      </c>
      <c r="AO673" s="1">
        <v>351</v>
      </c>
      <c r="AP673" s="3">
        <v>0.58499999999999996</v>
      </c>
      <c r="AQ673" s="1"/>
    </row>
    <row r="674" spans="1:43" ht="12.3" x14ac:dyDescent="0.4">
      <c r="A674" s="1" t="s">
        <v>429</v>
      </c>
      <c r="B674" s="1"/>
      <c r="C674" s="1" t="s">
        <v>33</v>
      </c>
      <c r="D674" s="5" t="s">
        <v>7</v>
      </c>
      <c r="E674" s="5" t="s">
        <v>463</v>
      </c>
      <c r="F674" s="4" t="s">
        <v>465</v>
      </c>
      <c r="G674" s="4" t="s">
        <v>465</v>
      </c>
      <c r="I674" s="1" t="s">
        <v>8</v>
      </c>
      <c r="J674" s="1" t="s">
        <v>9</v>
      </c>
      <c r="K674" s="4" t="s">
        <v>464</v>
      </c>
      <c r="L674" s="1" t="s">
        <v>35</v>
      </c>
      <c r="M674" s="1"/>
      <c r="O674" s="1"/>
      <c r="P674" s="1"/>
      <c r="Q674" s="1"/>
      <c r="S674" s="2"/>
      <c r="T674" s="1"/>
      <c r="U674" s="1"/>
      <c r="V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 t="s">
        <v>12</v>
      </c>
      <c r="AN674" s="1" t="s">
        <v>20</v>
      </c>
      <c r="AO674" s="1">
        <v>373</v>
      </c>
      <c r="AP674" s="3">
        <v>0.6216666666666667</v>
      </c>
      <c r="AQ674" s="1"/>
    </row>
    <row r="675" spans="1:43" ht="12.3" x14ac:dyDescent="0.4">
      <c r="A675" s="1" t="s">
        <v>429</v>
      </c>
      <c r="B675" s="1"/>
      <c r="C675" s="1" t="s">
        <v>33</v>
      </c>
      <c r="D675" s="5" t="s">
        <v>7</v>
      </c>
      <c r="E675" s="5" t="s">
        <v>463</v>
      </c>
      <c r="F675" s="4" t="s">
        <v>465</v>
      </c>
      <c r="G675" s="4" t="s">
        <v>465</v>
      </c>
      <c r="I675" s="1" t="s">
        <v>16</v>
      </c>
      <c r="J675" s="1" t="s">
        <v>10</v>
      </c>
      <c r="K675" s="4" t="s">
        <v>464</v>
      </c>
      <c r="L675" s="1" t="s">
        <v>35</v>
      </c>
      <c r="M675" s="1"/>
      <c r="O675" s="1"/>
      <c r="P675" s="1"/>
      <c r="Q675" s="1"/>
      <c r="S675" s="2"/>
      <c r="T675" s="1"/>
      <c r="U675" s="2"/>
      <c r="V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 t="s">
        <v>15</v>
      </c>
      <c r="AN675" s="1" t="s">
        <v>18</v>
      </c>
      <c r="AO675" s="1">
        <v>388</v>
      </c>
      <c r="AP675" s="3">
        <v>0.64666666666666661</v>
      </c>
      <c r="AQ675" s="1"/>
    </row>
    <row r="676" spans="1:43" ht="12.3" x14ac:dyDescent="0.4">
      <c r="A676" s="1" t="s">
        <v>430</v>
      </c>
      <c r="B676" s="1"/>
      <c r="C676" s="1" t="s">
        <v>33</v>
      </c>
      <c r="D676" s="5" t="s">
        <v>7</v>
      </c>
      <c r="E676" s="5" t="s">
        <v>463</v>
      </c>
      <c r="F676" s="4" t="s">
        <v>465</v>
      </c>
      <c r="G676" s="4" t="s">
        <v>465</v>
      </c>
      <c r="I676" s="1" t="s">
        <v>16</v>
      </c>
      <c r="J676" s="1" t="s">
        <v>10</v>
      </c>
      <c r="K676" s="4" t="s">
        <v>464</v>
      </c>
      <c r="L676" s="1" t="s">
        <v>34</v>
      </c>
      <c r="M676" s="1"/>
      <c r="O676" s="1"/>
      <c r="P676" s="1"/>
      <c r="Q676" s="1"/>
      <c r="S676" s="2"/>
      <c r="T676" s="1"/>
      <c r="U676" s="2"/>
      <c r="V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 t="s">
        <v>12</v>
      </c>
      <c r="AN676" s="1" t="s">
        <v>20</v>
      </c>
      <c r="AO676" s="1">
        <v>350</v>
      </c>
      <c r="AP676" s="3">
        <v>0.58333333333333337</v>
      </c>
      <c r="AQ676" s="1"/>
    </row>
    <row r="677" spans="1:43" ht="12.3" x14ac:dyDescent="0.4">
      <c r="A677" s="1" t="s">
        <v>430</v>
      </c>
      <c r="B677" s="1"/>
      <c r="C677" s="1" t="s">
        <v>33</v>
      </c>
      <c r="D677" s="5" t="s">
        <v>7</v>
      </c>
      <c r="E677" s="5" t="s">
        <v>463</v>
      </c>
      <c r="F677" s="4" t="s">
        <v>465</v>
      </c>
      <c r="G677" s="4" t="s">
        <v>465</v>
      </c>
      <c r="I677" s="1" t="s">
        <v>8</v>
      </c>
      <c r="J677" s="1" t="s">
        <v>9</v>
      </c>
      <c r="K677" s="4" t="s">
        <v>464</v>
      </c>
      <c r="L677" s="1" t="s">
        <v>34</v>
      </c>
      <c r="M677" s="1"/>
      <c r="O677" s="1"/>
      <c r="P677" s="1"/>
      <c r="Q677" s="1"/>
      <c r="S677" s="2"/>
      <c r="T677" s="1"/>
      <c r="U677" s="2"/>
      <c r="V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 t="s">
        <v>15</v>
      </c>
      <c r="AN677" s="1" t="s">
        <v>18</v>
      </c>
      <c r="AO677" s="1">
        <v>381</v>
      </c>
      <c r="AP677" s="3">
        <v>0.63500000000000001</v>
      </c>
      <c r="AQ677" s="1"/>
    </row>
    <row r="678" spans="1:43" ht="12.3" x14ac:dyDescent="0.4">
      <c r="A678" s="1" t="s">
        <v>431</v>
      </c>
      <c r="B678" s="1"/>
      <c r="C678" s="1" t="s">
        <v>33</v>
      </c>
      <c r="D678" s="5" t="s">
        <v>7</v>
      </c>
      <c r="E678" s="5" t="s">
        <v>463</v>
      </c>
      <c r="F678" s="4" t="s">
        <v>465</v>
      </c>
      <c r="G678" s="4" t="s">
        <v>465</v>
      </c>
      <c r="I678" s="1" t="s">
        <v>8</v>
      </c>
      <c r="J678" s="1" t="s">
        <v>9</v>
      </c>
      <c r="K678" s="4" t="s">
        <v>464</v>
      </c>
      <c r="L678" s="1" t="s">
        <v>35</v>
      </c>
      <c r="M678" s="1"/>
      <c r="O678" s="1"/>
      <c r="P678" s="1"/>
      <c r="Q678" s="1"/>
      <c r="S678" s="2"/>
      <c r="T678" s="1"/>
      <c r="U678" s="2"/>
      <c r="V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 t="s">
        <v>12</v>
      </c>
      <c r="AN678" s="1" t="s">
        <v>18</v>
      </c>
      <c r="AO678" s="1">
        <v>318</v>
      </c>
      <c r="AP678" s="3">
        <v>0.53</v>
      </c>
      <c r="AQ678" s="1"/>
    </row>
    <row r="679" spans="1:43" ht="12.3" x14ac:dyDescent="0.4">
      <c r="A679" s="1" t="s">
        <v>431</v>
      </c>
      <c r="B679" s="1"/>
      <c r="C679" s="1" t="s">
        <v>33</v>
      </c>
      <c r="D679" s="5" t="s">
        <v>7</v>
      </c>
      <c r="E679" s="5" t="s">
        <v>463</v>
      </c>
      <c r="F679" s="4" t="s">
        <v>465</v>
      </c>
      <c r="G679" s="4" t="s">
        <v>465</v>
      </c>
      <c r="I679" s="1" t="s">
        <v>8</v>
      </c>
      <c r="J679" s="1" t="s">
        <v>9</v>
      </c>
      <c r="K679" s="4" t="s">
        <v>464</v>
      </c>
      <c r="L679" s="1" t="s">
        <v>35</v>
      </c>
      <c r="M679" s="1"/>
      <c r="O679" s="1"/>
      <c r="P679" s="1"/>
      <c r="Q679" s="1"/>
      <c r="S679" s="2"/>
      <c r="T679" s="1"/>
      <c r="U679" s="2"/>
      <c r="V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 t="s">
        <v>15</v>
      </c>
      <c r="AN679" s="1" t="s">
        <v>18</v>
      </c>
      <c r="AO679" s="1">
        <v>375</v>
      </c>
      <c r="AP679" s="3">
        <v>0.625</v>
      </c>
      <c r="AQ679" s="1"/>
    </row>
    <row r="680" spans="1:43" ht="12.3" x14ac:dyDescent="0.4">
      <c r="A680" s="1" t="s">
        <v>432</v>
      </c>
      <c r="B680" s="1"/>
      <c r="C680" s="1" t="s">
        <v>33</v>
      </c>
      <c r="D680" s="5" t="s">
        <v>7</v>
      </c>
      <c r="E680" s="5" t="s">
        <v>463</v>
      </c>
      <c r="F680" s="4" t="s">
        <v>465</v>
      </c>
      <c r="G680" s="4" t="s">
        <v>465</v>
      </c>
      <c r="I680" s="1" t="s">
        <v>8</v>
      </c>
      <c r="J680" s="1" t="s">
        <v>9</v>
      </c>
      <c r="K680" s="4" t="s">
        <v>464</v>
      </c>
      <c r="L680" s="1" t="s">
        <v>43</v>
      </c>
      <c r="M680" s="1"/>
      <c r="O680" s="1"/>
      <c r="P680" s="1"/>
      <c r="Q680" s="1"/>
      <c r="S680" s="2"/>
      <c r="T680" s="1"/>
      <c r="U680" s="2"/>
      <c r="V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 t="s">
        <v>12</v>
      </c>
      <c r="AN680" s="1" t="s">
        <v>18</v>
      </c>
      <c r="AO680" s="1">
        <v>318</v>
      </c>
      <c r="AP680" s="3">
        <v>0.53</v>
      </c>
      <c r="AQ680" s="1"/>
    </row>
    <row r="681" spans="1:43" ht="12.3" x14ac:dyDescent="0.4">
      <c r="A681" s="1" t="s">
        <v>432</v>
      </c>
      <c r="B681" s="1"/>
      <c r="C681" s="1" t="s">
        <v>33</v>
      </c>
      <c r="D681" s="5" t="s">
        <v>7</v>
      </c>
      <c r="E681" s="5" t="s">
        <v>463</v>
      </c>
      <c r="F681" s="4" t="s">
        <v>465</v>
      </c>
      <c r="G681" s="4" t="s">
        <v>465</v>
      </c>
      <c r="I681" s="1" t="s">
        <v>8</v>
      </c>
      <c r="J681" s="1" t="s">
        <v>9</v>
      </c>
      <c r="K681" s="4" t="s">
        <v>464</v>
      </c>
      <c r="L681" s="1" t="s">
        <v>43</v>
      </c>
      <c r="M681" s="1"/>
      <c r="O681" s="1"/>
      <c r="P681" s="1"/>
      <c r="Q681" s="1"/>
      <c r="S681" s="2"/>
      <c r="T681" s="1"/>
      <c r="U681" s="1"/>
      <c r="V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 t="s">
        <v>15</v>
      </c>
      <c r="AN681" s="1" t="s">
        <v>13</v>
      </c>
      <c r="AO681" s="1">
        <v>358</v>
      </c>
      <c r="AP681" s="3">
        <v>0.59666666666666668</v>
      </c>
      <c r="AQ681" s="1"/>
    </row>
    <row r="682" spans="1:43" ht="12.3" x14ac:dyDescent="0.4">
      <c r="A682" s="1" t="s">
        <v>433</v>
      </c>
      <c r="B682" s="1"/>
      <c r="C682" s="1" t="s">
        <v>33</v>
      </c>
      <c r="D682" s="5" t="s">
        <v>7</v>
      </c>
      <c r="E682" s="5" t="s">
        <v>463</v>
      </c>
      <c r="F682" s="4" t="s">
        <v>465</v>
      </c>
      <c r="G682" s="4" t="s">
        <v>465</v>
      </c>
      <c r="I682" s="1" t="s">
        <v>8</v>
      </c>
      <c r="J682" s="1" t="s">
        <v>9</v>
      </c>
      <c r="K682" s="4" t="s">
        <v>464</v>
      </c>
      <c r="L682" s="1" t="s">
        <v>43</v>
      </c>
      <c r="M682" s="1"/>
      <c r="O682" s="1"/>
      <c r="P682" s="1"/>
      <c r="Q682" s="1"/>
      <c r="S682" s="2"/>
      <c r="T682" s="1"/>
      <c r="U682" s="1"/>
      <c r="V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 t="s">
        <v>12</v>
      </c>
      <c r="AN682" s="1" t="s">
        <v>20</v>
      </c>
      <c r="AO682" s="1">
        <v>379</v>
      </c>
      <c r="AP682" s="3">
        <v>0.63166666666666671</v>
      </c>
      <c r="AQ682" s="1"/>
    </row>
    <row r="683" spans="1:43" ht="12.3" x14ac:dyDescent="0.4">
      <c r="A683" s="1" t="s">
        <v>433</v>
      </c>
      <c r="B683" s="1"/>
      <c r="C683" s="1" t="s">
        <v>33</v>
      </c>
      <c r="D683" s="5" t="s">
        <v>7</v>
      </c>
      <c r="E683" s="5" t="s">
        <v>463</v>
      </c>
      <c r="F683" s="4" t="s">
        <v>465</v>
      </c>
      <c r="G683" s="4" t="s">
        <v>465</v>
      </c>
      <c r="I683" s="1" t="s">
        <v>16</v>
      </c>
      <c r="J683" s="1" t="s">
        <v>9</v>
      </c>
      <c r="K683" s="4" t="s">
        <v>464</v>
      </c>
      <c r="L683" s="1" t="s">
        <v>43</v>
      </c>
      <c r="M683" s="1"/>
      <c r="O683" s="1"/>
      <c r="P683" s="1"/>
      <c r="Q683" s="1"/>
      <c r="S683" s="2"/>
      <c r="T683" s="1"/>
      <c r="U683" s="1"/>
      <c r="V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 t="s">
        <v>15</v>
      </c>
      <c r="AN683" s="1" t="s">
        <v>20</v>
      </c>
      <c r="AO683" s="1">
        <v>398</v>
      </c>
      <c r="AP683" s="3">
        <v>0.66333333333333333</v>
      </c>
      <c r="AQ683" s="1"/>
    </row>
    <row r="684" spans="1:43" ht="12.3" x14ac:dyDescent="0.4">
      <c r="A684" s="1" t="s">
        <v>434</v>
      </c>
      <c r="B684" s="1"/>
      <c r="C684" s="1" t="s">
        <v>33</v>
      </c>
      <c r="D684" s="5" t="s">
        <v>7</v>
      </c>
      <c r="E684" s="5" t="s">
        <v>463</v>
      </c>
      <c r="F684" s="4" t="s">
        <v>465</v>
      </c>
      <c r="G684" s="4" t="s">
        <v>465</v>
      </c>
      <c r="I684" s="1" t="s">
        <v>16</v>
      </c>
      <c r="J684" s="1" t="s">
        <v>9</v>
      </c>
      <c r="K684" s="4" t="s">
        <v>464</v>
      </c>
      <c r="L684" s="1" t="s">
        <v>35</v>
      </c>
      <c r="M684" s="1"/>
      <c r="O684" s="1"/>
      <c r="P684" s="1"/>
      <c r="Q684" s="1"/>
      <c r="S684" s="2"/>
      <c r="T684" s="1"/>
      <c r="U684" s="1"/>
      <c r="V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 t="s">
        <v>12</v>
      </c>
      <c r="AN684" s="1" t="s">
        <v>14</v>
      </c>
      <c r="AO684" s="1">
        <v>254</v>
      </c>
      <c r="AP684" s="3">
        <v>0.42333333333333334</v>
      </c>
      <c r="AQ684" s="1"/>
    </row>
    <row r="685" spans="1:43" ht="12.3" x14ac:dyDescent="0.4">
      <c r="A685" s="1" t="s">
        <v>434</v>
      </c>
      <c r="B685" s="1"/>
      <c r="C685" s="1" t="s">
        <v>33</v>
      </c>
      <c r="D685" s="5" t="s">
        <v>7</v>
      </c>
      <c r="E685" s="5" t="s">
        <v>463</v>
      </c>
      <c r="F685" s="4" t="s">
        <v>465</v>
      </c>
      <c r="G685" s="4" t="s">
        <v>465</v>
      </c>
      <c r="I685" s="1" t="s">
        <v>16</v>
      </c>
      <c r="J685" s="1" t="s">
        <v>10</v>
      </c>
      <c r="K685" s="4" t="s">
        <v>464</v>
      </c>
      <c r="L685" s="1" t="s">
        <v>35</v>
      </c>
      <c r="M685" s="1"/>
      <c r="O685" s="1"/>
      <c r="P685" s="1"/>
      <c r="Q685" s="1"/>
      <c r="S685" s="2"/>
      <c r="T685" s="1"/>
      <c r="U685" s="1"/>
      <c r="V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 t="s">
        <v>15</v>
      </c>
      <c r="AN685" s="1" t="s">
        <v>14</v>
      </c>
      <c r="AO685" s="1">
        <v>331</v>
      </c>
      <c r="AP685" s="3">
        <v>0.55166666666666664</v>
      </c>
      <c r="AQ685" s="1"/>
    </row>
    <row r="686" spans="1:43" ht="12.3" x14ac:dyDescent="0.4">
      <c r="A686" s="1" t="s">
        <v>435</v>
      </c>
      <c r="B686" s="1"/>
      <c r="C686" s="1" t="s">
        <v>33</v>
      </c>
      <c r="D686" s="5" t="s">
        <v>7</v>
      </c>
      <c r="E686" s="5" t="s">
        <v>463</v>
      </c>
      <c r="F686" s="4" t="s">
        <v>465</v>
      </c>
      <c r="G686" s="4" t="s">
        <v>465</v>
      </c>
      <c r="I686" s="1" t="s">
        <v>16</v>
      </c>
      <c r="J686" s="1" t="s">
        <v>10</v>
      </c>
      <c r="K686" s="4" t="s">
        <v>464</v>
      </c>
      <c r="L686" s="1" t="s">
        <v>39</v>
      </c>
      <c r="M686" s="1"/>
      <c r="O686" s="1"/>
      <c r="P686" s="1"/>
      <c r="Q686" s="1"/>
      <c r="S686" s="2"/>
      <c r="T686" s="1"/>
      <c r="U686" s="1"/>
      <c r="V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 t="s">
        <v>12</v>
      </c>
      <c r="AN686" s="1" t="s">
        <v>13</v>
      </c>
      <c r="AO686" s="1">
        <v>295</v>
      </c>
      <c r="AP686" s="3">
        <v>0.49166666666666664</v>
      </c>
      <c r="AQ686" s="1"/>
    </row>
    <row r="687" spans="1:43" ht="12.3" x14ac:dyDescent="0.4">
      <c r="A687" s="1" t="s">
        <v>435</v>
      </c>
      <c r="B687" s="1"/>
      <c r="C687" s="1" t="s">
        <v>33</v>
      </c>
      <c r="D687" s="5" t="s">
        <v>7</v>
      </c>
      <c r="E687" s="5" t="s">
        <v>463</v>
      </c>
      <c r="F687" s="4" t="s">
        <v>465</v>
      </c>
      <c r="G687" s="4" t="s">
        <v>465</v>
      </c>
      <c r="I687" s="1" t="s">
        <v>16</v>
      </c>
      <c r="J687" s="1" t="s">
        <v>10</v>
      </c>
      <c r="K687" s="4" t="s">
        <v>464</v>
      </c>
      <c r="L687" s="1" t="s">
        <v>39</v>
      </c>
      <c r="M687" s="1"/>
      <c r="O687" s="1"/>
      <c r="P687" s="1"/>
      <c r="Q687" s="1"/>
      <c r="S687" s="2"/>
      <c r="T687" s="1"/>
      <c r="U687" s="1"/>
      <c r="V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 t="s">
        <v>15</v>
      </c>
      <c r="AN687" s="1" t="s">
        <v>18</v>
      </c>
      <c r="AO687" s="1">
        <v>383</v>
      </c>
      <c r="AP687" s="3">
        <v>0.63833333333333331</v>
      </c>
      <c r="AQ687" s="1"/>
    </row>
    <row r="688" spans="1:43" ht="12.3" x14ac:dyDescent="0.4">
      <c r="A688" s="1" t="s">
        <v>436</v>
      </c>
      <c r="B688" s="1"/>
      <c r="C688" s="1" t="s">
        <v>33</v>
      </c>
      <c r="D688" s="5" t="s">
        <v>7</v>
      </c>
      <c r="E688" s="5" t="s">
        <v>463</v>
      </c>
      <c r="F688" s="4" t="s">
        <v>465</v>
      </c>
      <c r="G688" s="4" t="s">
        <v>465</v>
      </c>
      <c r="I688" s="1" t="s">
        <v>16</v>
      </c>
      <c r="J688" s="1" t="s">
        <v>10</v>
      </c>
      <c r="K688" s="4" t="s">
        <v>464</v>
      </c>
      <c r="L688" s="1" t="s">
        <v>36</v>
      </c>
      <c r="M688" s="1"/>
      <c r="O688" s="1"/>
      <c r="P688" s="1"/>
      <c r="Q688" s="1"/>
      <c r="S688" s="2"/>
      <c r="T688" s="1"/>
      <c r="U688" s="1"/>
      <c r="V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 t="s">
        <v>12</v>
      </c>
      <c r="AN688" s="1" t="s">
        <v>18</v>
      </c>
      <c r="AO688" s="1">
        <v>319</v>
      </c>
      <c r="AP688" s="3">
        <v>0.53166666666666662</v>
      </c>
      <c r="AQ688" s="1"/>
    </row>
    <row r="689" spans="1:43" ht="12.3" x14ac:dyDescent="0.4">
      <c r="A689" s="1" t="s">
        <v>436</v>
      </c>
      <c r="B689" s="1"/>
      <c r="C689" s="1" t="s">
        <v>33</v>
      </c>
      <c r="D689" s="5" t="s">
        <v>7</v>
      </c>
      <c r="E689" s="5" t="s">
        <v>463</v>
      </c>
      <c r="F689" s="4" t="s">
        <v>465</v>
      </c>
      <c r="G689" s="4" t="s">
        <v>465</v>
      </c>
      <c r="I689" s="1" t="s">
        <v>16</v>
      </c>
      <c r="J689" s="1" t="s">
        <v>10</v>
      </c>
      <c r="K689" s="4" t="s">
        <v>464</v>
      </c>
      <c r="L689" s="1" t="s">
        <v>36</v>
      </c>
      <c r="M689" s="1"/>
      <c r="O689" s="1"/>
      <c r="P689" s="1"/>
      <c r="Q689" s="1"/>
      <c r="S689" s="2"/>
      <c r="T689" s="1"/>
      <c r="U689" s="1"/>
      <c r="V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 t="s">
        <v>15</v>
      </c>
      <c r="AN689" s="1" t="s">
        <v>20</v>
      </c>
      <c r="AO689" s="1">
        <v>410</v>
      </c>
      <c r="AP689" s="3">
        <v>0.68333333333333335</v>
      </c>
      <c r="AQ689" s="1"/>
    </row>
    <row r="690" spans="1:43" ht="12.3" x14ac:dyDescent="0.4">
      <c r="A690" s="1" t="s">
        <v>437</v>
      </c>
      <c r="B690" s="1"/>
      <c r="C690" s="1" t="s">
        <v>33</v>
      </c>
      <c r="D690" s="5" t="s">
        <v>7</v>
      </c>
      <c r="E690" s="5" t="s">
        <v>463</v>
      </c>
      <c r="F690" s="4" t="s">
        <v>465</v>
      </c>
      <c r="G690" s="4" t="s">
        <v>465</v>
      </c>
      <c r="I690" s="1" t="s">
        <v>16</v>
      </c>
      <c r="J690" s="1" t="s">
        <v>10</v>
      </c>
      <c r="K690" s="4" t="s">
        <v>464</v>
      </c>
      <c r="L690" s="1" t="s">
        <v>40</v>
      </c>
      <c r="M690" s="1"/>
      <c r="O690" s="1"/>
      <c r="P690" s="1"/>
      <c r="Q690" s="1"/>
      <c r="S690" s="2"/>
      <c r="T690" s="1"/>
      <c r="U690" s="1"/>
      <c r="V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 t="s">
        <v>12</v>
      </c>
      <c r="AN690" s="1" t="s">
        <v>18</v>
      </c>
      <c r="AO690" s="1">
        <v>309</v>
      </c>
      <c r="AP690" s="3">
        <v>0.51500000000000001</v>
      </c>
      <c r="AQ690" s="1"/>
    </row>
    <row r="691" spans="1:43" ht="12.3" x14ac:dyDescent="0.4">
      <c r="A691" s="1" t="s">
        <v>437</v>
      </c>
      <c r="B691" s="1"/>
      <c r="C691" s="1" t="s">
        <v>33</v>
      </c>
      <c r="D691" s="5" t="s">
        <v>7</v>
      </c>
      <c r="E691" s="5" t="s">
        <v>463</v>
      </c>
      <c r="F691" s="4" t="s">
        <v>465</v>
      </c>
      <c r="G691" s="4" t="s">
        <v>465</v>
      </c>
      <c r="I691" s="1" t="s">
        <v>16</v>
      </c>
      <c r="J691" s="1" t="s">
        <v>10</v>
      </c>
      <c r="K691" s="4" t="s">
        <v>464</v>
      </c>
      <c r="L691" s="1" t="s">
        <v>40</v>
      </c>
      <c r="M691" s="1"/>
      <c r="O691" s="1"/>
      <c r="P691" s="1"/>
      <c r="Q691" s="1"/>
      <c r="S691" s="2"/>
      <c r="T691" s="1"/>
      <c r="U691" s="2"/>
      <c r="V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 t="s">
        <v>15</v>
      </c>
      <c r="AN691" s="1" t="s">
        <v>18</v>
      </c>
      <c r="AO691" s="1">
        <v>386</v>
      </c>
      <c r="AP691" s="3">
        <v>0.64333333333333331</v>
      </c>
      <c r="AQ691" s="1"/>
    </row>
    <row r="692" spans="1:43" ht="12.3" x14ac:dyDescent="0.4">
      <c r="A692" s="1" t="s">
        <v>438</v>
      </c>
      <c r="B692" s="1"/>
      <c r="C692" s="1" t="s">
        <v>33</v>
      </c>
      <c r="D692" s="5" t="s">
        <v>7</v>
      </c>
      <c r="E692" s="5" t="s">
        <v>463</v>
      </c>
      <c r="F692" s="4" t="s">
        <v>465</v>
      </c>
      <c r="G692" s="4" t="s">
        <v>465</v>
      </c>
      <c r="I692" s="1" t="s">
        <v>16</v>
      </c>
      <c r="J692" s="1" t="s">
        <v>10</v>
      </c>
      <c r="K692" s="4" t="s">
        <v>464</v>
      </c>
      <c r="L692" s="1" t="s">
        <v>42</v>
      </c>
      <c r="M692" s="1"/>
      <c r="O692" s="1"/>
      <c r="P692" s="1"/>
      <c r="Q692" s="1"/>
      <c r="S692" s="2"/>
      <c r="T692" s="1"/>
      <c r="U692" s="2"/>
      <c r="V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 t="s">
        <v>12</v>
      </c>
      <c r="AN692" s="1" t="s">
        <v>20</v>
      </c>
      <c r="AO692" s="1">
        <v>345</v>
      </c>
      <c r="AP692" s="3">
        <v>0.57499999999999996</v>
      </c>
      <c r="AQ692" s="1"/>
    </row>
    <row r="693" spans="1:43" ht="12.3" x14ac:dyDescent="0.4">
      <c r="A693" s="1" t="s">
        <v>438</v>
      </c>
      <c r="B693" s="1"/>
      <c r="C693" s="1" t="s">
        <v>33</v>
      </c>
      <c r="D693" s="5" t="s">
        <v>7</v>
      </c>
      <c r="E693" s="5" t="s">
        <v>463</v>
      </c>
      <c r="F693" s="4" t="s">
        <v>465</v>
      </c>
      <c r="G693" s="4" t="s">
        <v>465</v>
      </c>
      <c r="I693" s="1" t="s">
        <v>16</v>
      </c>
      <c r="J693" s="1" t="s">
        <v>10</v>
      </c>
      <c r="K693" s="4" t="s">
        <v>464</v>
      </c>
      <c r="L693" s="1" t="s">
        <v>42</v>
      </c>
      <c r="M693" s="1"/>
      <c r="O693" s="1"/>
      <c r="P693" s="1"/>
      <c r="Q693" s="1"/>
      <c r="S693" s="2"/>
      <c r="T693" s="1"/>
      <c r="U693" s="2"/>
      <c r="V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 t="s">
        <v>15</v>
      </c>
      <c r="AN693" s="1" t="s">
        <v>20</v>
      </c>
      <c r="AO693" s="1">
        <v>395</v>
      </c>
      <c r="AP693" s="3">
        <v>0.65833333333333333</v>
      </c>
      <c r="AQ693" s="1"/>
    </row>
    <row r="694" spans="1:43" ht="12.3" x14ac:dyDescent="0.4">
      <c r="A694" s="1" t="s">
        <v>439</v>
      </c>
      <c r="B694" s="1"/>
      <c r="C694" s="1" t="s">
        <v>33</v>
      </c>
      <c r="D694" s="5" t="s">
        <v>7</v>
      </c>
      <c r="E694" s="5" t="s">
        <v>463</v>
      </c>
      <c r="F694" s="4" t="s">
        <v>465</v>
      </c>
      <c r="G694" s="4" t="s">
        <v>465</v>
      </c>
      <c r="I694" s="1" t="s">
        <v>16</v>
      </c>
      <c r="J694" s="1" t="s">
        <v>10</v>
      </c>
      <c r="K694" s="4" t="s">
        <v>464</v>
      </c>
      <c r="L694" s="1" t="s">
        <v>34</v>
      </c>
      <c r="M694" s="1"/>
      <c r="O694" s="1"/>
      <c r="P694" s="1"/>
      <c r="Q694" s="1"/>
      <c r="S694" s="2"/>
      <c r="T694" s="1"/>
      <c r="U694" s="2"/>
      <c r="V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 t="s">
        <v>12</v>
      </c>
      <c r="AN694" s="1" t="s">
        <v>14</v>
      </c>
      <c r="AO694" s="1">
        <v>260</v>
      </c>
      <c r="AP694" s="3">
        <v>0.43333333333333335</v>
      </c>
      <c r="AQ694" s="1"/>
    </row>
    <row r="695" spans="1:43" ht="12.3" x14ac:dyDescent="0.4">
      <c r="A695" s="1" t="s">
        <v>439</v>
      </c>
      <c r="B695" s="1"/>
      <c r="C695" s="1" t="s">
        <v>33</v>
      </c>
      <c r="D695" s="5" t="s">
        <v>7</v>
      </c>
      <c r="E695" s="5" t="s">
        <v>463</v>
      </c>
      <c r="F695" s="4" t="s">
        <v>465</v>
      </c>
      <c r="G695" s="4" t="s">
        <v>465</v>
      </c>
      <c r="I695" s="1" t="s">
        <v>16</v>
      </c>
      <c r="J695" s="1" t="s">
        <v>10</v>
      </c>
      <c r="K695" s="4" t="s">
        <v>464</v>
      </c>
      <c r="L695" s="1" t="s">
        <v>34</v>
      </c>
      <c r="M695" s="1"/>
      <c r="O695" s="1"/>
      <c r="P695" s="1"/>
      <c r="Q695" s="1"/>
      <c r="S695" s="2"/>
      <c r="T695" s="1"/>
      <c r="U695" s="1"/>
      <c r="V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 t="s">
        <v>15</v>
      </c>
      <c r="AN695" s="1" t="s">
        <v>13</v>
      </c>
      <c r="AO695" s="1">
        <v>367</v>
      </c>
      <c r="AP695" s="3">
        <v>0.61166666666666669</v>
      </c>
      <c r="AQ695" s="1"/>
    </row>
    <row r="696" spans="1:43" ht="12.3" x14ac:dyDescent="0.4">
      <c r="A696" s="1" t="s">
        <v>440</v>
      </c>
      <c r="B696" s="1"/>
      <c r="C696" s="1" t="s">
        <v>33</v>
      </c>
      <c r="D696" s="5" t="s">
        <v>7</v>
      </c>
      <c r="E696" s="5" t="s">
        <v>463</v>
      </c>
      <c r="F696" s="4" t="s">
        <v>465</v>
      </c>
      <c r="G696" s="4" t="s">
        <v>465</v>
      </c>
      <c r="I696" s="1" t="s">
        <v>16</v>
      </c>
      <c r="J696" s="1" t="s">
        <v>10</v>
      </c>
      <c r="K696" s="4" t="s">
        <v>464</v>
      </c>
      <c r="O696" s="1"/>
      <c r="P696" s="1"/>
      <c r="Q696" s="1"/>
      <c r="S696" s="2"/>
      <c r="T696" s="1"/>
      <c r="U696" s="1"/>
      <c r="V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 t="s">
        <v>12</v>
      </c>
      <c r="AN696" s="1" t="s">
        <v>13</v>
      </c>
      <c r="AO696" s="1">
        <v>301</v>
      </c>
      <c r="AP696" s="3">
        <v>0.50166666666666671</v>
      </c>
      <c r="AQ696" s="1"/>
    </row>
    <row r="697" spans="1:43" ht="12.3" x14ac:dyDescent="0.4">
      <c r="A697" s="1" t="s">
        <v>441</v>
      </c>
      <c r="B697" s="1"/>
      <c r="C697" s="1" t="s">
        <v>33</v>
      </c>
      <c r="D697" s="5" t="s">
        <v>7</v>
      </c>
      <c r="E697" s="5" t="s">
        <v>463</v>
      </c>
      <c r="F697" s="4" t="s">
        <v>465</v>
      </c>
      <c r="G697" s="4" t="s">
        <v>465</v>
      </c>
      <c r="I697" s="1" t="s">
        <v>16</v>
      </c>
      <c r="J697" s="1" t="s">
        <v>10</v>
      </c>
      <c r="K697" s="4" t="s">
        <v>464</v>
      </c>
      <c r="L697" s="1" t="s">
        <v>36</v>
      </c>
      <c r="M697" s="1"/>
      <c r="O697" s="1"/>
      <c r="P697" s="1"/>
      <c r="Q697" s="1"/>
      <c r="S697" s="2"/>
      <c r="T697" s="1"/>
      <c r="U697" s="1"/>
      <c r="V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 t="s">
        <v>12</v>
      </c>
      <c r="AN697" s="1" t="s">
        <v>14</v>
      </c>
      <c r="AO697" s="1">
        <v>265</v>
      </c>
      <c r="AP697" s="3">
        <v>0.44166666666666665</v>
      </c>
      <c r="AQ697" s="1"/>
    </row>
    <row r="698" spans="1:43" ht="12.3" x14ac:dyDescent="0.4">
      <c r="A698" s="1" t="s">
        <v>441</v>
      </c>
      <c r="B698" s="1"/>
      <c r="C698" s="1" t="s">
        <v>33</v>
      </c>
      <c r="D698" s="5" t="s">
        <v>7</v>
      </c>
      <c r="E698" s="5" t="s">
        <v>463</v>
      </c>
      <c r="F698" s="4" t="s">
        <v>465</v>
      </c>
      <c r="G698" s="4" t="s">
        <v>465</v>
      </c>
      <c r="I698" s="1" t="s">
        <v>16</v>
      </c>
      <c r="J698" s="1" t="s">
        <v>10</v>
      </c>
      <c r="K698" s="4" t="s">
        <v>464</v>
      </c>
      <c r="L698" s="1" t="s">
        <v>36</v>
      </c>
      <c r="M698" s="1"/>
      <c r="O698" s="1"/>
      <c r="P698" s="1"/>
      <c r="Q698" s="1"/>
      <c r="S698" s="2"/>
      <c r="T698" s="1"/>
      <c r="U698" s="2"/>
      <c r="V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 t="s">
        <v>15</v>
      </c>
      <c r="AN698" s="1" t="s">
        <v>14</v>
      </c>
      <c r="AO698" s="1">
        <v>334</v>
      </c>
      <c r="AP698" s="3">
        <v>0.55666666666666664</v>
      </c>
      <c r="AQ698" s="1"/>
    </row>
    <row r="699" spans="1:43" ht="12.3" x14ac:dyDescent="0.4">
      <c r="A699" s="1" t="s">
        <v>442</v>
      </c>
      <c r="B699" s="1"/>
      <c r="C699" s="1" t="s">
        <v>33</v>
      </c>
      <c r="D699" s="5" t="s">
        <v>7</v>
      </c>
      <c r="E699" s="5" t="s">
        <v>463</v>
      </c>
      <c r="F699" s="4" t="s">
        <v>465</v>
      </c>
      <c r="G699" s="4" t="s">
        <v>465</v>
      </c>
      <c r="I699" s="1" t="s">
        <v>16</v>
      </c>
      <c r="J699" s="1" t="s">
        <v>10</v>
      </c>
      <c r="K699" s="4" t="s">
        <v>464</v>
      </c>
      <c r="L699" s="1" t="s">
        <v>44</v>
      </c>
      <c r="M699" s="1"/>
      <c r="O699" s="1"/>
      <c r="P699" s="1"/>
      <c r="Q699" s="1"/>
      <c r="S699" s="2"/>
      <c r="T699" s="1"/>
      <c r="U699" s="2"/>
      <c r="V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 t="s">
        <v>12</v>
      </c>
      <c r="AN699" s="1" t="s">
        <v>20</v>
      </c>
      <c r="AO699" s="1">
        <v>335</v>
      </c>
      <c r="AP699" s="3">
        <v>0.55833333333333335</v>
      </c>
      <c r="AQ699" s="1"/>
    </row>
    <row r="700" spans="1:43" ht="12.3" x14ac:dyDescent="0.4">
      <c r="A700" s="1" t="s">
        <v>442</v>
      </c>
      <c r="B700" s="1"/>
      <c r="C700" s="1" t="s">
        <v>33</v>
      </c>
      <c r="D700" s="5" t="s">
        <v>7</v>
      </c>
      <c r="E700" s="5" t="s">
        <v>463</v>
      </c>
      <c r="F700" s="4" t="s">
        <v>465</v>
      </c>
      <c r="G700" s="4" t="s">
        <v>465</v>
      </c>
      <c r="I700" s="1" t="s">
        <v>16</v>
      </c>
      <c r="J700" s="1" t="s">
        <v>10</v>
      </c>
      <c r="K700" s="4" t="s">
        <v>464</v>
      </c>
      <c r="L700" s="1" t="s">
        <v>44</v>
      </c>
      <c r="M700" s="10">
        <v>18548</v>
      </c>
      <c r="O700" s="1"/>
      <c r="P700" s="1"/>
      <c r="Q700" s="1"/>
      <c r="S700" s="2"/>
      <c r="T700" s="1"/>
      <c r="U700" s="1"/>
      <c r="V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 t="s">
        <v>15</v>
      </c>
      <c r="AN700" s="1" t="s">
        <v>20</v>
      </c>
      <c r="AO700" s="1">
        <v>405</v>
      </c>
      <c r="AP700" s="3">
        <v>0.67500000000000004</v>
      </c>
      <c r="AQ700" s="1"/>
    </row>
    <row r="701" spans="1:43" ht="12.3" x14ac:dyDescent="0.4">
      <c r="A701" s="1" t="s">
        <v>443</v>
      </c>
      <c r="B701" s="1"/>
      <c r="C701" s="1" t="s">
        <v>33</v>
      </c>
      <c r="D701" s="5" t="s">
        <v>7</v>
      </c>
      <c r="E701" s="5" t="s">
        <v>463</v>
      </c>
      <c r="F701" s="4" t="s">
        <v>465</v>
      </c>
      <c r="G701" s="4" t="s">
        <v>465</v>
      </c>
      <c r="I701" s="1" t="s">
        <v>16</v>
      </c>
      <c r="J701" s="1" t="s">
        <v>10</v>
      </c>
      <c r="K701" s="4" t="s">
        <v>464</v>
      </c>
      <c r="L701" s="1" t="s">
        <v>44</v>
      </c>
      <c r="M701" s="10">
        <v>18548</v>
      </c>
      <c r="O701" s="1"/>
      <c r="P701" s="1"/>
      <c r="Q701" s="1"/>
      <c r="S701" s="2"/>
      <c r="T701" s="1"/>
      <c r="U701" s="1"/>
      <c r="V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 t="s">
        <v>12</v>
      </c>
      <c r="AN701" s="1" t="s">
        <v>14</v>
      </c>
      <c r="AO701" s="1">
        <v>251</v>
      </c>
      <c r="AP701" s="3">
        <v>0.41833333333333333</v>
      </c>
      <c r="AQ701" s="1"/>
    </row>
    <row r="702" spans="1:43" ht="12.3" x14ac:dyDescent="0.4">
      <c r="A702" s="1" t="s">
        <v>443</v>
      </c>
      <c r="B702" s="1"/>
      <c r="C702" s="1" t="s">
        <v>33</v>
      </c>
      <c r="D702" s="5" t="s">
        <v>7</v>
      </c>
      <c r="E702" s="5" t="s">
        <v>463</v>
      </c>
      <c r="F702" s="4" t="s">
        <v>465</v>
      </c>
      <c r="G702" s="4" t="s">
        <v>465</v>
      </c>
      <c r="I702" s="1" t="s">
        <v>16</v>
      </c>
      <c r="J702" s="1" t="s">
        <v>10</v>
      </c>
      <c r="K702" s="4" t="s">
        <v>464</v>
      </c>
      <c r="L702" s="1" t="s">
        <v>44</v>
      </c>
      <c r="M702" s="10">
        <v>13866</v>
      </c>
      <c r="O702" s="1"/>
      <c r="P702" s="1"/>
      <c r="Q702" s="1"/>
      <c r="S702" s="2"/>
      <c r="T702" s="1"/>
      <c r="U702" s="1"/>
      <c r="V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 t="s">
        <v>15</v>
      </c>
      <c r="AN702" s="1" t="s">
        <v>14</v>
      </c>
      <c r="AO702" s="1">
        <v>349</v>
      </c>
      <c r="AP702" s="3">
        <v>0.58166666666666667</v>
      </c>
      <c r="AQ702" s="1"/>
    </row>
    <row r="703" spans="1:43" ht="12.3" x14ac:dyDescent="0.4">
      <c r="A703" s="1" t="s">
        <v>444</v>
      </c>
      <c r="B703" s="1"/>
      <c r="C703" s="1" t="s">
        <v>33</v>
      </c>
      <c r="D703" s="5" t="s">
        <v>7</v>
      </c>
      <c r="E703" s="5" t="s">
        <v>463</v>
      </c>
      <c r="F703" s="4" t="s">
        <v>465</v>
      </c>
      <c r="G703" s="4" t="s">
        <v>465</v>
      </c>
      <c r="I703" s="1" t="s">
        <v>16</v>
      </c>
      <c r="J703" s="1" t="s">
        <v>10</v>
      </c>
      <c r="K703" s="4" t="s">
        <v>464</v>
      </c>
      <c r="L703" s="1" t="s">
        <v>38</v>
      </c>
      <c r="M703" s="10">
        <v>13866</v>
      </c>
      <c r="O703" s="1"/>
      <c r="P703" s="1"/>
      <c r="Q703" s="1"/>
      <c r="S703" s="2"/>
      <c r="T703" s="1"/>
      <c r="U703" s="1"/>
      <c r="V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 t="s">
        <v>12</v>
      </c>
      <c r="AN703" s="1" t="s">
        <v>14</v>
      </c>
      <c r="AO703" s="1">
        <v>267</v>
      </c>
      <c r="AP703" s="3">
        <v>0.44500000000000001</v>
      </c>
      <c r="AQ703" s="1"/>
    </row>
    <row r="704" spans="1:43" ht="12.3" x14ac:dyDescent="0.4">
      <c r="A704" s="1" t="s">
        <v>444</v>
      </c>
      <c r="B704" s="1"/>
      <c r="C704" s="1" t="s">
        <v>33</v>
      </c>
      <c r="D704" s="5" t="s">
        <v>7</v>
      </c>
      <c r="E704" s="5" t="s">
        <v>463</v>
      </c>
      <c r="F704" s="4" t="s">
        <v>465</v>
      </c>
      <c r="G704" s="4" t="s">
        <v>465</v>
      </c>
      <c r="I704" s="1" t="s">
        <v>16</v>
      </c>
      <c r="J704" s="1" t="s">
        <v>10</v>
      </c>
      <c r="K704" s="4" t="s">
        <v>464</v>
      </c>
      <c r="L704" s="1" t="s">
        <v>38</v>
      </c>
      <c r="M704" s="10">
        <v>18050</v>
      </c>
      <c r="O704" s="1"/>
      <c r="P704" s="1"/>
      <c r="Q704" s="1"/>
      <c r="S704" s="2"/>
      <c r="T704" s="1"/>
      <c r="U704" s="1"/>
      <c r="V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 t="s">
        <v>15</v>
      </c>
      <c r="AN704" s="1" t="s">
        <v>18</v>
      </c>
      <c r="AO704" s="1">
        <v>392</v>
      </c>
      <c r="AP704" s="3">
        <v>0.65333333333333332</v>
      </c>
      <c r="AQ704" s="1"/>
    </row>
    <row r="705" spans="1:43" ht="12.3" x14ac:dyDescent="0.4">
      <c r="A705" s="1" t="s">
        <v>445</v>
      </c>
      <c r="B705" s="1"/>
      <c r="C705" s="1" t="s">
        <v>33</v>
      </c>
      <c r="D705" s="5" t="s">
        <v>7</v>
      </c>
      <c r="E705" s="5" t="s">
        <v>463</v>
      </c>
      <c r="F705" s="4" t="s">
        <v>465</v>
      </c>
      <c r="G705" s="4" t="s">
        <v>465</v>
      </c>
      <c r="I705" s="1" t="s">
        <v>16</v>
      </c>
      <c r="J705" s="1" t="s">
        <v>10</v>
      </c>
      <c r="K705" s="4" t="s">
        <v>464</v>
      </c>
      <c r="L705" s="1" t="s">
        <v>36</v>
      </c>
      <c r="M705" s="10">
        <v>18050</v>
      </c>
      <c r="O705" s="1"/>
      <c r="P705" s="1"/>
      <c r="Q705" s="1"/>
      <c r="S705" s="2"/>
      <c r="T705" s="1"/>
      <c r="U705" s="1"/>
      <c r="V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 t="s">
        <v>15</v>
      </c>
      <c r="AN705" s="1" t="s">
        <v>14</v>
      </c>
      <c r="AO705" s="1">
        <v>318</v>
      </c>
      <c r="AP705" s="3">
        <v>0.53</v>
      </c>
      <c r="AQ705" s="1"/>
    </row>
    <row r="706" spans="1:43" ht="12.3" x14ac:dyDescent="0.4">
      <c r="A706" s="1" t="s">
        <v>446</v>
      </c>
      <c r="B706" s="1"/>
      <c r="C706" s="1" t="s">
        <v>33</v>
      </c>
      <c r="D706" s="5" t="s">
        <v>7</v>
      </c>
      <c r="E706" s="5" t="s">
        <v>463</v>
      </c>
      <c r="F706" s="4" t="s">
        <v>465</v>
      </c>
      <c r="G706" s="4" t="s">
        <v>465</v>
      </c>
      <c r="I706" s="1" t="s">
        <v>16</v>
      </c>
      <c r="J706" s="1" t="s">
        <v>10</v>
      </c>
      <c r="K706" s="4" t="s">
        <v>464</v>
      </c>
      <c r="L706" s="1" t="s">
        <v>35</v>
      </c>
      <c r="M706" s="10">
        <v>18050</v>
      </c>
      <c r="O706" s="1"/>
      <c r="P706" s="1"/>
      <c r="Q706" s="1"/>
      <c r="S706" s="2"/>
      <c r="T706" s="1"/>
      <c r="U706" s="2"/>
      <c r="V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 t="s">
        <v>12</v>
      </c>
      <c r="AN706" s="1" t="s">
        <v>13</v>
      </c>
      <c r="AO706" s="1">
        <v>292</v>
      </c>
      <c r="AP706" s="3">
        <v>0.48666666666666669</v>
      </c>
      <c r="AQ706" s="1"/>
    </row>
    <row r="707" spans="1:43" ht="12.3" x14ac:dyDescent="0.4">
      <c r="A707" s="1" t="s">
        <v>446</v>
      </c>
      <c r="B707" s="1"/>
      <c r="C707" s="1" t="s">
        <v>33</v>
      </c>
      <c r="D707" s="5" t="s">
        <v>7</v>
      </c>
      <c r="E707" s="5" t="s">
        <v>463</v>
      </c>
      <c r="F707" s="4" t="s">
        <v>465</v>
      </c>
      <c r="G707" s="4" t="s">
        <v>465</v>
      </c>
      <c r="I707" s="1" t="s">
        <v>16</v>
      </c>
      <c r="J707" s="1" t="s">
        <v>10</v>
      </c>
      <c r="K707" s="4" t="s">
        <v>464</v>
      </c>
      <c r="L707" s="1" t="s">
        <v>35</v>
      </c>
      <c r="M707" s="10">
        <v>18050</v>
      </c>
      <c r="O707" s="1"/>
      <c r="P707" s="1"/>
      <c r="Q707" s="1"/>
      <c r="S707" s="2"/>
      <c r="T707" s="1"/>
      <c r="U707" s="1"/>
      <c r="V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 t="s">
        <v>15</v>
      </c>
      <c r="AN707" s="1" t="s">
        <v>18</v>
      </c>
      <c r="AO707" s="1">
        <v>380</v>
      </c>
      <c r="AP707" s="3">
        <v>0.6333333333333333</v>
      </c>
      <c r="AQ707" s="1"/>
    </row>
    <row r="708" spans="1:43" ht="12.3" x14ac:dyDescent="0.4">
      <c r="A708" s="1" t="s">
        <v>447</v>
      </c>
      <c r="B708" s="1"/>
      <c r="C708" s="1" t="s">
        <v>33</v>
      </c>
      <c r="D708" s="5" t="s">
        <v>7</v>
      </c>
      <c r="E708" s="5" t="s">
        <v>463</v>
      </c>
      <c r="F708" s="4" t="s">
        <v>465</v>
      </c>
      <c r="G708" s="4" t="s">
        <v>465</v>
      </c>
      <c r="I708" s="1" t="s">
        <v>16</v>
      </c>
      <c r="J708" s="1" t="s">
        <v>10</v>
      </c>
      <c r="K708" s="4" t="s">
        <v>464</v>
      </c>
      <c r="L708" s="1" t="s">
        <v>40</v>
      </c>
      <c r="M708" s="11"/>
      <c r="O708" s="1"/>
      <c r="P708" s="1"/>
      <c r="Q708" s="1"/>
      <c r="S708" s="2"/>
      <c r="T708" s="1"/>
      <c r="U708" s="1"/>
      <c r="V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 t="s">
        <v>12</v>
      </c>
      <c r="AN708" s="1" t="s">
        <v>20</v>
      </c>
      <c r="AO708" s="1">
        <v>334</v>
      </c>
      <c r="AP708" s="3">
        <v>0.55666666666666664</v>
      </c>
      <c r="AQ708" s="1"/>
    </row>
    <row r="709" spans="1:43" ht="12.3" x14ac:dyDescent="0.4">
      <c r="A709" s="1" t="s">
        <v>447</v>
      </c>
      <c r="B709" s="1"/>
      <c r="C709" s="1" t="s">
        <v>33</v>
      </c>
      <c r="D709" s="5" t="s">
        <v>7</v>
      </c>
      <c r="E709" s="5" t="s">
        <v>463</v>
      </c>
      <c r="F709" s="4" t="s">
        <v>465</v>
      </c>
      <c r="G709" s="4" t="s">
        <v>465</v>
      </c>
      <c r="I709" s="1" t="s">
        <v>16</v>
      </c>
      <c r="J709" s="1" t="s">
        <v>10</v>
      </c>
      <c r="K709" s="4" t="s">
        <v>464</v>
      </c>
      <c r="L709" s="1" t="s">
        <v>40</v>
      </c>
      <c r="M709" s="10">
        <v>18050</v>
      </c>
      <c r="O709" s="1"/>
      <c r="P709" s="1"/>
      <c r="Q709" s="1"/>
      <c r="S709" s="2"/>
      <c r="T709" s="1"/>
      <c r="U709" s="1"/>
      <c r="V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 t="s">
        <v>15</v>
      </c>
      <c r="AN709" s="1" t="s">
        <v>18</v>
      </c>
      <c r="AO709" s="1">
        <v>389</v>
      </c>
      <c r="AP709" s="3">
        <v>0.64833333333333332</v>
      </c>
      <c r="AQ709" s="1"/>
    </row>
    <row r="710" spans="1:43" ht="12.3" x14ac:dyDescent="0.4">
      <c r="A710" s="1" t="s">
        <v>448</v>
      </c>
      <c r="B710" s="1"/>
      <c r="C710" s="1" t="s">
        <v>33</v>
      </c>
      <c r="D710" s="5" t="s">
        <v>7</v>
      </c>
      <c r="E710" s="5" t="s">
        <v>463</v>
      </c>
      <c r="F710" s="4" t="s">
        <v>465</v>
      </c>
      <c r="G710" s="4" t="s">
        <v>465</v>
      </c>
      <c r="I710" s="1" t="s">
        <v>16</v>
      </c>
      <c r="J710" s="1" t="s">
        <v>10</v>
      </c>
      <c r="K710" s="4" t="s">
        <v>464</v>
      </c>
      <c r="L710" s="1" t="s">
        <v>42</v>
      </c>
      <c r="M710" s="10">
        <v>18050</v>
      </c>
      <c r="O710" s="1"/>
      <c r="P710" s="1"/>
      <c r="Q710" s="1"/>
      <c r="S710" s="2"/>
      <c r="T710" s="1"/>
      <c r="U710" s="1"/>
      <c r="V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 t="s">
        <v>12</v>
      </c>
      <c r="AN710" s="1" t="s">
        <v>20</v>
      </c>
      <c r="AO710" s="1">
        <v>334</v>
      </c>
      <c r="AP710" s="3">
        <v>0.55666666666666664</v>
      </c>
      <c r="AQ710" s="1"/>
    </row>
    <row r="711" spans="1:43" ht="12.3" x14ac:dyDescent="0.4">
      <c r="A711" s="1" t="s">
        <v>448</v>
      </c>
      <c r="B711" s="1"/>
      <c r="C711" s="1" t="s">
        <v>33</v>
      </c>
      <c r="D711" s="5" t="s">
        <v>7</v>
      </c>
      <c r="E711" s="5" t="s">
        <v>463</v>
      </c>
      <c r="F711" s="4" t="s">
        <v>465</v>
      </c>
      <c r="G711" s="4" t="s">
        <v>465</v>
      </c>
      <c r="I711" s="1" t="s">
        <v>16</v>
      </c>
      <c r="J711" s="1" t="s">
        <v>10</v>
      </c>
      <c r="K711" s="4" t="s">
        <v>464</v>
      </c>
      <c r="L711" s="1" t="s">
        <v>42</v>
      </c>
      <c r="M711" s="11"/>
      <c r="O711" s="1"/>
      <c r="P711" s="1"/>
      <c r="Q711" s="1"/>
      <c r="S711" s="2"/>
      <c r="T711" s="1"/>
      <c r="U711" s="1"/>
      <c r="V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 t="s">
        <v>15</v>
      </c>
      <c r="AN711" s="1" t="s">
        <v>20</v>
      </c>
      <c r="AO711" s="1">
        <v>452</v>
      </c>
      <c r="AP711" s="3">
        <v>0.7533333333333333</v>
      </c>
      <c r="AQ711" s="1"/>
    </row>
    <row r="712" spans="1:43" ht="12.3" x14ac:dyDescent="0.4">
      <c r="A712" s="1" t="s">
        <v>449</v>
      </c>
      <c r="B712" s="1"/>
      <c r="C712" s="1" t="s">
        <v>33</v>
      </c>
      <c r="D712" s="5" t="s">
        <v>7</v>
      </c>
      <c r="E712" s="5" t="s">
        <v>463</v>
      </c>
      <c r="F712" s="4" t="s">
        <v>465</v>
      </c>
      <c r="G712" s="4" t="s">
        <v>465</v>
      </c>
      <c r="I712" s="1" t="s">
        <v>16</v>
      </c>
      <c r="J712" s="1" t="s">
        <v>10</v>
      </c>
      <c r="K712" s="4" t="s">
        <v>464</v>
      </c>
      <c r="L712" s="1" t="s">
        <v>40</v>
      </c>
      <c r="M712" s="10">
        <v>15019</v>
      </c>
      <c r="O712" s="1"/>
      <c r="P712" s="1"/>
      <c r="Q712" s="1"/>
      <c r="S712" s="2"/>
      <c r="T712" s="1"/>
      <c r="U712" s="1"/>
      <c r="V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 t="s">
        <v>12</v>
      </c>
      <c r="AN712" s="1" t="s">
        <v>13</v>
      </c>
      <c r="AO712" s="1">
        <v>299</v>
      </c>
      <c r="AP712" s="3">
        <v>0.49833333333333335</v>
      </c>
      <c r="AQ712" s="1"/>
    </row>
    <row r="713" spans="1:43" ht="12.3" x14ac:dyDescent="0.4">
      <c r="A713" s="1" t="s">
        <v>449</v>
      </c>
      <c r="B713" s="1"/>
      <c r="C713" s="1" t="s">
        <v>33</v>
      </c>
      <c r="D713" s="5" t="s">
        <v>7</v>
      </c>
      <c r="E713" s="5" t="s">
        <v>463</v>
      </c>
      <c r="F713" s="4" t="s">
        <v>465</v>
      </c>
      <c r="G713" s="4" t="s">
        <v>465</v>
      </c>
      <c r="I713" s="1" t="s">
        <v>8</v>
      </c>
      <c r="J713" s="1" t="s">
        <v>9</v>
      </c>
      <c r="K713" s="4" t="s">
        <v>464</v>
      </c>
      <c r="L713" s="1" t="s">
        <v>40</v>
      </c>
      <c r="M713" s="10">
        <v>15019</v>
      </c>
      <c r="O713" s="1"/>
      <c r="P713" s="1"/>
      <c r="Q713" s="1"/>
      <c r="S713" s="2"/>
      <c r="T713" s="1"/>
      <c r="U713" s="2"/>
      <c r="V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 t="s">
        <v>15</v>
      </c>
      <c r="AN713" s="1" t="s">
        <v>18</v>
      </c>
      <c r="AO713" s="1">
        <v>381</v>
      </c>
      <c r="AP713" s="3">
        <v>0.63500000000000001</v>
      </c>
      <c r="AQ713" s="1"/>
    </row>
    <row r="714" spans="1:43" ht="12.3" x14ac:dyDescent="0.4">
      <c r="A714" s="1" t="s">
        <v>450</v>
      </c>
      <c r="B714" s="1"/>
      <c r="C714" s="1" t="s">
        <v>33</v>
      </c>
      <c r="D714" s="5" t="s">
        <v>7</v>
      </c>
      <c r="E714" s="5" t="s">
        <v>463</v>
      </c>
      <c r="F714" s="4" t="s">
        <v>465</v>
      </c>
      <c r="G714" s="4" t="s">
        <v>465</v>
      </c>
      <c r="I714" s="1" t="s">
        <v>8</v>
      </c>
      <c r="J714" s="1" t="s">
        <v>9</v>
      </c>
      <c r="K714" s="4" t="s">
        <v>464</v>
      </c>
      <c r="L714" s="1" t="s">
        <v>44</v>
      </c>
      <c r="M714" s="10">
        <v>18825</v>
      </c>
      <c r="O714" s="1"/>
      <c r="P714" s="1"/>
      <c r="Q714" s="1"/>
      <c r="S714" s="2"/>
      <c r="T714" s="1"/>
      <c r="U714" s="2"/>
      <c r="V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 t="s">
        <v>12</v>
      </c>
      <c r="AN714" s="1" t="s">
        <v>20</v>
      </c>
      <c r="AO714" s="1">
        <v>363</v>
      </c>
      <c r="AP714" s="3">
        <v>0.60499999999999998</v>
      </c>
      <c r="AQ714" s="1"/>
    </row>
    <row r="715" spans="1:43" ht="12.3" x14ac:dyDescent="0.4">
      <c r="A715" s="1" t="s">
        <v>450</v>
      </c>
      <c r="B715" s="1"/>
      <c r="C715" s="1" t="s">
        <v>33</v>
      </c>
      <c r="D715" s="5" t="s">
        <v>7</v>
      </c>
      <c r="E715" s="5" t="s">
        <v>463</v>
      </c>
      <c r="F715" s="4" t="s">
        <v>465</v>
      </c>
      <c r="G715" s="4" t="s">
        <v>465</v>
      </c>
      <c r="I715" s="1" t="s">
        <v>16</v>
      </c>
      <c r="J715" s="1" t="s">
        <v>10</v>
      </c>
      <c r="K715" s="4" t="s">
        <v>464</v>
      </c>
      <c r="L715" s="1" t="s">
        <v>44</v>
      </c>
      <c r="M715" s="10">
        <v>18825</v>
      </c>
      <c r="O715" s="1"/>
      <c r="P715" s="1"/>
      <c r="Q715" s="1"/>
      <c r="S715" s="2"/>
      <c r="T715" s="1"/>
      <c r="U715" s="2"/>
      <c r="V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 t="s">
        <v>15</v>
      </c>
      <c r="AN715" s="1" t="s">
        <v>20</v>
      </c>
      <c r="AO715" s="1">
        <v>404</v>
      </c>
      <c r="AP715" s="3">
        <v>0.67333333333333334</v>
      </c>
      <c r="AQ715" s="1"/>
    </row>
    <row r="716" spans="1:43" ht="12.3" x14ac:dyDescent="0.4">
      <c r="A716" s="1" t="s">
        <v>451</v>
      </c>
      <c r="B716" s="1"/>
      <c r="C716" s="1" t="s">
        <v>33</v>
      </c>
      <c r="D716" s="5" t="s">
        <v>7</v>
      </c>
      <c r="E716" s="5" t="s">
        <v>463</v>
      </c>
      <c r="F716" s="4" t="s">
        <v>465</v>
      </c>
      <c r="G716" s="4" t="s">
        <v>465</v>
      </c>
      <c r="I716" s="1" t="s">
        <v>16</v>
      </c>
      <c r="J716" s="1" t="s">
        <v>10</v>
      </c>
      <c r="K716" s="4" t="s">
        <v>464</v>
      </c>
      <c r="M716" s="10">
        <v>18825</v>
      </c>
      <c r="O716" s="1"/>
      <c r="P716" s="1"/>
      <c r="Q716" s="1"/>
      <c r="S716" s="2"/>
      <c r="T716" s="1"/>
      <c r="U716" s="2"/>
      <c r="V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 t="s">
        <v>12</v>
      </c>
      <c r="AN716" s="1" t="s">
        <v>14</v>
      </c>
      <c r="AO716" s="1">
        <v>252</v>
      </c>
      <c r="AP716" s="3">
        <v>0.42</v>
      </c>
      <c r="AQ716" s="1"/>
    </row>
    <row r="717" spans="1:43" ht="12.3" x14ac:dyDescent="0.4">
      <c r="A717" s="1" t="s">
        <v>452</v>
      </c>
      <c r="B717" s="1"/>
      <c r="C717" s="1" t="s">
        <v>33</v>
      </c>
      <c r="D717" s="5" t="s">
        <v>7</v>
      </c>
      <c r="E717" s="5" t="s">
        <v>463</v>
      </c>
      <c r="F717" s="4" t="s">
        <v>465</v>
      </c>
      <c r="G717" s="4" t="s">
        <v>465</v>
      </c>
      <c r="I717" s="1" t="s">
        <v>8</v>
      </c>
      <c r="J717" s="1" t="s">
        <v>9</v>
      </c>
      <c r="K717" s="4" t="s">
        <v>464</v>
      </c>
      <c r="L717" s="1" t="s">
        <v>43</v>
      </c>
      <c r="M717" s="10">
        <v>17879</v>
      </c>
      <c r="O717" s="1"/>
      <c r="P717" s="1"/>
      <c r="Q717" s="1"/>
      <c r="S717" s="2"/>
      <c r="T717" s="1"/>
      <c r="U717" s="2"/>
      <c r="V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 t="s">
        <v>12</v>
      </c>
      <c r="AN717" s="1" t="s">
        <v>13</v>
      </c>
      <c r="AO717" s="1">
        <v>300</v>
      </c>
      <c r="AP717" s="3">
        <v>0.5</v>
      </c>
      <c r="AQ717" s="1"/>
    </row>
    <row r="718" spans="1:43" ht="12.3" x14ac:dyDescent="0.4">
      <c r="A718" s="1" t="s">
        <v>452</v>
      </c>
      <c r="B718" s="1"/>
      <c r="C718" s="1" t="s">
        <v>33</v>
      </c>
      <c r="D718" s="5" t="s">
        <v>7</v>
      </c>
      <c r="E718" s="5" t="s">
        <v>463</v>
      </c>
      <c r="F718" s="4" t="s">
        <v>465</v>
      </c>
      <c r="G718" s="4" t="s">
        <v>465</v>
      </c>
      <c r="I718" s="1" t="s">
        <v>8</v>
      </c>
      <c r="J718" s="1" t="s">
        <v>9</v>
      </c>
      <c r="K718" s="4" t="s">
        <v>464</v>
      </c>
      <c r="L718" s="1" t="s">
        <v>43</v>
      </c>
      <c r="M718" s="10">
        <v>17879</v>
      </c>
      <c r="O718" s="1"/>
      <c r="P718" s="1"/>
      <c r="Q718" s="1"/>
      <c r="S718" s="2"/>
      <c r="T718" s="1"/>
      <c r="U718" s="1"/>
      <c r="V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 t="s">
        <v>15</v>
      </c>
      <c r="AN718" s="1" t="s">
        <v>20</v>
      </c>
      <c r="AO718" s="1">
        <v>395</v>
      </c>
      <c r="AP718" s="3">
        <v>0.65833333333333333</v>
      </c>
      <c r="AQ718" s="1"/>
    </row>
    <row r="719" spans="1:43" ht="12.3" x14ac:dyDescent="0.4">
      <c r="A719" s="1" t="s">
        <v>453</v>
      </c>
      <c r="B719" s="1"/>
      <c r="C719" s="1" t="s">
        <v>33</v>
      </c>
      <c r="D719" s="5" t="s">
        <v>7</v>
      </c>
      <c r="E719" s="5" t="s">
        <v>463</v>
      </c>
      <c r="F719" s="4" t="s">
        <v>465</v>
      </c>
      <c r="G719" s="4" t="s">
        <v>465</v>
      </c>
      <c r="I719" s="1" t="s">
        <v>8</v>
      </c>
      <c r="J719" s="1" t="s">
        <v>9</v>
      </c>
      <c r="K719" s="4" t="s">
        <v>464</v>
      </c>
      <c r="L719" s="1" t="s">
        <v>44</v>
      </c>
      <c r="M719" s="10">
        <v>14530</v>
      </c>
      <c r="O719" s="1"/>
      <c r="P719" s="1"/>
      <c r="Q719" s="1"/>
      <c r="S719" s="2"/>
      <c r="T719" s="1"/>
      <c r="U719" s="1"/>
      <c r="V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 t="s">
        <v>12</v>
      </c>
      <c r="AN719" s="1" t="s">
        <v>20</v>
      </c>
      <c r="AO719" s="1">
        <v>362</v>
      </c>
      <c r="AP719" s="3">
        <v>0.60333333333333339</v>
      </c>
      <c r="AQ719" s="1"/>
    </row>
    <row r="720" spans="1:43" ht="12.3" x14ac:dyDescent="0.4">
      <c r="A720" s="1" t="s">
        <v>453</v>
      </c>
      <c r="B720" s="1"/>
      <c r="C720" s="1" t="s">
        <v>33</v>
      </c>
      <c r="D720" s="5" t="s">
        <v>7</v>
      </c>
      <c r="E720" s="5" t="s">
        <v>463</v>
      </c>
      <c r="F720" s="4" t="s">
        <v>465</v>
      </c>
      <c r="G720" s="4" t="s">
        <v>465</v>
      </c>
      <c r="I720" s="1" t="s">
        <v>16</v>
      </c>
      <c r="J720" s="1" t="s">
        <v>10</v>
      </c>
      <c r="K720" s="4" t="s">
        <v>464</v>
      </c>
      <c r="L720" s="1" t="s">
        <v>44</v>
      </c>
      <c r="M720" s="10">
        <v>14530</v>
      </c>
      <c r="O720" s="1"/>
      <c r="P720" s="1"/>
      <c r="Q720" s="1"/>
      <c r="S720" s="2"/>
      <c r="T720" s="1"/>
      <c r="U720" s="1"/>
      <c r="V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 t="s">
        <v>15</v>
      </c>
      <c r="AN720" s="1" t="s">
        <v>20</v>
      </c>
      <c r="AO720" s="1">
        <v>427</v>
      </c>
      <c r="AP720" s="3">
        <v>0.71166666666666667</v>
      </c>
      <c r="AQ720" s="1"/>
    </row>
    <row r="721" spans="1:43" ht="12.3" x14ac:dyDescent="0.4">
      <c r="A721" s="1" t="s">
        <v>454</v>
      </c>
      <c r="B721" s="1"/>
      <c r="C721" s="1" t="s">
        <v>33</v>
      </c>
      <c r="D721" s="5" t="s">
        <v>7</v>
      </c>
      <c r="E721" s="5" t="s">
        <v>463</v>
      </c>
      <c r="F721" s="4" t="s">
        <v>465</v>
      </c>
      <c r="G721" s="4" t="s">
        <v>465</v>
      </c>
      <c r="I721" s="1" t="s">
        <v>16</v>
      </c>
      <c r="J721" s="1" t="s">
        <v>10</v>
      </c>
      <c r="K721" s="4" t="s">
        <v>464</v>
      </c>
      <c r="L721" s="1" t="s">
        <v>39</v>
      </c>
      <c r="M721" s="10">
        <v>17649</v>
      </c>
      <c r="O721" s="1"/>
      <c r="P721" s="1"/>
      <c r="Q721" s="1"/>
      <c r="S721" s="2"/>
      <c r="T721" s="1"/>
      <c r="U721" s="1"/>
      <c r="V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 t="s">
        <v>12</v>
      </c>
      <c r="AN721" s="1" t="s">
        <v>18</v>
      </c>
      <c r="AO721" s="1">
        <v>315</v>
      </c>
      <c r="AP721" s="3">
        <v>0.52500000000000002</v>
      </c>
      <c r="AQ721" s="1"/>
    </row>
    <row r="722" spans="1:43" ht="12.3" x14ac:dyDescent="0.4">
      <c r="A722" s="1" t="s">
        <v>454</v>
      </c>
      <c r="B722" s="1"/>
      <c r="C722" s="1" t="s">
        <v>33</v>
      </c>
      <c r="D722" s="5" t="s">
        <v>7</v>
      </c>
      <c r="E722" s="5" t="s">
        <v>463</v>
      </c>
      <c r="F722" s="4" t="s">
        <v>465</v>
      </c>
      <c r="G722" s="4" t="s">
        <v>465</v>
      </c>
      <c r="I722" s="1" t="s">
        <v>8</v>
      </c>
      <c r="J722" s="1" t="s">
        <v>9</v>
      </c>
      <c r="K722" s="4" t="s">
        <v>464</v>
      </c>
      <c r="L722" s="1" t="s">
        <v>39</v>
      </c>
      <c r="M722" s="10">
        <v>17649</v>
      </c>
      <c r="O722" s="1"/>
      <c r="P722" s="1"/>
      <c r="Q722" s="1"/>
      <c r="S722" s="2"/>
      <c r="T722" s="1"/>
      <c r="U722" s="1"/>
      <c r="V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 t="s">
        <v>15</v>
      </c>
      <c r="AN722" s="1" t="s">
        <v>18</v>
      </c>
      <c r="AO722" s="1">
        <v>387</v>
      </c>
      <c r="AP722" s="3">
        <v>0.64500000000000002</v>
      </c>
      <c r="AQ722" s="1"/>
    </row>
    <row r="723" spans="1:43" ht="12.3" x14ac:dyDescent="0.4">
      <c r="A723" s="1" t="s">
        <v>455</v>
      </c>
      <c r="B723" s="1"/>
      <c r="C723" s="1" t="s">
        <v>33</v>
      </c>
      <c r="D723" s="5" t="s">
        <v>7</v>
      </c>
      <c r="E723" s="5" t="s">
        <v>463</v>
      </c>
      <c r="F723" s="4" t="s">
        <v>465</v>
      </c>
      <c r="G723" s="4" t="s">
        <v>465</v>
      </c>
      <c r="I723" s="1" t="s">
        <v>8</v>
      </c>
      <c r="J723" s="1" t="s">
        <v>9</v>
      </c>
      <c r="K723" s="4" t="s">
        <v>464</v>
      </c>
      <c r="L723" s="1" t="s">
        <v>39</v>
      </c>
      <c r="M723" s="10">
        <v>17649</v>
      </c>
      <c r="O723" s="1"/>
      <c r="P723" s="1"/>
      <c r="Q723" s="1"/>
      <c r="S723" s="2"/>
      <c r="T723" s="1"/>
      <c r="U723" s="1"/>
      <c r="V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 t="s">
        <v>12</v>
      </c>
      <c r="AN723" s="1" t="s">
        <v>13</v>
      </c>
      <c r="AO723" s="1">
        <v>300</v>
      </c>
      <c r="AP723" s="3">
        <v>0.5</v>
      </c>
      <c r="AQ723" s="1"/>
    </row>
    <row r="724" spans="1:43" ht="12.3" x14ac:dyDescent="0.4">
      <c r="A724" s="1" t="s">
        <v>455</v>
      </c>
      <c r="B724" s="1"/>
      <c r="C724" s="1" t="s">
        <v>33</v>
      </c>
      <c r="D724" s="5" t="s">
        <v>7</v>
      </c>
      <c r="E724" s="5" t="s">
        <v>463</v>
      </c>
      <c r="F724" s="4" t="s">
        <v>465</v>
      </c>
      <c r="G724" s="4" t="s">
        <v>465</v>
      </c>
      <c r="I724" s="1" t="s">
        <v>8</v>
      </c>
      <c r="J724" s="1" t="s">
        <v>9</v>
      </c>
      <c r="K724" s="4" t="s">
        <v>464</v>
      </c>
      <c r="L724" s="1" t="s">
        <v>39</v>
      </c>
      <c r="M724" s="10">
        <v>17649</v>
      </c>
      <c r="O724" s="1"/>
      <c r="P724" s="1"/>
      <c r="Q724" s="1"/>
      <c r="S724" s="2"/>
      <c r="T724" s="1"/>
      <c r="U724" s="1"/>
      <c r="V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 t="s">
        <v>15</v>
      </c>
      <c r="AN724" s="1" t="s">
        <v>14</v>
      </c>
      <c r="AO724" s="1">
        <v>351</v>
      </c>
      <c r="AP724" s="3">
        <v>0.58499999999999996</v>
      </c>
      <c r="AQ724" s="1"/>
    </row>
    <row r="725" spans="1:43" ht="12.3" x14ac:dyDescent="0.4">
      <c r="A725" s="1" t="s">
        <v>456</v>
      </c>
      <c r="B725" s="1"/>
      <c r="C725" s="1" t="s">
        <v>33</v>
      </c>
      <c r="D725" s="5" t="s">
        <v>7</v>
      </c>
      <c r="E725" s="5" t="s">
        <v>463</v>
      </c>
      <c r="F725" s="4" t="s">
        <v>465</v>
      </c>
      <c r="G725" s="4" t="s">
        <v>465</v>
      </c>
      <c r="I725" s="1" t="s">
        <v>8</v>
      </c>
      <c r="J725" s="1" t="s">
        <v>9</v>
      </c>
      <c r="K725" s="4" t="s">
        <v>464</v>
      </c>
      <c r="L725" s="1" t="s">
        <v>35</v>
      </c>
      <c r="M725" s="10">
        <v>17649</v>
      </c>
      <c r="O725" s="1"/>
      <c r="P725" s="1"/>
      <c r="Q725" s="1"/>
      <c r="S725" s="2"/>
      <c r="T725" s="1"/>
      <c r="U725" s="1"/>
      <c r="V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 t="s">
        <v>12</v>
      </c>
      <c r="AN725" s="1" t="s">
        <v>13</v>
      </c>
      <c r="AO725" s="1">
        <v>281</v>
      </c>
      <c r="AP725" s="3">
        <v>0.46833333333333332</v>
      </c>
      <c r="AQ725" s="1"/>
    </row>
    <row r="726" spans="1:43" ht="12.3" x14ac:dyDescent="0.4">
      <c r="A726" s="1" t="s">
        <v>456</v>
      </c>
      <c r="B726" s="1"/>
      <c r="C726" s="1" t="s">
        <v>33</v>
      </c>
      <c r="D726" s="5" t="s">
        <v>7</v>
      </c>
      <c r="E726" s="5" t="s">
        <v>463</v>
      </c>
      <c r="F726" s="4" t="s">
        <v>465</v>
      </c>
      <c r="G726" s="4" t="s">
        <v>465</v>
      </c>
      <c r="I726" s="1" t="s">
        <v>8</v>
      </c>
      <c r="J726" s="1" t="s">
        <v>9</v>
      </c>
      <c r="K726" s="4" t="s">
        <v>464</v>
      </c>
      <c r="L726" s="1" t="s">
        <v>35</v>
      </c>
      <c r="M726" s="10">
        <v>17649</v>
      </c>
      <c r="O726" s="1"/>
      <c r="P726" s="1"/>
      <c r="Q726" s="1"/>
      <c r="S726" s="2"/>
      <c r="T726" s="1"/>
      <c r="U726" s="1"/>
      <c r="V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 t="s">
        <v>15</v>
      </c>
      <c r="AN726" s="1" t="s">
        <v>14</v>
      </c>
      <c r="AO726" s="1">
        <v>337</v>
      </c>
      <c r="AP726" s="3">
        <v>0.56166666666666665</v>
      </c>
      <c r="AQ726" s="1"/>
    </row>
    <row r="727" spans="1:43" ht="12.3" x14ac:dyDescent="0.4">
      <c r="A727" s="1" t="s">
        <v>457</v>
      </c>
      <c r="B727" s="1"/>
      <c r="C727" s="1" t="s">
        <v>33</v>
      </c>
      <c r="D727" s="5" t="s">
        <v>7</v>
      </c>
      <c r="E727" s="5" t="s">
        <v>463</v>
      </c>
      <c r="F727" s="4" t="s">
        <v>465</v>
      </c>
      <c r="G727" s="4" t="s">
        <v>465</v>
      </c>
      <c r="I727" s="1" t="s">
        <v>8</v>
      </c>
      <c r="J727" s="1" t="s">
        <v>9</v>
      </c>
      <c r="K727" s="4" t="s">
        <v>464</v>
      </c>
      <c r="L727" s="1" t="s">
        <v>34</v>
      </c>
      <c r="M727" s="10">
        <v>18941</v>
      </c>
      <c r="O727" s="1"/>
      <c r="P727" s="1"/>
      <c r="Q727" s="1"/>
      <c r="S727" s="2"/>
      <c r="T727" s="1"/>
      <c r="U727" s="1"/>
      <c r="V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 t="s">
        <v>12</v>
      </c>
      <c r="AN727" s="1" t="s">
        <v>20</v>
      </c>
      <c r="AO727" s="1">
        <v>352</v>
      </c>
      <c r="AP727" s="3">
        <v>0.58666666666666667</v>
      </c>
      <c r="AQ727" s="1"/>
    </row>
    <row r="728" spans="1:43" ht="12.3" x14ac:dyDescent="0.4">
      <c r="A728" s="1" t="s">
        <v>457</v>
      </c>
      <c r="B728" s="1"/>
      <c r="C728" s="1" t="s">
        <v>33</v>
      </c>
      <c r="D728" s="5" t="s">
        <v>7</v>
      </c>
      <c r="E728" s="5" t="s">
        <v>463</v>
      </c>
      <c r="F728" s="4" t="s">
        <v>465</v>
      </c>
      <c r="G728" s="4" t="s">
        <v>465</v>
      </c>
      <c r="I728" s="1" t="s">
        <v>8</v>
      </c>
      <c r="J728" s="1" t="s">
        <v>9</v>
      </c>
      <c r="K728" s="4" t="s">
        <v>464</v>
      </c>
      <c r="L728" s="1" t="s">
        <v>34</v>
      </c>
      <c r="M728" s="10">
        <v>18941</v>
      </c>
      <c r="O728" s="1"/>
      <c r="P728" s="1"/>
      <c r="Q728" s="1"/>
      <c r="S728" s="2"/>
      <c r="T728" s="1"/>
      <c r="U728" s="1"/>
      <c r="V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 t="s">
        <v>15</v>
      </c>
      <c r="AN728" s="1" t="s">
        <v>20</v>
      </c>
      <c r="AO728" s="1">
        <v>394</v>
      </c>
      <c r="AP728" s="3">
        <v>0.65666666666666662</v>
      </c>
      <c r="AQ728" s="1"/>
    </row>
    <row r="729" spans="1:43" ht="12.3" x14ac:dyDescent="0.4">
      <c r="A729" s="1" t="s">
        <v>458</v>
      </c>
      <c r="B729" s="1"/>
      <c r="C729" s="1" t="s">
        <v>33</v>
      </c>
      <c r="D729" s="5" t="s">
        <v>7</v>
      </c>
      <c r="E729" s="5" t="s">
        <v>463</v>
      </c>
      <c r="F729" s="4" t="s">
        <v>465</v>
      </c>
      <c r="G729" s="4" t="s">
        <v>465</v>
      </c>
      <c r="I729" s="1" t="s">
        <v>8</v>
      </c>
      <c r="J729" s="1" t="s">
        <v>9</v>
      </c>
      <c r="K729" s="4" t="s">
        <v>464</v>
      </c>
      <c r="L729" s="1" t="s">
        <v>34</v>
      </c>
      <c r="M729" s="10">
        <v>18548</v>
      </c>
      <c r="O729" s="1"/>
      <c r="P729" s="1"/>
      <c r="Q729" s="1"/>
      <c r="S729" s="2"/>
      <c r="T729" s="1"/>
      <c r="U729" s="1"/>
      <c r="V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 t="s">
        <v>12</v>
      </c>
      <c r="AN729" s="1" t="s">
        <v>14</v>
      </c>
      <c r="AO729" s="1">
        <v>260</v>
      </c>
      <c r="AP729" s="3">
        <v>0.43333333333333335</v>
      </c>
      <c r="AQ729" s="1"/>
    </row>
    <row r="730" spans="1:43" ht="12.3" x14ac:dyDescent="0.4">
      <c r="A730" s="1" t="s">
        <v>458</v>
      </c>
      <c r="B730" s="1"/>
      <c r="C730" s="1" t="s">
        <v>33</v>
      </c>
      <c r="D730" s="5" t="s">
        <v>7</v>
      </c>
      <c r="E730" s="5" t="s">
        <v>463</v>
      </c>
      <c r="F730" s="4" t="s">
        <v>465</v>
      </c>
      <c r="G730" s="4" t="s">
        <v>465</v>
      </c>
      <c r="I730" s="1" t="s">
        <v>8</v>
      </c>
      <c r="J730" s="1" t="s">
        <v>9</v>
      </c>
      <c r="K730" s="4" t="s">
        <v>464</v>
      </c>
      <c r="L730" s="1" t="s">
        <v>34</v>
      </c>
      <c r="M730" s="10">
        <v>18548</v>
      </c>
      <c r="O730" s="1"/>
      <c r="P730" s="1"/>
      <c r="Q730" s="1"/>
      <c r="S730" s="2"/>
      <c r="T730" s="1"/>
      <c r="U730" s="1"/>
      <c r="V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 t="s">
        <v>15</v>
      </c>
      <c r="AN730" s="1" t="s">
        <v>14</v>
      </c>
      <c r="AO730" s="1">
        <v>340</v>
      </c>
      <c r="AP730" s="3">
        <v>0.56666666666666665</v>
      </c>
      <c r="AQ730" s="1"/>
    </row>
    <row r="731" spans="1:43" ht="12.3" x14ac:dyDescent="0.4">
      <c r="A731" s="1" t="s">
        <v>459</v>
      </c>
      <c r="B731" s="1"/>
      <c r="C731" s="1" t="s">
        <v>33</v>
      </c>
      <c r="D731" s="5" t="s">
        <v>7</v>
      </c>
      <c r="E731" s="5" t="s">
        <v>463</v>
      </c>
      <c r="F731" s="4" t="s">
        <v>465</v>
      </c>
      <c r="G731" s="4" t="s">
        <v>465</v>
      </c>
      <c r="I731" s="1" t="s">
        <v>8</v>
      </c>
      <c r="J731" s="1" t="s">
        <v>9</v>
      </c>
      <c r="K731" s="4" t="s">
        <v>464</v>
      </c>
      <c r="M731" s="10">
        <v>17649</v>
      </c>
      <c r="O731" s="1"/>
      <c r="P731" s="1"/>
      <c r="Q731" s="1"/>
      <c r="S731" s="2"/>
      <c r="T731" s="1"/>
      <c r="U731" s="1"/>
      <c r="V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 t="s">
        <v>12</v>
      </c>
      <c r="AN731" s="1" t="s">
        <v>13</v>
      </c>
      <c r="AO731" s="1">
        <v>283</v>
      </c>
      <c r="AP731" s="3">
        <v>0.47166666666666668</v>
      </c>
      <c r="AQ731" s="1"/>
    </row>
    <row r="732" spans="1:43" ht="12.3" x14ac:dyDescent="0.4">
      <c r="A732" s="1" t="s">
        <v>460</v>
      </c>
      <c r="B732" s="1"/>
      <c r="C732" s="1" t="s">
        <v>33</v>
      </c>
      <c r="D732" s="5" t="s">
        <v>7</v>
      </c>
      <c r="E732" s="5" t="s">
        <v>463</v>
      </c>
      <c r="F732" s="4" t="s">
        <v>465</v>
      </c>
      <c r="G732" s="4" t="s">
        <v>465</v>
      </c>
      <c r="I732" s="1" t="s">
        <v>29</v>
      </c>
      <c r="J732" s="1" t="s">
        <v>9</v>
      </c>
      <c r="K732" s="4" t="s">
        <v>464</v>
      </c>
      <c r="M732" s="10">
        <v>17649</v>
      </c>
      <c r="O732" s="1"/>
      <c r="P732" s="1"/>
      <c r="Q732" s="1"/>
      <c r="S732" s="2"/>
      <c r="T732" s="1"/>
      <c r="U732" s="2"/>
      <c r="V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 t="s">
        <v>12</v>
      </c>
      <c r="AN732" s="1" t="s">
        <v>14</v>
      </c>
      <c r="AO732" s="1">
        <v>245</v>
      </c>
      <c r="AP732" s="3">
        <v>0.40833333333333333</v>
      </c>
      <c r="AQ732" s="1"/>
    </row>
    <row r="733" spans="1:43" ht="12.3" x14ac:dyDescent="0.4">
      <c r="A733" s="1" t="s">
        <v>461</v>
      </c>
      <c r="B733" s="1"/>
      <c r="C733" s="1" t="s">
        <v>33</v>
      </c>
      <c r="D733" s="5" t="s">
        <v>7</v>
      </c>
      <c r="E733" s="5" t="s">
        <v>463</v>
      </c>
      <c r="F733" s="4" t="s">
        <v>465</v>
      </c>
      <c r="G733" s="4" t="s">
        <v>465</v>
      </c>
      <c r="I733" s="1" t="s">
        <v>16</v>
      </c>
      <c r="J733" s="1" t="s">
        <v>10</v>
      </c>
      <c r="K733" s="4" t="s">
        <v>464</v>
      </c>
      <c r="L733" s="1" t="s">
        <v>36</v>
      </c>
      <c r="M733" s="10">
        <v>17879</v>
      </c>
      <c r="O733" s="1"/>
      <c r="P733" s="1"/>
      <c r="Q733" s="1"/>
      <c r="S733" s="2"/>
      <c r="T733" s="1"/>
      <c r="U733" s="2"/>
      <c r="V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 t="s">
        <v>12</v>
      </c>
      <c r="AN733" s="1" t="s">
        <v>14</v>
      </c>
      <c r="AO733" s="1">
        <v>247</v>
      </c>
      <c r="AP733" s="3">
        <v>0.41166666666666668</v>
      </c>
      <c r="AQ733" s="1"/>
    </row>
    <row r="734" spans="1:43" ht="12.3" x14ac:dyDescent="0.4">
      <c r="A734" s="1" t="s">
        <v>461</v>
      </c>
      <c r="B734" s="1"/>
      <c r="C734" s="1" t="s">
        <v>33</v>
      </c>
      <c r="D734" s="5" t="s">
        <v>7</v>
      </c>
      <c r="E734" s="5" t="s">
        <v>463</v>
      </c>
      <c r="F734" s="4" t="s">
        <v>465</v>
      </c>
      <c r="G734" s="4" t="s">
        <v>465</v>
      </c>
      <c r="I734" s="1" t="s">
        <v>29</v>
      </c>
      <c r="J734" s="1" t="s">
        <v>9</v>
      </c>
      <c r="K734" s="4" t="s">
        <v>464</v>
      </c>
      <c r="L734" s="1" t="s">
        <v>36</v>
      </c>
      <c r="M734" s="10">
        <v>17879</v>
      </c>
      <c r="O734" s="1"/>
      <c r="P734" s="1"/>
      <c r="Q734" s="1"/>
      <c r="S734" s="2"/>
      <c r="T734" s="1"/>
      <c r="U734" s="1"/>
      <c r="V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 t="s">
        <v>15</v>
      </c>
      <c r="AN734" s="1" t="s">
        <v>14</v>
      </c>
      <c r="AO734" s="1">
        <v>318</v>
      </c>
      <c r="AP734" s="3">
        <v>0.53</v>
      </c>
      <c r="AQ734" s="1"/>
    </row>
    <row r="735" spans="1:43" ht="12.3" x14ac:dyDescent="0.4">
      <c r="A735" s="1" t="s">
        <v>462</v>
      </c>
      <c r="B735" s="1"/>
      <c r="C735" s="1" t="s">
        <v>33</v>
      </c>
      <c r="D735" s="5" t="s">
        <v>7</v>
      </c>
      <c r="E735" s="5" t="s">
        <v>463</v>
      </c>
      <c r="F735" s="4" t="s">
        <v>465</v>
      </c>
      <c r="G735" s="4" t="s">
        <v>465</v>
      </c>
      <c r="I735" s="1" t="s">
        <v>29</v>
      </c>
      <c r="J735" s="1" t="s">
        <v>9</v>
      </c>
      <c r="K735" s="4" t="s">
        <v>464</v>
      </c>
      <c r="L735" s="1" t="s">
        <v>44</v>
      </c>
      <c r="M735" s="10">
        <v>13866</v>
      </c>
      <c r="O735" s="1"/>
      <c r="P735" s="1"/>
      <c r="Q735" s="1"/>
      <c r="S735" s="2"/>
      <c r="T735" s="1"/>
      <c r="U735" s="1"/>
      <c r="V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 t="s">
        <v>12</v>
      </c>
      <c r="AN735" s="1" t="s">
        <v>20</v>
      </c>
      <c r="AO735" s="1">
        <v>397</v>
      </c>
      <c r="AP735" s="3">
        <v>0.66166666666666663</v>
      </c>
      <c r="AQ735" s="1"/>
    </row>
    <row r="736" spans="1:43" ht="12.3" x14ac:dyDescent="0.4">
      <c r="A736" s="1" t="s">
        <v>462</v>
      </c>
      <c r="B736" s="1"/>
      <c r="C736" s="1" t="s">
        <v>33</v>
      </c>
      <c r="D736" s="5" t="s">
        <v>7</v>
      </c>
      <c r="E736" s="5" t="s">
        <v>463</v>
      </c>
      <c r="F736" s="4" t="s">
        <v>465</v>
      </c>
      <c r="G736" s="4" t="s">
        <v>465</v>
      </c>
      <c r="I736" s="1" t="s">
        <v>16</v>
      </c>
      <c r="J736" s="1" t="s">
        <v>10</v>
      </c>
      <c r="K736" s="4" t="s">
        <v>464</v>
      </c>
      <c r="L736" s="1" t="s">
        <v>44</v>
      </c>
      <c r="M736" s="10">
        <v>13866</v>
      </c>
      <c r="O736" s="1"/>
      <c r="P736" s="1"/>
      <c r="Q736" s="1"/>
      <c r="S736" s="2"/>
      <c r="T736" s="1"/>
      <c r="U736" s="2"/>
      <c r="V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 t="s">
        <v>15</v>
      </c>
      <c r="AN736" s="1" t="s">
        <v>20</v>
      </c>
      <c r="AO736" s="1">
        <v>400</v>
      </c>
      <c r="AP736" s="3">
        <v>0.66666666666666663</v>
      </c>
      <c r="AQ736" s="1"/>
    </row>
    <row r="737" spans="1:43" ht="12.3" x14ac:dyDescent="0.4">
      <c r="A737" s="1"/>
      <c r="B737" s="1"/>
      <c r="C737" s="1"/>
      <c r="D737" s="5" t="s">
        <v>7</v>
      </c>
      <c r="E737" s="5" t="s">
        <v>463</v>
      </c>
      <c r="F737" s="4" t="s">
        <v>465</v>
      </c>
      <c r="G737" s="4" t="s">
        <v>465</v>
      </c>
      <c r="I737" s="1" t="s">
        <v>16</v>
      </c>
      <c r="J737" s="1" t="s">
        <v>10</v>
      </c>
      <c r="K737" s="4" t="s">
        <v>464</v>
      </c>
      <c r="L737" s="1"/>
      <c r="M737" s="10">
        <v>14530</v>
      </c>
      <c r="O737" s="1"/>
      <c r="P737" s="1"/>
      <c r="Q737" s="1"/>
      <c r="S737" s="2"/>
      <c r="T737" s="1"/>
      <c r="U737" s="2"/>
      <c r="V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 t="s">
        <v>15</v>
      </c>
      <c r="AN737" s="1" t="s">
        <v>20</v>
      </c>
      <c r="AO737" s="1">
        <v>400</v>
      </c>
      <c r="AP737" s="3">
        <v>0.66666666666666663</v>
      </c>
      <c r="AQ737" s="1"/>
    </row>
    <row r="738" spans="1:43" ht="12.3" x14ac:dyDescent="0.4">
      <c r="M738" s="10">
        <v>14530</v>
      </c>
      <c r="AP738" s="3"/>
    </row>
    <row r="739" spans="1:43" ht="12.3" x14ac:dyDescent="0.4">
      <c r="M739" s="10">
        <v>14530</v>
      </c>
      <c r="AP739" s="3"/>
    </row>
    <row r="740" spans="1:43" ht="15.75" customHeight="1" x14ac:dyDescent="0.4">
      <c r="M740" s="10">
        <v>14530</v>
      </c>
    </row>
    <row r="741" spans="1:43" ht="15.75" customHeight="1" x14ac:dyDescent="0.4">
      <c r="M741" s="10">
        <v>18825</v>
      </c>
    </row>
    <row r="742" spans="1:43" ht="15.75" customHeight="1" x14ac:dyDescent="0.4">
      <c r="M742" s="10">
        <v>18825</v>
      </c>
    </row>
    <row r="743" spans="1:43" ht="15.75" customHeight="1" x14ac:dyDescent="0.4">
      <c r="M743" s="10">
        <v>15143</v>
      </c>
    </row>
    <row r="744" spans="1:43" ht="15.75" customHeight="1" x14ac:dyDescent="0.4">
      <c r="M744" s="10">
        <v>15143</v>
      </c>
    </row>
    <row r="745" spans="1:43" ht="15.75" customHeight="1" x14ac:dyDescent="0.4">
      <c r="M745" s="10">
        <v>15143</v>
      </c>
    </row>
    <row r="746" spans="1:43" ht="15.75" customHeight="1" x14ac:dyDescent="0.4">
      <c r="M746" s="10">
        <v>15143</v>
      </c>
    </row>
    <row r="747" spans="1:43" ht="15.75" customHeight="1" x14ac:dyDescent="0.4">
      <c r="M747" s="10">
        <v>13866</v>
      </c>
    </row>
    <row r="748" spans="1:43" ht="15.75" customHeight="1" x14ac:dyDescent="0.4">
      <c r="M748" s="10">
        <v>13866</v>
      </c>
    </row>
    <row r="749" spans="1:43" ht="15.75" customHeight="1" x14ac:dyDescent="0.4">
      <c r="M749" s="10">
        <v>17879</v>
      </c>
    </row>
    <row r="750" spans="1:43" ht="15.75" customHeight="1" x14ac:dyDescent="0.4">
      <c r="M750" s="10">
        <v>17879</v>
      </c>
    </row>
    <row r="751" spans="1:43" ht="15.75" customHeight="1" x14ac:dyDescent="0.4">
      <c r="M751" s="10">
        <v>18825</v>
      </c>
    </row>
    <row r="752" spans="1:43" ht="15.75" customHeight="1" x14ac:dyDescent="0.4">
      <c r="M752" s="10">
        <v>18825</v>
      </c>
    </row>
    <row r="753" spans="13:13" ht="15.75" customHeight="1" x14ac:dyDescent="0.4">
      <c r="M753" s="10">
        <v>18548</v>
      </c>
    </row>
    <row r="754" spans="13:13" ht="15.75" customHeight="1" x14ac:dyDescent="0.4">
      <c r="M754" s="10">
        <v>18548</v>
      </c>
    </row>
    <row r="755" spans="13:13" ht="15.75" customHeight="1" x14ac:dyDescent="0.4">
      <c r="M755" s="10">
        <v>14530</v>
      </c>
    </row>
    <row r="756" spans="13:13" ht="15.75" customHeight="1" x14ac:dyDescent="0.4">
      <c r="M756" s="10">
        <v>14530</v>
      </c>
    </row>
    <row r="757" spans="13:13" ht="15.75" customHeight="1" x14ac:dyDescent="0.4">
      <c r="M757" s="10">
        <v>18548</v>
      </c>
    </row>
    <row r="758" spans="13:13" ht="15.75" customHeight="1" x14ac:dyDescent="0.4">
      <c r="M758" s="10">
        <v>18548</v>
      </c>
    </row>
    <row r="759" spans="13:13" ht="15.75" customHeight="1" x14ac:dyDescent="0.4">
      <c r="M759" s="10">
        <v>15143</v>
      </c>
    </row>
    <row r="760" spans="13:13" ht="15.75" customHeight="1" x14ac:dyDescent="0.4">
      <c r="M760" s="10">
        <v>15143</v>
      </c>
    </row>
    <row r="761" spans="13:13" ht="15.75" customHeight="1" x14ac:dyDescent="0.4">
      <c r="M761" s="10">
        <v>17649</v>
      </c>
    </row>
    <row r="762" spans="13:13" ht="15.75" customHeight="1" x14ac:dyDescent="0.4">
      <c r="M762" s="10">
        <v>17649</v>
      </c>
    </row>
    <row r="763" spans="13:13" ht="15.75" customHeight="1" x14ac:dyDescent="0.4">
      <c r="M763" s="10">
        <v>17879</v>
      </c>
    </row>
    <row r="764" spans="13:13" ht="15.75" customHeight="1" x14ac:dyDescent="0.4">
      <c r="M764" s="10">
        <v>17879</v>
      </c>
    </row>
    <row r="765" spans="13:13" ht="15.75" customHeight="1" x14ac:dyDescent="0.4">
      <c r="M765" s="10">
        <v>14530</v>
      </c>
    </row>
    <row r="766" spans="13:13" ht="15.75" customHeight="1" x14ac:dyDescent="0.4">
      <c r="M766" s="10">
        <v>14530</v>
      </c>
    </row>
    <row r="767" spans="13:13" ht="15.75" customHeight="1" x14ac:dyDescent="0.4">
      <c r="M767" s="10">
        <v>17919</v>
      </c>
    </row>
    <row r="768" spans="13:13" ht="15.75" customHeight="1" x14ac:dyDescent="0.4">
      <c r="M768" s="10">
        <v>17919</v>
      </c>
    </row>
    <row r="769" spans="13:13" ht="15.75" customHeight="1" x14ac:dyDescent="0.4">
      <c r="M769" s="10">
        <v>14530</v>
      </c>
    </row>
    <row r="770" spans="13:13" ht="15.75" customHeight="1" x14ac:dyDescent="0.4">
      <c r="M770" s="10">
        <v>14530</v>
      </c>
    </row>
    <row r="771" spans="13:13" ht="15.75" customHeight="1" x14ac:dyDescent="0.4">
      <c r="M771" s="10">
        <v>15143</v>
      </c>
    </row>
    <row r="772" spans="13:13" ht="15.75" customHeight="1" x14ac:dyDescent="0.4">
      <c r="M772" s="10">
        <v>15143</v>
      </c>
    </row>
    <row r="773" spans="13:13" ht="15.75" customHeight="1" x14ac:dyDescent="0.4">
      <c r="M773" s="10">
        <v>17879</v>
      </c>
    </row>
    <row r="774" spans="13:13" ht="15.75" customHeight="1" x14ac:dyDescent="0.4">
      <c r="M774" s="10">
        <v>17879</v>
      </c>
    </row>
    <row r="775" spans="13:13" ht="15.75" customHeight="1" x14ac:dyDescent="0.4">
      <c r="M775" s="10">
        <v>14530</v>
      </c>
    </row>
    <row r="776" spans="13:13" ht="15.75" customHeight="1" x14ac:dyDescent="0.4">
      <c r="M776" s="10">
        <v>14530</v>
      </c>
    </row>
    <row r="777" spans="13:13" ht="15.75" customHeight="1" x14ac:dyDescent="0.4">
      <c r="M777" s="10">
        <v>17919</v>
      </c>
    </row>
    <row r="778" spans="13:13" ht="15.75" customHeight="1" x14ac:dyDescent="0.4">
      <c r="M778" s="10">
        <v>17919</v>
      </c>
    </row>
    <row r="779" spans="13:13" ht="15.75" customHeight="1" x14ac:dyDescent="0.4">
      <c r="M779" s="10">
        <v>18941</v>
      </c>
    </row>
    <row r="780" spans="13:13" ht="15.75" customHeight="1" x14ac:dyDescent="0.4">
      <c r="M780" s="10">
        <v>18941</v>
      </c>
    </row>
    <row r="781" spans="13:13" ht="15.75" customHeight="1" x14ac:dyDescent="0.4">
      <c r="M781" s="10">
        <v>17879</v>
      </c>
    </row>
    <row r="782" spans="13:13" ht="15.75" customHeight="1" x14ac:dyDescent="0.4">
      <c r="M782" s="10">
        <v>17879</v>
      </c>
    </row>
    <row r="783" spans="13:13" ht="15.75" customHeight="1" x14ac:dyDescent="0.4">
      <c r="M783" s="10">
        <v>18548</v>
      </c>
    </row>
    <row r="784" spans="13:13" ht="15.75" customHeight="1" x14ac:dyDescent="0.4">
      <c r="M784" s="10">
        <v>18548</v>
      </c>
    </row>
    <row r="785" spans="13:13" ht="15.75" customHeight="1" x14ac:dyDescent="0.4">
      <c r="M785" s="10">
        <v>14530</v>
      </c>
    </row>
    <row r="786" spans="13:13" ht="15.75" customHeight="1" x14ac:dyDescent="0.4">
      <c r="M786" s="10">
        <v>14530</v>
      </c>
    </row>
    <row r="787" spans="13:13" ht="15.75" customHeight="1" x14ac:dyDescent="0.4">
      <c r="M787" s="10">
        <v>17919</v>
      </c>
    </row>
    <row r="788" spans="13:13" ht="15.75" customHeight="1" x14ac:dyDescent="0.4">
      <c r="M788" s="10">
        <v>17919</v>
      </c>
    </row>
    <row r="789" spans="13:13" ht="15.75" customHeight="1" x14ac:dyDescent="0.4">
      <c r="M789" s="10">
        <v>17879</v>
      </c>
    </row>
    <row r="790" spans="13:13" ht="15.75" customHeight="1" x14ac:dyDescent="0.4">
      <c r="M790" s="10">
        <v>17919</v>
      </c>
    </row>
    <row r="791" spans="13:13" ht="15.75" customHeight="1" x14ac:dyDescent="0.4">
      <c r="M791" s="10">
        <v>17919</v>
      </c>
    </row>
    <row r="792" spans="13:13" ht="15.75" customHeight="1" x14ac:dyDescent="0.4">
      <c r="M792" s="10">
        <v>17649</v>
      </c>
    </row>
    <row r="793" spans="13:13" ht="15.75" customHeight="1" x14ac:dyDescent="0.4">
      <c r="M793" s="10">
        <v>17649</v>
      </c>
    </row>
    <row r="794" spans="13:13" ht="15.75" customHeight="1" x14ac:dyDescent="0.4">
      <c r="M794" s="10">
        <v>17649</v>
      </c>
    </row>
    <row r="795" spans="13:13" ht="15.75" customHeight="1" x14ac:dyDescent="0.4">
      <c r="M795" s="10">
        <v>17649</v>
      </c>
    </row>
    <row r="796" spans="13:13" ht="15.75" customHeight="1" x14ac:dyDescent="0.4">
      <c r="M796" s="10">
        <v>18050</v>
      </c>
    </row>
    <row r="797" spans="13:13" ht="15.75" customHeight="1" x14ac:dyDescent="0.4">
      <c r="M797" s="10">
        <v>18050</v>
      </c>
    </row>
    <row r="798" spans="13:13" ht="15.75" customHeight="1" x14ac:dyDescent="0.4">
      <c r="M798" s="10">
        <v>17649</v>
      </c>
    </row>
    <row r="799" spans="13:13" ht="15.75" customHeight="1" x14ac:dyDescent="0.4">
      <c r="M799" s="10">
        <v>17649</v>
      </c>
    </row>
    <row r="800" spans="13:13" ht="15.75" customHeight="1" x14ac:dyDescent="0.4">
      <c r="M800" s="10">
        <v>18941</v>
      </c>
    </row>
    <row r="801" spans="13:13" ht="15.75" customHeight="1" x14ac:dyDescent="0.4">
      <c r="M801" s="10">
        <v>18941</v>
      </c>
    </row>
    <row r="802" spans="13:13" ht="15.75" customHeight="1" x14ac:dyDescent="0.4">
      <c r="M802" s="10">
        <v>17879</v>
      </c>
    </row>
    <row r="803" spans="13:13" ht="15.75" customHeight="1" x14ac:dyDescent="0.4">
      <c r="M803" s="10">
        <v>17879</v>
      </c>
    </row>
    <row r="804" spans="13:13" ht="15.75" customHeight="1" x14ac:dyDescent="0.4">
      <c r="M804" s="10">
        <v>17919</v>
      </c>
    </row>
    <row r="805" spans="13:13" ht="15.75" customHeight="1" x14ac:dyDescent="0.4">
      <c r="M805" s="10">
        <v>17919</v>
      </c>
    </row>
    <row r="806" spans="13:13" ht="15.75" customHeight="1" x14ac:dyDescent="0.4">
      <c r="M806" s="10">
        <v>18050</v>
      </c>
    </row>
    <row r="807" spans="13:13" ht="15.75" customHeight="1" x14ac:dyDescent="0.4">
      <c r="M807" s="10">
        <v>18050</v>
      </c>
    </row>
    <row r="808" spans="13:13" ht="15.75" customHeight="1" x14ac:dyDescent="0.4">
      <c r="M808" s="10">
        <v>15019</v>
      </c>
    </row>
    <row r="809" spans="13:13" ht="15.75" customHeight="1" x14ac:dyDescent="0.4">
      <c r="M809" s="10">
        <v>15019</v>
      </c>
    </row>
    <row r="810" spans="13:13" ht="15.75" customHeight="1" x14ac:dyDescent="0.4">
      <c r="M810" s="10">
        <v>15143</v>
      </c>
    </row>
    <row r="811" spans="13:13" ht="15.75" customHeight="1" x14ac:dyDescent="0.4">
      <c r="M811" s="10">
        <v>15143</v>
      </c>
    </row>
    <row r="812" spans="13:13" ht="15.75" customHeight="1" x14ac:dyDescent="0.4">
      <c r="M812" s="10">
        <v>18941</v>
      </c>
    </row>
    <row r="813" spans="13:13" ht="15.75" customHeight="1" x14ac:dyDescent="0.4">
      <c r="M813" s="10">
        <v>18941</v>
      </c>
    </row>
    <row r="814" spans="13:13" ht="15.75" customHeight="1" x14ac:dyDescent="0.4">
      <c r="M814" s="10">
        <v>14530</v>
      </c>
    </row>
    <row r="815" spans="13:13" ht="15.75" customHeight="1" x14ac:dyDescent="0.4">
      <c r="M815" s="10">
        <v>14530</v>
      </c>
    </row>
    <row r="816" spans="13:13" ht="15.75" customHeight="1" x14ac:dyDescent="0.4">
      <c r="M816" s="10">
        <v>15143</v>
      </c>
    </row>
    <row r="817" spans="13:13" ht="15.75" customHeight="1" x14ac:dyDescent="0.4">
      <c r="M817" s="10">
        <v>15143</v>
      </c>
    </row>
    <row r="818" spans="13:13" ht="15.75" customHeight="1" x14ac:dyDescent="0.4">
      <c r="M818" s="10">
        <v>13866</v>
      </c>
    </row>
    <row r="819" spans="13:13" ht="15.75" customHeight="1" x14ac:dyDescent="0.4">
      <c r="M819" s="10">
        <v>13866</v>
      </c>
    </row>
    <row r="820" spans="13:13" ht="15.75" customHeight="1" x14ac:dyDescent="0.4">
      <c r="M820" s="10">
        <v>18825</v>
      </c>
    </row>
    <row r="821" spans="13:13" ht="15.75" customHeight="1" x14ac:dyDescent="0.4">
      <c r="M821" s="10">
        <v>18825</v>
      </c>
    </row>
    <row r="822" spans="13:13" ht="15.75" customHeight="1" x14ac:dyDescent="0.4">
      <c r="M822" s="10">
        <v>18548</v>
      </c>
    </row>
    <row r="823" spans="13:13" ht="15.75" customHeight="1" x14ac:dyDescent="0.4">
      <c r="M823" s="10">
        <v>18548</v>
      </c>
    </row>
    <row r="824" spans="13:13" ht="15.75" customHeight="1" x14ac:dyDescent="0.4">
      <c r="M824" s="10">
        <v>18050</v>
      </c>
    </row>
    <row r="825" spans="13:13" ht="15.75" customHeight="1" x14ac:dyDescent="0.4">
      <c r="M825" s="10">
        <v>18050</v>
      </c>
    </row>
    <row r="826" spans="13:13" ht="15.75" customHeight="1" x14ac:dyDescent="0.4">
      <c r="M826" s="10">
        <v>17649</v>
      </c>
    </row>
    <row r="827" spans="13:13" ht="15.75" customHeight="1" x14ac:dyDescent="0.4">
      <c r="M827" s="10">
        <v>17649</v>
      </c>
    </row>
    <row r="828" spans="13:13" ht="15.75" customHeight="1" x14ac:dyDescent="0.4">
      <c r="M828" s="10">
        <v>17879</v>
      </c>
    </row>
    <row r="829" spans="13:13" ht="15.75" customHeight="1" x14ac:dyDescent="0.4">
      <c r="M829" s="10">
        <v>17879</v>
      </c>
    </row>
    <row r="830" spans="13:13" ht="15.75" customHeight="1" x14ac:dyDescent="0.4">
      <c r="M830" s="10">
        <v>18548</v>
      </c>
    </row>
    <row r="831" spans="13:13" ht="15.75" customHeight="1" x14ac:dyDescent="0.4">
      <c r="M831" s="10">
        <v>18548</v>
      </c>
    </row>
    <row r="832" spans="13:13" ht="15.75" customHeight="1" x14ac:dyDescent="0.4">
      <c r="M832" s="10">
        <v>15143</v>
      </c>
    </row>
    <row r="833" spans="13:13" ht="15.75" customHeight="1" x14ac:dyDescent="0.4">
      <c r="M833" s="10">
        <v>15143</v>
      </c>
    </row>
    <row r="834" spans="13:13" ht="15.75" customHeight="1" x14ac:dyDescent="0.4">
      <c r="M834" s="10">
        <v>17649</v>
      </c>
    </row>
    <row r="835" spans="13:13" ht="15.75" customHeight="1" x14ac:dyDescent="0.4">
      <c r="M835" s="10">
        <v>17649</v>
      </c>
    </row>
    <row r="836" spans="13:13" ht="15.75" customHeight="1" x14ac:dyDescent="0.4">
      <c r="M836" s="10">
        <v>18941</v>
      </c>
    </row>
    <row r="837" spans="13:13" ht="15.75" customHeight="1" x14ac:dyDescent="0.4">
      <c r="M837" s="10">
        <v>18941</v>
      </c>
    </row>
    <row r="838" spans="13:13" ht="15.75" customHeight="1" x14ac:dyDescent="0.4">
      <c r="M838" s="10">
        <v>18050</v>
      </c>
    </row>
    <row r="839" spans="13:13" ht="15.75" customHeight="1" x14ac:dyDescent="0.4">
      <c r="M839" s="10">
        <v>18050</v>
      </c>
    </row>
    <row r="840" spans="13:13" ht="15.75" customHeight="1" x14ac:dyDescent="0.4">
      <c r="M840" s="10">
        <v>18941</v>
      </c>
    </row>
    <row r="841" spans="13:13" ht="15.75" customHeight="1" x14ac:dyDescent="0.4">
      <c r="M841" s="10">
        <v>18941</v>
      </c>
    </row>
    <row r="842" spans="13:13" ht="15.75" customHeight="1" x14ac:dyDescent="0.4">
      <c r="M842" s="10">
        <v>18548</v>
      </c>
    </row>
    <row r="843" spans="13:13" ht="15.75" customHeight="1" x14ac:dyDescent="0.4">
      <c r="M843" s="10">
        <v>18548</v>
      </c>
    </row>
    <row r="844" spans="13:13" ht="15.75" customHeight="1" x14ac:dyDescent="0.4">
      <c r="M844" s="10">
        <v>18050</v>
      </c>
    </row>
    <row r="845" spans="13:13" ht="15.75" customHeight="1" x14ac:dyDescent="0.4">
      <c r="M845" s="10">
        <v>18548</v>
      </c>
    </row>
    <row r="846" spans="13:13" ht="15.75" customHeight="1" x14ac:dyDescent="0.4">
      <c r="M846" s="10">
        <v>18548</v>
      </c>
    </row>
    <row r="847" spans="13:13" ht="15.75" customHeight="1" x14ac:dyDescent="0.4">
      <c r="M847" s="10">
        <v>18825</v>
      </c>
    </row>
    <row r="848" spans="13:13" ht="15.75" customHeight="1" x14ac:dyDescent="0.4">
      <c r="M848" s="10">
        <v>14530</v>
      </c>
    </row>
    <row r="849" spans="13:13" ht="15.75" customHeight="1" x14ac:dyDescent="0.4">
      <c r="M849" s="10">
        <v>14530</v>
      </c>
    </row>
    <row r="850" spans="13:13" ht="15.75" customHeight="1" x14ac:dyDescent="0.4">
      <c r="M850" s="10">
        <v>15019</v>
      </c>
    </row>
    <row r="851" spans="13:13" ht="15.75" customHeight="1" x14ac:dyDescent="0.4">
      <c r="M851" s="10">
        <v>15019</v>
      </c>
    </row>
    <row r="852" spans="13:13" ht="15.75" customHeight="1" x14ac:dyDescent="0.4">
      <c r="M852" s="10">
        <v>13866</v>
      </c>
    </row>
    <row r="853" spans="13:13" ht="15.75" customHeight="1" x14ac:dyDescent="0.4">
      <c r="M853" s="10">
        <v>13866</v>
      </c>
    </row>
    <row r="854" spans="13:13" ht="15.75" customHeight="1" x14ac:dyDescent="0.4">
      <c r="M854" s="10">
        <v>15143</v>
      </c>
    </row>
    <row r="855" spans="13:13" ht="15.75" customHeight="1" x14ac:dyDescent="0.4">
      <c r="M855" s="10">
        <v>15143</v>
      </c>
    </row>
    <row r="856" spans="13:13" ht="15.75" customHeight="1" x14ac:dyDescent="0.4">
      <c r="M856" s="10">
        <v>17879</v>
      </c>
    </row>
    <row r="857" spans="13:13" ht="15.75" customHeight="1" x14ac:dyDescent="0.4">
      <c r="M857" s="10">
        <v>17879</v>
      </c>
    </row>
    <row r="858" spans="13:13" ht="15.75" customHeight="1" x14ac:dyDescent="0.4">
      <c r="M858" s="10">
        <v>17879</v>
      </c>
    </row>
    <row r="859" spans="13:13" ht="15.75" customHeight="1" x14ac:dyDescent="0.4">
      <c r="M859" s="10">
        <v>17879</v>
      </c>
    </row>
    <row r="860" spans="13:13" ht="15.75" customHeight="1" x14ac:dyDescent="0.4">
      <c r="M860" s="10">
        <v>10321</v>
      </c>
    </row>
    <row r="861" spans="13:13" ht="15.75" customHeight="1" x14ac:dyDescent="0.4">
      <c r="M861" s="11"/>
    </row>
    <row r="862" spans="13:13" ht="15.75" customHeight="1" x14ac:dyDescent="0.4">
      <c r="M862" s="10">
        <v>17879</v>
      </c>
    </row>
    <row r="863" spans="13:13" ht="15.75" customHeight="1" x14ac:dyDescent="0.4">
      <c r="M863" s="10">
        <v>17879</v>
      </c>
    </row>
    <row r="864" spans="13:13" ht="15.75" customHeight="1" x14ac:dyDescent="0.4">
      <c r="M864" s="10">
        <v>18825</v>
      </c>
    </row>
    <row r="865" spans="13:13" ht="15.75" customHeight="1" x14ac:dyDescent="0.4">
      <c r="M865" s="10">
        <v>18825</v>
      </c>
    </row>
    <row r="866" spans="13:13" ht="15.75" customHeight="1" x14ac:dyDescent="0.4">
      <c r="M866" s="10">
        <v>15019</v>
      </c>
    </row>
    <row r="867" spans="13:13" ht="15.75" customHeight="1" x14ac:dyDescent="0.4">
      <c r="M867" s="10">
        <v>15019</v>
      </c>
    </row>
    <row r="868" spans="13:13" ht="15.75" customHeight="1" x14ac:dyDescent="0.4">
      <c r="M868" s="10">
        <v>13866</v>
      </c>
    </row>
    <row r="869" spans="13:13" ht="15.75" customHeight="1" x14ac:dyDescent="0.4">
      <c r="M869" s="10">
        <v>13866</v>
      </c>
    </row>
    <row r="870" spans="13:13" ht="15.75" customHeight="1" x14ac:dyDescent="0.4">
      <c r="M870" s="10">
        <v>15019</v>
      </c>
    </row>
    <row r="871" spans="13:13" ht="15.75" customHeight="1" x14ac:dyDescent="0.4">
      <c r="M871" s="10">
        <v>15019</v>
      </c>
    </row>
    <row r="872" spans="13:13" ht="15.75" customHeight="1" x14ac:dyDescent="0.4">
      <c r="M872" s="10">
        <v>17649</v>
      </c>
    </row>
    <row r="873" spans="13:13" ht="15.75" customHeight="1" x14ac:dyDescent="0.4">
      <c r="M873" s="10">
        <v>17649</v>
      </c>
    </row>
    <row r="874" spans="13:13" ht="15.75" customHeight="1" x14ac:dyDescent="0.4">
      <c r="M874" s="10">
        <v>17919</v>
      </c>
    </row>
    <row r="875" spans="13:13" ht="15.75" customHeight="1" x14ac:dyDescent="0.4">
      <c r="M875" s="10">
        <v>17919</v>
      </c>
    </row>
    <row r="876" spans="13:13" ht="15.75" customHeight="1" x14ac:dyDescent="0.4">
      <c r="M876" s="10">
        <v>14530</v>
      </c>
    </row>
    <row r="877" spans="13:13" ht="15.75" customHeight="1" x14ac:dyDescent="0.4">
      <c r="M877" s="10">
        <v>14530</v>
      </c>
    </row>
    <row r="878" spans="13:13" ht="15.75" customHeight="1" x14ac:dyDescent="0.4">
      <c r="M878" s="10">
        <v>15143</v>
      </c>
    </row>
    <row r="879" spans="13:13" ht="15.75" customHeight="1" x14ac:dyDescent="0.4">
      <c r="M879" s="10">
        <v>15143</v>
      </c>
    </row>
    <row r="880" spans="13:13" ht="15.75" customHeight="1" x14ac:dyDescent="0.4">
      <c r="M880" s="10">
        <v>18941</v>
      </c>
    </row>
    <row r="881" spans="13:13" ht="15.75" customHeight="1" x14ac:dyDescent="0.4">
      <c r="M881" s="10">
        <v>18941</v>
      </c>
    </row>
    <row r="882" spans="13:13" ht="15.75" customHeight="1" x14ac:dyDescent="0.4">
      <c r="M882" s="10">
        <v>17879</v>
      </c>
    </row>
    <row r="883" spans="13:13" ht="15.75" customHeight="1" x14ac:dyDescent="0.4">
      <c r="M883" s="10">
        <v>17879</v>
      </c>
    </row>
    <row r="884" spans="13:13" ht="15.75" customHeight="1" x14ac:dyDescent="0.4">
      <c r="M884" s="10">
        <v>13866</v>
      </c>
    </row>
    <row r="885" spans="13:13" ht="15.75" customHeight="1" x14ac:dyDescent="0.4">
      <c r="M885" s="10">
        <v>13866</v>
      </c>
    </row>
    <row r="886" spans="13:13" ht="15.75" customHeight="1" x14ac:dyDescent="0.4">
      <c r="M886" s="10">
        <v>18548</v>
      </c>
    </row>
    <row r="887" spans="13:13" ht="15.75" customHeight="1" x14ac:dyDescent="0.4">
      <c r="M887" s="10">
        <v>18548</v>
      </c>
    </row>
    <row r="888" spans="13:13" ht="15.75" customHeight="1" x14ac:dyDescent="0.4">
      <c r="M888" s="10">
        <v>17919</v>
      </c>
    </row>
    <row r="889" spans="13:13" ht="15.75" customHeight="1" x14ac:dyDescent="0.4">
      <c r="M889" s="10">
        <v>15019</v>
      </c>
    </row>
    <row r="890" spans="13:13" ht="15.75" customHeight="1" x14ac:dyDescent="0.4">
      <c r="M890" s="10">
        <v>15019</v>
      </c>
    </row>
    <row r="891" spans="13:13" ht="15.75" customHeight="1" x14ac:dyDescent="0.4">
      <c r="M891" s="10">
        <v>18050</v>
      </c>
    </row>
    <row r="892" spans="13:13" ht="15.75" customHeight="1" x14ac:dyDescent="0.4">
      <c r="M892" s="10">
        <v>18050</v>
      </c>
    </row>
    <row r="893" spans="13:13" ht="15.75" customHeight="1" x14ac:dyDescent="0.4">
      <c r="M893" s="10">
        <v>18941</v>
      </c>
    </row>
    <row r="894" spans="13:13" ht="15.75" customHeight="1" x14ac:dyDescent="0.4">
      <c r="M894" s="10">
        <v>18941</v>
      </c>
    </row>
    <row r="895" spans="13:13" ht="15.75" customHeight="1" x14ac:dyDescent="0.4">
      <c r="M895" s="10">
        <v>18941</v>
      </c>
    </row>
    <row r="896" spans="13:13" ht="15.75" customHeight="1" x14ac:dyDescent="0.4">
      <c r="M896" s="10">
        <v>18941</v>
      </c>
    </row>
    <row r="897" spans="13:13" ht="15.75" customHeight="1" x14ac:dyDescent="0.4">
      <c r="M897" s="10">
        <v>18548</v>
      </c>
    </row>
    <row r="898" spans="13:13" ht="15.75" customHeight="1" x14ac:dyDescent="0.4">
      <c r="M898" s="10">
        <v>18548</v>
      </c>
    </row>
    <row r="899" spans="13:13" ht="15.75" customHeight="1" x14ac:dyDescent="0.4">
      <c r="M899" s="10">
        <v>15019</v>
      </c>
    </row>
    <row r="900" spans="13:13" ht="15.75" customHeight="1" x14ac:dyDescent="0.4">
      <c r="M900" s="10">
        <v>15019</v>
      </c>
    </row>
    <row r="901" spans="13:13" ht="15.75" customHeight="1" x14ac:dyDescent="0.4">
      <c r="M901" s="10">
        <v>17919</v>
      </c>
    </row>
    <row r="902" spans="13:13" ht="15.75" customHeight="1" x14ac:dyDescent="0.4">
      <c r="M902" s="10">
        <v>17879</v>
      </c>
    </row>
    <row r="903" spans="13:13" ht="15.75" customHeight="1" x14ac:dyDescent="0.4">
      <c r="M903" s="10">
        <v>17879</v>
      </c>
    </row>
    <row r="904" spans="13:13" ht="15.75" customHeight="1" x14ac:dyDescent="0.4">
      <c r="M904" s="10">
        <v>17649</v>
      </c>
    </row>
    <row r="905" spans="13:13" ht="15.75" customHeight="1" x14ac:dyDescent="0.4">
      <c r="M905" s="10">
        <v>17649</v>
      </c>
    </row>
    <row r="906" spans="13:13" ht="15.75" customHeight="1" x14ac:dyDescent="0.4">
      <c r="M906" s="10">
        <v>14530</v>
      </c>
    </row>
    <row r="907" spans="13:13" ht="15.75" customHeight="1" x14ac:dyDescent="0.4">
      <c r="M907" s="10">
        <v>14530</v>
      </c>
    </row>
    <row r="908" spans="13:13" ht="15.75" customHeight="1" x14ac:dyDescent="0.4">
      <c r="M908" s="10">
        <v>13866</v>
      </c>
    </row>
    <row r="909" spans="13:13" ht="15.75" customHeight="1" x14ac:dyDescent="0.4">
      <c r="M909" s="10">
        <v>13866</v>
      </c>
    </row>
    <row r="910" spans="13:13" ht="15.75" customHeight="1" x14ac:dyDescent="0.4">
      <c r="M910" s="10">
        <v>18050</v>
      </c>
    </row>
    <row r="911" spans="13:13" ht="15.75" customHeight="1" x14ac:dyDescent="0.4">
      <c r="M911" s="10">
        <v>18941</v>
      </c>
    </row>
    <row r="912" spans="13:13" ht="15.75" customHeight="1" x14ac:dyDescent="0.4">
      <c r="M912" s="10">
        <v>18941</v>
      </c>
    </row>
    <row r="913" spans="13:13" ht="15.75" customHeight="1" x14ac:dyDescent="0.4">
      <c r="M913" s="10">
        <v>18050</v>
      </c>
    </row>
    <row r="914" spans="13:13" ht="15.75" customHeight="1" x14ac:dyDescent="0.4">
      <c r="M914" s="10">
        <v>18050</v>
      </c>
    </row>
    <row r="915" spans="13:13" ht="15.75" customHeight="1" x14ac:dyDescent="0.4">
      <c r="M915" s="10">
        <v>14530</v>
      </c>
    </row>
    <row r="916" spans="13:13" ht="15.75" customHeight="1" x14ac:dyDescent="0.4">
      <c r="M916" s="10">
        <v>14530</v>
      </c>
    </row>
    <row r="917" spans="13:13" ht="15.75" customHeight="1" x14ac:dyDescent="0.4">
      <c r="M917" s="10">
        <v>18941</v>
      </c>
    </row>
    <row r="918" spans="13:13" ht="15.75" customHeight="1" x14ac:dyDescent="0.4">
      <c r="M918" s="10">
        <v>18941</v>
      </c>
    </row>
    <row r="919" spans="13:13" ht="15.75" customHeight="1" x14ac:dyDescent="0.4">
      <c r="M919" s="10">
        <v>15143</v>
      </c>
    </row>
    <row r="920" spans="13:13" ht="15.75" customHeight="1" x14ac:dyDescent="0.4">
      <c r="M920" s="10">
        <v>15143</v>
      </c>
    </row>
    <row r="921" spans="13:13" ht="15.75" customHeight="1" x14ac:dyDescent="0.4">
      <c r="M921" s="10">
        <v>18941</v>
      </c>
    </row>
    <row r="922" spans="13:13" ht="15.75" customHeight="1" x14ac:dyDescent="0.4">
      <c r="M922" s="10">
        <v>18941</v>
      </c>
    </row>
    <row r="923" spans="13:13" ht="15.75" customHeight="1" x14ac:dyDescent="0.4">
      <c r="M923" s="10">
        <v>18825</v>
      </c>
    </row>
    <row r="924" spans="13:13" ht="15.75" customHeight="1" x14ac:dyDescent="0.4">
      <c r="M924" s="10">
        <v>14530</v>
      </c>
    </row>
    <row r="925" spans="13:13" ht="15.75" customHeight="1" x14ac:dyDescent="0.4">
      <c r="M925" s="10">
        <v>14530</v>
      </c>
    </row>
    <row r="926" spans="13:13" ht="15.75" customHeight="1" x14ac:dyDescent="0.4">
      <c r="M926" s="10">
        <v>18548</v>
      </c>
    </row>
    <row r="927" spans="13:13" ht="15.75" customHeight="1" x14ac:dyDescent="0.4">
      <c r="M927" s="10">
        <v>18548</v>
      </c>
    </row>
    <row r="928" spans="13:13" ht="15.75" customHeight="1" x14ac:dyDescent="0.4">
      <c r="M928" s="10">
        <v>15143</v>
      </c>
    </row>
    <row r="929" spans="13:13" ht="15.75" customHeight="1" x14ac:dyDescent="0.4">
      <c r="M929" s="10">
        <v>15143</v>
      </c>
    </row>
    <row r="930" spans="13:13" ht="15.75" customHeight="1" x14ac:dyDescent="0.4">
      <c r="M930" s="10">
        <v>18548</v>
      </c>
    </row>
    <row r="931" spans="13:13" ht="15.75" customHeight="1" x14ac:dyDescent="0.4">
      <c r="M931" s="10">
        <v>18548</v>
      </c>
    </row>
    <row r="932" spans="13:13" ht="15.75" customHeight="1" x14ac:dyDescent="0.4">
      <c r="M932" s="10">
        <v>18548</v>
      </c>
    </row>
    <row r="933" spans="13:13" ht="15.75" customHeight="1" x14ac:dyDescent="0.4">
      <c r="M933" s="10">
        <v>18548</v>
      </c>
    </row>
    <row r="934" spans="13:13" ht="15.75" customHeight="1" x14ac:dyDescent="0.4">
      <c r="M934" s="10">
        <v>17649</v>
      </c>
    </row>
    <row r="935" spans="13:13" ht="15.75" customHeight="1" x14ac:dyDescent="0.4">
      <c r="M935" s="10">
        <v>17649</v>
      </c>
    </row>
    <row r="936" spans="13:13" ht="15.75" customHeight="1" x14ac:dyDescent="0.4">
      <c r="M936" s="10">
        <v>17879</v>
      </c>
    </row>
    <row r="937" spans="13:13" ht="15.75" customHeight="1" x14ac:dyDescent="0.4">
      <c r="M937" s="10">
        <v>17879</v>
      </c>
    </row>
    <row r="938" spans="13:13" ht="15.75" customHeight="1" x14ac:dyDescent="0.4">
      <c r="M938" s="10">
        <v>17649</v>
      </c>
    </row>
    <row r="939" spans="13:13" ht="15.75" customHeight="1" x14ac:dyDescent="0.4">
      <c r="M939" s="10">
        <v>17649</v>
      </c>
    </row>
    <row r="940" spans="13:13" ht="15.75" customHeight="1" x14ac:dyDescent="0.4">
      <c r="M940" s="10">
        <v>17919</v>
      </c>
    </row>
    <row r="941" spans="13:13" ht="15.75" customHeight="1" x14ac:dyDescent="0.4">
      <c r="M941" s="10">
        <v>17919</v>
      </c>
    </row>
    <row r="942" spans="13:13" ht="15.75" customHeight="1" x14ac:dyDescent="0.4">
      <c r="M942" s="10">
        <v>18825</v>
      </c>
    </row>
    <row r="943" spans="13:13" ht="15.75" customHeight="1" x14ac:dyDescent="0.4">
      <c r="M943" s="10">
        <v>18825</v>
      </c>
    </row>
    <row r="944" spans="13:13" ht="15.75" customHeight="1" x14ac:dyDescent="0.4">
      <c r="M944" s="10">
        <v>18050</v>
      </c>
    </row>
    <row r="945" spans="13:13" ht="15.75" customHeight="1" x14ac:dyDescent="0.4">
      <c r="M945" s="10">
        <v>18050</v>
      </c>
    </row>
    <row r="946" spans="13:13" ht="15.75" customHeight="1" x14ac:dyDescent="0.4">
      <c r="M946" s="10">
        <v>15143</v>
      </c>
    </row>
    <row r="947" spans="13:13" ht="15.75" customHeight="1" x14ac:dyDescent="0.4">
      <c r="M947" s="10">
        <v>15143</v>
      </c>
    </row>
    <row r="948" spans="13:13" ht="15.75" customHeight="1" x14ac:dyDescent="0.4">
      <c r="M948" s="10">
        <v>17919</v>
      </c>
    </row>
    <row r="949" spans="13:13" ht="15.75" customHeight="1" x14ac:dyDescent="0.4">
      <c r="M949" s="10">
        <v>17919</v>
      </c>
    </row>
    <row r="950" spans="13:13" ht="15.75" customHeight="1" x14ac:dyDescent="0.4">
      <c r="M950" s="10">
        <v>18825</v>
      </c>
    </row>
    <row r="951" spans="13:13" ht="15.75" customHeight="1" x14ac:dyDescent="0.4">
      <c r="M951" s="10">
        <v>18825</v>
      </c>
    </row>
    <row r="952" spans="13:13" ht="15.75" customHeight="1" x14ac:dyDescent="0.4">
      <c r="M952" s="10">
        <v>13866</v>
      </c>
    </row>
    <row r="953" spans="13:13" ht="15.75" customHeight="1" x14ac:dyDescent="0.4">
      <c r="M953" s="10">
        <v>13866</v>
      </c>
    </row>
    <row r="954" spans="13:13" ht="15.75" customHeight="1" x14ac:dyDescent="0.4">
      <c r="M954" s="10">
        <v>14530</v>
      </c>
    </row>
    <row r="955" spans="13:13" ht="15.75" customHeight="1" x14ac:dyDescent="0.4">
      <c r="M955" s="10">
        <v>14530</v>
      </c>
    </row>
    <row r="956" spans="13:13" ht="15.75" customHeight="1" x14ac:dyDescent="0.4">
      <c r="M956" s="10">
        <v>18941</v>
      </c>
    </row>
    <row r="957" spans="13:13" ht="15.75" customHeight="1" x14ac:dyDescent="0.4">
      <c r="M957" s="10">
        <v>18941</v>
      </c>
    </row>
    <row r="958" spans="13:13" ht="15.75" customHeight="1" x14ac:dyDescent="0.4">
      <c r="M958" s="10">
        <v>18548</v>
      </c>
    </row>
    <row r="959" spans="13:13" ht="15.75" customHeight="1" x14ac:dyDescent="0.4">
      <c r="M959" s="10">
        <v>18548</v>
      </c>
    </row>
    <row r="960" spans="13:13" ht="15.75" customHeight="1" x14ac:dyDescent="0.4">
      <c r="M960" s="10">
        <v>18548</v>
      </c>
    </row>
    <row r="961" spans="13:13" ht="15.75" customHeight="1" x14ac:dyDescent="0.4">
      <c r="M961" s="10">
        <v>18548</v>
      </c>
    </row>
    <row r="962" spans="13:13" ht="15.75" customHeight="1" x14ac:dyDescent="0.4">
      <c r="M962" s="11"/>
    </row>
    <row r="963" spans="13:13" ht="15.75" customHeight="1" x14ac:dyDescent="0.4">
      <c r="M963" s="10">
        <v>18941</v>
      </c>
    </row>
    <row r="964" spans="13:13" ht="15.75" customHeight="1" x14ac:dyDescent="0.4">
      <c r="M964" s="10">
        <v>18941</v>
      </c>
    </row>
    <row r="965" spans="13:13" ht="15.75" customHeight="1" x14ac:dyDescent="0.4">
      <c r="M965" s="10">
        <v>18050</v>
      </c>
    </row>
    <row r="966" spans="13:13" ht="15.75" customHeight="1" x14ac:dyDescent="0.4">
      <c r="M966" s="10">
        <v>18050</v>
      </c>
    </row>
    <row r="967" spans="13:13" ht="15.75" customHeight="1" x14ac:dyDescent="0.4">
      <c r="M967" s="10">
        <v>17879</v>
      </c>
    </row>
    <row r="968" spans="13:13" ht="15.75" customHeight="1" x14ac:dyDescent="0.4">
      <c r="M968" s="10">
        <v>17879</v>
      </c>
    </row>
    <row r="969" spans="13:13" ht="15.75" customHeight="1" x14ac:dyDescent="0.4">
      <c r="M969" s="10">
        <v>15143</v>
      </c>
    </row>
    <row r="970" spans="13:13" ht="15.75" customHeight="1" x14ac:dyDescent="0.4">
      <c r="M970" s="10">
        <v>15143</v>
      </c>
    </row>
    <row r="971" spans="13:13" ht="15.75" customHeight="1" x14ac:dyDescent="0.4">
      <c r="M971" s="10">
        <v>18825</v>
      </c>
    </row>
    <row r="972" spans="13:13" ht="15.75" customHeight="1" x14ac:dyDescent="0.4">
      <c r="M972" s="10">
        <v>18825</v>
      </c>
    </row>
    <row r="973" spans="13:13" ht="15.75" customHeight="1" x14ac:dyDescent="0.4">
      <c r="M973" s="10">
        <v>15019</v>
      </c>
    </row>
    <row r="974" spans="13:13" ht="15.75" customHeight="1" x14ac:dyDescent="0.4">
      <c r="M974" s="10">
        <v>15019</v>
      </c>
    </row>
    <row r="975" spans="13:13" ht="15.75" customHeight="1" x14ac:dyDescent="0.4">
      <c r="M975" s="10">
        <v>17879</v>
      </c>
    </row>
    <row r="976" spans="13:13" ht="15.75" customHeight="1" x14ac:dyDescent="0.4">
      <c r="M976" s="10">
        <v>18941</v>
      </c>
    </row>
    <row r="977" spans="13:13" ht="15.75" customHeight="1" x14ac:dyDescent="0.4">
      <c r="M977" s="10">
        <v>18941</v>
      </c>
    </row>
    <row r="978" spans="13:13" ht="15.75" customHeight="1" x14ac:dyDescent="0.4">
      <c r="M978" s="10">
        <v>18825</v>
      </c>
    </row>
    <row r="979" spans="13:13" ht="15.75" customHeight="1" x14ac:dyDescent="0.4">
      <c r="M979" s="10">
        <v>18825</v>
      </c>
    </row>
    <row r="980" spans="13:13" ht="15.75" customHeight="1" x14ac:dyDescent="0.4">
      <c r="M980" s="10">
        <v>18825</v>
      </c>
    </row>
    <row r="981" spans="13:13" ht="15.75" customHeight="1" x14ac:dyDescent="0.4">
      <c r="M981" s="10">
        <v>18825</v>
      </c>
    </row>
    <row r="982" spans="13:13" ht="15.75" customHeight="1" x14ac:dyDescent="0.4">
      <c r="M982" s="10">
        <v>13866</v>
      </c>
    </row>
    <row r="983" spans="13:13" ht="15.75" customHeight="1" x14ac:dyDescent="0.4">
      <c r="M983" s="10">
        <v>13866</v>
      </c>
    </row>
    <row r="984" spans="13:13" ht="15.75" customHeight="1" x14ac:dyDescent="0.4">
      <c r="M984" s="10">
        <v>14530</v>
      </c>
    </row>
    <row r="985" spans="13:13" ht="15.75" customHeight="1" x14ac:dyDescent="0.4">
      <c r="M985" s="10">
        <v>14530</v>
      </c>
    </row>
    <row r="986" spans="13:13" ht="15.75" customHeight="1" x14ac:dyDescent="0.4">
      <c r="M986" s="10">
        <v>14530</v>
      </c>
    </row>
    <row r="987" spans="13:13" ht="15.75" customHeight="1" x14ac:dyDescent="0.4">
      <c r="M987" s="10">
        <v>14530</v>
      </c>
    </row>
    <row r="988" spans="13:13" ht="15.75" customHeight="1" x14ac:dyDescent="0.4">
      <c r="M988" s="10">
        <v>14530</v>
      </c>
    </row>
    <row r="989" spans="13:13" ht="15.75" customHeight="1" x14ac:dyDescent="0.4">
      <c r="M989" s="10">
        <v>14530</v>
      </c>
    </row>
    <row r="990" spans="13:13" ht="15.75" customHeight="1" x14ac:dyDescent="0.4">
      <c r="M990" s="10">
        <v>18825</v>
      </c>
    </row>
    <row r="991" spans="13:13" ht="15.75" customHeight="1" x14ac:dyDescent="0.4">
      <c r="M991" s="10">
        <v>18825</v>
      </c>
    </row>
    <row r="992" spans="13:13" ht="15.75" customHeight="1" x14ac:dyDescent="0.4">
      <c r="M992" s="10">
        <v>18473</v>
      </c>
    </row>
    <row r="993" spans="13:13" ht="15.75" customHeight="1" x14ac:dyDescent="0.4">
      <c r="M993" s="10">
        <v>15019</v>
      </c>
    </row>
    <row r="994" spans="13:13" ht="15.75" customHeight="1" x14ac:dyDescent="0.4">
      <c r="M994" s="10">
        <v>15019</v>
      </c>
    </row>
    <row r="995" spans="13:13" ht="15.75" customHeight="1" x14ac:dyDescent="0.4">
      <c r="M995" s="10">
        <v>17879</v>
      </c>
    </row>
    <row r="996" spans="13:13" ht="15.75" customHeight="1" x14ac:dyDescent="0.4">
      <c r="M996" s="10">
        <v>17879</v>
      </c>
    </row>
    <row r="997" spans="13:13" ht="15.75" customHeight="1" x14ac:dyDescent="0.4">
      <c r="M997" s="10">
        <v>13866</v>
      </c>
    </row>
    <row r="998" spans="13:13" ht="15.75" customHeight="1" x14ac:dyDescent="0.4">
      <c r="M998" s="10">
        <v>13866</v>
      </c>
    </row>
    <row r="999" spans="13:13" ht="15.75" customHeight="1" x14ac:dyDescent="0.4">
      <c r="M999" s="10">
        <v>18825</v>
      </c>
    </row>
    <row r="1000" spans="13:13" ht="15.75" customHeight="1" x14ac:dyDescent="0.4">
      <c r="M1000" s="11"/>
    </row>
    <row r="1001" spans="13:13" ht="15.75" customHeight="1" x14ac:dyDescent="0.4">
      <c r="M1001" s="10">
        <v>17649</v>
      </c>
    </row>
    <row r="1002" spans="13:13" ht="15.75" customHeight="1" x14ac:dyDescent="0.4">
      <c r="M1002" s="10">
        <v>17649</v>
      </c>
    </row>
    <row r="1003" spans="13:13" ht="15.75" customHeight="1" x14ac:dyDescent="0.4">
      <c r="M1003" s="10">
        <v>17649</v>
      </c>
    </row>
    <row r="1004" spans="13:13" ht="15.75" customHeight="1" x14ac:dyDescent="0.4">
      <c r="M1004" s="10">
        <v>17649</v>
      </c>
    </row>
    <row r="1005" spans="13:13" ht="15.75" customHeight="1" x14ac:dyDescent="0.4">
      <c r="M1005" s="10">
        <v>14530</v>
      </c>
    </row>
    <row r="1006" spans="13:13" ht="15.75" customHeight="1" x14ac:dyDescent="0.4">
      <c r="M1006" s="10">
        <v>14530</v>
      </c>
    </row>
    <row r="1007" spans="13:13" ht="15.75" customHeight="1" x14ac:dyDescent="0.4">
      <c r="M1007" s="10">
        <v>15143</v>
      </c>
    </row>
    <row r="1008" spans="13:13" ht="15.75" customHeight="1" x14ac:dyDescent="0.4">
      <c r="M1008" s="10">
        <v>15143</v>
      </c>
    </row>
    <row r="1009" spans="13:13" ht="15.75" customHeight="1" x14ac:dyDescent="0.4">
      <c r="M1009" s="10">
        <v>18941</v>
      </c>
    </row>
    <row r="1010" spans="13:13" ht="15.75" customHeight="1" x14ac:dyDescent="0.4">
      <c r="M1010" s="10">
        <v>18941</v>
      </c>
    </row>
    <row r="1011" spans="13:13" ht="15.75" customHeight="1" x14ac:dyDescent="0.4">
      <c r="M1011" s="10">
        <v>18941</v>
      </c>
    </row>
    <row r="1012" spans="13:13" ht="15.75" customHeight="1" x14ac:dyDescent="0.4">
      <c r="M1012" s="10">
        <v>18941</v>
      </c>
    </row>
    <row r="1013" spans="13:13" ht="15.75" customHeight="1" x14ac:dyDescent="0.4">
      <c r="M1013" s="10">
        <v>17919</v>
      </c>
    </row>
    <row r="1014" spans="13:13" ht="15.75" customHeight="1" x14ac:dyDescent="0.4">
      <c r="M1014" s="10">
        <v>17919</v>
      </c>
    </row>
    <row r="1015" spans="13:13" ht="15.75" customHeight="1" x14ac:dyDescent="0.4">
      <c r="M1015" s="10">
        <v>15019</v>
      </c>
    </row>
    <row r="1016" spans="13:13" ht="15.75" customHeight="1" x14ac:dyDescent="0.4">
      <c r="M1016" s="10">
        <v>15019</v>
      </c>
    </row>
    <row r="1017" spans="13:13" ht="15.75" customHeight="1" x14ac:dyDescent="0.4">
      <c r="M1017" s="10">
        <v>17649</v>
      </c>
    </row>
    <row r="1018" spans="13:13" ht="15.75" customHeight="1" x14ac:dyDescent="0.4">
      <c r="M1018" s="10">
        <v>17649</v>
      </c>
    </row>
    <row r="1019" spans="13:13" ht="15.75" customHeight="1" x14ac:dyDescent="0.4">
      <c r="M1019" s="10">
        <v>18473</v>
      </c>
    </row>
    <row r="1020" spans="13:13" ht="15.75" customHeight="1" x14ac:dyDescent="0.4">
      <c r="M1020" s="10">
        <v>17649</v>
      </c>
    </row>
    <row r="1021" spans="13:13" ht="15.75" customHeight="1" x14ac:dyDescent="0.4">
      <c r="M1021" s="10">
        <v>17649</v>
      </c>
    </row>
    <row r="1022" spans="13:13" ht="15.75" customHeight="1" x14ac:dyDescent="0.4">
      <c r="M1022" s="10">
        <v>18548</v>
      </c>
    </row>
    <row r="1023" spans="13:13" ht="15.75" customHeight="1" x14ac:dyDescent="0.4">
      <c r="M1023" s="10">
        <v>18825</v>
      </c>
    </row>
    <row r="1024" spans="13:13" ht="15.75" customHeight="1" x14ac:dyDescent="0.4">
      <c r="M1024" s="10">
        <v>18825</v>
      </c>
    </row>
    <row r="1025" spans="13:13" ht="15.75" customHeight="1" x14ac:dyDescent="0.4">
      <c r="M1025" s="10">
        <v>15019</v>
      </c>
    </row>
    <row r="1026" spans="13:13" ht="15.75" customHeight="1" x14ac:dyDescent="0.4">
      <c r="M1026" s="10">
        <v>15143</v>
      </c>
    </row>
    <row r="1027" spans="13:13" ht="15.75" customHeight="1" x14ac:dyDescent="0.4">
      <c r="M1027" s="10">
        <v>15143</v>
      </c>
    </row>
    <row r="1028" spans="13:13" ht="15.75" customHeight="1" x14ac:dyDescent="0.4">
      <c r="M1028" s="10">
        <v>17649</v>
      </c>
    </row>
    <row r="1029" spans="13:13" ht="15.75" customHeight="1" x14ac:dyDescent="0.4">
      <c r="M1029" s="10">
        <v>17649</v>
      </c>
    </row>
    <row r="1030" spans="13:13" ht="15.75" customHeight="1" x14ac:dyDescent="0.4">
      <c r="M1030" s="10">
        <v>18548</v>
      </c>
    </row>
    <row r="1031" spans="13:13" ht="15.75" customHeight="1" x14ac:dyDescent="0.4">
      <c r="M1031" s="10">
        <v>18548</v>
      </c>
    </row>
    <row r="1032" spans="13:13" ht="15.75" customHeight="1" x14ac:dyDescent="0.4">
      <c r="M1032" s="10">
        <v>18050</v>
      </c>
    </row>
    <row r="1033" spans="13:13" ht="15.75" customHeight="1" x14ac:dyDescent="0.4">
      <c r="M1033" s="10">
        <v>18050</v>
      </c>
    </row>
    <row r="1034" spans="13:13" ht="15.75" customHeight="1" x14ac:dyDescent="0.4">
      <c r="M1034" s="10">
        <v>18050</v>
      </c>
    </row>
    <row r="1035" spans="13:13" ht="15.75" customHeight="1" x14ac:dyDescent="0.4">
      <c r="M1035" s="10">
        <v>18050</v>
      </c>
    </row>
    <row r="1036" spans="13:13" ht="15.75" customHeight="1" x14ac:dyDescent="0.4">
      <c r="M1036" s="10">
        <v>18825</v>
      </c>
    </row>
    <row r="1037" spans="13:13" ht="15.75" customHeight="1" x14ac:dyDescent="0.4">
      <c r="M1037" s="10">
        <v>18825</v>
      </c>
    </row>
    <row r="1038" spans="13:13" ht="15.75" customHeight="1" x14ac:dyDescent="0.4">
      <c r="M1038" s="10">
        <v>13866</v>
      </c>
    </row>
    <row r="1039" spans="13:13" ht="15.75" customHeight="1" x14ac:dyDescent="0.4">
      <c r="M1039" s="10">
        <v>13866</v>
      </c>
    </row>
    <row r="1040" spans="13:13" ht="15.75" customHeight="1" x14ac:dyDescent="0.4">
      <c r="M1040" s="10">
        <v>17649</v>
      </c>
    </row>
    <row r="1041" spans="13:13" ht="15.75" customHeight="1" x14ac:dyDescent="0.4">
      <c r="M1041" s="10">
        <v>17649</v>
      </c>
    </row>
    <row r="1042" spans="13:13" ht="15.75" customHeight="1" x14ac:dyDescent="0.4">
      <c r="M1042" s="10">
        <v>18941</v>
      </c>
    </row>
    <row r="1043" spans="13:13" ht="15.75" customHeight="1" x14ac:dyDescent="0.4">
      <c r="M1043" s="10">
        <v>18941</v>
      </c>
    </row>
    <row r="1044" spans="13:13" ht="15.75" customHeight="1" x14ac:dyDescent="0.4">
      <c r="M1044" s="10">
        <v>18050</v>
      </c>
    </row>
    <row r="1045" spans="13:13" ht="15.75" customHeight="1" x14ac:dyDescent="0.4">
      <c r="M1045" s="10">
        <v>18050</v>
      </c>
    </row>
    <row r="1046" spans="13:13" ht="15.75" customHeight="1" x14ac:dyDescent="0.4">
      <c r="M1046" s="10">
        <v>18825</v>
      </c>
    </row>
    <row r="1047" spans="13:13" ht="15.75" customHeight="1" x14ac:dyDescent="0.4">
      <c r="M1047" s="10">
        <v>18825</v>
      </c>
    </row>
    <row r="1048" spans="13:13" ht="15.75" customHeight="1" x14ac:dyDescent="0.4">
      <c r="M1048" s="10">
        <v>18548</v>
      </c>
    </row>
    <row r="1049" spans="13:13" ht="15.75" customHeight="1" x14ac:dyDescent="0.4">
      <c r="M1049" s="10">
        <v>18548</v>
      </c>
    </row>
    <row r="1050" spans="13:13" ht="15.75" customHeight="1" x14ac:dyDescent="0.4">
      <c r="M1050" s="10">
        <v>17879</v>
      </c>
    </row>
    <row r="1051" spans="13:13" ht="15.75" customHeight="1" x14ac:dyDescent="0.4">
      <c r="M1051" s="10">
        <v>17879</v>
      </c>
    </row>
    <row r="1052" spans="13:13" ht="15.75" customHeight="1" x14ac:dyDescent="0.4">
      <c r="M1052" s="10">
        <v>18050</v>
      </c>
    </row>
    <row r="1053" spans="13:13" ht="15.75" customHeight="1" x14ac:dyDescent="0.4">
      <c r="M1053" s="10">
        <v>18050</v>
      </c>
    </row>
    <row r="1054" spans="13:13" ht="15.75" customHeight="1" x14ac:dyDescent="0.4">
      <c r="M1054" s="10">
        <v>18825</v>
      </c>
    </row>
    <row r="1055" spans="13:13" ht="15.75" customHeight="1" x14ac:dyDescent="0.4">
      <c r="M1055" s="10">
        <v>18825</v>
      </c>
    </row>
    <row r="1056" spans="13:13" ht="15.75" customHeight="1" x14ac:dyDescent="0.4">
      <c r="M1056" s="10">
        <v>15143</v>
      </c>
    </row>
    <row r="1057" spans="13:13" ht="15.75" customHeight="1" x14ac:dyDescent="0.4">
      <c r="M1057" s="10">
        <v>15143</v>
      </c>
    </row>
    <row r="1058" spans="13:13" ht="15.75" customHeight="1" x14ac:dyDescent="0.4">
      <c r="M1058" s="10">
        <v>18825</v>
      </c>
    </row>
    <row r="1059" spans="13:13" ht="15.75" customHeight="1" x14ac:dyDescent="0.4">
      <c r="M1059" s="10">
        <v>18825</v>
      </c>
    </row>
    <row r="1060" spans="13:13" ht="15.75" customHeight="1" x14ac:dyDescent="0.4">
      <c r="M1060" s="10">
        <v>18825</v>
      </c>
    </row>
    <row r="1061" spans="13:13" ht="15.75" customHeight="1" x14ac:dyDescent="0.4">
      <c r="M1061" s="10">
        <v>18825</v>
      </c>
    </row>
    <row r="1062" spans="13:13" ht="15.75" customHeight="1" x14ac:dyDescent="0.4">
      <c r="M1062" s="10">
        <v>15143</v>
      </c>
    </row>
    <row r="1063" spans="13:13" ht="15.75" customHeight="1" x14ac:dyDescent="0.4">
      <c r="M1063" s="10">
        <v>15143</v>
      </c>
    </row>
    <row r="1064" spans="13:13" ht="15.75" customHeight="1" x14ac:dyDescent="0.4">
      <c r="M1064" s="10">
        <v>15143</v>
      </c>
    </row>
    <row r="1065" spans="13:13" ht="15.75" customHeight="1" x14ac:dyDescent="0.4">
      <c r="M1065" s="10">
        <v>18941</v>
      </c>
    </row>
    <row r="1066" spans="13:13" ht="15.75" customHeight="1" x14ac:dyDescent="0.4">
      <c r="M1066" s="10">
        <v>18941</v>
      </c>
    </row>
    <row r="1067" spans="13:13" ht="15.75" customHeight="1" x14ac:dyDescent="0.4">
      <c r="M1067" s="10">
        <v>15019</v>
      </c>
    </row>
    <row r="1068" spans="13:13" ht="15.75" customHeight="1" x14ac:dyDescent="0.4">
      <c r="M1068" s="10">
        <v>15019</v>
      </c>
    </row>
    <row r="1069" spans="13:13" ht="15.75" customHeight="1" x14ac:dyDescent="0.4">
      <c r="M1069" s="10">
        <v>18941</v>
      </c>
    </row>
    <row r="1070" spans="13:13" ht="15.75" customHeight="1" x14ac:dyDescent="0.4">
      <c r="M1070" s="10">
        <v>18941</v>
      </c>
    </row>
    <row r="1071" spans="13:13" ht="15.75" customHeight="1" x14ac:dyDescent="0.4">
      <c r="M1071" s="10">
        <v>18548</v>
      </c>
    </row>
    <row r="1072" spans="13:13" ht="15.75" customHeight="1" x14ac:dyDescent="0.4">
      <c r="M1072" s="10">
        <v>18548</v>
      </c>
    </row>
    <row r="1073" spans="13:13" ht="15.75" customHeight="1" x14ac:dyDescent="0.4">
      <c r="M1073" s="10">
        <v>18050</v>
      </c>
    </row>
    <row r="1074" spans="13:13" ht="15.75" customHeight="1" x14ac:dyDescent="0.4">
      <c r="M1074" s="10">
        <v>18050</v>
      </c>
    </row>
    <row r="1075" spans="13:13" ht="15.75" customHeight="1" x14ac:dyDescent="0.4">
      <c r="M1075" s="10">
        <v>17879</v>
      </c>
    </row>
    <row r="1076" spans="13:13" ht="15.75" customHeight="1" x14ac:dyDescent="0.4">
      <c r="M1076" s="10">
        <v>17879</v>
      </c>
    </row>
    <row r="1077" spans="13:13" ht="15.75" customHeight="1" x14ac:dyDescent="0.4">
      <c r="M1077" s="10">
        <v>15143</v>
      </c>
    </row>
    <row r="1078" spans="13:13" ht="15.75" customHeight="1" x14ac:dyDescent="0.4">
      <c r="M1078" s="10">
        <v>15143</v>
      </c>
    </row>
    <row r="1079" spans="13:13" ht="15.75" customHeight="1" x14ac:dyDescent="0.4">
      <c r="M1079" s="10">
        <v>17649</v>
      </c>
    </row>
    <row r="1080" spans="13:13" ht="15.75" customHeight="1" x14ac:dyDescent="0.4">
      <c r="M1080" s="10">
        <v>17649</v>
      </c>
    </row>
    <row r="1081" spans="13:13" ht="15.75" customHeight="1" x14ac:dyDescent="0.4">
      <c r="M1081" s="10">
        <v>14530</v>
      </c>
    </row>
    <row r="1082" spans="13:13" ht="15.75" customHeight="1" x14ac:dyDescent="0.4">
      <c r="M1082" s="10">
        <v>14530</v>
      </c>
    </row>
    <row r="1083" spans="13:13" ht="15.75" customHeight="1" x14ac:dyDescent="0.4">
      <c r="M1083" s="10">
        <v>18232</v>
      </c>
    </row>
    <row r="1084" spans="13:13" ht="15.75" customHeight="1" x14ac:dyDescent="0.4">
      <c r="M1084" s="10">
        <v>18232</v>
      </c>
    </row>
    <row r="1085" spans="13:13" ht="15.75" customHeight="1" x14ac:dyDescent="0.4">
      <c r="M1085" s="10">
        <v>14129</v>
      </c>
    </row>
    <row r="1086" spans="13:13" ht="15.75" customHeight="1" x14ac:dyDescent="0.4">
      <c r="M1086" s="10">
        <v>14129</v>
      </c>
    </row>
    <row r="1087" spans="13:13" ht="15.75" customHeight="1" x14ac:dyDescent="0.4">
      <c r="M1087" s="10">
        <v>10374</v>
      </c>
    </row>
    <row r="1088" spans="13:13" ht="15.75" customHeight="1" x14ac:dyDescent="0.4">
      <c r="M1088" s="10">
        <v>10374</v>
      </c>
    </row>
    <row r="1089" spans="13:13" ht="15.75" customHeight="1" x14ac:dyDescent="0.4">
      <c r="M1089" s="10">
        <v>11301</v>
      </c>
    </row>
    <row r="1090" spans="13:13" ht="15.75" customHeight="1" x14ac:dyDescent="0.4">
      <c r="M1090" s="10">
        <v>12216</v>
      </c>
    </row>
    <row r="1091" spans="13:13" ht="15.75" customHeight="1" x14ac:dyDescent="0.4">
      <c r="M1091" s="10">
        <v>12216</v>
      </c>
    </row>
    <row r="1092" spans="13:13" ht="15.75" customHeight="1" x14ac:dyDescent="0.4">
      <c r="M1092" s="10">
        <v>18695</v>
      </c>
    </row>
    <row r="1093" spans="13:13" ht="15.75" customHeight="1" x14ac:dyDescent="0.4">
      <c r="M1093" s="10">
        <v>18695</v>
      </c>
    </row>
    <row r="1094" spans="13:13" ht="15.75" customHeight="1" x14ac:dyDescent="0.4">
      <c r="M1094" s="10">
        <v>18030</v>
      </c>
    </row>
    <row r="1095" spans="13:13" ht="15.75" customHeight="1" x14ac:dyDescent="0.4">
      <c r="M1095" s="10">
        <v>18030</v>
      </c>
    </row>
    <row r="1096" spans="13:13" ht="15.75" customHeight="1" x14ac:dyDescent="0.4">
      <c r="M1096" s="10">
        <v>18030</v>
      </c>
    </row>
    <row r="1097" spans="13:13" ht="15.75" customHeight="1" x14ac:dyDescent="0.4">
      <c r="M1097" s="10">
        <v>18030</v>
      </c>
    </row>
    <row r="1098" spans="13:13" ht="15.75" customHeight="1" x14ac:dyDescent="0.4">
      <c r="M1098" s="10">
        <v>11301</v>
      </c>
    </row>
    <row r="1099" spans="13:13" ht="15.75" customHeight="1" x14ac:dyDescent="0.4">
      <c r="M1099" s="10">
        <v>11301</v>
      </c>
    </row>
    <row r="1100" spans="13:13" ht="15.75" customHeight="1" x14ac:dyDescent="0.4">
      <c r="M1100" s="10">
        <v>18695</v>
      </c>
    </row>
    <row r="1101" spans="13:13" ht="15.75" customHeight="1" x14ac:dyDescent="0.4">
      <c r="M1101" s="10">
        <v>18695</v>
      </c>
    </row>
    <row r="1102" spans="13:13" ht="15.75" customHeight="1" x14ac:dyDescent="0.4">
      <c r="M1102" s="10">
        <v>18232</v>
      </c>
    </row>
    <row r="1103" spans="13:13" ht="15.75" customHeight="1" x14ac:dyDescent="0.4">
      <c r="M1103" s="10">
        <v>18232</v>
      </c>
    </row>
    <row r="1104" spans="13:13" ht="15.75" customHeight="1" x14ac:dyDescent="0.4">
      <c r="M1104" s="10">
        <v>10374</v>
      </c>
    </row>
    <row r="1105" spans="13:13" ht="15.75" customHeight="1" x14ac:dyDescent="0.4">
      <c r="M1105" s="10">
        <v>10374</v>
      </c>
    </row>
    <row r="1106" spans="13:13" ht="15.75" customHeight="1" x14ac:dyDescent="0.4">
      <c r="M1106" s="10">
        <v>17400</v>
      </c>
    </row>
    <row r="1107" spans="13:13" ht="15.75" customHeight="1" x14ac:dyDescent="0.4">
      <c r="M1107" s="10">
        <v>17400</v>
      </c>
    </row>
    <row r="1108" spans="13:13" ht="15.75" customHeight="1" x14ac:dyDescent="0.4">
      <c r="M1108" s="10">
        <v>10374</v>
      </c>
    </row>
    <row r="1109" spans="13:13" ht="15.75" customHeight="1" x14ac:dyDescent="0.4">
      <c r="M1109" s="10">
        <v>10374</v>
      </c>
    </row>
    <row r="1110" spans="13:13" ht="15.75" customHeight="1" x14ac:dyDescent="0.4">
      <c r="M1110" s="10">
        <v>10374</v>
      </c>
    </row>
    <row r="1111" spans="13:13" ht="15.75" customHeight="1" x14ac:dyDescent="0.4">
      <c r="M1111" s="10">
        <v>10374</v>
      </c>
    </row>
    <row r="1112" spans="13:13" ht="15.75" customHeight="1" x14ac:dyDescent="0.4">
      <c r="M1112" s="10">
        <v>18030</v>
      </c>
    </row>
    <row r="1113" spans="13:13" ht="15.75" customHeight="1" x14ac:dyDescent="0.4">
      <c r="M1113" s="10">
        <v>18030</v>
      </c>
    </row>
    <row r="1114" spans="13:13" ht="15.75" customHeight="1" x14ac:dyDescent="0.4">
      <c r="M1114" s="10">
        <v>14129</v>
      </c>
    </row>
    <row r="1115" spans="13:13" ht="15.75" customHeight="1" x14ac:dyDescent="0.4">
      <c r="M1115" s="10">
        <v>14129</v>
      </c>
    </row>
    <row r="1116" spans="13:13" ht="15.75" customHeight="1" x14ac:dyDescent="0.4">
      <c r="M1116" s="10">
        <v>10374</v>
      </c>
    </row>
    <row r="1117" spans="13:13" ht="15.75" customHeight="1" x14ac:dyDescent="0.4">
      <c r="M1117" s="10">
        <v>10374</v>
      </c>
    </row>
    <row r="1118" spans="13:13" ht="15.75" customHeight="1" x14ac:dyDescent="0.4">
      <c r="M1118" s="10">
        <v>17400</v>
      </c>
    </row>
    <row r="1119" spans="13:13" ht="15.75" customHeight="1" x14ac:dyDescent="0.4">
      <c r="M1119" s="10">
        <v>17400</v>
      </c>
    </row>
    <row r="1120" spans="13:13" ht="15.75" customHeight="1" x14ac:dyDescent="0.4">
      <c r="M1120" s="10">
        <v>18541</v>
      </c>
    </row>
    <row r="1121" spans="13:13" ht="15.75" customHeight="1" x14ac:dyDescent="0.4">
      <c r="M1121" s="10">
        <v>18541</v>
      </c>
    </row>
    <row r="1122" spans="13:13" ht="15.75" customHeight="1" x14ac:dyDescent="0.4">
      <c r="M1122" s="10">
        <v>18846</v>
      </c>
    </row>
    <row r="1123" spans="13:13" ht="15.75" customHeight="1" x14ac:dyDescent="0.4">
      <c r="M1123" s="10">
        <v>18846</v>
      </c>
    </row>
    <row r="1124" spans="13:13" ht="15.75" customHeight="1" x14ac:dyDescent="0.4">
      <c r="M1124" s="10">
        <v>18846</v>
      </c>
    </row>
    <row r="1125" spans="13:13" ht="15.75" customHeight="1" x14ac:dyDescent="0.4">
      <c r="M1125" s="10">
        <v>18846</v>
      </c>
    </row>
    <row r="1126" spans="13:13" ht="15.75" customHeight="1" x14ac:dyDescent="0.4">
      <c r="M1126" s="10">
        <v>18846</v>
      </c>
    </row>
    <row r="1127" spans="13:13" ht="15.75" customHeight="1" x14ac:dyDescent="0.4">
      <c r="M1127" s="10">
        <v>18846</v>
      </c>
    </row>
    <row r="1128" spans="13:13" ht="15.75" customHeight="1" x14ac:dyDescent="0.4">
      <c r="M1128" s="10">
        <v>17400</v>
      </c>
    </row>
    <row r="1129" spans="13:13" ht="15.75" customHeight="1" x14ac:dyDescent="0.4">
      <c r="M1129" s="10">
        <v>17400</v>
      </c>
    </row>
    <row r="1130" spans="13:13" ht="15.75" customHeight="1" x14ac:dyDescent="0.4">
      <c r="M1130" s="10">
        <v>18232</v>
      </c>
    </row>
    <row r="1131" spans="13:13" ht="15.75" customHeight="1" x14ac:dyDescent="0.4">
      <c r="M1131" s="10">
        <v>18232</v>
      </c>
    </row>
    <row r="1132" spans="13:13" ht="15.75" customHeight="1" x14ac:dyDescent="0.4">
      <c r="M1132" s="10">
        <v>14129</v>
      </c>
    </row>
    <row r="1133" spans="13:13" ht="15.75" customHeight="1" x14ac:dyDescent="0.4">
      <c r="M1133" s="10">
        <v>14129</v>
      </c>
    </row>
    <row r="1134" spans="13:13" ht="15.75" customHeight="1" x14ac:dyDescent="0.4">
      <c r="M1134" s="10">
        <v>15553</v>
      </c>
    </row>
    <row r="1135" spans="13:13" ht="15.75" customHeight="1" x14ac:dyDescent="0.4">
      <c r="M1135" s="10">
        <v>15553</v>
      </c>
    </row>
    <row r="1136" spans="13:13" ht="15.75" customHeight="1" x14ac:dyDescent="0.4">
      <c r="M1136" s="10">
        <v>18232</v>
      </c>
    </row>
    <row r="1137" spans="13:13" ht="15.75" customHeight="1" x14ac:dyDescent="0.4">
      <c r="M1137" s="10">
        <v>18232</v>
      </c>
    </row>
    <row r="1138" spans="13:13" ht="15.75" customHeight="1" x14ac:dyDescent="0.4">
      <c r="M1138" s="10">
        <v>18846</v>
      </c>
    </row>
    <row r="1139" spans="13:13" ht="15.75" customHeight="1" x14ac:dyDescent="0.4">
      <c r="M1139" s="10">
        <v>18232</v>
      </c>
    </row>
    <row r="1140" spans="13:13" ht="15.75" customHeight="1" x14ac:dyDescent="0.4">
      <c r="M1140" s="10">
        <v>18232</v>
      </c>
    </row>
    <row r="1141" spans="13:13" ht="15.75" customHeight="1" x14ac:dyDescent="0.4">
      <c r="M1141" s="10">
        <v>18846</v>
      </c>
    </row>
    <row r="1142" spans="13:13" ht="15.75" customHeight="1" x14ac:dyDescent="0.4">
      <c r="M1142" s="10">
        <v>18846</v>
      </c>
    </row>
    <row r="1143" spans="13:13" ht="15.75" customHeight="1" x14ac:dyDescent="0.4">
      <c r="M1143" s="10">
        <v>18541</v>
      </c>
    </row>
    <row r="1144" spans="13:13" ht="15.75" customHeight="1" x14ac:dyDescent="0.4">
      <c r="M1144" s="10">
        <v>18541</v>
      </c>
    </row>
    <row r="1145" spans="13:13" ht="15.75" customHeight="1" x14ac:dyDescent="0.4">
      <c r="M1145" s="10">
        <v>11301</v>
      </c>
    </row>
    <row r="1146" spans="13:13" ht="15.75" customHeight="1" x14ac:dyDescent="0.4">
      <c r="M1146" s="10">
        <v>11301</v>
      </c>
    </row>
    <row r="1147" spans="13:13" ht="15.75" customHeight="1" x14ac:dyDescent="0.4">
      <c r="M1147" s="10">
        <v>18695</v>
      </c>
    </row>
    <row r="1148" spans="13:13" ht="15.75" customHeight="1" x14ac:dyDescent="0.4">
      <c r="M1148" s="10">
        <v>18695</v>
      </c>
    </row>
    <row r="1149" spans="13:13" ht="15.75" customHeight="1" x14ac:dyDescent="0.4">
      <c r="M1149" s="10">
        <v>17400</v>
      </c>
    </row>
    <row r="1150" spans="13:13" ht="15.75" customHeight="1" x14ac:dyDescent="0.4">
      <c r="M1150" s="10">
        <v>17400</v>
      </c>
    </row>
    <row r="1151" spans="13:13" ht="15.75" customHeight="1" x14ac:dyDescent="0.4">
      <c r="M1151" s="10">
        <v>11301</v>
      </c>
    </row>
    <row r="1152" spans="13:13" ht="15.75" customHeight="1" x14ac:dyDescent="0.4">
      <c r="M1152" s="10">
        <v>11301</v>
      </c>
    </row>
    <row r="1153" spans="13:13" ht="15.75" customHeight="1" x14ac:dyDescent="0.4">
      <c r="M1153" s="10">
        <v>15553</v>
      </c>
    </row>
    <row r="1154" spans="13:13" ht="15.75" customHeight="1" x14ac:dyDescent="0.4">
      <c r="M1154" s="10">
        <v>15553</v>
      </c>
    </row>
    <row r="1155" spans="13:13" ht="15.75" customHeight="1" x14ac:dyDescent="0.4">
      <c r="M1155" s="10">
        <v>12216</v>
      </c>
    </row>
    <row r="1156" spans="13:13" ht="15.75" customHeight="1" x14ac:dyDescent="0.4">
      <c r="M1156" s="10">
        <v>12216</v>
      </c>
    </row>
    <row r="1157" spans="13:13" ht="15.75" customHeight="1" x14ac:dyDescent="0.4">
      <c r="M1157" s="10">
        <v>18232</v>
      </c>
    </row>
    <row r="1158" spans="13:13" ht="15.75" customHeight="1" x14ac:dyDescent="0.4">
      <c r="M1158" s="10">
        <v>18232</v>
      </c>
    </row>
    <row r="1159" spans="13:13" ht="15.75" customHeight="1" x14ac:dyDescent="0.4">
      <c r="M1159" s="10">
        <v>17400</v>
      </c>
    </row>
    <row r="1160" spans="13:13" ht="15.75" customHeight="1" x14ac:dyDescent="0.4">
      <c r="M1160" s="10">
        <v>17400</v>
      </c>
    </row>
    <row r="1161" spans="13:13" ht="15.75" customHeight="1" x14ac:dyDescent="0.4">
      <c r="M1161" s="10">
        <v>18030</v>
      </c>
    </row>
    <row r="1162" spans="13:13" ht="15.75" customHeight="1" x14ac:dyDescent="0.4">
      <c r="M1162" s="10">
        <v>18030</v>
      </c>
    </row>
    <row r="1163" spans="13:13" ht="15.75" customHeight="1" x14ac:dyDescent="0.4">
      <c r="M1163" s="10">
        <v>14129</v>
      </c>
    </row>
    <row r="1164" spans="13:13" ht="15.75" customHeight="1" x14ac:dyDescent="0.4">
      <c r="M1164" s="10">
        <v>14129</v>
      </c>
    </row>
    <row r="1165" spans="13:13" ht="15.75" customHeight="1" x14ac:dyDescent="0.4">
      <c r="M1165" s="10">
        <v>12216</v>
      </c>
    </row>
    <row r="1166" spans="13:13" ht="15.75" customHeight="1" x14ac:dyDescent="0.4">
      <c r="M1166" s="10">
        <v>12216</v>
      </c>
    </row>
    <row r="1167" spans="13:13" ht="15.75" customHeight="1" x14ac:dyDescent="0.4">
      <c r="M1167" s="10">
        <v>18846</v>
      </c>
    </row>
    <row r="1168" spans="13:13" ht="15.75" customHeight="1" x14ac:dyDescent="0.4">
      <c r="M1168" s="10">
        <v>18846</v>
      </c>
    </row>
    <row r="1169" spans="13:13" ht="15.75" customHeight="1" x14ac:dyDescent="0.4">
      <c r="M1169" s="10">
        <v>18030</v>
      </c>
    </row>
    <row r="1170" spans="13:13" ht="15.75" customHeight="1" x14ac:dyDescent="0.4">
      <c r="M1170" s="10">
        <v>18030</v>
      </c>
    </row>
    <row r="1171" spans="13:13" ht="15.75" customHeight="1" x14ac:dyDescent="0.4">
      <c r="M1171" s="10">
        <v>14129</v>
      </c>
    </row>
    <row r="1172" spans="13:13" ht="15.75" customHeight="1" x14ac:dyDescent="0.4">
      <c r="M1172" s="10">
        <v>14129</v>
      </c>
    </row>
    <row r="1173" spans="13:13" ht="15.75" customHeight="1" x14ac:dyDescent="0.4">
      <c r="M1173" s="10">
        <v>10374</v>
      </c>
    </row>
    <row r="1174" spans="13:13" ht="15.75" customHeight="1" x14ac:dyDescent="0.4">
      <c r="M1174" s="11"/>
    </row>
    <row r="1175" spans="13:13" ht="15.75" customHeight="1" x14ac:dyDescent="0.4">
      <c r="M1175" s="11"/>
    </row>
    <row r="1176" spans="13:13" ht="15.75" customHeight="1" x14ac:dyDescent="0.4">
      <c r="M1176" s="10">
        <v>14129</v>
      </c>
    </row>
    <row r="1177" spans="13:13" ht="15.75" customHeight="1" x14ac:dyDescent="0.4">
      <c r="M1177" s="10">
        <v>14129</v>
      </c>
    </row>
    <row r="1178" spans="13:13" ht="15.75" customHeight="1" x14ac:dyDescent="0.4">
      <c r="M1178" s="10">
        <v>17400</v>
      </c>
    </row>
    <row r="1179" spans="13:13" ht="15.75" customHeight="1" x14ac:dyDescent="0.4">
      <c r="M1179" s="10">
        <v>17400</v>
      </c>
    </row>
    <row r="1180" spans="13:13" ht="15.75" customHeight="1" x14ac:dyDescent="0.4">
      <c r="M1180" s="10">
        <v>18030</v>
      </c>
    </row>
    <row r="1181" spans="13:13" ht="15.75" customHeight="1" x14ac:dyDescent="0.4">
      <c r="M1181" s="10">
        <v>18030</v>
      </c>
    </row>
    <row r="1182" spans="13:13" ht="15.75" customHeight="1" x14ac:dyDescent="0.4">
      <c r="M1182" s="10">
        <v>15553</v>
      </c>
    </row>
    <row r="1183" spans="13:13" ht="15.75" customHeight="1" x14ac:dyDescent="0.4">
      <c r="M1183" s="10">
        <v>15553</v>
      </c>
    </row>
    <row r="1184" spans="13:13" ht="15.75" customHeight="1" x14ac:dyDescent="0.4">
      <c r="M1184" s="10">
        <v>18695</v>
      </c>
    </row>
    <row r="1185" spans="13:13" ht="15.75" customHeight="1" x14ac:dyDescent="0.4">
      <c r="M1185" s="10">
        <v>18695</v>
      </c>
    </row>
    <row r="1186" spans="13:13" ht="15.75" customHeight="1" x14ac:dyDescent="0.4">
      <c r="M1186" s="10">
        <v>14129</v>
      </c>
    </row>
    <row r="1187" spans="13:13" ht="15.75" customHeight="1" x14ac:dyDescent="0.4">
      <c r="M1187" s="10">
        <v>14129</v>
      </c>
    </row>
    <row r="1188" spans="13:13" ht="15.75" customHeight="1" x14ac:dyDescent="0.4">
      <c r="M1188" s="10">
        <v>18232</v>
      </c>
    </row>
    <row r="1189" spans="13:13" ht="15.75" customHeight="1" x14ac:dyDescent="0.4">
      <c r="M1189" s="10">
        <v>18232</v>
      </c>
    </row>
    <row r="1190" spans="13:13" ht="15.75" customHeight="1" x14ac:dyDescent="0.4">
      <c r="M1190" s="10">
        <v>18846</v>
      </c>
    </row>
    <row r="1191" spans="13:13" ht="15.75" customHeight="1" x14ac:dyDescent="0.4">
      <c r="M1191" s="10">
        <v>18846</v>
      </c>
    </row>
    <row r="1192" spans="13:13" ht="15.75" customHeight="1" x14ac:dyDescent="0.4">
      <c r="M1192" s="10">
        <v>18695</v>
      </c>
    </row>
    <row r="1193" spans="13:13" ht="15.75" customHeight="1" x14ac:dyDescent="0.4">
      <c r="M1193" s="10">
        <v>18695</v>
      </c>
    </row>
    <row r="1194" spans="13:13" ht="15.75" customHeight="1" x14ac:dyDescent="0.4">
      <c r="M1194" s="10">
        <v>14129</v>
      </c>
    </row>
    <row r="1195" spans="13:13" ht="15.75" customHeight="1" x14ac:dyDescent="0.4">
      <c r="M1195" s="10">
        <v>14129</v>
      </c>
    </row>
    <row r="1196" spans="13:13" ht="15.75" customHeight="1" x14ac:dyDescent="0.4">
      <c r="M1196" s="10">
        <v>18232</v>
      </c>
    </row>
    <row r="1197" spans="13:13" ht="15.75" customHeight="1" x14ac:dyDescent="0.4">
      <c r="M1197" s="10">
        <v>18232</v>
      </c>
    </row>
    <row r="1198" spans="13:13" ht="15.75" customHeight="1" x14ac:dyDescent="0.4">
      <c r="M1198" s="10">
        <v>18232</v>
      </c>
    </row>
    <row r="1199" spans="13:13" ht="15.75" customHeight="1" x14ac:dyDescent="0.4">
      <c r="M1199" s="10">
        <v>18232</v>
      </c>
    </row>
    <row r="1200" spans="13:13" ht="15.75" customHeight="1" x14ac:dyDescent="0.4">
      <c r="M1200" s="10">
        <v>10374</v>
      </c>
    </row>
    <row r="1201" spans="13:13" ht="15.75" customHeight="1" x14ac:dyDescent="0.4">
      <c r="M1201" s="10">
        <v>10374</v>
      </c>
    </row>
    <row r="1202" spans="13:13" ht="15.75" customHeight="1" x14ac:dyDescent="0.4">
      <c r="M1202" s="10">
        <v>18232</v>
      </c>
    </row>
    <row r="1203" spans="13:13" ht="15.75" customHeight="1" x14ac:dyDescent="0.4">
      <c r="M1203" s="10">
        <v>18232</v>
      </c>
    </row>
    <row r="1204" spans="13:13" ht="15.75" customHeight="1" x14ac:dyDescent="0.4">
      <c r="M1204" s="10">
        <v>18030</v>
      </c>
    </row>
    <row r="1205" spans="13:13" ht="15.75" customHeight="1" x14ac:dyDescent="0.4">
      <c r="M1205" s="10">
        <v>18030</v>
      </c>
    </row>
    <row r="1206" spans="13:13" ht="15.75" customHeight="1" x14ac:dyDescent="0.4">
      <c r="M1206" s="10">
        <v>18695</v>
      </c>
    </row>
    <row r="1207" spans="13:13" ht="15.75" customHeight="1" x14ac:dyDescent="0.4">
      <c r="M1207" s="10">
        <v>18695</v>
      </c>
    </row>
    <row r="1208" spans="13:13" ht="15.75" customHeight="1" x14ac:dyDescent="0.4">
      <c r="M1208" s="10">
        <v>17400</v>
      </c>
    </row>
    <row r="1209" spans="13:13" ht="15.75" customHeight="1" x14ac:dyDescent="0.4">
      <c r="M1209" s="10">
        <v>17400</v>
      </c>
    </row>
    <row r="1210" spans="13:13" ht="15.75" customHeight="1" x14ac:dyDescent="0.4">
      <c r="M1210" s="10">
        <v>12216</v>
      </c>
    </row>
    <row r="1211" spans="13:13" ht="15.75" customHeight="1" x14ac:dyDescent="0.4">
      <c r="M1211" s="10">
        <v>12216</v>
      </c>
    </row>
    <row r="1212" spans="13:13" ht="15.75" customHeight="1" x14ac:dyDescent="0.4">
      <c r="M1212" s="10">
        <v>18846</v>
      </c>
    </row>
    <row r="1213" spans="13:13" ht="15.75" customHeight="1" x14ac:dyDescent="0.4">
      <c r="M1213" s="10">
        <v>18846</v>
      </c>
    </row>
    <row r="1214" spans="13:13" ht="15.75" customHeight="1" x14ac:dyDescent="0.4">
      <c r="M1214" s="10">
        <v>18846</v>
      </c>
    </row>
    <row r="1215" spans="13:13" ht="15.75" customHeight="1" x14ac:dyDescent="0.4">
      <c r="M1215" s="10">
        <v>18846</v>
      </c>
    </row>
    <row r="1216" spans="13:13" ht="15.75" customHeight="1" x14ac:dyDescent="0.4">
      <c r="M1216" s="10">
        <v>18541</v>
      </c>
    </row>
    <row r="1217" spans="13:13" ht="15.75" customHeight="1" x14ac:dyDescent="0.4">
      <c r="M1217" s="10">
        <v>18541</v>
      </c>
    </row>
    <row r="1218" spans="13:13" ht="15.75" customHeight="1" x14ac:dyDescent="0.4">
      <c r="M1218" s="10">
        <v>18846</v>
      </c>
    </row>
    <row r="1219" spans="13:13" ht="15.75" customHeight="1" x14ac:dyDescent="0.4">
      <c r="M1219" s="10">
        <v>18846</v>
      </c>
    </row>
    <row r="1220" spans="13:13" ht="15.75" customHeight="1" x14ac:dyDescent="0.4">
      <c r="M1220" s="10">
        <v>12216</v>
      </c>
    </row>
    <row r="1221" spans="13:13" ht="15.75" customHeight="1" x14ac:dyDescent="0.4">
      <c r="M1221" s="10">
        <v>12216</v>
      </c>
    </row>
    <row r="1222" spans="13:13" ht="15.75" customHeight="1" x14ac:dyDescent="0.4">
      <c r="M1222" s="11"/>
    </row>
    <row r="1223" spans="13:13" ht="15.75" customHeight="1" x14ac:dyDescent="0.4">
      <c r="M1223" s="10">
        <v>12216</v>
      </c>
    </row>
    <row r="1224" spans="13:13" ht="15.75" customHeight="1" x14ac:dyDescent="0.4">
      <c r="M1224" s="10">
        <v>12216</v>
      </c>
    </row>
    <row r="1225" spans="13:13" ht="15.75" customHeight="1" x14ac:dyDescent="0.4">
      <c r="M1225" s="10">
        <v>12216</v>
      </c>
    </row>
    <row r="1226" spans="13:13" ht="15.75" customHeight="1" x14ac:dyDescent="0.4">
      <c r="M1226" s="10">
        <v>12216</v>
      </c>
    </row>
    <row r="1227" spans="13:13" ht="15.75" customHeight="1" x14ac:dyDescent="0.4">
      <c r="M1227" s="10">
        <v>10374</v>
      </c>
    </row>
    <row r="1228" spans="13:13" ht="15.75" customHeight="1" x14ac:dyDescent="0.4">
      <c r="M1228" s="10">
        <v>10374</v>
      </c>
    </row>
    <row r="1229" spans="13:13" ht="15.75" customHeight="1" x14ac:dyDescent="0.4">
      <c r="M1229" s="10">
        <v>18541</v>
      </c>
    </row>
    <row r="1230" spans="13:13" ht="15.75" customHeight="1" x14ac:dyDescent="0.4">
      <c r="M1230" s="10">
        <v>18541</v>
      </c>
    </row>
    <row r="1231" spans="13:13" ht="15.75" customHeight="1" x14ac:dyDescent="0.4">
      <c r="M1231" s="10">
        <v>17400</v>
      </c>
    </row>
    <row r="1232" spans="13:13" ht="15.75" customHeight="1" x14ac:dyDescent="0.4">
      <c r="M1232" s="10">
        <v>18846</v>
      </c>
    </row>
    <row r="1233" spans="13:13" ht="15.75" customHeight="1" x14ac:dyDescent="0.4">
      <c r="M1233" s="10">
        <v>18846</v>
      </c>
    </row>
    <row r="1234" spans="13:13" ht="15.75" customHeight="1" x14ac:dyDescent="0.4">
      <c r="M1234" s="11"/>
    </row>
    <row r="1235" spans="13:13" ht="15.75" customHeight="1" x14ac:dyDescent="0.4">
      <c r="M1235" s="10">
        <v>17400</v>
      </c>
    </row>
    <row r="1236" spans="13:13" ht="15.75" customHeight="1" x14ac:dyDescent="0.4">
      <c r="M1236" s="10">
        <v>17400</v>
      </c>
    </row>
    <row r="1237" spans="13:13" ht="15.75" customHeight="1" x14ac:dyDescent="0.4">
      <c r="M1237" s="10">
        <v>11301</v>
      </c>
    </row>
    <row r="1238" spans="13:13" ht="15.75" customHeight="1" x14ac:dyDescent="0.4">
      <c r="M1238" s="10">
        <v>11301</v>
      </c>
    </row>
    <row r="1239" spans="13:13" ht="15.75" customHeight="1" x14ac:dyDescent="0.4">
      <c r="M1239" s="10">
        <v>14129</v>
      </c>
    </row>
    <row r="1240" spans="13:13" ht="15.75" customHeight="1" x14ac:dyDescent="0.4">
      <c r="M1240" s="10">
        <v>14129</v>
      </c>
    </row>
    <row r="1241" spans="13:13" ht="15.75" customHeight="1" x14ac:dyDescent="0.4">
      <c r="M1241" s="10">
        <v>17400</v>
      </c>
    </row>
    <row r="1242" spans="13:13" ht="15.75" customHeight="1" x14ac:dyDescent="0.4">
      <c r="M1242" s="10">
        <v>17400</v>
      </c>
    </row>
    <row r="1243" spans="13:13" ht="15.75" customHeight="1" x14ac:dyDescent="0.4">
      <c r="M1243" s="11"/>
    </row>
    <row r="1244" spans="13:13" ht="15.75" customHeight="1" x14ac:dyDescent="0.4">
      <c r="M1244" s="10">
        <v>10374</v>
      </c>
    </row>
    <row r="1245" spans="13:13" ht="15.75" customHeight="1" x14ac:dyDescent="0.4">
      <c r="M1245" s="10">
        <v>10374</v>
      </c>
    </row>
    <row r="1246" spans="13:13" ht="15.75" customHeight="1" x14ac:dyDescent="0.4">
      <c r="M1246" s="10">
        <v>18846</v>
      </c>
    </row>
    <row r="1247" spans="13:13" ht="15.75" customHeight="1" x14ac:dyDescent="0.4">
      <c r="M1247" s="10">
        <v>18846</v>
      </c>
    </row>
    <row r="1248" spans="13:13" ht="15.75" customHeight="1" x14ac:dyDescent="0.4">
      <c r="M1248" s="10">
        <v>18846</v>
      </c>
    </row>
    <row r="1249" spans="13:13" ht="15.75" customHeight="1" x14ac:dyDescent="0.4">
      <c r="M1249" s="10">
        <v>18695</v>
      </c>
    </row>
    <row r="1250" spans="13:13" ht="15.75" customHeight="1" x14ac:dyDescent="0.4">
      <c r="M1250" s="10">
        <v>18695</v>
      </c>
    </row>
    <row r="1251" spans="13:13" ht="15.75" customHeight="1" x14ac:dyDescent="0.4">
      <c r="M1251" s="10">
        <v>10374</v>
      </c>
    </row>
    <row r="1252" spans="13:13" ht="15.75" customHeight="1" x14ac:dyDescent="0.4">
      <c r="M1252" s="10">
        <v>10374</v>
      </c>
    </row>
    <row r="1253" spans="13:13" ht="15.75" customHeight="1" x14ac:dyDescent="0.4">
      <c r="M1253" s="10">
        <v>17400</v>
      </c>
    </row>
    <row r="1254" spans="13:13" ht="15.75" customHeight="1" x14ac:dyDescent="0.4">
      <c r="M1254" s="10">
        <v>17400</v>
      </c>
    </row>
    <row r="1255" spans="13:13" ht="15.75" customHeight="1" x14ac:dyDescent="0.4">
      <c r="M1255" s="10">
        <v>18695</v>
      </c>
    </row>
    <row r="1256" spans="13:13" ht="15.75" customHeight="1" x14ac:dyDescent="0.4">
      <c r="M1256" s="10">
        <v>18695</v>
      </c>
    </row>
    <row r="1257" spans="13:13" ht="15.75" customHeight="1" x14ac:dyDescent="0.4">
      <c r="M1257" s="10">
        <v>18030</v>
      </c>
    </row>
    <row r="1258" spans="13:13" ht="15.75" customHeight="1" x14ac:dyDescent="0.4">
      <c r="M1258" s="10">
        <v>18030</v>
      </c>
    </row>
    <row r="1259" spans="13:13" ht="15.75" customHeight="1" x14ac:dyDescent="0.4">
      <c r="M1259" s="10">
        <v>17400</v>
      </c>
    </row>
    <row r="1260" spans="13:13" ht="15.75" customHeight="1" x14ac:dyDescent="0.4">
      <c r="M1260" s="10">
        <v>17400</v>
      </c>
    </row>
    <row r="1261" spans="13:13" ht="15.75" customHeight="1" x14ac:dyDescent="0.4">
      <c r="M1261" s="10">
        <v>18541</v>
      </c>
    </row>
    <row r="1262" spans="13:13" ht="15.75" customHeight="1" x14ac:dyDescent="0.4">
      <c r="M1262" s="10">
        <v>18541</v>
      </c>
    </row>
    <row r="1263" spans="13:13" ht="15.75" customHeight="1" x14ac:dyDescent="0.4">
      <c r="M1263" s="10">
        <v>10374</v>
      </c>
    </row>
    <row r="1264" spans="13:13" ht="15.75" customHeight="1" x14ac:dyDescent="0.4">
      <c r="M1264" s="10">
        <v>10374</v>
      </c>
    </row>
    <row r="1265" spans="13:13" ht="15.75" customHeight="1" x14ac:dyDescent="0.4">
      <c r="M1265" s="10">
        <v>10374</v>
      </c>
    </row>
    <row r="1266" spans="13:13" ht="15.75" customHeight="1" x14ac:dyDescent="0.4">
      <c r="M1266" s="10">
        <v>10374</v>
      </c>
    </row>
    <row r="1267" spans="13:13" ht="15.75" customHeight="1" x14ac:dyDescent="0.4">
      <c r="M1267" s="10">
        <v>12216</v>
      </c>
    </row>
    <row r="1268" spans="13:13" ht="15.75" customHeight="1" x14ac:dyDescent="0.4">
      <c r="M1268" s="10">
        <v>12216</v>
      </c>
    </row>
    <row r="1269" spans="13:13" ht="15.75" customHeight="1" x14ac:dyDescent="0.4">
      <c r="M1269" s="10">
        <v>18030</v>
      </c>
    </row>
    <row r="1270" spans="13:13" ht="15.75" customHeight="1" x14ac:dyDescent="0.4">
      <c r="M1270" s="10">
        <v>18030</v>
      </c>
    </row>
    <row r="1271" spans="13:13" ht="15.75" customHeight="1" x14ac:dyDescent="0.4">
      <c r="M1271" s="10">
        <v>17400</v>
      </c>
    </row>
    <row r="1272" spans="13:13" ht="15.75" customHeight="1" x14ac:dyDescent="0.4">
      <c r="M1272" s="10">
        <v>17400</v>
      </c>
    </row>
    <row r="1273" spans="13:13" ht="15.75" customHeight="1" x14ac:dyDescent="0.4">
      <c r="M1273" s="10">
        <v>18030</v>
      </c>
    </row>
    <row r="1274" spans="13:13" ht="15.75" customHeight="1" x14ac:dyDescent="0.4">
      <c r="M1274" s="10">
        <v>18030</v>
      </c>
    </row>
    <row r="1275" spans="13:13" ht="15.75" customHeight="1" x14ac:dyDescent="0.4">
      <c r="M1275" s="10">
        <v>17400</v>
      </c>
    </row>
    <row r="1276" spans="13:13" ht="15.75" customHeight="1" x14ac:dyDescent="0.4">
      <c r="M1276" s="10">
        <v>17400</v>
      </c>
    </row>
    <row r="1277" spans="13:13" ht="15.75" customHeight="1" x14ac:dyDescent="0.4">
      <c r="M1277" s="10">
        <v>18695</v>
      </c>
    </row>
    <row r="1278" spans="13:13" ht="15.75" customHeight="1" x14ac:dyDescent="0.4">
      <c r="M1278" s="10">
        <v>18695</v>
      </c>
    </row>
    <row r="1279" spans="13:13" ht="15.75" customHeight="1" x14ac:dyDescent="0.4">
      <c r="M1279" s="10">
        <v>18695</v>
      </c>
    </row>
    <row r="1280" spans="13:13" ht="15.75" customHeight="1" x14ac:dyDescent="0.4">
      <c r="M1280" s="10">
        <v>18695</v>
      </c>
    </row>
    <row r="1281" spans="13:13" ht="15.75" customHeight="1" x14ac:dyDescent="0.4">
      <c r="M1281" s="10">
        <v>14129</v>
      </c>
    </row>
    <row r="1282" spans="13:13" ht="15.75" customHeight="1" x14ac:dyDescent="0.4">
      <c r="M1282" s="10">
        <v>14129</v>
      </c>
    </row>
    <row r="1283" spans="13:13" ht="15.75" customHeight="1" x14ac:dyDescent="0.4">
      <c r="M1283" s="10">
        <v>18695</v>
      </c>
    </row>
    <row r="1284" spans="13:13" ht="15.75" customHeight="1" x14ac:dyDescent="0.4">
      <c r="M1284" s="10">
        <v>18695</v>
      </c>
    </row>
    <row r="1285" spans="13:13" ht="15.75" customHeight="1" x14ac:dyDescent="0.4">
      <c r="M1285" s="10">
        <v>18232</v>
      </c>
    </row>
    <row r="1286" spans="13:13" ht="15.75" customHeight="1" x14ac:dyDescent="0.4">
      <c r="M1286" s="10">
        <v>18232</v>
      </c>
    </row>
    <row r="1287" spans="13:13" ht="15.75" customHeight="1" x14ac:dyDescent="0.4">
      <c r="M1287" s="10">
        <v>17400</v>
      </c>
    </row>
    <row r="1288" spans="13:13" ht="15.75" customHeight="1" x14ac:dyDescent="0.4">
      <c r="M1288" s="10">
        <v>10374</v>
      </c>
    </row>
    <row r="1289" spans="13:13" ht="15.75" customHeight="1" x14ac:dyDescent="0.4">
      <c r="M1289" s="10">
        <v>10374</v>
      </c>
    </row>
    <row r="1290" spans="13:13" ht="15.75" customHeight="1" x14ac:dyDescent="0.4">
      <c r="M1290" s="10">
        <v>18232</v>
      </c>
    </row>
    <row r="1291" spans="13:13" ht="15.75" customHeight="1" x14ac:dyDescent="0.4">
      <c r="M1291" s="10">
        <v>18232</v>
      </c>
    </row>
    <row r="1292" spans="13:13" ht="15.75" customHeight="1" x14ac:dyDescent="0.4">
      <c r="M1292" s="10">
        <v>12216</v>
      </c>
    </row>
    <row r="1293" spans="13:13" ht="15.75" customHeight="1" x14ac:dyDescent="0.4">
      <c r="M1293" s="10">
        <v>12216</v>
      </c>
    </row>
    <row r="1294" spans="13:13" ht="15.75" customHeight="1" x14ac:dyDescent="0.4">
      <c r="M1294" s="10">
        <v>18030</v>
      </c>
    </row>
    <row r="1295" spans="13:13" ht="15.75" customHeight="1" x14ac:dyDescent="0.4">
      <c r="M1295" s="10">
        <v>18030</v>
      </c>
    </row>
    <row r="1296" spans="13:13" ht="15.75" customHeight="1" x14ac:dyDescent="0.4">
      <c r="M1296" s="10">
        <v>18232</v>
      </c>
    </row>
    <row r="1297" spans="13:13" ht="15.75" customHeight="1" x14ac:dyDescent="0.4">
      <c r="M1297" s="10">
        <v>18232</v>
      </c>
    </row>
    <row r="1298" spans="13:13" ht="15.75" customHeight="1" x14ac:dyDescent="0.4">
      <c r="M1298" s="10">
        <v>18695</v>
      </c>
    </row>
    <row r="1299" spans="13:13" ht="15.75" customHeight="1" x14ac:dyDescent="0.4">
      <c r="M1299" s="10">
        <v>18695</v>
      </c>
    </row>
    <row r="1300" spans="13:13" ht="15.75" customHeight="1" x14ac:dyDescent="0.4">
      <c r="M1300" s="10">
        <v>17400</v>
      </c>
    </row>
    <row r="1301" spans="13:13" ht="15.75" customHeight="1" x14ac:dyDescent="0.4">
      <c r="M1301" s="10">
        <v>12216</v>
      </c>
    </row>
    <row r="1302" spans="13:13" ht="15.75" customHeight="1" x14ac:dyDescent="0.4">
      <c r="M1302" s="10">
        <v>12216</v>
      </c>
    </row>
    <row r="1303" spans="13:13" ht="15.75" customHeight="1" x14ac:dyDescent="0.4">
      <c r="M1303" s="10">
        <v>15553</v>
      </c>
    </row>
    <row r="1304" spans="13:13" ht="15.75" customHeight="1" x14ac:dyDescent="0.4">
      <c r="M1304" s="10">
        <v>15553</v>
      </c>
    </row>
    <row r="1305" spans="13:13" ht="15.75" customHeight="1" x14ac:dyDescent="0.4">
      <c r="M1305" s="10">
        <v>11301</v>
      </c>
    </row>
    <row r="1306" spans="13:13" ht="15.75" customHeight="1" x14ac:dyDescent="0.4">
      <c r="M1306" s="10">
        <v>11301</v>
      </c>
    </row>
    <row r="1307" spans="13:13" ht="15.75" customHeight="1" x14ac:dyDescent="0.4">
      <c r="M1307" s="10">
        <v>18695</v>
      </c>
    </row>
    <row r="1308" spans="13:13" ht="15.75" customHeight="1" x14ac:dyDescent="0.4">
      <c r="M1308" s="10">
        <v>18695</v>
      </c>
    </row>
    <row r="1309" spans="13:13" ht="15.75" customHeight="1" x14ac:dyDescent="0.4">
      <c r="M1309" s="10">
        <v>15553</v>
      </c>
    </row>
    <row r="1310" spans="13:13" ht="15.75" customHeight="1" x14ac:dyDescent="0.4">
      <c r="M1310" s="10">
        <v>15553</v>
      </c>
    </row>
    <row r="1311" spans="13:13" ht="15.75" customHeight="1" x14ac:dyDescent="0.4">
      <c r="M1311" s="10">
        <v>18030</v>
      </c>
    </row>
    <row r="1312" spans="13:13" ht="15.75" customHeight="1" x14ac:dyDescent="0.4">
      <c r="M1312" s="10">
        <v>18030</v>
      </c>
    </row>
    <row r="1313" spans="13:13" ht="15.75" customHeight="1" x14ac:dyDescent="0.4">
      <c r="M1313" s="10">
        <v>17400</v>
      </c>
    </row>
    <row r="1314" spans="13:13" ht="15.75" customHeight="1" x14ac:dyDescent="0.4">
      <c r="M1314" s="10">
        <v>17400</v>
      </c>
    </row>
    <row r="1315" spans="13:13" ht="15.75" customHeight="1" x14ac:dyDescent="0.4">
      <c r="M1315" s="10">
        <v>11301</v>
      </c>
    </row>
    <row r="1316" spans="13:13" ht="15.75" customHeight="1" x14ac:dyDescent="0.4">
      <c r="M1316" s="10">
        <v>11301</v>
      </c>
    </row>
    <row r="1317" spans="13:13" ht="15.75" customHeight="1" x14ac:dyDescent="0.4">
      <c r="M1317" s="10">
        <v>18695</v>
      </c>
    </row>
    <row r="1318" spans="13:13" ht="15.75" customHeight="1" x14ac:dyDescent="0.4">
      <c r="M1318" s="10">
        <v>18695</v>
      </c>
    </row>
    <row r="1319" spans="13:13" ht="15.75" customHeight="1" x14ac:dyDescent="0.4">
      <c r="M1319" s="10">
        <v>15553</v>
      </c>
    </row>
    <row r="1320" spans="13:13" ht="15.75" customHeight="1" x14ac:dyDescent="0.4">
      <c r="M1320" s="10">
        <v>15553</v>
      </c>
    </row>
    <row r="1321" spans="13:13" ht="15.75" customHeight="1" x14ac:dyDescent="0.4">
      <c r="M1321" s="10">
        <v>18030</v>
      </c>
    </row>
    <row r="1322" spans="13:13" ht="15.75" customHeight="1" x14ac:dyDescent="0.4">
      <c r="M1322" s="10">
        <v>18030</v>
      </c>
    </row>
    <row r="1323" spans="13:13" ht="15.75" customHeight="1" x14ac:dyDescent="0.4">
      <c r="M1323" s="10">
        <v>18232</v>
      </c>
    </row>
    <row r="1324" spans="13:13" ht="15.75" customHeight="1" x14ac:dyDescent="0.4">
      <c r="M1324" s="10">
        <v>18232</v>
      </c>
    </row>
    <row r="1325" spans="13:13" ht="15.75" customHeight="1" x14ac:dyDescent="0.4">
      <c r="M1325" s="11"/>
    </row>
    <row r="1326" spans="13:13" ht="15.75" customHeight="1" x14ac:dyDescent="0.4">
      <c r="M1326" s="11"/>
    </row>
    <row r="1327" spans="13:13" ht="15.75" customHeight="1" x14ac:dyDescent="0.4">
      <c r="M1327" s="10">
        <v>18232</v>
      </c>
    </row>
    <row r="1328" spans="13:13" ht="15.75" customHeight="1" x14ac:dyDescent="0.4">
      <c r="M1328" s="10">
        <v>18232</v>
      </c>
    </row>
    <row r="1329" spans="13:13" ht="15.75" customHeight="1" x14ac:dyDescent="0.4">
      <c r="M1329" s="10">
        <v>18030</v>
      </c>
    </row>
    <row r="1330" spans="13:13" ht="15.75" customHeight="1" x14ac:dyDescent="0.4">
      <c r="M1330" s="10">
        <v>18030</v>
      </c>
    </row>
    <row r="1331" spans="13:13" ht="15.75" customHeight="1" x14ac:dyDescent="0.4">
      <c r="M1331" s="10">
        <v>18846</v>
      </c>
    </row>
    <row r="1332" spans="13:13" ht="15.75" customHeight="1" x14ac:dyDescent="0.4">
      <c r="M1332" s="10">
        <v>18846</v>
      </c>
    </row>
    <row r="1333" spans="13:13" ht="15.75" customHeight="1" x14ac:dyDescent="0.4">
      <c r="M1333" s="10">
        <v>18846</v>
      </c>
    </row>
    <row r="1334" spans="13:13" ht="15.75" customHeight="1" x14ac:dyDescent="0.4">
      <c r="M1334" s="10">
        <v>18846</v>
      </c>
    </row>
    <row r="1335" spans="13:13" ht="15.75" customHeight="1" x14ac:dyDescent="0.4">
      <c r="M1335" s="10">
        <v>17400</v>
      </c>
    </row>
    <row r="1336" spans="13:13" ht="15.75" customHeight="1" x14ac:dyDescent="0.4">
      <c r="M1336" s="10">
        <v>17400</v>
      </c>
    </row>
    <row r="1337" spans="13:13" ht="15.75" customHeight="1" x14ac:dyDescent="0.4">
      <c r="M1337" s="10">
        <v>18846</v>
      </c>
    </row>
    <row r="1338" spans="13:13" ht="15.75" customHeight="1" x14ac:dyDescent="0.4">
      <c r="M1338" s="10">
        <v>18846</v>
      </c>
    </row>
    <row r="1339" spans="13:13" ht="15.75" customHeight="1" x14ac:dyDescent="0.4">
      <c r="M1339" s="10">
        <v>14129</v>
      </c>
    </row>
    <row r="1340" spans="13:13" ht="15.75" customHeight="1" x14ac:dyDescent="0.4">
      <c r="M1340" s="10">
        <v>14129</v>
      </c>
    </row>
    <row r="1341" spans="13:13" ht="15.75" customHeight="1" x14ac:dyDescent="0.4">
      <c r="M1341" s="10">
        <v>14129</v>
      </c>
    </row>
    <row r="1342" spans="13:13" ht="15.75" customHeight="1" x14ac:dyDescent="0.4">
      <c r="M1342" s="10">
        <v>14129</v>
      </c>
    </row>
    <row r="1343" spans="13:13" ht="15.75" customHeight="1" x14ac:dyDescent="0.4">
      <c r="M1343" s="10">
        <v>12216</v>
      </c>
    </row>
    <row r="1344" spans="13:13" ht="15.75" customHeight="1" x14ac:dyDescent="0.4">
      <c r="M1344" s="10">
        <v>12216</v>
      </c>
    </row>
    <row r="1345" spans="13:13" ht="15.75" customHeight="1" x14ac:dyDescent="0.4">
      <c r="M1345" s="10">
        <v>10374</v>
      </c>
    </row>
    <row r="1346" spans="13:13" ht="15.75" customHeight="1" x14ac:dyDescent="0.4">
      <c r="M1346" s="10">
        <v>11301</v>
      </c>
    </row>
    <row r="1347" spans="13:13" ht="15.75" customHeight="1" x14ac:dyDescent="0.4">
      <c r="M1347" s="10">
        <v>11301</v>
      </c>
    </row>
    <row r="1348" spans="13:13" ht="15.75" customHeight="1" x14ac:dyDescent="0.4">
      <c r="M1348" s="10">
        <v>17400</v>
      </c>
    </row>
    <row r="1349" spans="13:13" ht="15.75" customHeight="1" x14ac:dyDescent="0.4">
      <c r="M1349" s="10">
        <v>17400</v>
      </c>
    </row>
    <row r="1350" spans="13:13" ht="15.75" customHeight="1" x14ac:dyDescent="0.4">
      <c r="M1350" s="10">
        <v>18695</v>
      </c>
    </row>
    <row r="1351" spans="13:13" ht="15.75" customHeight="1" x14ac:dyDescent="0.4">
      <c r="M1351" s="10">
        <v>18695</v>
      </c>
    </row>
    <row r="1352" spans="13:13" ht="15.75" customHeight="1" x14ac:dyDescent="0.4">
      <c r="M1352" s="10">
        <v>12216</v>
      </c>
    </row>
    <row r="1353" spans="13:13" ht="15.75" customHeight="1" x14ac:dyDescent="0.4">
      <c r="M1353" s="10">
        <v>12216</v>
      </c>
    </row>
    <row r="1354" spans="13:13" ht="15.75" customHeight="1" x14ac:dyDescent="0.4">
      <c r="M1354" s="10">
        <v>18846</v>
      </c>
    </row>
    <row r="1355" spans="13:13" ht="15.75" customHeight="1" x14ac:dyDescent="0.4">
      <c r="M1355" s="10">
        <v>18846</v>
      </c>
    </row>
    <row r="1356" spans="13:13" ht="15.75" customHeight="1" x14ac:dyDescent="0.4">
      <c r="M1356" s="10">
        <v>18541</v>
      </c>
    </row>
    <row r="1357" spans="13:13" ht="15.75" customHeight="1" x14ac:dyDescent="0.4">
      <c r="M1357" s="10">
        <v>18541</v>
      </c>
    </row>
    <row r="1358" spans="13:13" ht="15.75" customHeight="1" x14ac:dyDescent="0.4">
      <c r="M1358" s="10">
        <v>18232</v>
      </c>
    </row>
    <row r="1359" spans="13:13" ht="15.75" customHeight="1" x14ac:dyDescent="0.4">
      <c r="M1359" s="10">
        <v>18232</v>
      </c>
    </row>
    <row r="1360" spans="13:13" ht="15.75" customHeight="1" x14ac:dyDescent="0.4">
      <c r="M1360" s="11"/>
    </row>
    <row r="1361" spans="13:13" ht="15.75" customHeight="1" x14ac:dyDescent="0.4">
      <c r="M1361" s="10">
        <v>17400</v>
      </c>
    </row>
    <row r="1362" spans="13:13" ht="15.75" customHeight="1" x14ac:dyDescent="0.4">
      <c r="M1362" s="10">
        <v>17400</v>
      </c>
    </row>
    <row r="1363" spans="13:13" ht="15.75" customHeight="1" x14ac:dyDescent="0.4">
      <c r="M1363" s="10">
        <v>18846</v>
      </c>
    </row>
    <row r="1364" spans="13:13" ht="15.75" customHeight="1" x14ac:dyDescent="0.4">
      <c r="M1364" s="10">
        <v>18846</v>
      </c>
    </row>
    <row r="1365" spans="13:13" ht="15.75" customHeight="1" x14ac:dyDescent="0.4">
      <c r="M1365" s="10">
        <v>14129</v>
      </c>
    </row>
    <row r="1366" spans="13:13" ht="15.75" customHeight="1" x14ac:dyDescent="0.4">
      <c r="M1366" s="10">
        <v>14129</v>
      </c>
    </row>
    <row r="1367" spans="13:13" ht="15.75" customHeight="1" x14ac:dyDescent="0.4">
      <c r="M1367" s="10">
        <v>14129</v>
      </c>
    </row>
    <row r="1368" spans="13:13" ht="15.75" customHeight="1" x14ac:dyDescent="0.4">
      <c r="M1368" s="10">
        <v>14129</v>
      </c>
    </row>
    <row r="1369" spans="13:13" ht="15.75" customHeight="1" x14ac:dyDescent="0.4">
      <c r="M1369" s="10">
        <v>14129</v>
      </c>
    </row>
    <row r="1370" spans="13:13" ht="15.75" customHeight="1" x14ac:dyDescent="0.4">
      <c r="M1370" s="10">
        <v>18695</v>
      </c>
    </row>
    <row r="1371" spans="13:13" ht="15.75" customHeight="1" x14ac:dyDescent="0.4">
      <c r="M1371" s="10">
        <v>18695</v>
      </c>
    </row>
    <row r="1372" spans="13:13" ht="15.75" customHeight="1" x14ac:dyDescent="0.4">
      <c r="M1372" s="10">
        <v>14129</v>
      </c>
    </row>
    <row r="1373" spans="13:13" ht="15.75" customHeight="1" x14ac:dyDescent="0.4">
      <c r="M1373" s="10">
        <v>14129</v>
      </c>
    </row>
    <row r="1374" spans="13:13" ht="15.75" customHeight="1" x14ac:dyDescent="0.4">
      <c r="M1374" s="10">
        <v>18232</v>
      </c>
    </row>
    <row r="1375" spans="13:13" ht="15.75" customHeight="1" x14ac:dyDescent="0.4">
      <c r="M1375" s="10">
        <v>18232</v>
      </c>
    </row>
    <row r="1376" spans="13:13" ht="15.75" customHeight="1" x14ac:dyDescent="0.4">
      <c r="M1376" s="10">
        <v>14129</v>
      </c>
    </row>
    <row r="1377" spans="13:13" ht="15.75" customHeight="1" x14ac:dyDescent="0.4">
      <c r="M1377" s="10">
        <v>14129</v>
      </c>
    </row>
    <row r="1378" spans="13:13" ht="15.75" customHeight="1" x14ac:dyDescent="0.4">
      <c r="M1378" s="10">
        <v>18846</v>
      </c>
    </row>
    <row r="1379" spans="13:13" ht="15.75" customHeight="1" x14ac:dyDescent="0.4">
      <c r="M1379" s="10">
        <v>18846</v>
      </c>
    </row>
    <row r="1380" spans="13:13" ht="15.75" customHeight="1" x14ac:dyDescent="0.4">
      <c r="M1380" s="10">
        <v>18846</v>
      </c>
    </row>
    <row r="1381" spans="13:13" ht="15.75" customHeight="1" x14ac:dyDescent="0.4">
      <c r="M1381" s="10">
        <v>18846</v>
      </c>
    </row>
    <row r="1382" spans="13:13" ht="15.75" customHeight="1" x14ac:dyDescent="0.4">
      <c r="M1382" s="10">
        <v>14129</v>
      </c>
    </row>
    <row r="1383" spans="13:13" ht="15.75" customHeight="1" x14ac:dyDescent="0.4">
      <c r="M1383" s="10">
        <v>14129</v>
      </c>
    </row>
    <row r="1384" spans="13:13" ht="15.75" customHeight="1" x14ac:dyDescent="0.4">
      <c r="M1384" s="10">
        <v>18695</v>
      </c>
    </row>
    <row r="1385" spans="13:13" ht="15.75" customHeight="1" x14ac:dyDescent="0.4">
      <c r="M1385" s="10">
        <v>18695</v>
      </c>
    </row>
    <row r="1386" spans="13:13" ht="15.75" customHeight="1" x14ac:dyDescent="0.4">
      <c r="M1386" s="10">
        <v>10374</v>
      </c>
    </row>
    <row r="1387" spans="13:13" ht="15.75" customHeight="1" x14ac:dyDescent="0.4">
      <c r="M1387" s="10">
        <v>10374</v>
      </c>
    </row>
    <row r="1388" spans="13:13" ht="15.75" customHeight="1" x14ac:dyDescent="0.4">
      <c r="M1388" s="10">
        <v>18030</v>
      </c>
    </row>
    <row r="1389" spans="13:13" ht="15.75" customHeight="1" x14ac:dyDescent="0.4">
      <c r="M1389" s="10">
        <v>18030</v>
      </c>
    </row>
    <row r="1390" spans="13:13" ht="15.75" customHeight="1" x14ac:dyDescent="0.4">
      <c r="M1390" s="10">
        <v>18541</v>
      </c>
    </row>
    <row r="1391" spans="13:13" ht="15.75" customHeight="1" x14ac:dyDescent="0.4">
      <c r="M1391" s="10">
        <v>18541</v>
      </c>
    </row>
    <row r="1392" spans="13:13" ht="15.75" customHeight="1" x14ac:dyDescent="0.4">
      <c r="M1392" s="10">
        <v>18232</v>
      </c>
    </row>
    <row r="1393" spans="13:13" ht="15.75" customHeight="1" x14ac:dyDescent="0.4">
      <c r="M1393" s="10">
        <v>18232</v>
      </c>
    </row>
    <row r="1394" spans="13:13" ht="15.75" customHeight="1" x14ac:dyDescent="0.4">
      <c r="M1394" s="11"/>
    </row>
    <row r="1395" spans="13:13" ht="15.75" customHeight="1" x14ac:dyDescent="0.4">
      <c r="M1395" s="10">
        <v>10374</v>
      </c>
    </row>
    <row r="1396" spans="13:13" ht="15.75" customHeight="1" x14ac:dyDescent="0.4">
      <c r="M1396" s="10">
        <v>10374</v>
      </c>
    </row>
    <row r="1397" spans="13:13" ht="15.75" customHeight="1" x14ac:dyDescent="0.4">
      <c r="M1397" s="10">
        <v>15553</v>
      </c>
    </row>
    <row r="1398" spans="13:13" ht="15.75" customHeight="1" x14ac:dyDescent="0.4">
      <c r="M1398" s="10">
        <v>15553</v>
      </c>
    </row>
    <row r="1399" spans="13:13" ht="15.75" customHeight="1" x14ac:dyDescent="0.4">
      <c r="M1399" s="10">
        <v>15553</v>
      </c>
    </row>
    <row r="1400" spans="13:13" ht="15.75" customHeight="1" x14ac:dyDescent="0.4">
      <c r="M1400" s="10">
        <v>15553</v>
      </c>
    </row>
    <row r="1401" spans="13:13" ht="15.75" customHeight="1" x14ac:dyDescent="0.4">
      <c r="M1401" s="10">
        <v>12216</v>
      </c>
    </row>
    <row r="1402" spans="13:13" ht="15.75" customHeight="1" x14ac:dyDescent="0.4">
      <c r="M1402" s="10">
        <v>12216</v>
      </c>
    </row>
    <row r="1403" spans="13:13" ht="15.75" customHeight="1" x14ac:dyDescent="0.4">
      <c r="M1403" s="10">
        <v>10374</v>
      </c>
    </row>
    <row r="1404" spans="13:13" ht="15.75" customHeight="1" x14ac:dyDescent="0.4">
      <c r="M1404" s="10">
        <v>14129</v>
      </c>
    </row>
    <row r="1405" spans="13:13" ht="15.75" customHeight="1" x14ac:dyDescent="0.4">
      <c r="M1405" s="10">
        <v>14129</v>
      </c>
    </row>
    <row r="1406" spans="13:13" ht="15.75" customHeight="1" x14ac:dyDescent="0.4">
      <c r="M1406" s="10">
        <v>18030</v>
      </c>
    </row>
    <row r="1407" spans="13:13" ht="15.75" customHeight="1" x14ac:dyDescent="0.4">
      <c r="M1407" s="10">
        <v>18030</v>
      </c>
    </row>
    <row r="1408" spans="13:13" ht="15.75" customHeight="1" x14ac:dyDescent="0.4">
      <c r="M1408" s="10">
        <v>18541</v>
      </c>
    </row>
    <row r="1409" spans="13:13" ht="15.75" customHeight="1" x14ac:dyDescent="0.4">
      <c r="M1409" s="10">
        <v>18541</v>
      </c>
    </row>
    <row r="1410" spans="13:13" ht="15.75" customHeight="1" x14ac:dyDescent="0.4">
      <c r="M1410" s="10">
        <v>18030</v>
      </c>
    </row>
    <row r="1411" spans="13:13" ht="15.75" customHeight="1" x14ac:dyDescent="0.4">
      <c r="M1411" s="10">
        <v>18030</v>
      </c>
    </row>
    <row r="1412" spans="13:13" ht="15.75" customHeight="1" x14ac:dyDescent="0.4">
      <c r="M1412" s="10">
        <v>15553</v>
      </c>
    </row>
    <row r="1413" spans="13:13" ht="15.75" customHeight="1" x14ac:dyDescent="0.4">
      <c r="M1413" s="10">
        <v>15553</v>
      </c>
    </row>
    <row r="1414" spans="13:13" ht="15.75" customHeight="1" x14ac:dyDescent="0.4">
      <c r="M1414" s="11"/>
    </row>
    <row r="1415" spans="13:13" ht="15.75" customHeight="1" x14ac:dyDescent="0.4">
      <c r="M1415" s="10">
        <v>18846</v>
      </c>
    </row>
    <row r="1416" spans="13:13" ht="15.75" customHeight="1" x14ac:dyDescent="0.4">
      <c r="M1416" s="10">
        <v>18846</v>
      </c>
    </row>
    <row r="1417" spans="13:13" ht="15.75" customHeight="1" x14ac:dyDescent="0.4">
      <c r="M1417" s="10">
        <v>15553</v>
      </c>
    </row>
    <row r="1418" spans="13:13" ht="15.75" customHeight="1" x14ac:dyDescent="0.4">
      <c r="M1418" s="10">
        <v>15553</v>
      </c>
    </row>
    <row r="1419" spans="13:13" ht="15.75" customHeight="1" x14ac:dyDescent="0.4">
      <c r="M1419" s="10">
        <v>18695</v>
      </c>
    </row>
    <row r="1420" spans="13:13" ht="15.75" customHeight="1" x14ac:dyDescent="0.4">
      <c r="M1420" s="10">
        <v>18695</v>
      </c>
    </row>
    <row r="1421" spans="13:13" ht="15.75" customHeight="1" x14ac:dyDescent="0.4">
      <c r="M1421" s="10">
        <v>18695</v>
      </c>
    </row>
    <row r="1422" spans="13:13" ht="15.75" customHeight="1" x14ac:dyDescent="0.4">
      <c r="M1422" s="10">
        <v>18695</v>
      </c>
    </row>
    <row r="1423" spans="13:13" ht="15.75" customHeight="1" x14ac:dyDescent="0.4">
      <c r="M1423" s="10">
        <v>14129</v>
      </c>
    </row>
    <row r="1424" spans="13:13" ht="15.75" customHeight="1" x14ac:dyDescent="0.4">
      <c r="M1424" s="10">
        <v>14129</v>
      </c>
    </row>
    <row r="1425" spans="13:13" ht="15.75" customHeight="1" x14ac:dyDescent="0.4">
      <c r="M1425" s="10">
        <v>18232</v>
      </c>
    </row>
    <row r="1426" spans="13:13" ht="15.75" customHeight="1" x14ac:dyDescent="0.4">
      <c r="M1426" s="10">
        <v>18232</v>
      </c>
    </row>
    <row r="1427" spans="13:13" ht="15.75" customHeight="1" x14ac:dyDescent="0.4">
      <c r="M1427" s="10">
        <v>18232</v>
      </c>
    </row>
    <row r="1428" spans="13:13" ht="15.75" customHeight="1" x14ac:dyDescent="0.4">
      <c r="M1428" s="10">
        <v>18232</v>
      </c>
    </row>
    <row r="1429" spans="13:13" ht="15.75" customHeight="1" x14ac:dyDescent="0.4">
      <c r="M1429" s="11"/>
    </row>
    <row r="1430" spans="13:13" ht="15.75" customHeight="1" x14ac:dyDescent="0.4">
      <c r="M1430" s="11"/>
    </row>
    <row r="1431" spans="13:13" ht="15.75" customHeight="1" x14ac:dyDescent="0.4">
      <c r="M1431" s="10">
        <v>10374</v>
      </c>
    </row>
    <row r="1432" spans="13:13" ht="15.75" customHeight="1" x14ac:dyDescent="0.4">
      <c r="M1432" s="10">
        <v>10374</v>
      </c>
    </row>
    <row r="1433" spans="13:13" ht="15.75" customHeight="1" x14ac:dyDescent="0.4">
      <c r="M1433" s="10">
        <v>15553</v>
      </c>
    </row>
    <row r="1434" spans="13:13" ht="15.75" customHeight="1" x14ac:dyDescent="0.4">
      <c r="M1434" s="10">
        <v>15553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2024-25 DIBELS MOY</vt:lpstr>
      <vt:lpstr>2024-25 DIBELS BOY </vt:lpstr>
      <vt:lpstr>2024-25 DIBELS BOY and EOY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Duenas, Juan</dc:creator>
  <cp:lastModifiedBy>Duenas, Juan</cp:lastModifiedBy>
  <dcterms:created xsi:type="dcterms:W3CDTF">2025-02-26T18:18:18Z</dcterms:created>
  <dcterms:modified xsi:type="dcterms:W3CDTF">2025-03-02T19:41:52Z</dcterms:modified>
</cp:coreProperties>
</file>