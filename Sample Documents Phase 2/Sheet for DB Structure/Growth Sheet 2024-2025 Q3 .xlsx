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ample Documents Phase 2\Sheet for DB Structure\"/>
    </mc:Choice>
  </mc:AlternateContent>
  <xr:revisionPtr revIDLastSave="0" documentId="13_ncr:1_{F5FD6E10-8D0B-4401-820F-B780EE063481}" xr6:coauthVersionLast="47" xr6:coauthVersionMax="47" xr10:uidLastSave="{00000000-0000-0000-0000-000000000000}"/>
  <bookViews>
    <workbookView xWindow="-120" yWindow="-120" windowWidth="20730" windowHeight="11310" firstSheet="1" activeTab="1" xr2:uid="{00000000-000D-0000-FFFF-FFFF00000000}"/>
  </bookViews>
  <sheets>
    <sheet name="Grade 4 S RLA" sheetId="9" state="hidden" r:id="rId1"/>
    <sheet name="CONSOLIDATED" sheetId="28" r:id="rId2"/>
  </sheets>
  <definedNames>
    <definedName name="_xlnm._FilterDatabase" localSheetId="1" hidden="1">CONSOLIDATED!$A$1:$X$6</definedName>
  </definedNames>
  <calcPr calcId="181029"/>
</workbook>
</file>

<file path=xl/calcChain.xml><?xml version="1.0" encoding="utf-8"?>
<calcChain xmlns="http://schemas.openxmlformats.org/spreadsheetml/2006/main">
  <c r="W2" i="9" l="1"/>
  <c r="V2" i="9"/>
  <c r="U2" i="9"/>
  <c r="X2" i="9" s="1"/>
  <c r="O2" i="9"/>
  <c r="P2" i="9" s="1"/>
  <c r="M2" i="9"/>
  <c r="R2" i="9" s="1"/>
  <c r="S2" i="9" s="1"/>
  <c r="Q2" i="9" l="1"/>
  <c r="T2" i="9" s="1"/>
</calcChain>
</file>

<file path=xl/sharedStrings.xml><?xml version="1.0" encoding="utf-8"?>
<sst xmlns="http://schemas.openxmlformats.org/spreadsheetml/2006/main" count="101" uniqueCount="47">
  <si>
    <t>Student Name</t>
  </si>
  <si>
    <t>Local ID</t>
  </si>
  <si>
    <t>Current Campus</t>
  </si>
  <si>
    <t xml:space="preserve">Grade </t>
  </si>
  <si>
    <t xml:space="preserve">Subject </t>
  </si>
  <si>
    <t>Special Ed Indicator</t>
  </si>
  <si>
    <t>Economic Disadvantage</t>
  </si>
  <si>
    <t>Emergent Bilingual</t>
  </si>
  <si>
    <t>Ethnicity</t>
  </si>
  <si>
    <t>Test Lang</t>
  </si>
  <si>
    <t>Instructor</t>
  </si>
  <si>
    <t xml:space="preserve">2024 STAAR </t>
  </si>
  <si>
    <t xml:space="preserve">STAAR Per Lev </t>
  </si>
  <si>
    <t>Q 3</t>
  </si>
  <si>
    <t xml:space="preserve">  Q 3 Per Level</t>
  </si>
  <si>
    <t xml:space="preserve">Delta </t>
  </si>
  <si>
    <t xml:space="preserve">Growth </t>
  </si>
  <si>
    <t>HB 1416 Y or N</t>
  </si>
  <si>
    <t>HB 1416 Delta</t>
  </si>
  <si>
    <t>Total Growth for Q 3</t>
  </si>
  <si>
    <t>App</t>
  </si>
  <si>
    <t xml:space="preserve">Meets </t>
  </si>
  <si>
    <t>Masters</t>
  </si>
  <si>
    <t xml:space="preserve">CS </t>
  </si>
  <si>
    <t>Q2</t>
  </si>
  <si>
    <t>Q1</t>
  </si>
  <si>
    <t>Anna Adelaja</t>
  </si>
  <si>
    <t>Sheldon Early Childhood Academy</t>
  </si>
  <si>
    <t>K</t>
  </si>
  <si>
    <t xml:space="preserve">RLA </t>
  </si>
  <si>
    <t>Black/African American</t>
  </si>
  <si>
    <t>English</t>
  </si>
  <si>
    <t>Joylann Lumpford</t>
  </si>
  <si>
    <t>Agustin Aguilar</t>
  </si>
  <si>
    <t>Maria Lezama</t>
  </si>
  <si>
    <t>Ariana Aguilar</t>
  </si>
  <si>
    <t>Tavia Mcdonald</t>
  </si>
  <si>
    <t>Raniyah Alexander</t>
  </si>
  <si>
    <t>Kaycen Allen</t>
  </si>
  <si>
    <t xml:space="preserve">  Q 1 Per Level</t>
  </si>
  <si>
    <t>Total Growth for Q 1</t>
  </si>
  <si>
    <t>No</t>
  </si>
  <si>
    <t>Yes</t>
  </si>
  <si>
    <t>Other Non-Emergent Bilingual Student</t>
  </si>
  <si>
    <t xml:space="preserve">S RLA </t>
  </si>
  <si>
    <t xml:space="preserve">STAAR </t>
  </si>
  <si>
    <t>STAAR Per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</si>
</sst>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EE3EF"/>
        <bgColor rgb="FFDEE3E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horizontal="center" vertical="center" wrapText="1"/>
    </xf>
    <xf numFmtId="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9" fontId="1" fillId="2" borderId="2" xfId="0" applyNumberFormat="1" applyFont="1" applyFill="1" applyBorder="1" applyAlignment="1">
      <alignment horizontal="center" vertical="center" wrapText="1"/>
    </xf>
    <xf numFmtId="1" fontId="1" fillId="3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5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left"/>
    </xf>
    <xf numFmtId="9" fontId="3" fillId="5" borderId="2" xfId="0" applyNumberFormat="1" applyFont="1" applyFill="1" applyBorder="1"/>
    <xf numFmtId="0" fontId="3" fillId="0" borderId="0" xfId="0" applyFont="1"/>
    <xf numFmtId="0" fontId="3" fillId="5" borderId="4" xfId="0" applyFont="1" applyFill="1" applyBorder="1" applyAlignment="1">
      <alignment horizontal="left"/>
    </xf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left"/>
    </xf>
    <xf numFmtId="9" fontId="3" fillId="5" borderId="4" xfId="0" applyNumberFormat="1" applyFont="1" applyFill="1" applyBorder="1"/>
    <xf numFmtId="0" fontId="1" fillId="2" borderId="1" xfId="0" applyFont="1" applyFill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wrapText="1"/>
    </xf>
    <xf numFmtId="9" fontId="1" fillId="2" borderId="1" xfId="0" applyNumberFormat="1" applyFont="1" applyFill="1" applyBorder="1" applyAlignment="1">
      <alignment horizontal="center" wrapText="1"/>
    </xf>
    <xf numFmtId="9" fontId="1" fillId="2" borderId="1" xfId="0" applyNumberFormat="1" applyFont="1" applyFill="1" applyBorder="1" applyAlignment="1">
      <alignment wrapText="1"/>
    </xf>
    <xf numFmtId="1" fontId="1" fillId="2" borderId="1" xfId="0" applyNumberFormat="1" applyFont="1" applyFill="1" applyBorder="1" applyAlignment="1">
      <alignment wrapText="1"/>
    </xf>
    <xf numFmtId="1" fontId="1" fillId="3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0" fontId="2" fillId="0" borderId="7" xfId="0" applyFont="1" applyBorder="1"/>
    <xf numFmtId="0" fontId="3" fillId="6" borderId="1" xfId="0" applyFont="1" applyFill="1" applyBorder="1" applyAlignment="1">
      <alignment horizontal="center"/>
    </xf>
    <xf numFmtId="9" fontId="3" fillId="6" borderId="1" xfId="0" applyNumberFormat="1" applyFont="1" applyFill="1" applyBorder="1" applyAlignment="1">
      <alignment horizontal="center"/>
    </xf>
    <xf numFmtId="0" fontId="3" fillId="6" borderId="1" xfId="0" applyFont="1" applyFill="1" applyBorder="1"/>
    <xf numFmtId="9" fontId="3" fillId="6" borderId="1" xfId="0" applyNumberFormat="1" applyFont="1" applyFill="1" applyBorder="1"/>
    <xf numFmtId="0" fontId="0" fillId="0" borderId="0" xfId="0" applyAlignment="1">
      <alignment horizontal="left"/>
    </xf>
    <xf numFmtId="9" fontId="4" fillId="0" borderId="0" xfId="0" applyNumberFormat="1" applyFont="1"/>
    <xf numFmtId="1" fontId="1" fillId="2" borderId="1" xfId="0" applyNumberFormat="1" applyFont="1" applyFill="1" applyBorder="1" applyAlignment="1">
      <alignment horizontal="left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R2"/>
  <sheetViews>
    <sheetView workbookViewId="0"/>
  </sheetViews>
  <sheetFormatPr defaultColWidth="12.7109375" defaultRowHeight="15.75" customHeight="1" x14ac:dyDescent="0.2"/>
  <sheetData>
    <row r="1" spans="1:44" ht="45" x14ac:dyDescent="0.25">
      <c r="A1" s="23" t="s">
        <v>0</v>
      </c>
      <c r="B1" s="24" t="s">
        <v>1</v>
      </c>
      <c r="C1" s="23" t="s">
        <v>2</v>
      </c>
      <c r="D1" s="23" t="s">
        <v>3</v>
      </c>
      <c r="E1" s="24" t="s">
        <v>4</v>
      </c>
      <c r="F1" s="25" t="s">
        <v>5</v>
      </c>
      <c r="G1" s="24" t="s">
        <v>6</v>
      </c>
      <c r="H1" s="26" t="s">
        <v>7</v>
      </c>
      <c r="I1" s="27" t="s">
        <v>8</v>
      </c>
      <c r="J1" s="23" t="s">
        <v>9</v>
      </c>
      <c r="K1" s="23" t="s">
        <v>10</v>
      </c>
      <c r="L1" s="25" t="s">
        <v>11</v>
      </c>
      <c r="M1" s="28" t="s">
        <v>12</v>
      </c>
      <c r="N1" s="23" t="s">
        <v>13</v>
      </c>
      <c r="O1" s="28" t="s">
        <v>39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40</v>
      </c>
      <c r="U1" s="30" t="s">
        <v>20</v>
      </c>
      <c r="V1" s="30" t="s">
        <v>21</v>
      </c>
      <c r="W1" s="30" t="s">
        <v>22</v>
      </c>
      <c r="X1" s="31" t="s">
        <v>23</v>
      </c>
      <c r="Y1" s="32" t="s">
        <v>24</v>
      </c>
      <c r="Z1" s="32" t="s">
        <v>25</v>
      </c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</row>
    <row r="2" spans="1:44" ht="15.75" customHeight="1" x14ac:dyDescent="0.2">
      <c r="A2" s="35"/>
      <c r="B2" s="35"/>
      <c r="C2" s="35"/>
      <c r="D2" s="33">
        <v>4</v>
      </c>
      <c r="E2" s="33" t="s">
        <v>44</v>
      </c>
      <c r="F2" s="36"/>
      <c r="G2" s="36"/>
      <c r="H2" s="36"/>
      <c r="I2" s="36"/>
      <c r="J2" s="36"/>
      <c r="K2" s="36"/>
      <c r="L2" s="36"/>
      <c r="M2" s="33">
        <f>IF(L2&lt;31%, 0, IF(L2&lt;42%, 1, IF(L2&lt;54%, 2, IF(L2&lt;65%, 3, IF(L2&lt;75%, 4, 5)))))</f>
        <v>0</v>
      </c>
      <c r="N2" s="36"/>
      <c r="O2" s="33">
        <f>IF(N2&lt;33%, 0, IF(N2&lt;46%, 1, IF(N2&lt;52%, 2, IF(N2&lt;58%, 3, IF(N2&lt;71%, 4, 5)))))</f>
        <v>0</v>
      </c>
      <c r="P2" s="33">
        <f>O2-M2</f>
        <v>0</v>
      </c>
      <c r="Q2" s="33">
        <f>IF(AND(OR(O2=4, O2=5), P2&gt;=0), 1, IF(AND(O2=0, P2=0), 0, IF(P2&gt;=1, 1, IF(P2=0, 0.5, 0))))</f>
        <v>0</v>
      </c>
      <c r="R2" s="33">
        <f>IF(OR(M2=0, M2=1), 1, 0)</f>
        <v>1</v>
      </c>
      <c r="S2" s="33">
        <f>IF(AND(R2=1, O2&gt;=1), 0.25, 0)</f>
        <v>0</v>
      </c>
      <c r="T2" s="33">
        <f>Q2+S2</f>
        <v>0</v>
      </c>
      <c r="U2" s="33">
        <f>IF(N2&gt;=46%, 1, 0)</f>
        <v>0</v>
      </c>
      <c r="V2" s="33">
        <f>IF(N2&gt;=58%, 1, 0)</f>
        <v>0</v>
      </c>
      <c r="W2" s="33">
        <f>IF(N2&gt;=71%, 1, 0)</f>
        <v>0</v>
      </c>
      <c r="X2" s="34">
        <f>(U2+V2+W2)/3</f>
        <v>0</v>
      </c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AP6"/>
  <sheetViews>
    <sheetView tabSelected="1" zoomScaleNormal="100"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M9" sqref="M9:M10"/>
    </sheetView>
  </sheetViews>
  <sheetFormatPr defaultColWidth="12.7109375" defaultRowHeight="15.75" customHeight="1" x14ac:dyDescent="0.2"/>
  <cols>
    <col min="1" max="1" width="16.85546875" customWidth="1"/>
    <col min="2" max="2" width="10.42578125" customWidth="1"/>
    <col min="3" max="3" width="25.5703125" customWidth="1"/>
    <col min="4" max="4" width="7.7109375" customWidth="1"/>
    <col min="5" max="5" width="8.42578125" customWidth="1"/>
    <col min="6" max="6" width="13.42578125" bestFit="1" customWidth="1"/>
    <col min="7" max="7" width="15.28515625" bestFit="1" customWidth="1"/>
    <col min="8" max="8" width="27" customWidth="1"/>
    <col min="9" max="9" width="20.140625" style="37" customWidth="1"/>
    <col min="10" max="10" width="12.7109375" style="37"/>
    <col min="11" max="11" width="18.42578125" customWidth="1"/>
    <col min="13" max="13" width="15.7109375" customWidth="1"/>
    <col min="21" max="22" width="8" customWidth="1"/>
    <col min="23" max="23" width="8.28515625" customWidth="1"/>
    <col min="24" max="24" width="9.28515625" bestFit="1" customWidth="1"/>
  </cols>
  <sheetData>
    <row r="1" spans="1:42" ht="45" customHeight="1" thickBot="1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2" t="s">
        <v>6</v>
      </c>
      <c r="H1" s="6" t="s">
        <v>7</v>
      </c>
      <c r="I1" s="39" t="s">
        <v>8</v>
      </c>
      <c r="J1" s="39" t="s">
        <v>9</v>
      </c>
      <c r="K1" s="7" t="s">
        <v>10</v>
      </c>
      <c r="L1" s="8" t="s">
        <v>45</v>
      </c>
      <c r="M1" s="9" t="s">
        <v>46</v>
      </c>
      <c r="N1" s="3" t="s">
        <v>13</v>
      </c>
      <c r="O1" s="9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1" t="s">
        <v>20</v>
      </c>
      <c r="V1" s="11" t="s">
        <v>21</v>
      </c>
      <c r="W1" s="11" t="s">
        <v>22</v>
      </c>
      <c r="X1" s="12" t="s">
        <v>23</v>
      </c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</row>
    <row r="2" spans="1:42" ht="15.75" customHeight="1" x14ac:dyDescent="0.2">
      <c r="A2" s="14" t="s">
        <v>26</v>
      </c>
      <c r="B2" s="15">
        <v>85060</v>
      </c>
      <c r="C2" s="15" t="s">
        <v>27</v>
      </c>
      <c r="D2" s="15" t="s">
        <v>28</v>
      </c>
      <c r="E2" s="15" t="s">
        <v>29</v>
      </c>
      <c r="F2" s="15" t="s">
        <v>41</v>
      </c>
      <c r="G2" s="15" t="s">
        <v>42</v>
      </c>
      <c r="H2" s="15" t="s">
        <v>43</v>
      </c>
      <c r="I2" s="14" t="s">
        <v>30</v>
      </c>
      <c r="J2" s="14" t="s">
        <v>31</v>
      </c>
      <c r="K2" s="16" t="s">
        <v>32</v>
      </c>
      <c r="L2" s="17"/>
      <c r="M2" s="15">
        <v>0</v>
      </c>
      <c r="N2" s="38">
        <v>0.55000000000000004</v>
      </c>
      <c r="O2" s="15">
        <v>0</v>
      </c>
      <c r="P2" s="15">
        <v>0</v>
      </c>
      <c r="Q2" s="15">
        <v>0</v>
      </c>
      <c r="R2" s="15">
        <v>1</v>
      </c>
      <c r="S2" s="15">
        <v>0</v>
      </c>
      <c r="T2" s="15">
        <v>0</v>
      </c>
      <c r="U2" s="40">
        <v>0</v>
      </c>
      <c r="V2" s="40">
        <v>0</v>
      </c>
      <c r="W2" s="40">
        <v>0</v>
      </c>
      <c r="X2" s="38">
        <v>0</v>
      </c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</row>
    <row r="3" spans="1:42" ht="15.75" customHeight="1" x14ac:dyDescent="0.2">
      <c r="A3" s="19" t="s">
        <v>33</v>
      </c>
      <c r="B3" s="20">
        <v>85230</v>
      </c>
      <c r="C3" s="20" t="s">
        <v>27</v>
      </c>
      <c r="D3" s="20" t="s">
        <v>28</v>
      </c>
      <c r="E3" s="20" t="s">
        <v>29</v>
      </c>
      <c r="F3" s="20" t="s">
        <v>42</v>
      </c>
      <c r="G3" s="20" t="s">
        <v>42</v>
      </c>
      <c r="H3" s="20" t="s">
        <v>43</v>
      </c>
      <c r="I3" s="19" t="s">
        <v>30</v>
      </c>
      <c r="J3" s="19" t="s">
        <v>31</v>
      </c>
      <c r="K3" s="21" t="s">
        <v>34</v>
      </c>
      <c r="L3" s="22"/>
      <c r="M3" s="20">
        <v>0</v>
      </c>
      <c r="N3" s="38">
        <v>0.63</v>
      </c>
      <c r="O3" s="20">
        <v>0</v>
      </c>
      <c r="P3" s="20">
        <v>0</v>
      </c>
      <c r="Q3" s="20">
        <v>0</v>
      </c>
      <c r="R3" s="20">
        <v>1</v>
      </c>
      <c r="S3" s="20">
        <v>0</v>
      </c>
      <c r="T3" s="20">
        <v>0</v>
      </c>
      <c r="U3" s="40">
        <v>1</v>
      </c>
      <c r="V3" s="40">
        <v>0</v>
      </c>
      <c r="W3" s="40">
        <v>0</v>
      </c>
      <c r="X3" s="38">
        <v>0.33</v>
      </c>
    </row>
    <row r="4" spans="1:42" ht="15.75" customHeight="1" x14ac:dyDescent="0.2">
      <c r="A4" s="19" t="s">
        <v>35</v>
      </c>
      <c r="B4" s="20">
        <v>87397</v>
      </c>
      <c r="C4" s="20" t="s">
        <v>27</v>
      </c>
      <c r="D4" s="20" t="s">
        <v>28</v>
      </c>
      <c r="E4" s="20" t="s">
        <v>29</v>
      </c>
      <c r="F4" s="20" t="s">
        <v>41</v>
      </c>
      <c r="G4" s="20" t="s">
        <v>42</v>
      </c>
      <c r="H4" s="20" t="s">
        <v>43</v>
      </c>
      <c r="I4" s="19" t="s">
        <v>30</v>
      </c>
      <c r="J4" s="19" t="s">
        <v>31</v>
      </c>
      <c r="K4" s="21" t="s">
        <v>36</v>
      </c>
      <c r="L4" s="22"/>
      <c r="M4" s="20">
        <v>0</v>
      </c>
      <c r="N4" s="38">
        <v>0.67</v>
      </c>
      <c r="O4" s="20">
        <v>0</v>
      </c>
      <c r="P4" s="20">
        <v>0</v>
      </c>
      <c r="Q4" s="20">
        <v>0</v>
      </c>
      <c r="R4" s="20">
        <v>1</v>
      </c>
      <c r="S4" s="20">
        <v>0</v>
      </c>
      <c r="T4" s="20">
        <v>0</v>
      </c>
      <c r="U4" s="40">
        <v>1</v>
      </c>
      <c r="V4" s="40">
        <v>0</v>
      </c>
      <c r="W4" s="40">
        <v>0</v>
      </c>
      <c r="X4" s="38">
        <v>0.33</v>
      </c>
    </row>
    <row r="5" spans="1:42" ht="15.75" customHeight="1" x14ac:dyDescent="0.2">
      <c r="A5" s="19" t="s">
        <v>37</v>
      </c>
      <c r="B5" s="20">
        <v>85215</v>
      </c>
      <c r="C5" s="20" t="s">
        <v>27</v>
      </c>
      <c r="D5" s="20" t="s">
        <v>28</v>
      </c>
      <c r="E5" s="20" t="s">
        <v>29</v>
      </c>
      <c r="F5" s="20" t="s">
        <v>41</v>
      </c>
      <c r="G5" s="20" t="s">
        <v>42</v>
      </c>
      <c r="H5" s="20" t="s">
        <v>43</v>
      </c>
      <c r="I5" s="19" t="s">
        <v>30</v>
      </c>
      <c r="J5" s="19" t="s">
        <v>31</v>
      </c>
      <c r="K5" s="21" t="s">
        <v>36</v>
      </c>
      <c r="L5" s="22"/>
      <c r="M5" s="20">
        <v>0</v>
      </c>
      <c r="N5" s="38">
        <v>0.62</v>
      </c>
      <c r="O5" s="20">
        <v>0</v>
      </c>
      <c r="P5" s="20">
        <v>0</v>
      </c>
      <c r="Q5" s="20">
        <v>0</v>
      </c>
      <c r="R5" s="20">
        <v>1</v>
      </c>
      <c r="S5" s="20">
        <v>0</v>
      </c>
      <c r="T5" s="20">
        <v>0</v>
      </c>
      <c r="U5" s="40">
        <v>1</v>
      </c>
      <c r="V5" s="40">
        <v>0</v>
      </c>
      <c r="W5" s="40">
        <v>0</v>
      </c>
      <c r="X5" s="38">
        <v>0.33</v>
      </c>
    </row>
    <row r="6" spans="1:42" ht="15.75" customHeight="1" x14ac:dyDescent="0.2">
      <c r="A6" s="19" t="s">
        <v>38</v>
      </c>
      <c r="B6" s="20">
        <v>87566</v>
      </c>
      <c r="C6" s="20" t="s">
        <v>27</v>
      </c>
      <c r="D6" s="20" t="s">
        <v>28</v>
      </c>
      <c r="E6" s="20" t="s">
        <v>29</v>
      </c>
      <c r="F6" s="20" t="s">
        <v>41</v>
      </c>
      <c r="G6" s="20" t="s">
        <v>42</v>
      </c>
      <c r="H6" s="20" t="s">
        <v>43</v>
      </c>
      <c r="I6" s="19" t="s">
        <v>30</v>
      </c>
      <c r="J6" s="19" t="s">
        <v>31</v>
      </c>
      <c r="K6" s="21" t="s">
        <v>36</v>
      </c>
      <c r="L6" s="22"/>
      <c r="M6" s="20">
        <v>0</v>
      </c>
      <c r="N6" s="38">
        <v>0.53</v>
      </c>
      <c r="O6" s="20">
        <v>0</v>
      </c>
      <c r="P6" s="20">
        <v>0</v>
      </c>
      <c r="Q6" s="20">
        <v>0</v>
      </c>
      <c r="R6" s="20">
        <v>1</v>
      </c>
      <c r="S6" s="20">
        <v>0</v>
      </c>
      <c r="T6" s="20">
        <v>0</v>
      </c>
      <c r="U6" s="40">
        <v>0</v>
      </c>
      <c r="V6" s="40">
        <v>0</v>
      </c>
      <c r="W6" s="40">
        <v>0</v>
      </c>
      <c r="X6" s="38">
        <v>0</v>
      </c>
    </row>
  </sheetData>
  <autoFilter ref="A1:X6" xr:uid="{00000000-0001-0000-1B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 4 S RLA</vt:lpstr>
      <vt:lpstr>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Ahmad</cp:lastModifiedBy>
  <dcterms:created xsi:type="dcterms:W3CDTF">2025-03-17T20:22:18Z</dcterms:created>
  <dcterms:modified xsi:type="dcterms:W3CDTF">2026-02-06T16:53:37Z</dcterms:modified>
</cp:coreProperties>
</file>