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mple Documents Phase 2\Sample Sheet\"/>
    </mc:Choice>
  </mc:AlternateContent>
  <xr:revisionPtr revIDLastSave="0" documentId="13_ncr:1_{30A35872-8A45-46CD-BF86-2DD34C607E59}" xr6:coauthVersionLast="47" xr6:coauthVersionMax="47" xr10:uidLastSave="{00000000-0000-0000-0000-000000000000}"/>
  <bookViews>
    <workbookView xWindow="-120" yWindow="-120" windowWidth="20730" windowHeight="11310" activeTab="12" xr2:uid="{87282739-F629-D849-A69F-167C1D6D7B1D}"/>
  </bookViews>
  <sheets>
    <sheet name="GE" sheetId="14" r:id="rId1"/>
    <sheet name="SECA" sheetId="2" r:id="rId2"/>
    <sheet name="CECA" sheetId="3" r:id="rId3"/>
    <sheet name="SE" sheetId="4" r:id="rId4"/>
    <sheet name="CE" sheetId="6" r:id="rId5"/>
    <sheet name="RE" sheetId="7" r:id="rId6"/>
    <sheet name="LE" sheetId="8" r:id="rId7"/>
    <sheet name="KMS" sheetId="9" r:id="rId8"/>
    <sheet name="NMS" sheetId="10" r:id="rId9"/>
    <sheet name="9K" sheetId="11" r:id="rId10"/>
    <sheet name="ECHS" sheetId="13" r:id="rId11"/>
    <sheet name="KHS" sheetId="12" r:id="rId12"/>
    <sheet name="ME" sheetId="5" r:id="rId13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5" i="5" l="1"/>
  <c r="E25" i="5"/>
  <c r="F25" i="5"/>
  <c r="G24" i="5"/>
  <c r="E24" i="5"/>
  <c r="H24" i="5"/>
  <c r="G23" i="5"/>
  <c r="E23" i="5"/>
  <c r="F23" i="5"/>
  <c r="G22" i="5"/>
  <c r="E22" i="5"/>
  <c r="H22" i="5"/>
  <c r="G21" i="5"/>
  <c r="H21" i="5"/>
  <c r="E21" i="5"/>
  <c r="F21" i="5"/>
  <c r="G20" i="5"/>
  <c r="E20" i="5"/>
  <c r="H20" i="5"/>
  <c r="G19" i="5"/>
  <c r="E19" i="5"/>
  <c r="F19" i="5"/>
  <c r="G18" i="5"/>
  <c r="E18" i="5"/>
  <c r="H18" i="5"/>
  <c r="G17" i="5"/>
  <c r="H17" i="5"/>
  <c r="E17" i="5"/>
  <c r="F17" i="5"/>
  <c r="G16" i="5"/>
  <c r="E16" i="5"/>
  <c r="H16" i="5"/>
  <c r="G15" i="5"/>
  <c r="E15" i="5"/>
  <c r="F15" i="5"/>
  <c r="G14" i="5"/>
  <c r="E14" i="5"/>
  <c r="H14" i="5"/>
  <c r="G13" i="5"/>
  <c r="H13" i="5"/>
  <c r="E13" i="5"/>
  <c r="F13" i="5"/>
  <c r="G12" i="5"/>
  <c r="E12" i="5"/>
  <c r="H12" i="5"/>
  <c r="G11" i="5"/>
  <c r="E11" i="5"/>
  <c r="F11" i="5"/>
  <c r="G10" i="5"/>
  <c r="E10" i="5"/>
  <c r="H10" i="5"/>
  <c r="G9" i="5"/>
  <c r="H9" i="5"/>
  <c r="E9" i="5"/>
  <c r="F9" i="5"/>
  <c r="G8" i="5"/>
  <c r="E8" i="5"/>
  <c r="H8" i="5"/>
  <c r="G7" i="5"/>
  <c r="E7" i="5"/>
  <c r="F7" i="5"/>
  <c r="G25" i="12"/>
  <c r="H25" i="12"/>
  <c r="E25" i="12"/>
  <c r="F25" i="12"/>
  <c r="G24" i="12"/>
  <c r="E24" i="12"/>
  <c r="H24" i="12"/>
  <c r="G23" i="12"/>
  <c r="E23" i="12"/>
  <c r="F23" i="12"/>
  <c r="G22" i="12"/>
  <c r="E22" i="12"/>
  <c r="G21" i="12"/>
  <c r="E21" i="12"/>
  <c r="F21" i="12"/>
  <c r="G20" i="12"/>
  <c r="E20" i="12"/>
  <c r="H20" i="12"/>
  <c r="G19" i="12"/>
  <c r="E19" i="12"/>
  <c r="F19" i="12"/>
  <c r="G18" i="12"/>
  <c r="E18" i="12"/>
  <c r="H18" i="12"/>
  <c r="G17" i="12"/>
  <c r="H17" i="12"/>
  <c r="E17" i="12"/>
  <c r="F17" i="12"/>
  <c r="G16" i="12"/>
  <c r="E16" i="12"/>
  <c r="H16" i="12"/>
  <c r="G15" i="12"/>
  <c r="E15" i="12"/>
  <c r="F15" i="12"/>
  <c r="G14" i="12"/>
  <c r="E14" i="12"/>
  <c r="H14" i="12"/>
  <c r="G13" i="12"/>
  <c r="H13" i="12"/>
  <c r="E13" i="12"/>
  <c r="F13" i="12"/>
  <c r="G12" i="12"/>
  <c r="E12" i="12"/>
  <c r="H12" i="12"/>
  <c r="G11" i="12"/>
  <c r="E11" i="12"/>
  <c r="F11" i="12"/>
  <c r="G10" i="12"/>
  <c r="E10" i="12"/>
  <c r="H10" i="12"/>
  <c r="G9" i="12"/>
  <c r="E9" i="12"/>
  <c r="F9" i="12"/>
  <c r="G8" i="12"/>
  <c r="E8" i="12"/>
  <c r="H8" i="12"/>
  <c r="G7" i="12"/>
  <c r="E7" i="12"/>
  <c r="F7" i="12"/>
  <c r="G26" i="13"/>
  <c r="E26" i="13"/>
  <c r="F26" i="13"/>
  <c r="G25" i="13"/>
  <c r="E25" i="13"/>
  <c r="F25" i="13"/>
  <c r="G24" i="13"/>
  <c r="E24" i="13"/>
  <c r="F24" i="13"/>
  <c r="G23" i="13"/>
  <c r="E23" i="13"/>
  <c r="F23" i="13"/>
  <c r="G22" i="13"/>
  <c r="E22" i="13"/>
  <c r="F22" i="13"/>
  <c r="G21" i="13"/>
  <c r="E21" i="13"/>
  <c r="F21" i="13"/>
  <c r="G20" i="13"/>
  <c r="E20" i="13"/>
  <c r="F20" i="13"/>
  <c r="G19" i="13"/>
  <c r="E19" i="13"/>
  <c r="F19" i="13"/>
  <c r="G18" i="13"/>
  <c r="H18" i="13"/>
  <c r="E18" i="13"/>
  <c r="F18" i="13"/>
  <c r="G17" i="13"/>
  <c r="E17" i="13"/>
  <c r="F17" i="13"/>
  <c r="G16" i="13"/>
  <c r="E16" i="13"/>
  <c r="F16" i="13"/>
  <c r="G15" i="13"/>
  <c r="E15" i="13"/>
  <c r="F15" i="13"/>
  <c r="G14" i="13"/>
  <c r="H14" i="13"/>
  <c r="E14" i="13"/>
  <c r="F14" i="13"/>
  <c r="G13" i="13"/>
  <c r="E13" i="13"/>
  <c r="F13" i="13"/>
  <c r="G12" i="13"/>
  <c r="E12" i="13"/>
  <c r="F12" i="13"/>
  <c r="G11" i="13"/>
  <c r="E11" i="13"/>
  <c r="F11" i="13"/>
  <c r="G10" i="13"/>
  <c r="H10" i="13"/>
  <c r="E10" i="13"/>
  <c r="F10" i="13"/>
  <c r="G9" i="13"/>
  <c r="E9" i="13"/>
  <c r="F9" i="13"/>
  <c r="G8" i="13"/>
  <c r="E8" i="13"/>
  <c r="F8" i="13"/>
  <c r="G7" i="13"/>
  <c r="E7" i="13"/>
  <c r="F7" i="13"/>
  <c r="G24" i="11"/>
  <c r="E24" i="11"/>
  <c r="F24" i="11"/>
  <c r="G23" i="11"/>
  <c r="E23" i="11"/>
  <c r="F23" i="11"/>
  <c r="G22" i="11"/>
  <c r="E22" i="11"/>
  <c r="F22" i="11"/>
  <c r="G21" i="11"/>
  <c r="H21" i="11"/>
  <c r="E21" i="11"/>
  <c r="F21" i="11"/>
  <c r="G20" i="11"/>
  <c r="E20" i="11"/>
  <c r="F20" i="11"/>
  <c r="G19" i="11"/>
  <c r="E19" i="11"/>
  <c r="F19" i="11"/>
  <c r="G18" i="11"/>
  <c r="E18" i="11"/>
  <c r="F18" i="11"/>
  <c r="G17" i="11"/>
  <c r="H17" i="11"/>
  <c r="E17" i="11"/>
  <c r="F17" i="11"/>
  <c r="G16" i="11"/>
  <c r="E16" i="11"/>
  <c r="F16" i="11"/>
  <c r="G15" i="11"/>
  <c r="E15" i="11"/>
  <c r="F15" i="11"/>
  <c r="G14" i="11"/>
  <c r="E14" i="11"/>
  <c r="F14" i="11"/>
  <c r="G13" i="11"/>
  <c r="H13" i="11"/>
  <c r="E13" i="11"/>
  <c r="F13" i="11"/>
  <c r="G12" i="11"/>
  <c r="E12" i="11"/>
  <c r="F12" i="11"/>
  <c r="G11" i="11"/>
  <c r="E11" i="11"/>
  <c r="F11" i="11"/>
  <c r="G10" i="11"/>
  <c r="E10" i="11"/>
  <c r="F10" i="11"/>
  <c r="G9" i="11"/>
  <c r="H9" i="11"/>
  <c r="E9" i="11"/>
  <c r="F9" i="11"/>
  <c r="G8" i="11"/>
  <c r="E8" i="11"/>
  <c r="F8" i="11"/>
  <c r="G7" i="11"/>
  <c r="E7" i="11"/>
  <c r="F7" i="11"/>
  <c r="G24" i="10"/>
  <c r="E24" i="10"/>
  <c r="F24" i="10"/>
  <c r="G23" i="10"/>
  <c r="E23" i="10"/>
  <c r="H23" i="10"/>
  <c r="G22" i="10"/>
  <c r="E22" i="10"/>
  <c r="F22" i="10"/>
  <c r="G21" i="10"/>
  <c r="E21" i="10"/>
  <c r="G20" i="10"/>
  <c r="E20" i="10"/>
  <c r="F20" i="10"/>
  <c r="G19" i="10"/>
  <c r="E19" i="10"/>
  <c r="H19" i="10"/>
  <c r="G18" i="10"/>
  <c r="E18" i="10"/>
  <c r="F18" i="10"/>
  <c r="G17" i="10"/>
  <c r="E17" i="10"/>
  <c r="H17" i="10"/>
  <c r="G16" i="10"/>
  <c r="H16" i="10"/>
  <c r="E16" i="10"/>
  <c r="F16" i="10"/>
  <c r="G15" i="10"/>
  <c r="E15" i="10"/>
  <c r="H15" i="10"/>
  <c r="G14" i="10"/>
  <c r="E14" i="10"/>
  <c r="F14" i="10"/>
  <c r="G13" i="10"/>
  <c r="E13" i="10"/>
  <c r="H13" i="10"/>
  <c r="G12" i="10"/>
  <c r="H12" i="10"/>
  <c r="E12" i="10"/>
  <c r="F12" i="10"/>
  <c r="G11" i="10"/>
  <c r="E11" i="10"/>
  <c r="H11" i="10"/>
  <c r="G10" i="10"/>
  <c r="E10" i="10"/>
  <c r="F10" i="10"/>
  <c r="G9" i="10"/>
  <c r="E9" i="10"/>
  <c r="H9" i="10"/>
  <c r="G8" i="10"/>
  <c r="H8" i="10"/>
  <c r="E8" i="10"/>
  <c r="F8" i="10"/>
  <c r="G7" i="10"/>
  <c r="E7" i="10"/>
  <c r="H7" i="10"/>
  <c r="G24" i="9"/>
  <c r="E24" i="9"/>
  <c r="F24" i="9"/>
  <c r="G23" i="9"/>
  <c r="E23" i="9"/>
  <c r="F23" i="9"/>
  <c r="G22" i="9"/>
  <c r="E22" i="9"/>
  <c r="F22" i="9"/>
  <c r="G21" i="9"/>
  <c r="E21" i="9"/>
  <c r="F21" i="9"/>
  <c r="G20" i="9"/>
  <c r="E20" i="9"/>
  <c r="F20" i="9"/>
  <c r="G19" i="9"/>
  <c r="E19" i="9"/>
  <c r="F19" i="9"/>
  <c r="G18" i="9"/>
  <c r="E18" i="9"/>
  <c r="F18" i="9"/>
  <c r="G17" i="9"/>
  <c r="E17" i="9"/>
  <c r="F17" i="9"/>
  <c r="G16" i="9"/>
  <c r="E16" i="9"/>
  <c r="F16" i="9"/>
  <c r="G15" i="9"/>
  <c r="E15" i="9"/>
  <c r="F15" i="9"/>
  <c r="G14" i="9"/>
  <c r="E14" i="9"/>
  <c r="F14" i="9"/>
  <c r="G13" i="9"/>
  <c r="E13" i="9"/>
  <c r="F13" i="9"/>
  <c r="G12" i="9"/>
  <c r="E12" i="9"/>
  <c r="F12" i="9"/>
  <c r="G11" i="9"/>
  <c r="E11" i="9"/>
  <c r="F11" i="9"/>
  <c r="G10" i="9"/>
  <c r="E10" i="9"/>
  <c r="F10" i="9"/>
  <c r="G9" i="9"/>
  <c r="E9" i="9"/>
  <c r="F9" i="9"/>
  <c r="G8" i="9"/>
  <c r="E8" i="9"/>
  <c r="F8" i="9"/>
  <c r="G7" i="9"/>
  <c r="E7" i="9"/>
  <c r="F7" i="9"/>
  <c r="G25" i="8"/>
  <c r="H25" i="8"/>
  <c r="E25" i="8"/>
  <c r="F25" i="8"/>
  <c r="G24" i="8"/>
  <c r="E24" i="8"/>
  <c r="F24" i="8"/>
  <c r="G23" i="8"/>
  <c r="E23" i="8"/>
  <c r="F23" i="8"/>
  <c r="G22" i="8"/>
  <c r="E22" i="8"/>
  <c r="F22" i="8"/>
  <c r="G21" i="8"/>
  <c r="E21" i="8"/>
  <c r="F21" i="8"/>
  <c r="G20" i="8"/>
  <c r="E20" i="8"/>
  <c r="F20" i="8"/>
  <c r="G19" i="8"/>
  <c r="E19" i="8"/>
  <c r="F19" i="8"/>
  <c r="G18" i="8"/>
  <c r="E18" i="8"/>
  <c r="F18" i="8"/>
  <c r="G17" i="8"/>
  <c r="E17" i="8"/>
  <c r="F17" i="8"/>
  <c r="G16" i="8"/>
  <c r="E16" i="8"/>
  <c r="F16" i="8"/>
  <c r="G15" i="8"/>
  <c r="E15" i="8"/>
  <c r="F15" i="8"/>
  <c r="G14" i="8"/>
  <c r="E14" i="8"/>
  <c r="F14" i="8"/>
  <c r="G13" i="8"/>
  <c r="E13" i="8"/>
  <c r="F13" i="8"/>
  <c r="G12" i="8"/>
  <c r="E12" i="8"/>
  <c r="F12" i="8"/>
  <c r="G11" i="8"/>
  <c r="E11" i="8"/>
  <c r="F11" i="8"/>
  <c r="G10" i="8"/>
  <c r="E10" i="8"/>
  <c r="F10" i="8"/>
  <c r="G9" i="8"/>
  <c r="H9" i="8"/>
  <c r="E9" i="8"/>
  <c r="F9" i="8"/>
  <c r="G8" i="8"/>
  <c r="E8" i="8"/>
  <c r="F8" i="8"/>
  <c r="G7" i="8"/>
  <c r="E7" i="8"/>
  <c r="F7" i="8"/>
  <c r="G24" i="7"/>
  <c r="E24" i="7"/>
  <c r="F24" i="7"/>
  <c r="G23" i="7"/>
  <c r="E23" i="7"/>
  <c r="F23" i="7"/>
  <c r="G22" i="7"/>
  <c r="E22" i="7"/>
  <c r="F22" i="7"/>
  <c r="G21" i="7"/>
  <c r="E21" i="7"/>
  <c r="F21" i="7"/>
  <c r="G20" i="7"/>
  <c r="E20" i="7"/>
  <c r="F20" i="7"/>
  <c r="G19" i="7"/>
  <c r="E19" i="7"/>
  <c r="F19" i="7"/>
  <c r="G18" i="7"/>
  <c r="E18" i="7"/>
  <c r="F18" i="7"/>
  <c r="G17" i="7"/>
  <c r="E17" i="7"/>
  <c r="F17" i="7"/>
  <c r="G16" i="7"/>
  <c r="H16" i="7"/>
  <c r="E16" i="7"/>
  <c r="F16" i="7"/>
  <c r="G15" i="7"/>
  <c r="E15" i="7"/>
  <c r="F15" i="7"/>
  <c r="G14" i="7"/>
  <c r="E14" i="7"/>
  <c r="F14" i="7"/>
  <c r="G13" i="7"/>
  <c r="E13" i="7"/>
  <c r="F13" i="7"/>
  <c r="G12" i="7"/>
  <c r="H12" i="7"/>
  <c r="E12" i="7"/>
  <c r="F12" i="7"/>
  <c r="G11" i="7"/>
  <c r="E11" i="7"/>
  <c r="F11" i="7"/>
  <c r="G10" i="7"/>
  <c r="E10" i="7"/>
  <c r="F10" i="7"/>
  <c r="G9" i="7"/>
  <c r="E9" i="7"/>
  <c r="F9" i="7"/>
  <c r="G8" i="7"/>
  <c r="E8" i="7"/>
  <c r="F8" i="7"/>
  <c r="G7" i="7"/>
  <c r="E7" i="7"/>
  <c r="F7" i="7"/>
  <c r="G25" i="6"/>
  <c r="H25" i="6"/>
  <c r="E25" i="6"/>
  <c r="F25" i="6"/>
  <c r="G24" i="6"/>
  <c r="E24" i="6"/>
  <c r="F24" i="6"/>
  <c r="G23" i="6"/>
  <c r="E23" i="6"/>
  <c r="F23" i="6"/>
  <c r="G22" i="6"/>
  <c r="E22" i="6"/>
  <c r="F22" i="6"/>
  <c r="G21" i="6"/>
  <c r="H21" i="6"/>
  <c r="E21" i="6"/>
  <c r="F21" i="6"/>
  <c r="G20" i="6"/>
  <c r="E20" i="6"/>
  <c r="F20" i="6"/>
  <c r="G19" i="6"/>
  <c r="E19" i="6"/>
  <c r="F19" i="6"/>
  <c r="G18" i="6"/>
  <c r="H18" i="6"/>
  <c r="F18" i="6"/>
  <c r="E18" i="6"/>
  <c r="G17" i="6"/>
  <c r="E17" i="6"/>
  <c r="F17" i="6"/>
  <c r="G16" i="6"/>
  <c r="E16" i="6"/>
  <c r="F16" i="6"/>
  <c r="G15" i="6"/>
  <c r="E15" i="6"/>
  <c r="F15" i="6"/>
  <c r="G14" i="6"/>
  <c r="E14" i="6"/>
  <c r="F14" i="6"/>
  <c r="G13" i="6"/>
  <c r="E13" i="6"/>
  <c r="F13" i="6"/>
  <c r="G12" i="6"/>
  <c r="E12" i="6"/>
  <c r="F12" i="6"/>
  <c r="G11" i="6"/>
  <c r="E11" i="6"/>
  <c r="F11" i="6"/>
  <c r="G10" i="6"/>
  <c r="E10" i="6"/>
  <c r="F10" i="6"/>
  <c r="G9" i="6"/>
  <c r="E9" i="6"/>
  <c r="F9" i="6"/>
  <c r="G8" i="6"/>
  <c r="E8" i="6"/>
  <c r="F8" i="6"/>
  <c r="G7" i="6"/>
  <c r="E7" i="6"/>
  <c r="F7" i="6"/>
  <c r="G25" i="4"/>
  <c r="E25" i="4"/>
  <c r="F25" i="4"/>
  <c r="G24" i="4"/>
  <c r="E24" i="4"/>
  <c r="H24" i="4"/>
  <c r="G23" i="4"/>
  <c r="E23" i="4"/>
  <c r="F23" i="4"/>
  <c r="G22" i="4"/>
  <c r="E22" i="4"/>
  <c r="H22" i="4"/>
  <c r="G21" i="4"/>
  <c r="E21" i="4"/>
  <c r="F21" i="4"/>
  <c r="G20" i="4"/>
  <c r="E20" i="4"/>
  <c r="H20" i="4"/>
  <c r="G19" i="4"/>
  <c r="E19" i="4"/>
  <c r="F19" i="4"/>
  <c r="G18" i="4"/>
  <c r="E18" i="4"/>
  <c r="H18" i="4"/>
  <c r="G17" i="4"/>
  <c r="E17" i="4"/>
  <c r="F17" i="4"/>
  <c r="G16" i="4"/>
  <c r="E16" i="4"/>
  <c r="H16" i="4"/>
  <c r="G15" i="4"/>
  <c r="E15" i="4"/>
  <c r="F15" i="4"/>
  <c r="G14" i="4"/>
  <c r="E14" i="4"/>
  <c r="H14" i="4"/>
  <c r="G13" i="4"/>
  <c r="E13" i="4"/>
  <c r="F13" i="4"/>
  <c r="G12" i="4"/>
  <c r="E12" i="4"/>
  <c r="H12" i="4"/>
  <c r="G11" i="4"/>
  <c r="E11" i="4"/>
  <c r="F11" i="4"/>
  <c r="G10" i="4"/>
  <c r="E10" i="4"/>
  <c r="H10" i="4"/>
  <c r="G9" i="4"/>
  <c r="E9" i="4"/>
  <c r="F9" i="4"/>
  <c r="G8" i="4"/>
  <c r="E8" i="4"/>
  <c r="H8" i="4"/>
  <c r="G7" i="4"/>
  <c r="E7" i="4"/>
  <c r="F7" i="4"/>
  <c r="G25" i="3"/>
  <c r="E25" i="3"/>
  <c r="F25" i="3"/>
  <c r="G24" i="3"/>
  <c r="E24" i="3"/>
  <c r="F24" i="3"/>
  <c r="G23" i="3"/>
  <c r="E23" i="3"/>
  <c r="F23" i="3"/>
  <c r="G22" i="3"/>
  <c r="H22" i="3"/>
  <c r="E22" i="3"/>
  <c r="F22" i="3"/>
  <c r="G21" i="3"/>
  <c r="E21" i="3"/>
  <c r="F21" i="3"/>
  <c r="G20" i="3"/>
  <c r="E20" i="3"/>
  <c r="F20" i="3"/>
  <c r="G19" i="3"/>
  <c r="E19" i="3"/>
  <c r="F19" i="3"/>
  <c r="G18" i="3"/>
  <c r="E18" i="3"/>
  <c r="F18" i="3"/>
  <c r="G17" i="3"/>
  <c r="E17" i="3"/>
  <c r="F17" i="3"/>
  <c r="G16" i="3"/>
  <c r="E16" i="3"/>
  <c r="F16" i="3"/>
  <c r="G15" i="3"/>
  <c r="E15" i="3"/>
  <c r="F15" i="3"/>
  <c r="G14" i="3"/>
  <c r="E14" i="3"/>
  <c r="F14" i="3"/>
  <c r="G13" i="3"/>
  <c r="E13" i="3"/>
  <c r="F13" i="3"/>
  <c r="G12" i="3"/>
  <c r="E12" i="3"/>
  <c r="F12" i="3"/>
  <c r="G11" i="3"/>
  <c r="E11" i="3"/>
  <c r="F11" i="3"/>
  <c r="G10" i="3"/>
  <c r="E10" i="3"/>
  <c r="F10" i="3"/>
  <c r="G9" i="3"/>
  <c r="E9" i="3"/>
  <c r="F9" i="3"/>
  <c r="G8" i="3"/>
  <c r="E8" i="3"/>
  <c r="F8" i="3"/>
  <c r="G7" i="3"/>
  <c r="E7" i="3"/>
  <c r="F7" i="3"/>
  <c r="G25" i="2"/>
  <c r="E25" i="2"/>
  <c r="F25" i="2"/>
  <c r="G24" i="2"/>
  <c r="E24" i="2"/>
  <c r="F24" i="2"/>
  <c r="G23" i="2"/>
  <c r="E23" i="2"/>
  <c r="G22" i="2"/>
  <c r="E22" i="2"/>
  <c r="F22" i="2"/>
  <c r="G21" i="2"/>
  <c r="E21" i="2"/>
  <c r="H21" i="2"/>
  <c r="G20" i="2"/>
  <c r="E20" i="2"/>
  <c r="F20" i="2"/>
  <c r="G19" i="2"/>
  <c r="E19" i="2"/>
  <c r="G18" i="2"/>
  <c r="E18" i="2"/>
  <c r="F18" i="2"/>
  <c r="G17" i="2"/>
  <c r="E17" i="2"/>
  <c r="F17" i="2"/>
  <c r="G16" i="2"/>
  <c r="E16" i="2"/>
  <c r="F16" i="2"/>
  <c r="G15" i="2"/>
  <c r="E15" i="2"/>
  <c r="F15" i="2"/>
  <c r="G14" i="2"/>
  <c r="E14" i="2"/>
  <c r="F14" i="2"/>
  <c r="G13" i="2"/>
  <c r="E13" i="2"/>
  <c r="F13" i="2"/>
  <c r="G12" i="2"/>
  <c r="E12" i="2"/>
  <c r="F12" i="2"/>
  <c r="G11" i="2"/>
  <c r="E11" i="2"/>
  <c r="F11" i="2"/>
  <c r="G10" i="2"/>
  <c r="E10" i="2"/>
  <c r="F10" i="2"/>
  <c r="G9" i="2"/>
  <c r="E9" i="2"/>
  <c r="F9" i="2"/>
  <c r="G8" i="2"/>
  <c r="E8" i="2"/>
  <c r="F8" i="2"/>
  <c r="G7" i="2"/>
  <c r="E7" i="2"/>
  <c r="F7" i="2"/>
  <c r="G24" i="14"/>
  <c r="E24" i="14"/>
  <c r="F24" i="14"/>
  <c r="G23" i="14"/>
  <c r="E23" i="14"/>
  <c r="F23" i="14"/>
  <c r="G22" i="14"/>
  <c r="E22" i="14"/>
  <c r="F22" i="14"/>
  <c r="G21" i="14"/>
  <c r="E21" i="14"/>
  <c r="F21" i="14"/>
  <c r="G20" i="14"/>
  <c r="E20" i="14"/>
  <c r="F20" i="14"/>
  <c r="G19" i="14"/>
  <c r="E19" i="14"/>
  <c r="F19" i="14"/>
  <c r="G18" i="14"/>
  <c r="E18" i="14"/>
  <c r="F18" i="14"/>
  <c r="G17" i="14"/>
  <c r="E17" i="14"/>
  <c r="F17" i="14"/>
  <c r="G16" i="14"/>
  <c r="E16" i="14"/>
  <c r="F16" i="14"/>
  <c r="G15" i="14"/>
  <c r="E15" i="14"/>
  <c r="F15" i="14"/>
  <c r="G14" i="14"/>
  <c r="E14" i="14"/>
  <c r="F14" i="14"/>
  <c r="G13" i="14"/>
  <c r="E13" i="14"/>
  <c r="F13" i="14"/>
  <c r="G12" i="14"/>
  <c r="E12" i="14"/>
  <c r="F12" i="14"/>
  <c r="G11" i="14"/>
  <c r="E11" i="14"/>
  <c r="F11" i="14"/>
  <c r="G10" i="14"/>
  <c r="E10" i="14"/>
  <c r="F10" i="14"/>
  <c r="G9" i="14"/>
  <c r="E9" i="14"/>
  <c r="F9" i="14"/>
  <c r="G8" i="14"/>
  <c r="E8" i="14"/>
  <c r="F8" i="14"/>
  <c r="G7" i="14"/>
  <c r="E7" i="14"/>
  <c r="F7" i="14"/>
  <c r="H7" i="5"/>
  <c r="H11" i="5"/>
  <c r="H15" i="5"/>
  <c r="H19" i="5"/>
  <c r="H23" i="5"/>
  <c r="H25" i="5"/>
  <c r="F8" i="5"/>
  <c r="F10" i="5"/>
  <c r="F12" i="5"/>
  <c r="F14" i="5"/>
  <c r="F16" i="5"/>
  <c r="F18" i="5"/>
  <c r="F20" i="5"/>
  <c r="F22" i="5"/>
  <c r="F24" i="5"/>
  <c r="H7" i="12"/>
  <c r="H11" i="12"/>
  <c r="H15" i="12"/>
  <c r="H19" i="12"/>
  <c r="H23" i="12"/>
  <c r="H21" i="12"/>
  <c r="H22" i="12"/>
  <c r="H9" i="12"/>
  <c r="F8" i="12"/>
  <c r="F10" i="12"/>
  <c r="F12" i="12"/>
  <c r="F14" i="12"/>
  <c r="F16" i="12"/>
  <c r="F18" i="12"/>
  <c r="F20" i="12"/>
  <c r="F22" i="12"/>
  <c r="F24" i="12"/>
  <c r="H8" i="13"/>
  <c r="H12" i="13"/>
  <c r="H16" i="13"/>
  <c r="H24" i="13"/>
  <c r="H7" i="13"/>
  <c r="H11" i="13"/>
  <c r="H15" i="13"/>
  <c r="H19" i="13"/>
  <c r="H23" i="13"/>
  <c r="H20" i="13"/>
  <c r="H9" i="13"/>
  <c r="H13" i="13"/>
  <c r="H17" i="13"/>
  <c r="H21" i="13"/>
  <c r="H25" i="13"/>
  <c r="H22" i="13"/>
  <c r="H26" i="13"/>
  <c r="H10" i="11"/>
  <c r="H14" i="11"/>
  <c r="H18" i="11"/>
  <c r="H22" i="11"/>
  <c r="H7" i="11"/>
  <c r="H11" i="11"/>
  <c r="H15" i="11"/>
  <c r="H19" i="11"/>
  <c r="H23" i="11"/>
  <c r="H8" i="11"/>
  <c r="H12" i="11"/>
  <c r="H16" i="11"/>
  <c r="H20" i="11"/>
  <c r="H24" i="11"/>
  <c r="H20" i="10"/>
  <c r="H21" i="10"/>
  <c r="H10" i="10"/>
  <c r="H14" i="10"/>
  <c r="H18" i="10"/>
  <c r="H22" i="10"/>
  <c r="H24" i="10"/>
  <c r="F7" i="10"/>
  <c r="F9" i="10"/>
  <c r="F11" i="10"/>
  <c r="F13" i="10"/>
  <c r="F15" i="10"/>
  <c r="F17" i="10"/>
  <c r="F19" i="10"/>
  <c r="F21" i="10"/>
  <c r="F23" i="10"/>
  <c r="H9" i="9"/>
  <c r="H13" i="9"/>
  <c r="H10" i="9"/>
  <c r="H14" i="9"/>
  <c r="H18" i="9"/>
  <c r="H22" i="9"/>
  <c r="H21" i="9"/>
  <c r="H17" i="9"/>
  <c r="H7" i="9"/>
  <c r="H11" i="9"/>
  <c r="H15" i="9"/>
  <c r="H19" i="9"/>
  <c r="H23" i="9"/>
  <c r="H8" i="9"/>
  <c r="H12" i="9"/>
  <c r="H16" i="9"/>
  <c r="H20" i="9"/>
  <c r="H24" i="9"/>
  <c r="H13" i="8"/>
  <c r="H17" i="8"/>
  <c r="H7" i="8"/>
  <c r="H11" i="8"/>
  <c r="H15" i="8"/>
  <c r="H19" i="8"/>
  <c r="H23" i="8"/>
  <c r="H21" i="8"/>
  <c r="H10" i="8"/>
  <c r="H14" i="8"/>
  <c r="H18" i="8"/>
  <c r="H22" i="8"/>
  <c r="H8" i="8"/>
  <c r="H12" i="8"/>
  <c r="H16" i="8"/>
  <c r="H20" i="8"/>
  <c r="H24" i="8"/>
  <c r="H10" i="7"/>
  <c r="H14" i="7"/>
  <c r="H18" i="7"/>
  <c r="H22" i="7"/>
  <c r="H7" i="7"/>
  <c r="H11" i="7"/>
  <c r="H15" i="7"/>
  <c r="H19" i="7"/>
  <c r="H23" i="7"/>
  <c r="H24" i="7"/>
  <c r="H9" i="7"/>
  <c r="H13" i="7"/>
  <c r="H17" i="7"/>
  <c r="H21" i="7"/>
  <c r="H8" i="7"/>
  <c r="H20" i="7"/>
  <c r="H8" i="6"/>
  <c r="H19" i="6"/>
  <c r="H16" i="6"/>
  <c r="H9" i="6"/>
  <c r="H24" i="6"/>
  <c r="H22" i="6"/>
  <c r="H13" i="6"/>
  <c r="H7" i="6"/>
  <c r="H10" i="6"/>
  <c r="H23" i="6"/>
  <c r="H17" i="6"/>
  <c r="H20" i="6"/>
  <c r="H11" i="6"/>
  <c r="H14" i="6"/>
  <c r="H15" i="6"/>
  <c r="H12" i="6"/>
  <c r="H7" i="4"/>
  <c r="H11" i="4"/>
  <c r="H15" i="4"/>
  <c r="H19" i="4"/>
  <c r="H23" i="4"/>
  <c r="H9" i="4"/>
  <c r="H13" i="4"/>
  <c r="H17" i="4"/>
  <c r="H21" i="4"/>
  <c r="H25" i="4"/>
  <c r="F8" i="4"/>
  <c r="F10" i="4"/>
  <c r="F12" i="4"/>
  <c r="F14" i="4"/>
  <c r="F16" i="4"/>
  <c r="F18" i="4"/>
  <c r="F20" i="4"/>
  <c r="F22" i="4"/>
  <c r="F24" i="4"/>
  <c r="H11" i="3"/>
  <c r="H19" i="3"/>
  <c r="H16" i="3"/>
  <c r="H13" i="3"/>
  <c r="H7" i="3"/>
  <c r="H10" i="3"/>
  <c r="H23" i="3"/>
  <c r="H17" i="3"/>
  <c r="H20" i="3"/>
  <c r="H14" i="3"/>
  <c r="H8" i="3"/>
  <c r="H21" i="3"/>
  <c r="H24" i="3"/>
  <c r="H15" i="3"/>
  <c r="H18" i="3"/>
  <c r="H9" i="3"/>
  <c r="H12" i="3"/>
  <c r="H25" i="3"/>
  <c r="H19" i="2"/>
  <c r="H23" i="2"/>
  <c r="H9" i="2"/>
  <c r="H17" i="2"/>
  <c r="H25" i="2"/>
  <c r="H10" i="2"/>
  <c r="H14" i="2"/>
  <c r="H18" i="2"/>
  <c r="H22" i="2"/>
  <c r="H7" i="2"/>
  <c r="H11" i="2"/>
  <c r="H15" i="2"/>
  <c r="H8" i="2"/>
  <c r="H12" i="2"/>
  <c r="H16" i="2"/>
  <c r="H20" i="2"/>
  <c r="H24" i="2"/>
  <c r="H13" i="2"/>
  <c r="F19" i="2"/>
  <c r="F21" i="2"/>
  <c r="F23" i="2"/>
  <c r="H8" i="14"/>
  <c r="H21" i="14"/>
  <c r="H10" i="14"/>
  <c r="H14" i="14"/>
  <c r="H18" i="14"/>
  <c r="H22" i="14"/>
  <c r="H13" i="14"/>
  <c r="H9" i="14"/>
  <c r="H7" i="14"/>
  <c r="H11" i="14"/>
  <c r="H15" i="14"/>
  <c r="H19" i="14"/>
  <c r="H23" i="14"/>
  <c r="H17" i="14"/>
  <c r="H12" i="14"/>
  <c r="H16" i="14"/>
  <c r="H20" i="14"/>
  <c r="H24" i="14"/>
  <c r="H1" i="14"/>
  <c r="E3" i="14"/>
  <c r="E3" i="11"/>
  <c r="H1" i="11"/>
  <c r="E3" i="5"/>
  <c r="E3" i="12"/>
  <c r="E3" i="13"/>
  <c r="E3" i="10"/>
  <c r="E3" i="9"/>
  <c r="E3" i="8"/>
  <c r="E3" i="4"/>
  <c r="H1" i="8"/>
  <c r="H1" i="13"/>
  <c r="H1" i="12"/>
  <c r="H1" i="5"/>
  <c r="H1" i="10"/>
  <c r="H1" i="9"/>
  <c r="H1" i="7"/>
  <c r="E3" i="7"/>
  <c r="H1" i="6"/>
  <c r="E3" i="6"/>
  <c r="H1" i="4"/>
  <c r="H1" i="3"/>
  <c r="E3" i="3"/>
  <c r="E3" i="2"/>
  <c r="H1" i="2"/>
</calcChain>
</file>

<file path=xl/sharedStrings.xml><?xml version="1.0" encoding="utf-8"?>
<sst xmlns="http://schemas.openxmlformats.org/spreadsheetml/2006/main" count="402" uniqueCount="32">
  <si>
    <t>GARRETT ELEMENTARY</t>
  </si>
  <si>
    <t>Estimated $ Missed Annually</t>
  </si>
  <si>
    <t>District Goal</t>
  </si>
  <si>
    <r>
      <rPr>
        <b/>
        <u/>
        <sz val="12"/>
        <color rgb="FFFFFFFF"/>
        <rFont val="Arial"/>
        <family val="2"/>
      </rPr>
      <t>Campus Teams</t>
    </r>
    <r>
      <rPr>
        <sz val="12"/>
        <color rgb="FFFFFFFF"/>
        <rFont val="Arial"/>
        <family val="2"/>
      </rPr>
      <t xml:space="preserve">
</t>
    </r>
    <r>
      <rPr>
        <b/>
        <sz val="12"/>
        <color rgb="FFFFFF00"/>
        <rFont val="Arial"/>
        <family val="2"/>
      </rPr>
      <t>HIGHLIGHTED CELLS INDICATE # OF STUDENTS ABSENT ABOVE DISTRICT GOAL</t>
    </r>
  </si>
  <si>
    <t>Estimated $ Per Student</t>
  </si>
  <si>
    <t>Date</t>
  </si>
  <si>
    <t>Day of the Week</t>
  </si>
  <si>
    <t>Campus ADA %</t>
  </si>
  <si>
    <t xml:space="preserve">Enrollment </t>
  </si>
  <si>
    <t># Students Absent</t>
  </si>
  <si>
    <t xml:space="preserve">Estimated $ Missed </t>
  </si>
  <si>
    <t>DISTRICTS # ABS GOAL</t>
  </si>
  <si>
    <t>Tuesday</t>
  </si>
  <si>
    <t>Wednesday</t>
  </si>
  <si>
    <t>Thursday</t>
  </si>
  <si>
    <t>Friday</t>
  </si>
  <si>
    <t>Monday</t>
  </si>
  <si>
    <t>SHELDON ECA</t>
  </si>
  <si>
    <t>CRAVENS ECA</t>
  </si>
  <si>
    <t>SHELDON ELEMENTARY</t>
  </si>
  <si>
    <t>MONAHAN ELEMENTARY</t>
  </si>
  <si>
    <t xml:space="preserve">                                                                                              </t>
  </si>
  <si>
    <t>CARROLL ELEMENTARY</t>
  </si>
  <si>
    <t>ROYALWOOD ELEMENTARY</t>
  </si>
  <si>
    <t>SHELDON LAKE ELEMENTARY</t>
  </si>
  <si>
    <t>KING MIDDLE SCHOOL</t>
  </si>
  <si>
    <t xml:space="preserve">                                                     </t>
  </si>
  <si>
    <t>NULL MIDDLE SCHOOL</t>
  </si>
  <si>
    <t>9TH GRADE CENTER</t>
  </si>
  <si>
    <t>KING HIGH SCHOOL</t>
  </si>
  <si>
    <t>EARLY COLLEGE HIGH SCHOOL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</si>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</sst>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&quot;$&quot;#,##0.00"/>
  </numFmts>
  <fonts count="17" x14ac:knownFonts="1">
    <font>
      <sz val="12"/>
      <color theme="1"/>
      <name val="Calibri"/>
      <family val="2"/>
      <scheme val="minor"/>
    </font>
    <font>
      <sz val="21"/>
      <color rgb="FF073763"/>
      <name val="Calibri"/>
      <family val="2"/>
      <scheme val="minor"/>
    </font>
    <font>
      <sz val="12"/>
      <color rgb="FFFFFFFF"/>
      <name val="Calibri"/>
      <family val="2"/>
      <scheme val="minor"/>
    </font>
    <font>
      <b/>
      <u/>
      <sz val="12"/>
      <color rgb="FFFFFFFF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Arial"/>
      <family val="2"/>
    </font>
    <font>
      <b/>
      <u/>
      <sz val="12"/>
      <color rgb="FFFFFFFF"/>
      <name val="Arial"/>
      <family val="2"/>
    </font>
    <font>
      <sz val="12"/>
      <color rgb="FFFFFFFF"/>
      <name val="Arial"/>
      <family val="2"/>
    </font>
    <font>
      <b/>
      <sz val="12"/>
      <color rgb="FFFFFF00"/>
      <name val="Arial"/>
      <family val="2"/>
    </font>
    <font>
      <sz val="19"/>
      <color rgb="FFFFFFFF"/>
      <name val="Calibri"/>
      <family val="2"/>
      <scheme val="minor"/>
    </font>
    <font>
      <sz val="36"/>
      <color rgb="FFFFFFFF"/>
      <name val="Calibri"/>
      <family val="2"/>
      <scheme val="minor"/>
    </font>
    <font>
      <sz val="21"/>
      <color rgb="FFFFFFFF"/>
      <name val="Calibri"/>
      <family val="2"/>
      <scheme val="minor"/>
    </font>
    <font>
      <sz val="9"/>
      <color rgb="FFFFFFFF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Calibri"/>
    </font>
    <font>
      <sz val="10"/>
      <color theme="1"/>
      <name val="Calibri"/>
      <scheme val="minor"/>
    </font>
    <font>
      <sz val="10"/>
      <color rgb="FFFFFFF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0B5394"/>
        <bgColor rgb="FF0B5394"/>
      </patternFill>
    </fill>
    <fill>
      <patternFill patternType="solid">
        <fgColor rgb="FFCCCCCC"/>
        <bgColor rgb="FFCCCCCC"/>
      </patternFill>
    </fill>
    <fill>
      <patternFill patternType="solid">
        <fgColor rgb="FFE06666"/>
        <bgColor rgb="FFE06666"/>
      </patternFill>
    </fill>
    <fill>
      <patternFill patternType="solid">
        <fgColor rgb="FF073763"/>
        <bgColor rgb="FF073763"/>
      </patternFill>
    </fill>
    <fill>
      <patternFill patternType="solid">
        <fgColor rgb="FFD9EAD3"/>
        <bgColor rgb="FFD9EAD3"/>
      </patternFill>
    </fill>
  </fills>
  <borders count="12">
    <border>
      <left/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 style="thick">
        <color rgb="FF073763"/>
      </left>
      <right/>
      <top style="thick">
        <color rgb="FF073763"/>
      </top>
      <bottom style="thick">
        <color rgb="FF073763"/>
      </bottom>
      <diagonal/>
    </border>
    <border>
      <left/>
      <right/>
      <top style="thick">
        <color rgb="FF073763"/>
      </top>
      <bottom style="thick">
        <color rgb="FF073763"/>
      </bottom>
      <diagonal/>
    </border>
    <border>
      <left/>
      <right style="thick">
        <color rgb="FF073763"/>
      </right>
      <top style="thick">
        <color rgb="FF073763"/>
      </top>
      <bottom style="thick">
        <color rgb="FF073763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/>
      <top/>
      <bottom style="thick">
        <color rgb="FF073763"/>
      </bottom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64">
    <xf numFmtId="0" fontId="0" fillId="0" borderId="0" xfId="0"/>
    <xf numFmtId="4" fontId="3" fillId="3" borderId="0" xfId="0" applyNumberFormat="1" applyFont="1" applyFill="1" applyAlignment="1">
      <alignment horizontal="center"/>
    </xf>
    <xf numFmtId="3" fontId="4" fillId="4" borderId="0" xfId="0" applyNumberFormat="1" applyFont="1" applyFill="1"/>
    <xf numFmtId="0" fontId="12" fillId="5" borderId="5" xfId="0" applyFont="1" applyFill="1" applyBorder="1" applyAlignment="1">
      <alignment horizontal="center" wrapText="1"/>
    </xf>
    <xf numFmtId="0" fontId="12" fillId="5" borderId="6" xfId="0" applyFont="1" applyFill="1" applyBorder="1" applyAlignment="1">
      <alignment horizontal="center" wrapText="1"/>
    </xf>
    <xf numFmtId="10" fontId="12" fillId="5" borderId="6" xfId="0" applyNumberFormat="1" applyFont="1" applyFill="1" applyBorder="1" applyAlignment="1">
      <alignment horizontal="center" wrapText="1"/>
    </xf>
    <xf numFmtId="3" fontId="12" fillId="3" borderId="6" xfId="0" applyNumberFormat="1" applyFont="1" applyFill="1" applyBorder="1" applyAlignment="1">
      <alignment horizontal="center" wrapText="1"/>
    </xf>
    <xf numFmtId="3" fontId="12" fillId="3" borderId="7" xfId="0" applyNumberFormat="1" applyFont="1" applyFill="1" applyBorder="1" applyAlignment="1">
      <alignment horizontal="center" wrapText="1"/>
    </xf>
    <xf numFmtId="3" fontId="12" fillId="3" borderId="4" xfId="0" applyNumberFormat="1" applyFont="1" applyFill="1" applyBorder="1" applyAlignment="1">
      <alignment horizontal="center" wrapText="1"/>
    </xf>
    <xf numFmtId="3" fontId="12" fillId="3" borderId="10" xfId="0" applyNumberFormat="1" applyFont="1" applyFill="1" applyBorder="1" applyAlignment="1">
      <alignment horizontal="center" wrapText="1"/>
    </xf>
    <xf numFmtId="0" fontId="13" fillId="2" borderId="0" xfId="0" applyFont="1" applyFill="1"/>
    <xf numFmtId="0" fontId="13" fillId="2" borderId="0" xfId="0" applyFont="1" applyFill="1" applyAlignment="1">
      <alignment horizontal="center"/>
    </xf>
    <xf numFmtId="4" fontId="13" fillId="3" borderId="0" xfId="0" applyNumberFormat="1" applyFont="1" applyFill="1"/>
    <xf numFmtId="4" fontId="13" fillId="3" borderId="11" xfId="0" applyNumberFormat="1" applyFont="1" applyFill="1" applyBorder="1"/>
    <xf numFmtId="3" fontId="13" fillId="4" borderId="11" xfId="0" applyNumberFormat="1" applyFont="1" applyFill="1" applyBorder="1" applyAlignment="1">
      <alignment horizontal="right"/>
    </xf>
    <xf numFmtId="0" fontId="1" fillId="2" borderId="0" xfId="0" applyFont="1" applyFill="1" applyAlignment="1">
      <alignment horizontal="center"/>
    </xf>
    <xf numFmtId="4" fontId="2" fillId="3" borderId="0" xfId="0" applyNumberFormat="1" applyFont="1" applyFill="1" applyAlignment="1">
      <alignment horizontal="center"/>
    </xf>
    <xf numFmtId="4" fontId="3" fillId="3" borderId="2" xfId="0" applyNumberFormat="1" applyFont="1" applyFill="1" applyBorder="1" applyAlignment="1">
      <alignment horizontal="center"/>
    </xf>
    <xf numFmtId="3" fontId="15" fillId="6" borderId="4" xfId="0" applyNumberFormat="1" applyFont="1" applyFill="1" applyBorder="1"/>
    <xf numFmtId="165" fontId="15" fillId="6" borderId="0" xfId="0" applyNumberFormat="1" applyFont="1" applyFill="1"/>
    <xf numFmtId="3" fontId="15" fillId="3" borderId="4" xfId="0" applyNumberFormat="1" applyFont="1" applyFill="1" applyBorder="1"/>
    <xf numFmtId="3" fontId="15" fillId="3" borderId="1" xfId="0" applyNumberFormat="1" applyFont="1" applyFill="1" applyBorder="1"/>
    <xf numFmtId="14" fontId="14" fillId="0" borderId="0" xfId="0" applyNumberFormat="1" applyFont="1" applyAlignment="1">
      <alignment horizontal="center"/>
    </xf>
    <xf numFmtId="0" fontId="14" fillId="0" borderId="0" xfId="0" applyFont="1" applyAlignment="1">
      <alignment horizontal="center"/>
    </xf>
    <xf numFmtId="10" fontId="15" fillId="0" borderId="0" xfId="0" applyNumberFormat="1" applyFont="1" applyAlignment="1">
      <alignment horizontal="center"/>
    </xf>
    <xf numFmtId="0" fontId="15" fillId="0" borderId="0" xfId="0" applyFont="1"/>
    <xf numFmtId="14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0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3" fontId="15" fillId="3" borderId="1" xfId="0" applyNumberFormat="1" applyFont="1" applyFill="1" applyBorder="1" applyAlignment="1">
      <alignment horizontal="left"/>
    </xf>
    <xf numFmtId="14" fontId="14" fillId="7" borderId="0" xfId="0" applyNumberFormat="1" applyFont="1" applyFill="1" applyAlignment="1">
      <alignment horizontal="center"/>
    </xf>
    <xf numFmtId="0" fontId="14" fillId="7" borderId="0" xfId="0" applyFont="1" applyFill="1" applyAlignment="1">
      <alignment horizontal="center"/>
    </xf>
    <xf numFmtId="10" fontId="15" fillId="7" borderId="0" xfId="0" applyNumberFormat="1" applyFont="1" applyFill="1" applyAlignment="1">
      <alignment horizontal="center"/>
    </xf>
    <xf numFmtId="0" fontId="15" fillId="7" borderId="0" xfId="0" applyFont="1" applyFill="1"/>
    <xf numFmtId="0" fontId="15" fillId="7" borderId="0" xfId="0" applyFont="1" applyFill="1" applyAlignment="1">
      <alignment horizontal="center"/>
    </xf>
    <xf numFmtId="14" fontId="16" fillId="8" borderId="0" xfId="0" applyNumberFormat="1" applyFont="1" applyFill="1" applyAlignment="1">
      <alignment horizontal="center"/>
    </xf>
    <xf numFmtId="0" fontId="16" fillId="8" borderId="0" xfId="0" applyFont="1" applyFill="1" applyAlignment="1">
      <alignment horizontal="center"/>
    </xf>
    <xf numFmtId="10" fontId="15" fillId="8" borderId="0" xfId="0" applyNumberFormat="1" applyFont="1" applyFill="1" applyAlignment="1">
      <alignment horizontal="center"/>
    </xf>
    <xf numFmtId="0" fontId="15" fillId="8" borderId="0" xfId="0" applyFont="1" applyFill="1"/>
    <xf numFmtId="14" fontId="16" fillId="5" borderId="0" xfId="0" applyNumberFormat="1" applyFont="1" applyFill="1" applyAlignment="1">
      <alignment horizontal="center"/>
    </xf>
    <xf numFmtId="0" fontId="16" fillId="5" borderId="0" xfId="0" applyFont="1" applyFill="1" applyAlignment="1">
      <alignment horizontal="center"/>
    </xf>
    <xf numFmtId="10" fontId="15" fillId="5" borderId="0" xfId="0" applyNumberFormat="1" applyFont="1" applyFill="1" applyAlignment="1">
      <alignment horizontal="center"/>
    </xf>
    <xf numFmtId="0" fontId="15" fillId="5" borderId="0" xfId="0" applyFont="1" applyFill="1" applyAlignment="1">
      <alignment horizontal="center"/>
    </xf>
    <xf numFmtId="14" fontId="14" fillId="9" borderId="0" xfId="0" applyNumberFormat="1" applyFont="1" applyFill="1" applyAlignment="1">
      <alignment horizontal="center" vertical="center"/>
    </xf>
    <xf numFmtId="0" fontId="14" fillId="9" borderId="0" xfId="0" applyFont="1" applyFill="1" applyAlignment="1">
      <alignment horizontal="center" vertical="center"/>
    </xf>
    <xf numFmtId="10" fontId="15" fillId="9" borderId="0" xfId="0" applyNumberFormat="1" applyFont="1" applyFill="1" applyAlignment="1">
      <alignment horizontal="center" vertical="center"/>
    </xf>
    <xf numFmtId="0" fontId="15" fillId="9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0" fillId="0" borderId="0" xfId="0"/>
    <xf numFmtId="4" fontId="2" fillId="3" borderId="0" xfId="0" applyNumberFormat="1" applyFont="1" applyFill="1" applyAlignment="1">
      <alignment horizontal="center"/>
    </xf>
    <xf numFmtId="0" fontId="5" fillId="0" borderId="1" xfId="0" applyFont="1" applyBorder="1"/>
    <xf numFmtId="4" fontId="2" fillId="3" borderId="3" xfId="0" applyNumberFormat="1" applyFont="1" applyFill="1" applyBorder="1" applyAlignment="1">
      <alignment horizontal="center" wrapText="1"/>
    </xf>
    <xf numFmtId="164" fontId="9" fillId="3" borderId="0" xfId="0" applyNumberFormat="1" applyFont="1" applyFill="1" applyAlignment="1">
      <alignment horizontal="center"/>
    </xf>
    <xf numFmtId="9" fontId="10" fillId="3" borderId="4" xfId="0" applyNumberFormat="1" applyFont="1" applyFill="1" applyBorder="1" applyAlignment="1">
      <alignment horizontal="center"/>
    </xf>
    <xf numFmtId="0" fontId="5" fillId="0" borderId="4" xfId="0" applyFont="1" applyBorder="1"/>
    <xf numFmtId="4" fontId="2" fillId="3" borderId="0" xfId="0" applyNumberFormat="1" applyFont="1" applyFill="1" applyAlignment="1">
      <alignment horizontal="center" wrapText="1"/>
    </xf>
    <xf numFmtId="165" fontId="11" fillId="3" borderId="0" xfId="0" applyNumberFormat="1" applyFont="1" applyFill="1" applyAlignment="1">
      <alignment horizontal="center" wrapText="1"/>
    </xf>
    <xf numFmtId="4" fontId="3" fillId="3" borderId="2" xfId="0" applyNumberFormat="1" applyFont="1" applyFill="1" applyBorder="1" applyAlignment="1">
      <alignment horizontal="center"/>
    </xf>
    <xf numFmtId="0" fontId="5" fillId="0" borderId="3" xfId="0" applyFont="1" applyBorder="1"/>
    <xf numFmtId="164" fontId="9" fillId="3" borderId="4" xfId="0" applyNumberFormat="1" applyFont="1" applyFill="1" applyBorder="1" applyAlignment="1">
      <alignment horizontal="center"/>
    </xf>
    <xf numFmtId="4" fontId="3" fillId="3" borderId="4" xfId="0" applyNumberFormat="1" applyFont="1" applyFill="1" applyBorder="1" applyAlignment="1">
      <alignment horizontal="center" wrapText="1"/>
    </xf>
    <xf numFmtId="165" fontId="11" fillId="3" borderId="8" xfId="0" applyNumberFormat="1" applyFont="1" applyFill="1" applyBorder="1" applyAlignment="1">
      <alignment horizontal="center" wrapText="1"/>
    </xf>
    <xf numFmtId="0" fontId="5" fillId="0" borderId="9" xfId="0" applyFont="1" applyBorder="1"/>
  </cellXfs>
  <cellStyles count="1">
    <cellStyle name="Normal" xfId="0" builtinId="0"/>
  </cellStyles>
  <dxfs count="56">
    <dxf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AB1BF-A2C6-E14F-9EF1-3D66F3EDC7A7}">
  <dimension ref="A1:H24"/>
  <sheetViews>
    <sheetView topLeftCell="A6" zoomScale="200" workbookViewId="0">
      <selection activeCell="A25" sqref="A25:XFD1048576"/>
    </sheetView>
  </sheetViews>
  <sheetFormatPr defaultColWidth="11" defaultRowHeight="15.75" x14ac:dyDescent="0.25"/>
  <cols>
    <col min="5" max="5" width="10.875" customWidth="1"/>
    <col min="7" max="7" width="12.5" bestFit="1" customWidth="1"/>
  </cols>
  <sheetData>
    <row r="1" spans="1:8" ht="28.5" thickBot="1" x14ac:dyDescent="0.5">
      <c r="A1" s="15"/>
      <c r="B1" s="15"/>
      <c r="C1" s="15"/>
      <c r="D1" s="15"/>
      <c r="E1" s="16"/>
      <c r="F1" s="16"/>
      <c r="G1" s="1"/>
      <c r="H1" s="2" t="e">
        <f>SUM(#REF!)</f>
        <v>#REF!</v>
      </c>
    </row>
    <row r="2" spans="1:8" ht="16.5" thickTop="1" x14ac:dyDescent="0.25">
      <c r="A2" s="48" t="s">
        <v>0</v>
      </c>
      <c r="B2" s="49"/>
      <c r="C2" s="49"/>
      <c r="D2" s="49"/>
      <c r="E2" s="50" t="s">
        <v>1</v>
      </c>
      <c r="F2" s="51"/>
      <c r="G2" s="17" t="s">
        <v>2</v>
      </c>
      <c r="H2" s="52" t="s">
        <v>3</v>
      </c>
    </row>
    <row r="3" spans="1:8" ht="24.75" x14ac:dyDescent="0.4">
      <c r="A3" s="49"/>
      <c r="B3" s="49"/>
      <c r="C3" s="49"/>
      <c r="D3" s="49"/>
      <c r="E3" s="53" t="e">
        <f>SUM(#REF!)</f>
        <v>#REF!</v>
      </c>
      <c r="F3" s="51"/>
      <c r="G3" s="54">
        <v>0.95</v>
      </c>
      <c r="H3" s="51"/>
    </row>
    <row r="4" spans="1:8" x14ac:dyDescent="0.25">
      <c r="A4" s="49"/>
      <c r="B4" s="49"/>
      <c r="C4" s="49"/>
      <c r="D4" s="49"/>
      <c r="E4" s="56" t="s">
        <v>4</v>
      </c>
      <c r="F4" s="49"/>
      <c r="G4" s="55"/>
      <c r="H4" s="51"/>
    </row>
    <row r="5" spans="1:8" ht="19.5" thickBot="1" x14ac:dyDescent="0.5">
      <c r="A5" s="49"/>
      <c r="B5" s="49"/>
      <c r="C5" s="49"/>
      <c r="D5" s="49"/>
      <c r="E5" s="57">
        <v>55</v>
      </c>
      <c r="F5" s="49"/>
      <c r="G5" s="55"/>
      <c r="H5" s="51"/>
    </row>
    <row r="6" spans="1:8" ht="26.25" thickTop="1" thickBot="1" x14ac:dyDescent="0.3">
      <c r="A6" s="3" t="s">
        <v>5</v>
      </c>
      <c r="B6" s="4" t="s">
        <v>6</v>
      </c>
      <c r="C6" s="5" t="s">
        <v>7</v>
      </c>
      <c r="D6" s="4" t="s">
        <v>8</v>
      </c>
      <c r="E6" s="6" t="s">
        <v>9</v>
      </c>
      <c r="F6" s="7" t="s">
        <v>10</v>
      </c>
      <c r="G6" s="8" t="s">
        <v>11</v>
      </c>
      <c r="H6" s="51"/>
    </row>
    <row r="7" spans="1:8" ht="16.5" thickTop="1" x14ac:dyDescent="0.25">
      <c r="A7" s="31">
        <v>46013</v>
      </c>
      <c r="B7" s="32" t="s">
        <v>16</v>
      </c>
      <c r="C7" s="33"/>
      <c r="D7" s="34"/>
      <c r="E7" s="18">
        <f t="shared" ref="E7:E24" si="0">D7-(C7*D7)</f>
        <v>0</v>
      </c>
      <c r="F7" s="19">
        <f t="shared" ref="F7:F24" si="1">E7*$E$5</f>
        <v>0</v>
      </c>
      <c r="G7" s="20">
        <f t="shared" ref="G7:G24" si="2">D7-(D7*G$3)</f>
        <v>0</v>
      </c>
      <c r="H7" s="21">
        <f t="shared" ref="H7:H24" si="3">G7-E7</f>
        <v>0</v>
      </c>
    </row>
    <row r="8" spans="1:8" x14ac:dyDescent="0.25">
      <c r="A8" s="31">
        <v>46014</v>
      </c>
      <c r="B8" s="32" t="s">
        <v>12</v>
      </c>
      <c r="C8" s="33"/>
      <c r="D8" s="34"/>
      <c r="E8" s="18">
        <f t="shared" si="0"/>
        <v>0</v>
      </c>
      <c r="F8" s="19">
        <f t="shared" si="1"/>
        <v>0</v>
      </c>
      <c r="G8" s="20">
        <f t="shared" si="2"/>
        <v>0</v>
      </c>
      <c r="H8" s="21">
        <f t="shared" si="3"/>
        <v>0</v>
      </c>
    </row>
    <row r="9" spans="1:8" x14ac:dyDescent="0.25">
      <c r="A9" s="31">
        <v>46015</v>
      </c>
      <c r="B9" s="32" t="s">
        <v>13</v>
      </c>
      <c r="C9" s="33"/>
      <c r="D9" s="34"/>
      <c r="E9" s="18">
        <f t="shared" si="0"/>
        <v>0</v>
      </c>
      <c r="F9" s="19">
        <f t="shared" si="1"/>
        <v>0</v>
      </c>
      <c r="G9" s="20">
        <f t="shared" si="2"/>
        <v>0</v>
      </c>
      <c r="H9" s="21">
        <f t="shared" si="3"/>
        <v>0</v>
      </c>
    </row>
    <row r="10" spans="1:8" x14ac:dyDescent="0.25">
      <c r="A10" s="31">
        <v>46016</v>
      </c>
      <c r="B10" s="32" t="s">
        <v>14</v>
      </c>
      <c r="C10" s="33"/>
      <c r="D10" s="34"/>
      <c r="E10" s="18">
        <f t="shared" si="0"/>
        <v>0</v>
      </c>
      <c r="F10" s="19">
        <f t="shared" si="1"/>
        <v>0</v>
      </c>
      <c r="G10" s="20">
        <f t="shared" si="2"/>
        <v>0</v>
      </c>
      <c r="H10" s="21">
        <f t="shared" si="3"/>
        <v>0</v>
      </c>
    </row>
    <row r="11" spans="1:8" x14ac:dyDescent="0.25">
      <c r="A11" s="31">
        <v>46017</v>
      </c>
      <c r="B11" s="32" t="s">
        <v>15</v>
      </c>
      <c r="C11" s="33"/>
      <c r="D11" s="34"/>
      <c r="E11" s="18">
        <f t="shared" si="0"/>
        <v>0</v>
      </c>
      <c r="F11" s="19">
        <f t="shared" si="1"/>
        <v>0</v>
      </c>
      <c r="G11" s="20">
        <f t="shared" si="2"/>
        <v>0</v>
      </c>
      <c r="H11" s="21">
        <f t="shared" si="3"/>
        <v>0</v>
      </c>
    </row>
    <row r="12" spans="1:8" x14ac:dyDescent="0.25">
      <c r="A12" s="31">
        <v>46020</v>
      </c>
      <c r="B12" s="32" t="s">
        <v>16</v>
      </c>
      <c r="C12" s="33"/>
      <c r="D12" s="34"/>
      <c r="E12" s="18">
        <f t="shared" si="0"/>
        <v>0</v>
      </c>
      <c r="F12" s="19">
        <f t="shared" si="1"/>
        <v>0</v>
      </c>
      <c r="G12" s="20">
        <f t="shared" si="2"/>
        <v>0</v>
      </c>
      <c r="H12" s="21">
        <f t="shared" si="3"/>
        <v>0</v>
      </c>
    </row>
    <row r="13" spans="1:8" x14ac:dyDescent="0.25">
      <c r="A13" s="31">
        <v>46021</v>
      </c>
      <c r="B13" s="32" t="s">
        <v>12</v>
      </c>
      <c r="C13" s="33"/>
      <c r="D13" s="34"/>
      <c r="E13" s="18">
        <f t="shared" si="0"/>
        <v>0</v>
      </c>
      <c r="F13" s="19">
        <f t="shared" si="1"/>
        <v>0</v>
      </c>
      <c r="G13" s="20">
        <f t="shared" si="2"/>
        <v>0</v>
      </c>
      <c r="H13" s="21">
        <f t="shared" si="3"/>
        <v>0</v>
      </c>
    </row>
    <row r="14" spans="1:8" x14ac:dyDescent="0.25">
      <c r="A14" s="31">
        <v>46022</v>
      </c>
      <c r="B14" s="32" t="s">
        <v>13</v>
      </c>
      <c r="C14" s="33"/>
      <c r="D14" s="34"/>
      <c r="E14" s="18">
        <f t="shared" si="0"/>
        <v>0</v>
      </c>
      <c r="F14" s="19">
        <f t="shared" si="1"/>
        <v>0</v>
      </c>
      <c r="G14" s="20">
        <f t="shared" si="2"/>
        <v>0</v>
      </c>
      <c r="H14" s="21">
        <f t="shared" si="3"/>
        <v>0</v>
      </c>
    </row>
    <row r="15" spans="1:8" x14ac:dyDescent="0.25">
      <c r="A15" s="31">
        <v>46023</v>
      </c>
      <c r="B15" s="32" t="s">
        <v>14</v>
      </c>
      <c r="C15" s="33"/>
      <c r="D15" s="34"/>
      <c r="E15" s="18">
        <f t="shared" si="0"/>
        <v>0</v>
      </c>
      <c r="F15" s="19">
        <f t="shared" si="1"/>
        <v>0</v>
      </c>
      <c r="G15" s="20">
        <f t="shared" si="2"/>
        <v>0</v>
      </c>
      <c r="H15" s="21">
        <f t="shared" si="3"/>
        <v>0</v>
      </c>
    </row>
    <row r="16" spans="1:8" x14ac:dyDescent="0.25">
      <c r="A16" s="31">
        <v>46024</v>
      </c>
      <c r="B16" s="32" t="s">
        <v>15</v>
      </c>
      <c r="C16" s="33"/>
      <c r="D16" s="34"/>
      <c r="E16" s="18">
        <f t="shared" si="0"/>
        <v>0</v>
      </c>
      <c r="F16" s="19">
        <f t="shared" si="1"/>
        <v>0</v>
      </c>
      <c r="G16" s="20">
        <f t="shared" si="2"/>
        <v>0</v>
      </c>
      <c r="H16" s="21">
        <f t="shared" si="3"/>
        <v>0</v>
      </c>
    </row>
    <row r="17" spans="1:8" x14ac:dyDescent="0.25">
      <c r="A17" s="36">
        <v>46027</v>
      </c>
      <c r="B17" s="37" t="s">
        <v>16</v>
      </c>
      <c r="C17" s="38"/>
      <c r="D17" s="39"/>
      <c r="E17" s="18">
        <f t="shared" si="0"/>
        <v>0</v>
      </c>
      <c r="F17" s="19">
        <f t="shared" si="1"/>
        <v>0</v>
      </c>
      <c r="G17" s="20">
        <f t="shared" si="2"/>
        <v>0</v>
      </c>
      <c r="H17" s="21">
        <f t="shared" si="3"/>
        <v>0</v>
      </c>
    </row>
    <row r="18" spans="1:8" x14ac:dyDescent="0.25">
      <c r="A18" s="36">
        <v>46028</v>
      </c>
      <c r="B18" s="37" t="s">
        <v>12</v>
      </c>
      <c r="C18" s="38"/>
      <c r="D18" s="39"/>
      <c r="E18" s="18">
        <f t="shared" si="0"/>
        <v>0</v>
      </c>
      <c r="F18" s="19">
        <f t="shared" si="1"/>
        <v>0</v>
      </c>
      <c r="G18" s="20">
        <f t="shared" si="2"/>
        <v>0</v>
      </c>
      <c r="H18" s="21">
        <f t="shared" si="3"/>
        <v>0</v>
      </c>
    </row>
    <row r="19" spans="1:8" x14ac:dyDescent="0.25">
      <c r="A19" s="22">
        <v>46029</v>
      </c>
      <c r="B19" s="23" t="s">
        <v>13</v>
      </c>
      <c r="C19" s="24">
        <v>0.92569999999999997</v>
      </c>
      <c r="D19" s="25">
        <v>579</v>
      </c>
      <c r="E19" s="18">
        <f t="shared" si="0"/>
        <v>43.019700000000057</v>
      </c>
      <c r="F19" s="19">
        <f t="shared" si="1"/>
        <v>2366.0835000000034</v>
      </c>
      <c r="G19" s="20">
        <f t="shared" si="2"/>
        <v>28.950000000000045</v>
      </c>
      <c r="H19" s="21">
        <f t="shared" si="3"/>
        <v>-14.069700000000012</v>
      </c>
    </row>
    <row r="20" spans="1:8" x14ac:dyDescent="0.25">
      <c r="A20" s="22">
        <v>46030</v>
      </c>
      <c r="B20" s="23" t="s">
        <v>14</v>
      </c>
      <c r="C20" s="24">
        <v>0.93089999999999995</v>
      </c>
      <c r="D20" s="25">
        <v>579</v>
      </c>
      <c r="E20" s="18">
        <f t="shared" si="0"/>
        <v>40.00890000000004</v>
      </c>
      <c r="F20" s="19">
        <f t="shared" si="1"/>
        <v>2200.4895000000024</v>
      </c>
      <c r="G20" s="20">
        <f t="shared" si="2"/>
        <v>28.950000000000045</v>
      </c>
      <c r="H20" s="21">
        <f t="shared" si="3"/>
        <v>-11.058899999999994</v>
      </c>
    </row>
    <row r="21" spans="1:8" x14ac:dyDescent="0.25">
      <c r="A21" s="22">
        <v>46031</v>
      </c>
      <c r="B21" s="23" t="s">
        <v>15</v>
      </c>
      <c r="C21" s="24">
        <v>0.92230000000000001</v>
      </c>
      <c r="D21" s="25">
        <v>579</v>
      </c>
      <c r="E21" s="18">
        <f t="shared" si="0"/>
        <v>44.988299999999981</v>
      </c>
      <c r="F21" s="19">
        <f t="shared" si="1"/>
        <v>2474.356499999999</v>
      </c>
      <c r="G21" s="20">
        <f t="shared" si="2"/>
        <v>28.950000000000045</v>
      </c>
      <c r="H21" s="21">
        <f t="shared" si="3"/>
        <v>-16.038299999999936</v>
      </c>
    </row>
    <row r="22" spans="1:8" x14ac:dyDescent="0.25">
      <c r="A22" s="22">
        <v>46034</v>
      </c>
      <c r="B22" s="23" t="s">
        <v>16</v>
      </c>
      <c r="C22" s="24">
        <v>0.93940000000000001</v>
      </c>
      <c r="D22" s="25">
        <v>578</v>
      </c>
      <c r="E22" s="18">
        <f t="shared" si="0"/>
        <v>35.02679999999998</v>
      </c>
      <c r="F22" s="19">
        <f t="shared" si="1"/>
        <v>1926.4739999999988</v>
      </c>
      <c r="G22" s="20">
        <f t="shared" si="2"/>
        <v>28.899999999999977</v>
      </c>
      <c r="H22" s="21">
        <f t="shared" si="3"/>
        <v>-6.1268000000000029</v>
      </c>
    </row>
    <row r="23" spans="1:8" x14ac:dyDescent="0.25">
      <c r="A23" s="22">
        <v>46035</v>
      </c>
      <c r="B23" s="23" t="s">
        <v>12</v>
      </c>
      <c r="C23" s="24">
        <v>0.92910000000000004</v>
      </c>
      <c r="D23" s="25">
        <v>578</v>
      </c>
      <c r="E23" s="18">
        <f t="shared" si="0"/>
        <v>40.980199999999968</v>
      </c>
      <c r="F23" s="19">
        <f t="shared" si="1"/>
        <v>2253.9109999999982</v>
      </c>
      <c r="G23" s="20">
        <f t="shared" si="2"/>
        <v>28.899999999999977</v>
      </c>
      <c r="H23" s="21">
        <f t="shared" si="3"/>
        <v>-12.080199999999991</v>
      </c>
    </row>
    <row r="24" spans="1:8" x14ac:dyDescent="0.25">
      <c r="A24" s="22">
        <v>46036</v>
      </c>
      <c r="B24" s="23" t="s">
        <v>13</v>
      </c>
      <c r="C24" s="24">
        <v>0.94630000000000003</v>
      </c>
      <c r="D24" s="25">
        <v>577</v>
      </c>
      <c r="E24" s="18">
        <f t="shared" si="0"/>
        <v>30.984900000000039</v>
      </c>
      <c r="F24" s="19">
        <f t="shared" si="1"/>
        <v>1704.1695000000022</v>
      </c>
      <c r="G24" s="20">
        <f t="shared" si="2"/>
        <v>28.850000000000023</v>
      </c>
      <c r="H24" s="21">
        <f t="shared" si="3"/>
        <v>-2.134900000000016</v>
      </c>
    </row>
  </sheetData>
  <mergeCells count="7">
    <mergeCell ref="A2:D5"/>
    <mergeCell ref="E2:F2"/>
    <mergeCell ref="H2:H6"/>
    <mergeCell ref="E3:F3"/>
    <mergeCell ref="G3:G5"/>
    <mergeCell ref="E4:F4"/>
    <mergeCell ref="E5:F5"/>
  </mergeCells>
  <conditionalFormatting sqref="C1">
    <cfRule type="cellIs" dxfId="55" priority="28" operator="lessThan">
      <formula>"90%"</formula>
    </cfRule>
    <cfRule type="cellIs" dxfId="54" priority="29" operator="lessThan">
      <formula>"94%"</formula>
    </cfRule>
  </conditionalFormatting>
  <conditionalFormatting sqref="C6:C24">
    <cfRule type="cellIs" dxfId="53" priority="4" operator="lessThan">
      <formula>"92%"</formula>
    </cfRule>
  </conditionalFormatting>
  <conditionalFormatting sqref="C7:C24">
    <cfRule type="cellIs" dxfId="52" priority="1" operator="lessThan">
      <formula>"90%"</formula>
    </cfRule>
    <cfRule type="cellIs" dxfId="51" priority="2" operator="lessThan">
      <formula>"94%"</formula>
    </cfRule>
  </conditionalFormatting>
  <conditionalFormatting sqref="H1:H24">
    <cfRule type="cellIs" dxfId="50" priority="3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23B96-9D5F-1A4C-805E-61185EE45060}">
  <dimension ref="A1:H25"/>
  <sheetViews>
    <sheetView topLeftCell="A14" zoomScale="170" workbookViewId="0">
      <selection activeCell="A26" sqref="A26:XFD1048576"/>
    </sheetView>
  </sheetViews>
  <sheetFormatPr defaultColWidth="11" defaultRowHeight="15.75" x14ac:dyDescent="0.25"/>
  <cols>
    <col min="5" max="5" width="21" customWidth="1"/>
    <col min="6" max="6" width="21.125" customWidth="1"/>
    <col min="7" max="7" width="12.5" bestFit="1" customWidth="1"/>
    <col min="8" max="8" width="22.125" customWidth="1"/>
  </cols>
  <sheetData>
    <row r="1" spans="1:8" ht="28.5" thickBot="1" x14ac:dyDescent="0.5">
      <c r="A1" s="15"/>
      <c r="B1" s="15"/>
      <c r="C1" s="15"/>
      <c r="D1" s="15"/>
      <c r="E1" s="16"/>
      <c r="F1" s="16"/>
      <c r="G1" s="1"/>
      <c r="H1" s="2" t="e">
        <f>SUM(#REF!)</f>
        <v>#REF!</v>
      </c>
    </row>
    <row r="2" spans="1:8" ht="16.5" thickTop="1" x14ac:dyDescent="0.25">
      <c r="A2" s="48" t="s">
        <v>17</v>
      </c>
      <c r="B2" s="49"/>
      <c r="C2" s="49"/>
      <c r="D2" s="49"/>
      <c r="E2" s="50" t="s">
        <v>1</v>
      </c>
      <c r="F2" s="51"/>
      <c r="G2" s="17" t="s">
        <v>2</v>
      </c>
      <c r="H2" s="52" t="s">
        <v>3</v>
      </c>
    </row>
    <row r="3" spans="1:8" ht="24.75" x14ac:dyDescent="0.4">
      <c r="A3" s="49"/>
      <c r="B3" s="49"/>
      <c r="C3" s="49"/>
      <c r="D3" s="49"/>
      <c r="E3" s="53" t="e">
        <f>SUM(#REF!)</f>
        <v>#REF!</v>
      </c>
      <c r="F3" s="51"/>
      <c r="G3" s="54">
        <v>0.93</v>
      </c>
      <c r="H3" s="51"/>
    </row>
    <row r="4" spans="1:8" x14ac:dyDescent="0.25">
      <c r="A4" s="49"/>
      <c r="B4" s="49"/>
      <c r="C4" s="49"/>
      <c r="D4" s="49"/>
      <c r="E4" s="56" t="s">
        <v>4</v>
      </c>
      <c r="F4" s="49"/>
      <c r="G4" s="55"/>
      <c r="H4" s="51"/>
    </row>
    <row r="5" spans="1:8" ht="19.5" thickBot="1" x14ac:dyDescent="0.5">
      <c r="A5" s="49"/>
      <c r="B5" s="49"/>
      <c r="C5" s="49"/>
      <c r="D5" s="49"/>
      <c r="E5" s="57">
        <v>55</v>
      </c>
      <c r="F5" s="49"/>
      <c r="G5" s="55"/>
      <c r="H5" s="51"/>
    </row>
    <row r="6" spans="1:8" ht="26.25" thickTop="1" thickBot="1" x14ac:dyDescent="0.3">
      <c r="A6" s="3" t="s">
        <v>5</v>
      </c>
      <c r="B6" s="4" t="s">
        <v>6</v>
      </c>
      <c r="C6" s="5" t="s">
        <v>7</v>
      </c>
      <c r="D6" s="4" t="s">
        <v>8</v>
      </c>
      <c r="E6" s="6" t="s">
        <v>9</v>
      </c>
      <c r="F6" s="7" t="s">
        <v>10</v>
      </c>
      <c r="G6" s="8" t="s">
        <v>11</v>
      </c>
      <c r="H6" s="51"/>
    </row>
    <row r="7" spans="1:8" ht="16.5" thickTop="1" x14ac:dyDescent="0.25">
      <c r="A7" s="31">
        <v>46013</v>
      </c>
      <c r="B7" s="32" t="s">
        <v>16</v>
      </c>
      <c r="C7" s="33"/>
      <c r="D7" s="34"/>
      <c r="E7" s="18">
        <f t="shared" ref="E7:E25" si="0">D7-(C7*D7)</f>
        <v>0</v>
      </c>
      <c r="F7" s="19">
        <f t="shared" ref="F7:F25" si="1">E7*$E$5</f>
        <v>0</v>
      </c>
      <c r="G7" s="20">
        <f t="shared" ref="G7:G25" si="2">D7-(D7*G$3)</f>
        <v>0</v>
      </c>
      <c r="H7" s="21">
        <f t="shared" ref="H7:H25" si="3">G7-E7</f>
        <v>0</v>
      </c>
    </row>
    <row r="8" spans="1:8" x14ac:dyDescent="0.25">
      <c r="A8" s="31">
        <v>46014</v>
      </c>
      <c r="B8" s="32" t="s">
        <v>12</v>
      </c>
      <c r="C8" s="33"/>
      <c r="D8" s="34"/>
      <c r="E8" s="18">
        <f t="shared" si="0"/>
        <v>0</v>
      </c>
      <c r="F8" s="19">
        <f t="shared" si="1"/>
        <v>0</v>
      </c>
      <c r="G8" s="20">
        <f t="shared" si="2"/>
        <v>0</v>
      </c>
      <c r="H8" s="21">
        <f t="shared" si="3"/>
        <v>0</v>
      </c>
    </row>
    <row r="9" spans="1:8" x14ac:dyDescent="0.25">
      <c r="A9" s="31">
        <v>46015</v>
      </c>
      <c r="B9" s="32" t="s">
        <v>13</v>
      </c>
      <c r="C9" s="33"/>
      <c r="D9" s="34"/>
      <c r="E9" s="18">
        <f t="shared" si="0"/>
        <v>0</v>
      </c>
      <c r="F9" s="19">
        <f t="shared" si="1"/>
        <v>0</v>
      </c>
      <c r="G9" s="20">
        <f t="shared" si="2"/>
        <v>0</v>
      </c>
      <c r="H9" s="21">
        <f t="shared" si="3"/>
        <v>0</v>
      </c>
    </row>
    <row r="10" spans="1:8" x14ac:dyDescent="0.25">
      <c r="A10" s="31">
        <v>46016</v>
      </c>
      <c r="B10" s="32" t="s">
        <v>14</v>
      </c>
      <c r="C10" s="33"/>
      <c r="D10" s="34"/>
      <c r="E10" s="18">
        <f t="shared" si="0"/>
        <v>0</v>
      </c>
      <c r="F10" s="19">
        <f t="shared" si="1"/>
        <v>0</v>
      </c>
      <c r="G10" s="20">
        <f t="shared" si="2"/>
        <v>0</v>
      </c>
      <c r="H10" s="21">
        <f t="shared" si="3"/>
        <v>0</v>
      </c>
    </row>
    <row r="11" spans="1:8" x14ac:dyDescent="0.25">
      <c r="A11" s="31">
        <v>46017</v>
      </c>
      <c r="B11" s="32" t="s">
        <v>15</v>
      </c>
      <c r="C11" s="33"/>
      <c r="D11" s="34"/>
      <c r="E11" s="18">
        <f t="shared" si="0"/>
        <v>0</v>
      </c>
      <c r="F11" s="19">
        <f t="shared" si="1"/>
        <v>0</v>
      </c>
      <c r="G11" s="20">
        <f t="shared" si="2"/>
        <v>0</v>
      </c>
      <c r="H11" s="21">
        <f t="shared" si="3"/>
        <v>0</v>
      </c>
    </row>
    <row r="12" spans="1:8" x14ac:dyDescent="0.25">
      <c r="A12" s="31">
        <v>46020</v>
      </c>
      <c r="B12" s="32" t="s">
        <v>16</v>
      </c>
      <c r="C12" s="33"/>
      <c r="D12" s="34"/>
      <c r="E12" s="18">
        <f t="shared" si="0"/>
        <v>0</v>
      </c>
      <c r="F12" s="19">
        <f t="shared" si="1"/>
        <v>0</v>
      </c>
      <c r="G12" s="20">
        <f t="shared" si="2"/>
        <v>0</v>
      </c>
      <c r="H12" s="21">
        <f t="shared" si="3"/>
        <v>0</v>
      </c>
    </row>
    <row r="13" spans="1:8" x14ac:dyDescent="0.25">
      <c r="A13" s="31">
        <v>46021</v>
      </c>
      <c r="B13" s="32" t="s">
        <v>12</v>
      </c>
      <c r="C13" s="33"/>
      <c r="D13" s="34"/>
      <c r="E13" s="18">
        <f t="shared" si="0"/>
        <v>0</v>
      </c>
      <c r="F13" s="19">
        <f t="shared" si="1"/>
        <v>0</v>
      </c>
      <c r="G13" s="20">
        <f t="shared" si="2"/>
        <v>0</v>
      </c>
      <c r="H13" s="21">
        <f t="shared" si="3"/>
        <v>0</v>
      </c>
    </row>
    <row r="14" spans="1:8" x14ac:dyDescent="0.25">
      <c r="A14" s="31">
        <v>46022</v>
      </c>
      <c r="B14" s="32" t="s">
        <v>13</v>
      </c>
      <c r="C14" s="33"/>
      <c r="D14" s="34"/>
      <c r="E14" s="18">
        <f t="shared" si="0"/>
        <v>0</v>
      </c>
      <c r="F14" s="19">
        <f t="shared" si="1"/>
        <v>0</v>
      </c>
      <c r="G14" s="20">
        <f t="shared" si="2"/>
        <v>0</v>
      </c>
      <c r="H14" s="21">
        <f t="shared" si="3"/>
        <v>0</v>
      </c>
    </row>
    <row r="15" spans="1:8" x14ac:dyDescent="0.25">
      <c r="A15" s="31">
        <v>46023</v>
      </c>
      <c r="B15" s="32" t="s">
        <v>14</v>
      </c>
      <c r="C15" s="33"/>
      <c r="D15" s="34"/>
      <c r="E15" s="18">
        <f t="shared" si="0"/>
        <v>0</v>
      </c>
      <c r="F15" s="19">
        <f t="shared" si="1"/>
        <v>0</v>
      </c>
      <c r="G15" s="20">
        <f t="shared" si="2"/>
        <v>0</v>
      </c>
      <c r="H15" s="21">
        <f t="shared" si="3"/>
        <v>0</v>
      </c>
    </row>
    <row r="16" spans="1:8" x14ac:dyDescent="0.25">
      <c r="A16" s="31">
        <v>46024</v>
      </c>
      <c r="B16" s="32" t="s">
        <v>15</v>
      </c>
      <c r="C16" s="33"/>
      <c r="D16" s="34"/>
      <c r="E16" s="18">
        <f t="shared" si="0"/>
        <v>0</v>
      </c>
      <c r="F16" s="19">
        <f t="shared" si="1"/>
        <v>0</v>
      </c>
      <c r="G16" s="20">
        <f t="shared" si="2"/>
        <v>0</v>
      </c>
      <c r="H16" s="21">
        <f t="shared" si="3"/>
        <v>0</v>
      </c>
    </row>
    <row r="17" spans="1:8" x14ac:dyDescent="0.25">
      <c r="A17" s="36">
        <v>46027</v>
      </c>
      <c r="B17" s="37" t="s">
        <v>16</v>
      </c>
      <c r="C17" s="38"/>
      <c r="D17" s="39"/>
      <c r="E17" s="18">
        <f t="shared" si="0"/>
        <v>0</v>
      </c>
      <c r="F17" s="19">
        <f t="shared" si="1"/>
        <v>0</v>
      </c>
      <c r="G17" s="20">
        <f t="shared" si="2"/>
        <v>0</v>
      </c>
      <c r="H17" s="21">
        <f t="shared" si="3"/>
        <v>0</v>
      </c>
    </row>
    <row r="18" spans="1:8" x14ac:dyDescent="0.25">
      <c r="A18" s="36">
        <v>46028</v>
      </c>
      <c r="B18" s="37" t="s">
        <v>12</v>
      </c>
      <c r="C18" s="38"/>
      <c r="D18" s="39"/>
      <c r="E18" s="18">
        <f t="shared" si="0"/>
        <v>0</v>
      </c>
      <c r="F18" s="19">
        <f t="shared" si="1"/>
        <v>0</v>
      </c>
      <c r="G18" s="20">
        <f t="shared" si="2"/>
        <v>0</v>
      </c>
      <c r="H18" s="21">
        <f t="shared" si="3"/>
        <v>0</v>
      </c>
    </row>
    <row r="19" spans="1:8" x14ac:dyDescent="0.25">
      <c r="A19" s="22">
        <v>46029</v>
      </c>
      <c r="B19" s="23" t="s">
        <v>13</v>
      </c>
      <c r="C19" s="24">
        <v>0.93330000000000002</v>
      </c>
      <c r="D19" s="25">
        <v>528</v>
      </c>
      <c r="E19" s="18">
        <f t="shared" si="0"/>
        <v>35.217600000000004</v>
      </c>
      <c r="F19" s="19">
        <f t="shared" si="1"/>
        <v>1936.9680000000003</v>
      </c>
      <c r="G19" s="20">
        <f t="shared" si="2"/>
        <v>36.95999999999998</v>
      </c>
      <c r="H19" s="21">
        <f t="shared" si="3"/>
        <v>1.7423999999999751</v>
      </c>
    </row>
    <row r="20" spans="1:8" x14ac:dyDescent="0.25">
      <c r="A20" s="22">
        <v>46030</v>
      </c>
      <c r="B20" s="23" t="s">
        <v>14</v>
      </c>
      <c r="C20" s="24">
        <v>0.92320000000000002</v>
      </c>
      <c r="D20" s="25">
        <v>530</v>
      </c>
      <c r="E20" s="18">
        <f t="shared" si="0"/>
        <v>40.704000000000008</v>
      </c>
      <c r="F20" s="19">
        <f t="shared" si="1"/>
        <v>2238.7200000000003</v>
      </c>
      <c r="G20" s="20">
        <f t="shared" si="2"/>
        <v>37.099999999999966</v>
      </c>
      <c r="H20" s="21">
        <f t="shared" si="3"/>
        <v>-3.6040000000000418</v>
      </c>
    </row>
    <row r="21" spans="1:8" x14ac:dyDescent="0.25">
      <c r="A21" s="22">
        <v>46031</v>
      </c>
      <c r="B21" s="23" t="s">
        <v>15</v>
      </c>
      <c r="C21" s="24">
        <v>0.90800000000000003</v>
      </c>
      <c r="D21" s="25">
        <v>530</v>
      </c>
      <c r="E21" s="18">
        <f t="shared" si="0"/>
        <v>48.759999999999991</v>
      </c>
      <c r="F21" s="19">
        <f t="shared" si="1"/>
        <v>2681.7999999999993</v>
      </c>
      <c r="G21" s="20">
        <f t="shared" si="2"/>
        <v>37.099999999999966</v>
      </c>
      <c r="H21" s="21">
        <f t="shared" si="3"/>
        <v>-11.660000000000025</v>
      </c>
    </row>
    <row r="22" spans="1:8" x14ac:dyDescent="0.25">
      <c r="A22" s="22">
        <v>46034</v>
      </c>
      <c r="B22" s="23" t="s">
        <v>16</v>
      </c>
      <c r="C22" s="24">
        <v>0.94189999999999996</v>
      </c>
      <c r="D22" s="25">
        <v>532</v>
      </c>
      <c r="E22" s="18">
        <f t="shared" si="0"/>
        <v>30.909199999999998</v>
      </c>
      <c r="F22" s="19">
        <f t="shared" si="1"/>
        <v>1700.0059999999999</v>
      </c>
      <c r="G22" s="20">
        <f t="shared" si="2"/>
        <v>37.239999999999952</v>
      </c>
      <c r="H22" s="21">
        <f t="shared" si="3"/>
        <v>6.3307999999999538</v>
      </c>
    </row>
    <row r="23" spans="1:8" x14ac:dyDescent="0.25">
      <c r="A23" s="22">
        <v>46035</v>
      </c>
      <c r="B23" s="23" t="s">
        <v>12</v>
      </c>
      <c r="C23" s="24">
        <v>0.93379999999999996</v>
      </c>
      <c r="D23" s="25">
        <v>532</v>
      </c>
      <c r="E23" s="18">
        <f t="shared" si="0"/>
        <v>35.218400000000031</v>
      </c>
      <c r="F23" s="19">
        <f t="shared" si="1"/>
        <v>1937.0120000000018</v>
      </c>
      <c r="G23" s="20">
        <f t="shared" si="2"/>
        <v>37.239999999999952</v>
      </c>
      <c r="H23" s="21">
        <f t="shared" si="3"/>
        <v>2.0215999999999212</v>
      </c>
    </row>
    <row r="24" spans="1:8" x14ac:dyDescent="0.25">
      <c r="A24" s="22">
        <v>46036</v>
      </c>
      <c r="B24" s="23" t="s">
        <v>13</v>
      </c>
      <c r="C24" s="24">
        <v>0.94920000000000004</v>
      </c>
      <c r="D24" s="25">
        <v>534</v>
      </c>
      <c r="E24" s="18">
        <f t="shared" si="0"/>
        <v>27.127199999999959</v>
      </c>
      <c r="F24" s="19">
        <f t="shared" si="1"/>
        <v>1491.9959999999978</v>
      </c>
      <c r="G24" s="20">
        <f t="shared" si="2"/>
        <v>37.379999999999995</v>
      </c>
      <c r="H24" s="21">
        <f t="shared" si="3"/>
        <v>10.252800000000036</v>
      </c>
    </row>
    <row r="25" spans="1:8" x14ac:dyDescent="0.25">
      <c r="A25" s="22">
        <v>46037</v>
      </c>
      <c r="B25" s="23" t="s">
        <v>14</v>
      </c>
      <c r="C25" s="24">
        <v>0.95960000000000001</v>
      </c>
      <c r="D25" s="25">
        <v>534</v>
      </c>
      <c r="E25" s="18">
        <f t="shared" si="0"/>
        <v>21.573599999999942</v>
      </c>
      <c r="F25" s="19">
        <f t="shared" si="1"/>
        <v>1186.5479999999968</v>
      </c>
      <c r="G25" s="20">
        <f t="shared" si="2"/>
        <v>37.379999999999995</v>
      </c>
      <c r="H25" s="21">
        <f t="shared" si="3"/>
        <v>15.806400000000053</v>
      </c>
    </row>
  </sheetData>
  <mergeCells count="7">
    <mergeCell ref="A2:D5"/>
    <mergeCell ref="E2:F2"/>
    <mergeCell ref="H2:H6"/>
    <mergeCell ref="E3:F3"/>
    <mergeCell ref="G3:G5"/>
    <mergeCell ref="E4:F4"/>
    <mergeCell ref="E5:F5"/>
  </mergeCells>
  <conditionalFormatting sqref="C6:C25">
    <cfRule type="cellIs" dxfId="49" priority="4" operator="lessThan">
      <formula>"92%"</formula>
    </cfRule>
  </conditionalFormatting>
  <conditionalFormatting sqref="C7:C25">
    <cfRule type="cellIs" dxfId="48" priority="1" operator="lessThan">
      <formula>"90%"</formula>
    </cfRule>
    <cfRule type="cellIs" dxfId="47" priority="2" operator="lessThan">
      <formula>"94%"</formula>
    </cfRule>
  </conditionalFormatting>
  <conditionalFormatting sqref="H1:H25">
    <cfRule type="cellIs" dxfId="46" priority="3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F91CF-DAC8-274A-A016-FE09FBA26695}">
  <dimension ref="A1:H25"/>
  <sheetViews>
    <sheetView topLeftCell="A3" zoomScale="179" workbookViewId="0">
      <selection activeCell="A26" sqref="A26:XFD1048576"/>
    </sheetView>
  </sheetViews>
  <sheetFormatPr defaultColWidth="11" defaultRowHeight="15.75" x14ac:dyDescent="0.25"/>
  <cols>
    <col min="5" max="5" width="7.625" bestFit="1" customWidth="1"/>
    <col min="6" max="6" width="18" customWidth="1"/>
    <col min="7" max="7" width="12.5" bestFit="1" customWidth="1"/>
    <col min="8" max="8" width="30.5" customWidth="1"/>
  </cols>
  <sheetData>
    <row r="1" spans="1:8" ht="28.5" thickBot="1" x14ac:dyDescent="0.5">
      <c r="A1" s="15"/>
      <c r="B1" s="15"/>
      <c r="C1" s="15"/>
      <c r="D1" s="15"/>
      <c r="E1" s="16"/>
      <c r="F1" s="16"/>
      <c r="G1" s="1"/>
      <c r="H1" s="2" t="e">
        <f>SUM(#REF!)</f>
        <v>#REF!</v>
      </c>
    </row>
    <row r="2" spans="1:8" ht="24.95" customHeight="1" thickTop="1" x14ac:dyDescent="0.25">
      <c r="A2" s="48" t="s">
        <v>18</v>
      </c>
      <c r="B2" s="49"/>
      <c r="C2" s="49"/>
      <c r="D2" s="49"/>
      <c r="E2" s="58" t="s">
        <v>1</v>
      </c>
      <c r="F2" s="59"/>
      <c r="G2" s="17" t="s">
        <v>2</v>
      </c>
      <c r="H2" s="52" t="s">
        <v>3</v>
      </c>
    </row>
    <row r="3" spans="1:8" ht="24.75" x14ac:dyDescent="0.4">
      <c r="A3" s="49"/>
      <c r="B3" s="49"/>
      <c r="C3" s="49"/>
      <c r="D3" s="49"/>
      <c r="E3" s="60" t="e">
        <f>SUM(#REF!)</f>
        <v>#REF!</v>
      </c>
      <c r="F3" s="51"/>
      <c r="G3" s="54">
        <v>0.93</v>
      </c>
      <c r="H3" s="51"/>
    </row>
    <row r="4" spans="1:8" x14ac:dyDescent="0.25">
      <c r="A4" s="49"/>
      <c r="B4" s="49"/>
      <c r="C4" s="49"/>
      <c r="D4" s="49"/>
      <c r="E4" s="61" t="s">
        <v>4</v>
      </c>
      <c r="F4" s="51"/>
      <c r="G4" s="55"/>
      <c r="H4" s="51"/>
    </row>
    <row r="5" spans="1:8" ht="19.5" thickBot="1" x14ac:dyDescent="0.5">
      <c r="A5" s="49"/>
      <c r="B5" s="49"/>
      <c r="C5" s="49"/>
      <c r="D5" s="49"/>
      <c r="E5" s="62">
        <v>55</v>
      </c>
      <c r="F5" s="63"/>
      <c r="G5" s="55"/>
      <c r="H5" s="51"/>
    </row>
    <row r="6" spans="1:8" ht="38.25" thickTop="1" thickBot="1" x14ac:dyDescent="0.3">
      <c r="A6" s="3" t="s">
        <v>5</v>
      </c>
      <c r="B6" s="4" t="s">
        <v>6</v>
      </c>
      <c r="C6" s="5" t="s">
        <v>7</v>
      </c>
      <c r="D6" s="4" t="s">
        <v>8</v>
      </c>
      <c r="E6" s="9" t="s">
        <v>9</v>
      </c>
      <c r="F6" s="9" t="s">
        <v>10</v>
      </c>
      <c r="G6" s="8" t="s">
        <v>11</v>
      </c>
      <c r="H6" s="51"/>
    </row>
    <row r="7" spans="1:8" ht="16.5" thickTop="1" x14ac:dyDescent="0.25">
      <c r="A7" s="31">
        <v>46013</v>
      </c>
      <c r="B7" s="32" t="s">
        <v>16</v>
      </c>
      <c r="C7" s="33"/>
      <c r="D7" s="34"/>
      <c r="E7" s="18">
        <f t="shared" ref="E7:E25" si="0">D7-(C7*D7)</f>
        <v>0</v>
      </c>
      <c r="F7" s="19">
        <f t="shared" ref="F7:F25" si="1">E7*$E$5</f>
        <v>0</v>
      </c>
      <c r="G7" s="20">
        <f t="shared" ref="G7:G25" si="2">D7-(D7*G$3)</f>
        <v>0</v>
      </c>
      <c r="H7" s="21">
        <f t="shared" ref="H7:H25" si="3">G7-E7</f>
        <v>0</v>
      </c>
    </row>
    <row r="8" spans="1:8" x14ac:dyDescent="0.25">
      <c r="A8" s="31">
        <v>46014</v>
      </c>
      <c r="B8" s="32" t="s">
        <v>12</v>
      </c>
      <c r="C8" s="33"/>
      <c r="D8" s="34"/>
      <c r="E8" s="18">
        <f t="shared" si="0"/>
        <v>0</v>
      </c>
      <c r="F8" s="19">
        <f t="shared" si="1"/>
        <v>0</v>
      </c>
      <c r="G8" s="20">
        <f t="shared" si="2"/>
        <v>0</v>
      </c>
      <c r="H8" s="21">
        <f t="shared" si="3"/>
        <v>0</v>
      </c>
    </row>
    <row r="9" spans="1:8" x14ac:dyDescent="0.25">
      <c r="A9" s="31">
        <v>46015</v>
      </c>
      <c r="B9" s="32" t="s">
        <v>13</v>
      </c>
      <c r="C9" s="33"/>
      <c r="D9" s="34"/>
      <c r="E9" s="18">
        <f t="shared" si="0"/>
        <v>0</v>
      </c>
      <c r="F9" s="19">
        <f t="shared" si="1"/>
        <v>0</v>
      </c>
      <c r="G9" s="20">
        <f t="shared" si="2"/>
        <v>0</v>
      </c>
      <c r="H9" s="21">
        <f t="shared" si="3"/>
        <v>0</v>
      </c>
    </row>
    <row r="10" spans="1:8" x14ac:dyDescent="0.25">
      <c r="A10" s="31">
        <v>46016</v>
      </c>
      <c r="B10" s="32" t="s">
        <v>14</v>
      </c>
      <c r="C10" s="33"/>
      <c r="D10" s="34"/>
      <c r="E10" s="18">
        <f t="shared" si="0"/>
        <v>0</v>
      </c>
      <c r="F10" s="19">
        <f t="shared" si="1"/>
        <v>0</v>
      </c>
      <c r="G10" s="20">
        <f t="shared" si="2"/>
        <v>0</v>
      </c>
      <c r="H10" s="21">
        <f t="shared" si="3"/>
        <v>0</v>
      </c>
    </row>
    <row r="11" spans="1:8" x14ac:dyDescent="0.25">
      <c r="A11" s="31">
        <v>46017</v>
      </c>
      <c r="B11" s="32" t="s">
        <v>15</v>
      </c>
      <c r="C11" s="33"/>
      <c r="D11" s="34"/>
      <c r="E11" s="18">
        <f t="shared" si="0"/>
        <v>0</v>
      </c>
      <c r="F11" s="19">
        <f t="shared" si="1"/>
        <v>0</v>
      </c>
      <c r="G11" s="20">
        <f t="shared" si="2"/>
        <v>0</v>
      </c>
      <c r="H11" s="21">
        <f t="shared" si="3"/>
        <v>0</v>
      </c>
    </row>
    <row r="12" spans="1:8" x14ac:dyDescent="0.25">
      <c r="A12" s="31">
        <v>46020</v>
      </c>
      <c r="B12" s="32" t="s">
        <v>16</v>
      </c>
      <c r="C12" s="33"/>
      <c r="D12" s="34"/>
      <c r="E12" s="18">
        <f t="shared" si="0"/>
        <v>0</v>
      </c>
      <c r="F12" s="19">
        <f t="shared" si="1"/>
        <v>0</v>
      </c>
      <c r="G12" s="20">
        <f t="shared" si="2"/>
        <v>0</v>
      </c>
      <c r="H12" s="21">
        <f t="shared" si="3"/>
        <v>0</v>
      </c>
    </row>
    <row r="13" spans="1:8" x14ac:dyDescent="0.25">
      <c r="A13" s="31">
        <v>46021</v>
      </c>
      <c r="B13" s="32" t="s">
        <v>12</v>
      </c>
      <c r="C13" s="33"/>
      <c r="D13" s="34"/>
      <c r="E13" s="18">
        <f t="shared" si="0"/>
        <v>0</v>
      </c>
      <c r="F13" s="19">
        <f t="shared" si="1"/>
        <v>0</v>
      </c>
      <c r="G13" s="20">
        <f t="shared" si="2"/>
        <v>0</v>
      </c>
      <c r="H13" s="21">
        <f t="shared" si="3"/>
        <v>0</v>
      </c>
    </row>
    <row r="14" spans="1:8" x14ac:dyDescent="0.25">
      <c r="A14" s="31">
        <v>46022</v>
      </c>
      <c r="B14" s="32" t="s">
        <v>13</v>
      </c>
      <c r="C14" s="33"/>
      <c r="D14" s="34"/>
      <c r="E14" s="18">
        <f t="shared" si="0"/>
        <v>0</v>
      </c>
      <c r="F14" s="19">
        <f t="shared" si="1"/>
        <v>0</v>
      </c>
      <c r="G14" s="20">
        <f t="shared" si="2"/>
        <v>0</v>
      </c>
      <c r="H14" s="21">
        <f t="shared" si="3"/>
        <v>0</v>
      </c>
    </row>
    <row r="15" spans="1:8" x14ac:dyDescent="0.25">
      <c r="A15" s="31">
        <v>46023</v>
      </c>
      <c r="B15" s="32" t="s">
        <v>14</v>
      </c>
      <c r="C15" s="33"/>
      <c r="D15" s="34"/>
      <c r="E15" s="18">
        <f t="shared" si="0"/>
        <v>0</v>
      </c>
      <c r="F15" s="19">
        <f t="shared" si="1"/>
        <v>0</v>
      </c>
      <c r="G15" s="20">
        <f t="shared" si="2"/>
        <v>0</v>
      </c>
      <c r="H15" s="21">
        <f t="shared" si="3"/>
        <v>0</v>
      </c>
    </row>
    <row r="16" spans="1:8" x14ac:dyDescent="0.25">
      <c r="A16" s="31">
        <v>46024</v>
      </c>
      <c r="B16" s="32" t="s">
        <v>15</v>
      </c>
      <c r="C16" s="33"/>
      <c r="D16" s="34"/>
      <c r="E16" s="18">
        <f t="shared" si="0"/>
        <v>0</v>
      </c>
      <c r="F16" s="19">
        <f t="shared" si="1"/>
        <v>0</v>
      </c>
      <c r="G16" s="20">
        <f t="shared" si="2"/>
        <v>0</v>
      </c>
      <c r="H16" s="21">
        <f t="shared" si="3"/>
        <v>0</v>
      </c>
    </row>
    <row r="17" spans="1:8" x14ac:dyDescent="0.25">
      <c r="A17" s="36">
        <v>46027</v>
      </c>
      <c r="B17" s="37" t="s">
        <v>16</v>
      </c>
      <c r="C17" s="38"/>
      <c r="D17" s="39"/>
      <c r="E17" s="18">
        <f t="shared" si="0"/>
        <v>0</v>
      </c>
      <c r="F17" s="19">
        <f t="shared" si="1"/>
        <v>0</v>
      </c>
      <c r="G17" s="20">
        <f t="shared" si="2"/>
        <v>0</v>
      </c>
      <c r="H17" s="21">
        <f t="shared" si="3"/>
        <v>0</v>
      </c>
    </row>
    <row r="18" spans="1:8" x14ac:dyDescent="0.25">
      <c r="A18" s="36">
        <v>46028</v>
      </c>
      <c r="B18" s="37" t="s">
        <v>12</v>
      </c>
      <c r="C18" s="38"/>
      <c r="D18" s="39"/>
      <c r="E18" s="18">
        <f t="shared" si="0"/>
        <v>0</v>
      </c>
      <c r="F18" s="19">
        <f t="shared" si="1"/>
        <v>0</v>
      </c>
      <c r="G18" s="20">
        <f t="shared" si="2"/>
        <v>0</v>
      </c>
      <c r="H18" s="21">
        <f t="shared" si="3"/>
        <v>0</v>
      </c>
    </row>
    <row r="19" spans="1:8" x14ac:dyDescent="0.25">
      <c r="A19" s="22">
        <v>46029</v>
      </c>
      <c r="B19" s="23" t="s">
        <v>13</v>
      </c>
      <c r="C19" s="24">
        <v>0.92800000000000005</v>
      </c>
      <c r="D19" s="25">
        <v>556</v>
      </c>
      <c r="E19" s="18">
        <f t="shared" si="0"/>
        <v>40.031999999999925</v>
      </c>
      <c r="F19" s="19">
        <f t="shared" si="1"/>
        <v>2201.7599999999957</v>
      </c>
      <c r="G19" s="20">
        <f t="shared" si="2"/>
        <v>38.919999999999959</v>
      </c>
      <c r="H19" s="21">
        <f t="shared" si="3"/>
        <v>-1.1119999999999663</v>
      </c>
    </row>
    <row r="20" spans="1:8" x14ac:dyDescent="0.25">
      <c r="A20" s="22">
        <v>46030</v>
      </c>
      <c r="B20" s="23" t="s">
        <v>14</v>
      </c>
      <c r="C20" s="24">
        <v>0.94820000000000004</v>
      </c>
      <c r="D20" s="25">
        <v>556</v>
      </c>
      <c r="E20" s="18">
        <f t="shared" si="0"/>
        <v>28.800799999999981</v>
      </c>
      <c r="F20" s="19">
        <f t="shared" si="1"/>
        <v>1584.043999999999</v>
      </c>
      <c r="G20" s="20">
        <f t="shared" si="2"/>
        <v>38.919999999999959</v>
      </c>
      <c r="H20" s="21">
        <f t="shared" si="3"/>
        <v>10.119199999999978</v>
      </c>
    </row>
    <row r="21" spans="1:8" x14ac:dyDescent="0.25">
      <c r="A21" s="22">
        <v>46031</v>
      </c>
      <c r="B21" s="23" t="s">
        <v>15</v>
      </c>
      <c r="C21" s="24">
        <v>0.91249999999999998</v>
      </c>
      <c r="D21" s="25">
        <v>556</v>
      </c>
      <c r="E21" s="18">
        <f t="shared" si="0"/>
        <v>48.650000000000034</v>
      </c>
      <c r="F21" s="19">
        <f t="shared" si="1"/>
        <v>2675.7500000000018</v>
      </c>
      <c r="G21" s="20">
        <f t="shared" si="2"/>
        <v>38.919999999999959</v>
      </c>
      <c r="H21" s="21">
        <f t="shared" si="3"/>
        <v>-9.730000000000075</v>
      </c>
    </row>
    <row r="22" spans="1:8" x14ac:dyDescent="0.25">
      <c r="A22" s="22">
        <v>46034</v>
      </c>
      <c r="B22" s="23" t="s">
        <v>16</v>
      </c>
      <c r="C22" s="24">
        <v>0.95289999999999997</v>
      </c>
      <c r="D22" s="25">
        <v>558</v>
      </c>
      <c r="E22" s="18">
        <f t="shared" si="0"/>
        <v>26.281799999999976</v>
      </c>
      <c r="F22" s="19">
        <f t="shared" si="1"/>
        <v>1445.4989999999987</v>
      </c>
      <c r="G22" s="20">
        <f t="shared" si="2"/>
        <v>39.059999999999945</v>
      </c>
      <c r="H22" s="21">
        <f t="shared" si="3"/>
        <v>12.77819999999997</v>
      </c>
    </row>
    <row r="23" spans="1:8" x14ac:dyDescent="0.25">
      <c r="A23" s="22">
        <v>46035</v>
      </c>
      <c r="B23" s="23" t="s">
        <v>12</v>
      </c>
      <c r="C23" s="24">
        <v>0.93469999999999998</v>
      </c>
      <c r="D23" s="25">
        <v>559</v>
      </c>
      <c r="E23" s="18">
        <f t="shared" si="0"/>
        <v>36.502700000000004</v>
      </c>
      <c r="F23" s="19">
        <f t="shared" si="1"/>
        <v>2007.6485000000002</v>
      </c>
      <c r="G23" s="20">
        <f t="shared" si="2"/>
        <v>39.129999999999995</v>
      </c>
      <c r="H23" s="21">
        <f t="shared" si="3"/>
        <v>2.6272999999999911</v>
      </c>
    </row>
    <row r="24" spans="1:8" x14ac:dyDescent="0.25">
      <c r="A24" s="22">
        <v>46036</v>
      </c>
      <c r="B24" s="23" t="s">
        <v>13</v>
      </c>
      <c r="C24" s="24">
        <v>0.95099999999999996</v>
      </c>
      <c r="D24" s="25">
        <v>562</v>
      </c>
      <c r="E24" s="18">
        <f t="shared" si="0"/>
        <v>27.538000000000011</v>
      </c>
      <c r="F24" s="19">
        <f t="shared" si="1"/>
        <v>1514.5900000000006</v>
      </c>
      <c r="G24" s="20">
        <f t="shared" si="2"/>
        <v>39.339999999999918</v>
      </c>
      <c r="H24" s="21">
        <f t="shared" si="3"/>
        <v>11.801999999999907</v>
      </c>
    </row>
    <row r="25" spans="1:8" x14ac:dyDescent="0.25">
      <c r="A25" s="22">
        <v>46037</v>
      </c>
      <c r="B25" s="23" t="s">
        <v>14</v>
      </c>
      <c r="C25" s="24">
        <v>0.94079999999999997</v>
      </c>
      <c r="D25" s="25">
        <v>563</v>
      </c>
      <c r="E25" s="18">
        <f t="shared" si="0"/>
        <v>33.329600000000028</v>
      </c>
      <c r="F25" s="19">
        <f t="shared" si="1"/>
        <v>1833.1280000000015</v>
      </c>
      <c r="G25" s="20">
        <f t="shared" si="2"/>
        <v>39.409999999999968</v>
      </c>
      <c r="H25" s="21">
        <f t="shared" si="3"/>
        <v>6.0803999999999405</v>
      </c>
    </row>
  </sheetData>
  <mergeCells count="7">
    <mergeCell ref="A2:D5"/>
    <mergeCell ref="E2:F2"/>
    <mergeCell ref="H2:H6"/>
    <mergeCell ref="E3:F3"/>
    <mergeCell ref="G3:G5"/>
    <mergeCell ref="E4:F4"/>
    <mergeCell ref="E5:F5"/>
  </mergeCells>
  <conditionalFormatting sqref="C1:C25">
    <cfRule type="cellIs" dxfId="45" priority="3" operator="lessThan">
      <formula>"90%"</formula>
    </cfRule>
    <cfRule type="cellIs" dxfId="44" priority="4" operator="lessThan">
      <formula>"94%"</formula>
    </cfRule>
  </conditionalFormatting>
  <conditionalFormatting sqref="C7:C25">
    <cfRule type="cellIs" dxfId="43" priority="1" operator="lessThan">
      <formula>"92%"</formula>
    </cfRule>
  </conditionalFormatting>
  <conditionalFormatting sqref="H1:H25">
    <cfRule type="cellIs" dxfId="42" priority="2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82EE8-EBE9-5B4A-9394-888A4546FDF4}">
  <dimension ref="A1:H25"/>
  <sheetViews>
    <sheetView topLeftCell="A2" zoomScale="125" workbookViewId="0">
      <selection activeCell="H32" sqref="H32"/>
    </sheetView>
  </sheetViews>
  <sheetFormatPr defaultColWidth="11" defaultRowHeight="15.75" x14ac:dyDescent="0.25"/>
  <cols>
    <col min="7" max="7" width="12.5" bestFit="1" customWidth="1"/>
  </cols>
  <sheetData>
    <row r="1" spans="1:8" ht="28.5" thickBot="1" x14ac:dyDescent="0.5">
      <c r="A1" s="15"/>
      <c r="B1" s="15"/>
      <c r="C1" s="15"/>
      <c r="D1" s="15"/>
      <c r="E1" s="16"/>
      <c r="F1" s="16"/>
      <c r="G1" s="1"/>
      <c r="H1" s="2" t="e">
        <f>SUM(#REF!)</f>
        <v>#REF!</v>
      </c>
    </row>
    <row r="2" spans="1:8" ht="17.100000000000001" customHeight="1" thickTop="1" x14ac:dyDescent="0.25">
      <c r="A2" s="48" t="s">
        <v>19</v>
      </c>
      <c r="B2" s="49"/>
      <c r="C2" s="49"/>
      <c r="D2" s="49"/>
      <c r="E2" s="50" t="s">
        <v>1</v>
      </c>
      <c r="F2" s="51"/>
      <c r="G2" s="17" t="s">
        <v>2</v>
      </c>
      <c r="H2" s="52" t="s">
        <v>3</v>
      </c>
    </row>
    <row r="3" spans="1:8" ht="24.95" customHeight="1" x14ac:dyDescent="0.4">
      <c r="A3" s="49"/>
      <c r="B3" s="49"/>
      <c r="C3" s="49"/>
      <c r="D3" s="49"/>
      <c r="E3" s="53" t="e">
        <f>SUM(#REF!)</f>
        <v>#REF!</v>
      </c>
      <c r="F3" s="51"/>
      <c r="G3" s="54">
        <v>0.95</v>
      </c>
      <c r="H3" s="51"/>
    </row>
    <row r="4" spans="1:8" x14ac:dyDescent="0.25">
      <c r="A4" s="49"/>
      <c r="B4" s="49"/>
      <c r="C4" s="49"/>
      <c r="D4" s="49"/>
      <c r="E4" s="56" t="s">
        <v>4</v>
      </c>
      <c r="F4" s="49"/>
      <c r="G4" s="55"/>
      <c r="H4" s="51"/>
    </row>
    <row r="5" spans="1:8" ht="19.5" thickBot="1" x14ac:dyDescent="0.5">
      <c r="A5" s="49"/>
      <c r="B5" s="49"/>
      <c r="C5" s="49"/>
      <c r="D5" s="49"/>
      <c r="E5" s="57">
        <v>55</v>
      </c>
      <c r="F5" s="49"/>
      <c r="G5" s="55"/>
      <c r="H5" s="51"/>
    </row>
    <row r="6" spans="1:8" ht="26.25" thickTop="1" thickBot="1" x14ac:dyDescent="0.3">
      <c r="A6" s="3" t="s">
        <v>5</v>
      </c>
      <c r="B6" s="4" t="s">
        <v>6</v>
      </c>
      <c r="C6" s="5" t="s">
        <v>7</v>
      </c>
      <c r="D6" s="4" t="s">
        <v>8</v>
      </c>
      <c r="E6" s="6" t="s">
        <v>9</v>
      </c>
      <c r="F6" s="7" t="s">
        <v>10</v>
      </c>
      <c r="G6" s="8" t="s">
        <v>11</v>
      </c>
      <c r="H6" s="51"/>
    </row>
    <row r="7" spans="1:8" ht="16.5" thickTop="1" x14ac:dyDescent="0.25">
      <c r="A7" s="31">
        <v>46013</v>
      </c>
      <c r="B7" s="32" t="s">
        <v>16</v>
      </c>
      <c r="C7" s="33"/>
      <c r="D7" s="34"/>
      <c r="E7" s="18">
        <f t="shared" ref="E7:E25" si="0">D7-(C7*D7)</f>
        <v>0</v>
      </c>
      <c r="F7" s="19">
        <f t="shared" ref="F7:F25" si="1">E7*$E$5</f>
        <v>0</v>
      </c>
      <c r="G7" s="20">
        <f t="shared" ref="G7:G25" si="2">D7-(D7*G$3)</f>
        <v>0</v>
      </c>
      <c r="H7" s="21">
        <f t="shared" ref="H7:H25" si="3">G7-E7</f>
        <v>0</v>
      </c>
    </row>
    <row r="8" spans="1:8" x14ac:dyDescent="0.25">
      <c r="A8" s="31">
        <v>46014</v>
      </c>
      <c r="B8" s="32" t="s">
        <v>12</v>
      </c>
      <c r="C8" s="33"/>
      <c r="D8" s="34"/>
      <c r="E8" s="18">
        <f t="shared" si="0"/>
        <v>0</v>
      </c>
      <c r="F8" s="19">
        <f t="shared" si="1"/>
        <v>0</v>
      </c>
      <c r="G8" s="20">
        <f t="shared" si="2"/>
        <v>0</v>
      </c>
      <c r="H8" s="21">
        <f t="shared" si="3"/>
        <v>0</v>
      </c>
    </row>
    <row r="9" spans="1:8" x14ac:dyDescent="0.25">
      <c r="A9" s="31">
        <v>46015</v>
      </c>
      <c r="B9" s="32" t="s">
        <v>13</v>
      </c>
      <c r="C9" s="33"/>
      <c r="D9" s="34"/>
      <c r="E9" s="18">
        <f t="shared" si="0"/>
        <v>0</v>
      </c>
      <c r="F9" s="19">
        <f t="shared" si="1"/>
        <v>0</v>
      </c>
      <c r="G9" s="20">
        <f t="shared" si="2"/>
        <v>0</v>
      </c>
      <c r="H9" s="21">
        <f t="shared" si="3"/>
        <v>0</v>
      </c>
    </row>
    <row r="10" spans="1:8" x14ac:dyDescent="0.25">
      <c r="A10" s="31">
        <v>46016</v>
      </c>
      <c r="B10" s="32" t="s">
        <v>14</v>
      </c>
      <c r="C10" s="33"/>
      <c r="D10" s="34"/>
      <c r="E10" s="18">
        <f t="shared" si="0"/>
        <v>0</v>
      </c>
      <c r="F10" s="19">
        <f t="shared" si="1"/>
        <v>0</v>
      </c>
      <c r="G10" s="20">
        <f t="shared" si="2"/>
        <v>0</v>
      </c>
      <c r="H10" s="21">
        <f t="shared" si="3"/>
        <v>0</v>
      </c>
    </row>
    <row r="11" spans="1:8" x14ac:dyDescent="0.25">
      <c r="A11" s="31">
        <v>46017</v>
      </c>
      <c r="B11" s="32" t="s">
        <v>15</v>
      </c>
      <c r="C11" s="33"/>
      <c r="D11" s="34"/>
      <c r="E11" s="18">
        <f t="shared" si="0"/>
        <v>0</v>
      </c>
      <c r="F11" s="19">
        <f t="shared" si="1"/>
        <v>0</v>
      </c>
      <c r="G11" s="20">
        <f t="shared" si="2"/>
        <v>0</v>
      </c>
      <c r="H11" s="21">
        <f t="shared" si="3"/>
        <v>0</v>
      </c>
    </row>
    <row r="12" spans="1:8" x14ac:dyDescent="0.25">
      <c r="A12" s="31">
        <v>46020</v>
      </c>
      <c r="B12" s="32" t="s">
        <v>16</v>
      </c>
      <c r="C12" s="33"/>
      <c r="D12" s="34"/>
      <c r="E12" s="18">
        <f t="shared" si="0"/>
        <v>0</v>
      </c>
      <c r="F12" s="19">
        <f t="shared" si="1"/>
        <v>0</v>
      </c>
      <c r="G12" s="20">
        <f t="shared" si="2"/>
        <v>0</v>
      </c>
      <c r="H12" s="21">
        <f t="shared" si="3"/>
        <v>0</v>
      </c>
    </row>
    <row r="13" spans="1:8" x14ac:dyDescent="0.25">
      <c r="A13" s="31">
        <v>46021</v>
      </c>
      <c r="B13" s="32" t="s">
        <v>12</v>
      </c>
      <c r="C13" s="33"/>
      <c r="D13" s="34"/>
      <c r="E13" s="18">
        <f t="shared" si="0"/>
        <v>0</v>
      </c>
      <c r="F13" s="19">
        <f t="shared" si="1"/>
        <v>0</v>
      </c>
      <c r="G13" s="20">
        <f t="shared" si="2"/>
        <v>0</v>
      </c>
      <c r="H13" s="21">
        <f t="shared" si="3"/>
        <v>0</v>
      </c>
    </row>
    <row r="14" spans="1:8" x14ac:dyDescent="0.25">
      <c r="A14" s="31">
        <v>46022</v>
      </c>
      <c r="B14" s="32" t="s">
        <v>13</v>
      </c>
      <c r="C14" s="33"/>
      <c r="D14" s="34"/>
      <c r="E14" s="18">
        <f t="shared" si="0"/>
        <v>0</v>
      </c>
      <c r="F14" s="19">
        <f t="shared" si="1"/>
        <v>0</v>
      </c>
      <c r="G14" s="20">
        <f t="shared" si="2"/>
        <v>0</v>
      </c>
      <c r="H14" s="21">
        <f t="shared" si="3"/>
        <v>0</v>
      </c>
    </row>
    <row r="15" spans="1:8" x14ac:dyDescent="0.25">
      <c r="A15" s="31">
        <v>46023</v>
      </c>
      <c r="B15" s="32" t="s">
        <v>14</v>
      </c>
      <c r="C15" s="33"/>
      <c r="D15" s="34"/>
      <c r="E15" s="18">
        <f t="shared" si="0"/>
        <v>0</v>
      </c>
      <c r="F15" s="19">
        <f t="shared" si="1"/>
        <v>0</v>
      </c>
      <c r="G15" s="20">
        <f t="shared" si="2"/>
        <v>0</v>
      </c>
      <c r="H15" s="21">
        <f t="shared" si="3"/>
        <v>0</v>
      </c>
    </row>
    <row r="16" spans="1:8" x14ac:dyDescent="0.25">
      <c r="A16" s="31">
        <v>46024</v>
      </c>
      <c r="B16" s="32" t="s">
        <v>15</v>
      </c>
      <c r="C16" s="33"/>
      <c r="D16" s="34"/>
      <c r="E16" s="18">
        <f t="shared" si="0"/>
        <v>0</v>
      </c>
      <c r="F16" s="19">
        <f t="shared" si="1"/>
        <v>0</v>
      </c>
      <c r="G16" s="20">
        <f t="shared" si="2"/>
        <v>0</v>
      </c>
      <c r="H16" s="21">
        <f t="shared" si="3"/>
        <v>0</v>
      </c>
    </row>
    <row r="17" spans="1:8" x14ac:dyDescent="0.25">
      <c r="A17" s="36">
        <v>46027</v>
      </c>
      <c r="B17" s="37" t="s">
        <v>16</v>
      </c>
      <c r="C17" s="38"/>
      <c r="D17" s="39"/>
      <c r="E17" s="18">
        <f t="shared" si="0"/>
        <v>0</v>
      </c>
      <c r="F17" s="19">
        <f t="shared" si="1"/>
        <v>0</v>
      </c>
      <c r="G17" s="20">
        <f t="shared" si="2"/>
        <v>0</v>
      </c>
      <c r="H17" s="21">
        <f t="shared" si="3"/>
        <v>0</v>
      </c>
    </row>
    <row r="18" spans="1:8" x14ac:dyDescent="0.25">
      <c r="A18" s="36">
        <v>46028</v>
      </c>
      <c r="B18" s="37" t="s">
        <v>12</v>
      </c>
      <c r="C18" s="38"/>
      <c r="D18" s="39"/>
      <c r="E18" s="18">
        <f t="shared" si="0"/>
        <v>0</v>
      </c>
      <c r="F18" s="19">
        <f t="shared" si="1"/>
        <v>0</v>
      </c>
      <c r="G18" s="20">
        <f t="shared" si="2"/>
        <v>0</v>
      </c>
      <c r="H18" s="21">
        <f t="shared" si="3"/>
        <v>0</v>
      </c>
    </row>
    <row r="19" spans="1:8" x14ac:dyDescent="0.25">
      <c r="A19" s="22">
        <v>46029</v>
      </c>
      <c r="B19" s="23" t="s">
        <v>13</v>
      </c>
      <c r="C19" s="24">
        <v>0.93710000000000004</v>
      </c>
      <c r="D19" s="25">
        <v>589</v>
      </c>
      <c r="E19" s="18">
        <f t="shared" si="0"/>
        <v>37.048099999999977</v>
      </c>
      <c r="F19" s="19">
        <f t="shared" si="1"/>
        <v>2037.6454999999987</v>
      </c>
      <c r="G19" s="20">
        <f t="shared" si="2"/>
        <v>29.450000000000045</v>
      </c>
      <c r="H19" s="21">
        <f t="shared" si="3"/>
        <v>-7.5980999999999312</v>
      </c>
    </row>
    <row r="20" spans="1:8" x14ac:dyDescent="0.25">
      <c r="A20" s="22">
        <v>46030</v>
      </c>
      <c r="B20" s="23" t="s">
        <v>14</v>
      </c>
      <c r="C20" s="24">
        <v>0.95950000000000002</v>
      </c>
      <c r="D20" s="25">
        <v>594</v>
      </c>
      <c r="E20" s="18">
        <f t="shared" si="0"/>
        <v>24.057000000000016</v>
      </c>
      <c r="F20" s="19">
        <f t="shared" si="1"/>
        <v>1323.1350000000009</v>
      </c>
      <c r="G20" s="20">
        <f t="shared" si="2"/>
        <v>29.700000000000045</v>
      </c>
      <c r="H20" s="21">
        <f t="shared" si="3"/>
        <v>5.6430000000000291</v>
      </c>
    </row>
    <row r="21" spans="1:8" x14ac:dyDescent="0.25">
      <c r="A21" s="22">
        <v>46031</v>
      </c>
      <c r="B21" s="23" t="s">
        <v>15</v>
      </c>
      <c r="C21" s="24">
        <v>0.93089999999999995</v>
      </c>
      <c r="D21" s="25">
        <v>594</v>
      </c>
      <c r="E21" s="18">
        <f t="shared" si="0"/>
        <v>41.045400000000086</v>
      </c>
      <c r="F21" s="19">
        <f t="shared" si="1"/>
        <v>2257.4970000000048</v>
      </c>
      <c r="G21" s="20">
        <f t="shared" si="2"/>
        <v>29.700000000000045</v>
      </c>
      <c r="H21" s="21">
        <f t="shared" si="3"/>
        <v>-11.345400000000041</v>
      </c>
    </row>
    <row r="22" spans="1:8" x14ac:dyDescent="0.25">
      <c r="A22" s="22">
        <v>46034</v>
      </c>
      <c r="B22" s="23" t="s">
        <v>16</v>
      </c>
      <c r="C22" s="24">
        <v>0.94440000000000002</v>
      </c>
      <c r="D22" s="25">
        <v>593</v>
      </c>
      <c r="E22" s="18">
        <f t="shared" si="0"/>
        <v>32.97079999999994</v>
      </c>
      <c r="F22" s="19">
        <f t="shared" si="1"/>
        <v>1813.3939999999966</v>
      </c>
      <c r="G22" s="20">
        <f t="shared" si="2"/>
        <v>29.649999999999977</v>
      </c>
      <c r="H22" s="21">
        <f t="shared" si="3"/>
        <v>-3.3207999999999629</v>
      </c>
    </row>
    <row r="23" spans="1:8" x14ac:dyDescent="0.25">
      <c r="A23" s="22">
        <v>46035</v>
      </c>
      <c r="B23" s="23" t="s">
        <v>12</v>
      </c>
      <c r="C23" s="24">
        <v>0.95920000000000005</v>
      </c>
      <c r="D23" s="25">
        <v>588</v>
      </c>
      <c r="E23" s="18">
        <f t="shared" si="0"/>
        <v>23.990400000000022</v>
      </c>
      <c r="F23" s="19">
        <f t="shared" si="1"/>
        <v>1319.4720000000011</v>
      </c>
      <c r="G23" s="20">
        <f t="shared" si="2"/>
        <v>29.399999999999977</v>
      </c>
      <c r="H23" s="21">
        <f t="shared" si="3"/>
        <v>5.4095999999999549</v>
      </c>
    </row>
    <row r="24" spans="1:8" x14ac:dyDescent="0.25">
      <c r="A24" s="22">
        <v>46036</v>
      </c>
      <c r="B24" s="23" t="s">
        <v>13</v>
      </c>
      <c r="C24" s="24">
        <v>0.97119999999999995</v>
      </c>
      <c r="D24" s="25">
        <v>590</v>
      </c>
      <c r="E24" s="18">
        <f t="shared" si="0"/>
        <v>16.992000000000075</v>
      </c>
      <c r="F24" s="19">
        <f t="shared" si="1"/>
        <v>934.56000000000415</v>
      </c>
      <c r="G24" s="20">
        <f t="shared" si="2"/>
        <v>29.5</v>
      </c>
      <c r="H24" s="21">
        <f t="shared" si="3"/>
        <v>12.507999999999925</v>
      </c>
    </row>
    <row r="25" spans="1:8" x14ac:dyDescent="0.25">
      <c r="A25" s="22">
        <v>46037</v>
      </c>
      <c r="B25" s="23" t="s">
        <v>14</v>
      </c>
      <c r="C25" s="24">
        <v>0.9627</v>
      </c>
      <c r="D25" s="25">
        <v>590</v>
      </c>
      <c r="E25" s="18">
        <f t="shared" si="0"/>
        <v>22.006999999999948</v>
      </c>
      <c r="F25" s="19">
        <f t="shared" si="1"/>
        <v>1210.384999999997</v>
      </c>
      <c r="G25" s="20">
        <f t="shared" si="2"/>
        <v>29.5</v>
      </c>
      <c r="H25" s="21">
        <f t="shared" si="3"/>
        <v>7.4930000000000518</v>
      </c>
    </row>
  </sheetData>
  <mergeCells count="7">
    <mergeCell ref="A2:D5"/>
    <mergeCell ref="E2:F2"/>
    <mergeCell ref="H2:H6"/>
    <mergeCell ref="E3:F3"/>
    <mergeCell ref="G3:G5"/>
    <mergeCell ref="E4:F4"/>
    <mergeCell ref="E5:F5"/>
  </mergeCells>
  <conditionalFormatting sqref="C6:C25">
    <cfRule type="cellIs" dxfId="41" priority="4" operator="lessThan">
      <formula>"92%"</formula>
    </cfRule>
  </conditionalFormatting>
  <conditionalFormatting sqref="C7:C25">
    <cfRule type="cellIs" dxfId="40" priority="1" operator="lessThan">
      <formula>"90%"</formula>
    </cfRule>
    <cfRule type="cellIs" dxfId="39" priority="2" operator="lessThan">
      <formula>"94%"</formula>
    </cfRule>
  </conditionalFormatting>
  <conditionalFormatting sqref="H1:H25">
    <cfRule type="cellIs" dxfId="38" priority="3" operator="less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8719D-8C92-A842-9709-1FC4744F603C}">
  <dimension ref="A1:H25"/>
  <sheetViews>
    <sheetView topLeftCell="A6" workbookViewId="0">
      <selection activeCell="A26" sqref="A26:XFD1048576"/>
    </sheetView>
  </sheetViews>
  <sheetFormatPr defaultColWidth="11" defaultRowHeight="15.75" x14ac:dyDescent="0.25"/>
  <sheetData>
    <row r="1" spans="1:8" ht="28.5" thickBot="1" x14ac:dyDescent="0.5">
      <c r="A1" s="15" t="s">
        <v>21</v>
      </c>
      <c r="B1" s="15"/>
      <c r="C1" s="15"/>
      <c r="D1" s="15"/>
      <c r="E1" s="16"/>
      <c r="F1" s="16"/>
      <c r="G1" s="1"/>
      <c r="H1" s="2" t="e">
        <f>SUM(#REF!)</f>
        <v>#REF!</v>
      </c>
    </row>
    <row r="2" spans="1:8" ht="16.5" thickTop="1" x14ac:dyDescent="0.25">
      <c r="A2" s="48" t="s">
        <v>22</v>
      </c>
      <c r="B2" s="49"/>
      <c r="C2" s="49"/>
      <c r="D2" s="49"/>
      <c r="E2" s="50" t="s">
        <v>1</v>
      </c>
      <c r="F2" s="51"/>
      <c r="G2" s="17" t="s">
        <v>2</v>
      </c>
      <c r="H2" s="52" t="s">
        <v>3</v>
      </c>
    </row>
    <row r="3" spans="1:8" ht="24.75" x14ac:dyDescent="0.4">
      <c r="A3" s="49"/>
      <c r="B3" s="49"/>
      <c r="C3" s="49"/>
      <c r="D3" s="49"/>
      <c r="E3" s="53" t="e">
        <f>SUM(#REF!)</f>
        <v>#REF!</v>
      </c>
      <c r="F3" s="51"/>
      <c r="G3" s="54">
        <v>0.95</v>
      </c>
      <c r="H3" s="51"/>
    </row>
    <row r="4" spans="1:8" x14ac:dyDescent="0.25">
      <c r="A4" s="49"/>
      <c r="B4" s="49"/>
      <c r="C4" s="49"/>
      <c r="D4" s="49"/>
      <c r="E4" s="56" t="s">
        <v>4</v>
      </c>
      <c r="F4" s="49"/>
      <c r="G4" s="55"/>
      <c r="H4" s="51"/>
    </row>
    <row r="5" spans="1:8" ht="19.5" thickBot="1" x14ac:dyDescent="0.5">
      <c r="A5" s="49"/>
      <c r="B5" s="49"/>
      <c r="C5" s="49"/>
      <c r="D5" s="49"/>
      <c r="E5" s="57">
        <v>55</v>
      </c>
      <c r="F5" s="49"/>
      <c r="G5" s="55"/>
      <c r="H5" s="51"/>
    </row>
    <row r="6" spans="1:8" ht="26.25" thickTop="1" thickBot="1" x14ac:dyDescent="0.3">
      <c r="A6" s="3" t="s">
        <v>5</v>
      </c>
      <c r="B6" s="4" t="s">
        <v>6</v>
      </c>
      <c r="C6" s="5" t="s">
        <v>7</v>
      </c>
      <c r="D6" s="4" t="s">
        <v>8</v>
      </c>
      <c r="E6" s="6" t="s">
        <v>9</v>
      </c>
      <c r="F6" s="7" t="s">
        <v>10</v>
      </c>
      <c r="G6" s="8" t="s">
        <v>11</v>
      </c>
      <c r="H6" s="51"/>
    </row>
    <row r="7" spans="1:8" ht="16.5" thickTop="1" x14ac:dyDescent="0.25">
      <c r="A7" s="31">
        <v>46013</v>
      </c>
      <c r="B7" s="32" t="s">
        <v>16</v>
      </c>
      <c r="C7" s="33"/>
      <c r="D7" s="34"/>
      <c r="E7" s="18">
        <f t="shared" ref="E7:E25" si="0">D7-(C7*D7)</f>
        <v>0</v>
      </c>
      <c r="F7" s="19">
        <f t="shared" ref="F7:F25" si="1">E7*$E$5</f>
        <v>0</v>
      </c>
      <c r="G7" s="20">
        <f t="shared" ref="G7:G25" si="2">D7-(D7*G$3)</f>
        <v>0</v>
      </c>
      <c r="H7" s="21">
        <f t="shared" ref="H7:H25" si="3">G7-E7</f>
        <v>0</v>
      </c>
    </row>
    <row r="8" spans="1:8" x14ac:dyDescent="0.25">
      <c r="A8" s="31">
        <v>46014</v>
      </c>
      <c r="B8" s="32" t="s">
        <v>12</v>
      </c>
      <c r="C8" s="33"/>
      <c r="D8" s="34"/>
      <c r="E8" s="18">
        <f t="shared" si="0"/>
        <v>0</v>
      </c>
      <c r="F8" s="19">
        <f t="shared" si="1"/>
        <v>0</v>
      </c>
      <c r="G8" s="20">
        <f t="shared" si="2"/>
        <v>0</v>
      </c>
      <c r="H8" s="21">
        <f t="shared" si="3"/>
        <v>0</v>
      </c>
    </row>
    <row r="9" spans="1:8" x14ac:dyDescent="0.25">
      <c r="A9" s="31">
        <v>46015</v>
      </c>
      <c r="B9" s="32" t="s">
        <v>13</v>
      </c>
      <c r="C9" s="33"/>
      <c r="D9" s="34"/>
      <c r="E9" s="18">
        <f t="shared" si="0"/>
        <v>0</v>
      </c>
      <c r="F9" s="19">
        <f t="shared" si="1"/>
        <v>0</v>
      </c>
      <c r="G9" s="20">
        <f t="shared" si="2"/>
        <v>0</v>
      </c>
      <c r="H9" s="21">
        <f t="shared" si="3"/>
        <v>0</v>
      </c>
    </row>
    <row r="10" spans="1:8" x14ac:dyDescent="0.25">
      <c r="A10" s="31">
        <v>46016</v>
      </c>
      <c r="B10" s="32" t="s">
        <v>14</v>
      </c>
      <c r="C10" s="33"/>
      <c r="D10" s="34"/>
      <c r="E10" s="18">
        <f t="shared" si="0"/>
        <v>0</v>
      </c>
      <c r="F10" s="19">
        <f t="shared" si="1"/>
        <v>0</v>
      </c>
      <c r="G10" s="20">
        <f t="shared" si="2"/>
        <v>0</v>
      </c>
      <c r="H10" s="21">
        <f t="shared" si="3"/>
        <v>0</v>
      </c>
    </row>
    <row r="11" spans="1:8" x14ac:dyDescent="0.25">
      <c r="A11" s="31">
        <v>46017</v>
      </c>
      <c r="B11" s="32" t="s">
        <v>15</v>
      </c>
      <c r="C11" s="33"/>
      <c r="D11" s="34"/>
      <c r="E11" s="18">
        <f t="shared" si="0"/>
        <v>0</v>
      </c>
      <c r="F11" s="19">
        <f t="shared" si="1"/>
        <v>0</v>
      </c>
      <c r="G11" s="20">
        <f t="shared" si="2"/>
        <v>0</v>
      </c>
      <c r="H11" s="21">
        <f t="shared" si="3"/>
        <v>0</v>
      </c>
    </row>
    <row r="12" spans="1:8" x14ac:dyDescent="0.25">
      <c r="A12" s="31">
        <v>46020</v>
      </c>
      <c r="B12" s="32" t="s">
        <v>16</v>
      </c>
      <c r="C12" s="33"/>
      <c r="D12" s="34"/>
      <c r="E12" s="18">
        <f t="shared" si="0"/>
        <v>0</v>
      </c>
      <c r="F12" s="19">
        <f t="shared" si="1"/>
        <v>0</v>
      </c>
      <c r="G12" s="20">
        <f t="shared" si="2"/>
        <v>0</v>
      </c>
      <c r="H12" s="21">
        <f t="shared" si="3"/>
        <v>0</v>
      </c>
    </row>
    <row r="13" spans="1:8" x14ac:dyDescent="0.25">
      <c r="A13" s="31">
        <v>46021</v>
      </c>
      <c r="B13" s="32" t="s">
        <v>12</v>
      </c>
      <c r="C13" s="33"/>
      <c r="D13" s="34"/>
      <c r="E13" s="18">
        <f t="shared" si="0"/>
        <v>0</v>
      </c>
      <c r="F13" s="19">
        <f t="shared" si="1"/>
        <v>0</v>
      </c>
      <c r="G13" s="20">
        <f t="shared" si="2"/>
        <v>0</v>
      </c>
      <c r="H13" s="21">
        <f t="shared" si="3"/>
        <v>0</v>
      </c>
    </row>
    <row r="14" spans="1:8" x14ac:dyDescent="0.25">
      <c r="A14" s="31">
        <v>46022</v>
      </c>
      <c r="B14" s="32" t="s">
        <v>13</v>
      </c>
      <c r="C14" s="33"/>
      <c r="D14" s="34"/>
      <c r="E14" s="18">
        <f t="shared" si="0"/>
        <v>0</v>
      </c>
      <c r="F14" s="19">
        <f t="shared" si="1"/>
        <v>0</v>
      </c>
      <c r="G14" s="20">
        <f t="shared" si="2"/>
        <v>0</v>
      </c>
      <c r="H14" s="21">
        <f t="shared" si="3"/>
        <v>0</v>
      </c>
    </row>
    <row r="15" spans="1:8" x14ac:dyDescent="0.25">
      <c r="A15" s="31">
        <v>46023</v>
      </c>
      <c r="B15" s="32" t="s">
        <v>14</v>
      </c>
      <c r="C15" s="33"/>
      <c r="D15" s="34"/>
      <c r="E15" s="18">
        <f t="shared" si="0"/>
        <v>0</v>
      </c>
      <c r="F15" s="19">
        <f t="shared" si="1"/>
        <v>0</v>
      </c>
      <c r="G15" s="20">
        <f t="shared" si="2"/>
        <v>0</v>
      </c>
      <c r="H15" s="21">
        <f t="shared" si="3"/>
        <v>0</v>
      </c>
    </row>
    <row r="16" spans="1:8" x14ac:dyDescent="0.25">
      <c r="A16" s="31">
        <v>46024</v>
      </c>
      <c r="B16" s="32" t="s">
        <v>15</v>
      </c>
      <c r="C16" s="33"/>
      <c r="D16" s="34"/>
      <c r="E16" s="18">
        <f t="shared" si="0"/>
        <v>0</v>
      </c>
      <c r="F16" s="19">
        <f t="shared" si="1"/>
        <v>0</v>
      </c>
      <c r="G16" s="20">
        <f t="shared" si="2"/>
        <v>0</v>
      </c>
      <c r="H16" s="21">
        <f t="shared" si="3"/>
        <v>0</v>
      </c>
    </row>
    <row r="17" spans="1:8" x14ac:dyDescent="0.25">
      <c r="A17" s="36">
        <v>46027</v>
      </c>
      <c r="B17" s="37" t="s">
        <v>16</v>
      </c>
      <c r="C17" s="38"/>
      <c r="D17" s="39"/>
      <c r="E17" s="18">
        <f t="shared" si="0"/>
        <v>0</v>
      </c>
      <c r="F17" s="19">
        <f t="shared" si="1"/>
        <v>0</v>
      </c>
      <c r="G17" s="20">
        <f t="shared" si="2"/>
        <v>0</v>
      </c>
      <c r="H17" s="21">
        <f t="shared" si="3"/>
        <v>0</v>
      </c>
    </row>
    <row r="18" spans="1:8" x14ac:dyDescent="0.25">
      <c r="A18" s="36">
        <v>46028</v>
      </c>
      <c r="B18" s="37" t="s">
        <v>12</v>
      </c>
      <c r="C18" s="38"/>
      <c r="D18" s="39"/>
      <c r="E18" s="18">
        <f t="shared" si="0"/>
        <v>0</v>
      </c>
      <c r="F18" s="19">
        <f t="shared" si="1"/>
        <v>0</v>
      </c>
      <c r="G18" s="20">
        <f t="shared" si="2"/>
        <v>0</v>
      </c>
      <c r="H18" s="21">
        <f t="shared" si="3"/>
        <v>0</v>
      </c>
    </row>
    <row r="19" spans="1:8" x14ac:dyDescent="0.25">
      <c r="A19" s="22">
        <v>46029</v>
      </c>
      <c r="B19" s="23" t="s">
        <v>13</v>
      </c>
      <c r="C19" s="24">
        <v>0.93520000000000003</v>
      </c>
      <c r="D19" s="25">
        <v>525</v>
      </c>
      <c r="E19" s="18">
        <f t="shared" si="0"/>
        <v>34.019999999999982</v>
      </c>
      <c r="F19" s="19">
        <f t="shared" si="1"/>
        <v>1871.099999999999</v>
      </c>
      <c r="G19" s="20">
        <f t="shared" si="2"/>
        <v>26.25</v>
      </c>
      <c r="H19" s="21">
        <f t="shared" si="3"/>
        <v>-7.7699999999999818</v>
      </c>
    </row>
    <row r="20" spans="1:8" x14ac:dyDescent="0.25">
      <c r="A20" s="22">
        <v>46030</v>
      </c>
      <c r="B20" s="23" t="s">
        <v>14</v>
      </c>
      <c r="C20" s="24">
        <v>0.93540000000000001</v>
      </c>
      <c r="D20" s="25">
        <v>526</v>
      </c>
      <c r="E20" s="18">
        <f t="shared" si="0"/>
        <v>33.979600000000005</v>
      </c>
      <c r="F20" s="19">
        <f t="shared" si="1"/>
        <v>1868.8780000000002</v>
      </c>
      <c r="G20" s="20">
        <f t="shared" si="2"/>
        <v>26.300000000000011</v>
      </c>
      <c r="H20" s="21">
        <f t="shared" si="3"/>
        <v>-7.6795999999999935</v>
      </c>
    </row>
    <row r="21" spans="1:8" x14ac:dyDescent="0.25">
      <c r="A21" s="22">
        <v>46031</v>
      </c>
      <c r="B21" s="23" t="s">
        <v>15</v>
      </c>
      <c r="C21" s="24">
        <v>0.94079999999999997</v>
      </c>
      <c r="D21" s="25">
        <v>524</v>
      </c>
      <c r="E21" s="18">
        <f t="shared" si="0"/>
        <v>31.020800000000008</v>
      </c>
      <c r="F21" s="19">
        <f t="shared" si="1"/>
        <v>1706.1440000000005</v>
      </c>
      <c r="G21" s="20">
        <f t="shared" si="2"/>
        <v>26.200000000000045</v>
      </c>
      <c r="H21" s="21">
        <f t="shared" si="3"/>
        <v>-4.8207999999999629</v>
      </c>
    </row>
    <row r="22" spans="1:8" x14ac:dyDescent="0.25">
      <c r="A22" s="22">
        <v>46034</v>
      </c>
      <c r="B22" s="23" t="s">
        <v>16</v>
      </c>
      <c r="C22" s="24">
        <v>0.94469999999999998</v>
      </c>
      <c r="D22" s="25">
        <v>524</v>
      </c>
      <c r="E22" s="18">
        <f t="shared" si="0"/>
        <v>28.977199999999982</v>
      </c>
      <c r="F22" s="19">
        <f t="shared" si="1"/>
        <v>1593.745999999999</v>
      </c>
      <c r="G22" s="20">
        <f t="shared" si="2"/>
        <v>26.200000000000045</v>
      </c>
      <c r="H22" s="21">
        <f t="shared" si="3"/>
        <v>-2.7771999999999366</v>
      </c>
    </row>
    <row r="23" spans="1:8" x14ac:dyDescent="0.25">
      <c r="A23" s="22">
        <v>46035</v>
      </c>
      <c r="B23" s="23" t="s">
        <v>12</v>
      </c>
      <c r="C23" s="24">
        <v>0.9466</v>
      </c>
      <c r="D23" s="25">
        <v>524</v>
      </c>
      <c r="E23" s="18">
        <f t="shared" si="0"/>
        <v>27.981600000000014</v>
      </c>
      <c r="F23" s="19">
        <f t="shared" si="1"/>
        <v>1538.9880000000007</v>
      </c>
      <c r="G23" s="20">
        <f t="shared" si="2"/>
        <v>26.200000000000045</v>
      </c>
      <c r="H23" s="21">
        <f t="shared" si="3"/>
        <v>-1.781599999999969</v>
      </c>
    </row>
    <row r="24" spans="1:8" x14ac:dyDescent="0.25">
      <c r="A24" s="22">
        <v>46036</v>
      </c>
      <c r="B24" s="23" t="s">
        <v>13</v>
      </c>
      <c r="C24" s="24">
        <v>0.95989999999999998</v>
      </c>
      <c r="D24" s="25">
        <v>524</v>
      </c>
      <c r="E24" s="18">
        <f t="shared" si="0"/>
        <v>21.012400000000014</v>
      </c>
      <c r="F24" s="19">
        <f t="shared" si="1"/>
        <v>1155.6820000000007</v>
      </c>
      <c r="G24" s="20">
        <f t="shared" si="2"/>
        <v>26.200000000000045</v>
      </c>
      <c r="H24" s="21">
        <f t="shared" si="3"/>
        <v>5.1876000000000317</v>
      </c>
    </row>
    <row r="25" spans="1:8" x14ac:dyDescent="0.25">
      <c r="A25" s="22">
        <v>46037</v>
      </c>
      <c r="B25" s="23" t="s">
        <v>14</v>
      </c>
      <c r="C25" s="24">
        <v>0.96750000000000003</v>
      </c>
      <c r="D25" s="25">
        <v>523</v>
      </c>
      <c r="E25" s="18">
        <f t="shared" si="0"/>
        <v>16.997500000000002</v>
      </c>
      <c r="F25" s="19">
        <f t="shared" si="1"/>
        <v>934.86250000000018</v>
      </c>
      <c r="G25" s="20">
        <f t="shared" si="2"/>
        <v>26.150000000000034</v>
      </c>
      <c r="H25" s="21">
        <f t="shared" si="3"/>
        <v>9.1525000000000318</v>
      </c>
    </row>
  </sheetData>
  <mergeCells count="7">
    <mergeCell ref="A2:D5"/>
    <mergeCell ref="E2:F2"/>
    <mergeCell ref="H2:H6"/>
    <mergeCell ref="E3:F3"/>
    <mergeCell ref="G3:G5"/>
    <mergeCell ref="E4:F4"/>
    <mergeCell ref="E5:F5"/>
  </mergeCells>
  <conditionalFormatting sqref="C6:C25">
    <cfRule type="cellIs" dxfId="37" priority="4" operator="lessThan">
      <formula>"92%"</formula>
    </cfRule>
  </conditionalFormatting>
  <conditionalFormatting sqref="C7:C25">
    <cfRule type="cellIs" dxfId="36" priority="1" operator="lessThan">
      <formula>"90%"</formula>
    </cfRule>
    <cfRule type="cellIs" dxfId="35" priority="2" operator="lessThan">
      <formula>"94%"</formula>
    </cfRule>
  </conditionalFormatting>
  <conditionalFormatting sqref="H1:H25">
    <cfRule type="cellIs" dxfId="34" priority="3" operator="less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E6080-5590-A14A-B023-CFA9ED5662C8}">
  <dimension ref="A1:H24"/>
  <sheetViews>
    <sheetView workbookViewId="0">
      <selection activeCell="A25" sqref="A25:XFD1048576"/>
    </sheetView>
  </sheetViews>
  <sheetFormatPr defaultColWidth="11" defaultRowHeight="15.75" x14ac:dyDescent="0.25"/>
  <cols>
    <col min="7" max="7" width="12.5" bestFit="1" customWidth="1"/>
  </cols>
  <sheetData>
    <row r="1" spans="1:8" ht="28.5" thickBot="1" x14ac:dyDescent="0.5">
      <c r="A1" s="15"/>
      <c r="B1" s="15"/>
      <c r="C1" s="15"/>
      <c r="D1" s="15"/>
      <c r="E1" s="16"/>
      <c r="F1" s="16"/>
      <c r="G1" s="1"/>
      <c r="H1" s="2" t="e">
        <f>SUM(#REF!)</f>
        <v>#REF!</v>
      </c>
    </row>
    <row r="2" spans="1:8" ht="17.100000000000001" customHeight="1" thickTop="1" x14ac:dyDescent="0.25">
      <c r="A2" s="48" t="s">
        <v>23</v>
      </c>
      <c r="B2" s="49"/>
      <c r="C2" s="49"/>
      <c r="D2" s="49"/>
      <c r="E2" s="50" t="s">
        <v>1</v>
      </c>
      <c r="F2" s="51"/>
      <c r="G2" s="17" t="s">
        <v>2</v>
      </c>
      <c r="H2" s="52" t="s">
        <v>3</v>
      </c>
    </row>
    <row r="3" spans="1:8" ht="24.95" customHeight="1" x14ac:dyDescent="0.4">
      <c r="A3" s="49"/>
      <c r="B3" s="49"/>
      <c r="C3" s="49"/>
      <c r="D3" s="49"/>
      <c r="E3" s="53" t="e">
        <f>SUM(#REF!)</f>
        <v>#REF!</v>
      </c>
      <c r="F3" s="51"/>
      <c r="G3" s="54">
        <v>0.95</v>
      </c>
      <c r="H3" s="51"/>
    </row>
    <row r="4" spans="1:8" x14ac:dyDescent="0.25">
      <c r="A4" s="49"/>
      <c r="B4" s="49"/>
      <c r="C4" s="49"/>
      <c r="D4" s="49"/>
      <c r="E4" s="56" t="s">
        <v>4</v>
      </c>
      <c r="F4" s="49"/>
      <c r="G4" s="55"/>
      <c r="H4" s="51"/>
    </row>
    <row r="5" spans="1:8" ht="19.5" thickBot="1" x14ac:dyDescent="0.5">
      <c r="A5" s="49"/>
      <c r="B5" s="49"/>
      <c r="C5" s="49"/>
      <c r="D5" s="49"/>
      <c r="E5" s="57">
        <v>55</v>
      </c>
      <c r="F5" s="49"/>
      <c r="G5" s="55"/>
      <c r="H5" s="51"/>
    </row>
    <row r="6" spans="1:8" ht="26.25" thickTop="1" thickBot="1" x14ac:dyDescent="0.3">
      <c r="A6" s="3" t="s">
        <v>5</v>
      </c>
      <c r="B6" s="4" t="s">
        <v>6</v>
      </c>
      <c r="C6" s="5" t="s">
        <v>7</v>
      </c>
      <c r="D6" s="4" t="s">
        <v>8</v>
      </c>
      <c r="E6" s="6" t="s">
        <v>9</v>
      </c>
      <c r="F6" s="7" t="s">
        <v>10</v>
      </c>
      <c r="G6" s="8" t="s">
        <v>11</v>
      </c>
      <c r="H6" s="51"/>
    </row>
    <row r="7" spans="1:8" ht="16.5" thickTop="1" x14ac:dyDescent="0.25">
      <c r="A7" s="31">
        <v>46013</v>
      </c>
      <c r="B7" s="32" t="s">
        <v>16</v>
      </c>
      <c r="C7" s="33"/>
      <c r="D7" s="34"/>
      <c r="E7" s="18">
        <f t="shared" ref="E7:E24" si="0">D7-(C7*D7)</f>
        <v>0</v>
      </c>
      <c r="F7" s="19">
        <f t="shared" ref="F7:F24" si="1">E7*$E$5</f>
        <v>0</v>
      </c>
      <c r="G7" s="20">
        <f t="shared" ref="G7:G24" si="2">D7-(D7*G$3)</f>
        <v>0</v>
      </c>
      <c r="H7" s="21">
        <f t="shared" ref="H7:H24" si="3">G7-E7</f>
        <v>0</v>
      </c>
    </row>
    <row r="8" spans="1:8" x14ac:dyDescent="0.25">
      <c r="A8" s="31">
        <v>46014</v>
      </c>
      <c r="B8" s="32" t="s">
        <v>12</v>
      </c>
      <c r="C8" s="33"/>
      <c r="D8" s="34"/>
      <c r="E8" s="18">
        <f t="shared" si="0"/>
        <v>0</v>
      </c>
      <c r="F8" s="19">
        <f t="shared" si="1"/>
        <v>0</v>
      </c>
      <c r="G8" s="20">
        <f t="shared" si="2"/>
        <v>0</v>
      </c>
      <c r="H8" s="21">
        <f t="shared" si="3"/>
        <v>0</v>
      </c>
    </row>
    <row r="9" spans="1:8" x14ac:dyDescent="0.25">
      <c r="A9" s="31">
        <v>46015</v>
      </c>
      <c r="B9" s="32" t="s">
        <v>13</v>
      </c>
      <c r="C9" s="33"/>
      <c r="D9" s="34"/>
      <c r="E9" s="18">
        <f t="shared" si="0"/>
        <v>0</v>
      </c>
      <c r="F9" s="19">
        <f t="shared" si="1"/>
        <v>0</v>
      </c>
      <c r="G9" s="20">
        <f t="shared" si="2"/>
        <v>0</v>
      </c>
      <c r="H9" s="21">
        <f t="shared" si="3"/>
        <v>0</v>
      </c>
    </row>
    <row r="10" spans="1:8" x14ac:dyDescent="0.25">
      <c r="A10" s="31">
        <v>46016</v>
      </c>
      <c r="B10" s="32" t="s">
        <v>14</v>
      </c>
      <c r="C10" s="33"/>
      <c r="D10" s="34"/>
      <c r="E10" s="18">
        <f t="shared" si="0"/>
        <v>0</v>
      </c>
      <c r="F10" s="19">
        <f t="shared" si="1"/>
        <v>0</v>
      </c>
      <c r="G10" s="20">
        <f t="shared" si="2"/>
        <v>0</v>
      </c>
      <c r="H10" s="21">
        <f t="shared" si="3"/>
        <v>0</v>
      </c>
    </row>
    <row r="11" spans="1:8" x14ac:dyDescent="0.25">
      <c r="A11" s="31">
        <v>46017</v>
      </c>
      <c r="B11" s="32" t="s">
        <v>15</v>
      </c>
      <c r="C11" s="33"/>
      <c r="D11" s="34"/>
      <c r="E11" s="18">
        <f t="shared" si="0"/>
        <v>0</v>
      </c>
      <c r="F11" s="19">
        <f t="shared" si="1"/>
        <v>0</v>
      </c>
      <c r="G11" s="20">
        <f t="shared" si="2"/>
        <v>0</v>
      </c>
      <c r="H11" s="21">
        <f t="shared" si="3"/>
        <v>0</v>
      </c>
    </row>
    <row r="12" spans="1:8" x14ac:dyDescent="0.25">
      <c r="A12" s="31">
        <v>46020</v>
      </c>
      <c r="B12" s="32" t="s">
        <v>16</v>
      </c>
      <c r="C12" s="33"/>
      <c r="D12" s="34"/>
      <c r="E12" s="18">
        <f t="shared" si="0"/>
        <v>0</v>
      </c>
      <c r="F12" s="19">
        <f t="shared" si="1"/>
        <v>0</v>
      </c>
      <c r="G12" s="20">
        <f t="shared" si="2"/>
        <v>0</v>
      </c>
      <c r="H12" s="21">
        <f t="shared" si="3"/>
        <v>0</v>
      </c>
    </row>
    <row r="13" spans="1:8" x14ac:dyDescent="0.25">
      <c r="A13" s="31">
        <v>46021</v>
      </c>
      <c r="B13" s="32" t="s">
        <v>12</v>
      </c>
      <c r="C13" s="33"/>
      <c r="D13" s="34"/>
      <c r="E13" s="18">
        <f t="shared" si="0"/>
        <v>0</v>
      </c>
      <c r="F13" s="19">
        <f t="shared" si="1"/>
        <v>0</v>
      </c>
      <c r="G13" s="20">
        <f t="shared" si="2"/>
        <v>0</v>
      </c>
      <c r="H13" s="21">
        <f t="shared" si="3"/>
        <v>0</v>
      </c>
    </row>
    <row r="14" spans="1:8" x14ac:dyDescent="0.25">
      <c r="A14" s="31">
        <v>46022</v>
      </c>
      <c r="B14" s="32" t="s">
        <v>13</v>
      </c>
      <c r="C14" s="33"/>
      <c r="D14" s="34"/>
      <c r="E14" s="18">
        <f t="shared" si="0"/>
        <v>0</v>
      </c>
      <c r="F14" s="19">
        <f t="shared" si="1"/>
        <v>0</v>
      </c>
      <c r="G14" s="20">
        <f t="shared" si="2"/>
        <v>0</v>
      </c>
      <c r="H14" s="21">
        <f t="shared" si="3"/>
        <v>0</v>
      </c>
    </row>
    <row r="15" spans="1:8" x14ac:dyDescent="0.25">
      <c r="A15" s="31">
        <v>46023</v>
      </c>
      <c r="B15" s="32" t="s">
        <v>14</v>
      </c>
      <c r="C15" s="33"/>
      <c r="D15" s="34"/>
      <c r="E15" s="18">
        <f t="shared" si="0"/>
        <v>0</v>
      </c>
      <c r="F15" s="19">
        <f t="shared" si="1"/>
        <v>0</v>
      </c>
      <c r="G15" s="20">
        <f t="shared" si="2"/>
        <v>0</v>
      </c>
      <c r="H15" s="21">
        <f t="shared" si="3"/>
        <v>0</v>
      </c>
    </row>
    <row r="16" spans="1:8" x14ac:dyDescent="0.25">
      <c r="A16" s="31">
        <v>46024</v>
      </c>
      <c r="B16" s="32" t="s">
        <v>15</v>
      </c>
      <c r="C16" s="33"/>
      <c r="D16" s="34"/>
      <c r="E16" s="18">
        <f t="shared" si="0"/>
        <v>0</v>
      </c>
      <c r="F16" s="19">
        <f t="shared" si="1"/>
        <v>0</v>
      </c>
      <c r="G16" s="20">
        <f t="shared" si="2"/>
        <v>0</v>
      </c>
      <c r="H16" s="21">
        <f t="shared" si="3"/>
        <v>0</v>
      </c>
    </row>
    <row r="17" spans="1:8" x14ac:dyDescent="0.25">
      <c r="A17" s="36">
        <v>46027</v>
      </c>
      <c r="B17" s="37" t="s">
        <v>16</v>
      </c>
      <c r="C17" s="38"/>
      <c r="D17" s="39"/>
      <c r="E17" s="18">
        <f t="shared" si="0"/>
        <v>0</v>
      </c>
      <c r="F17" s="19">
        <f t="shared" si="1"/>
        <v>0</v>
      </c>
      <c r="G17" s="20">
        <f t="shared" si="2"/>
        <v>0</v>
      </c>
      <c r="H17" s="21">
        <f t="shared" si="3"/>
        <v>0</v>
      </c>
    </row>
    <row r="18" spans="1:8" x14ac:dyDescent="0.25">
      <c r="A18" s="36">
        <v>46028</v>
      </c>
      <c r="B18" s="37" t="s">
        <v>12</v>
      </c>
      <c r="C18" s="38"/>
      <c r="D18" s="39"/>
      <c r="E18" s="18">
        <f t="shared" si="0"/>
        <v>0</v>
      </c>
      <c r="F18" s="19">
        <f t="shared" si="1"/>
        <v>0</v>
      </c>
      <c r="G18" s="20">
        <f t="shared" si="2"/>
        <v>0</v>
      </c>
      <c r="H18" s="21">
        <f t="shared" si="3"/>
        <v>0</v>
      </c>
    </row>
    <row r="19" spans="1:8" x14ac:dyDescent="0.25">
      <c r="A19" s="22">
        <v>46029</v>
      </c>
      <c r="B19" s="23" t="s">
        <v>13</v>
      </c>
      <c r="C19" s="24">
        <v>0.9294</v>
      </c>
      <c r="D19" s="25">
        <v>623</v>
      </c>
      <c r="E19" s="18">
        <f t="shared" si="0"/>
        <v>43.983799999999974</v>
      </c>
      <c r="F19" s="19">
        <f t="shared" si="1"/>
        <v>2419.1089999999986</v>
      </c>
      <c r="G19" s="20">
        <f t="shared" si="2"/>
        <v>31.149999999999977</v>
      </c>
      <c r="H19" s="21">
        <f t="shared" si="3"/>
        <v>-12.833799999999997</v>
      </c>
    </row>
    <row r="20" spans="1:8" x14ac:dyDescent="0.25">
      <c r="A20" s="22">
        <v>46030</v>
      </c>
      <c r="B20" s="23" t="s">
        <v>14</v>
      </c>
      <c r="C20" s="24">
        <v>0.95640000000000003</v>
      </c>
      <c r="D20" s="25">
        <v>619</v>
      </c>
      <c r="E20" s="18">
        <f t="shared" si="0"/>
        <v>26.988399999999956</v>
      </c>
      <c r="F20" s="19">
        <f t="shared" si="1"/>
        <v>1484.3619999999976</v>
      </c>
      <c r="G20" s="20">
        <f t="shared" si="2"/>
        <v>30.950000000000045</v>
      </c>
      <c r="H20" s="21">
        <f t="shared" si="3"/>
        <v>3.9616000000000895</v>
      </c>
    </row>
    <row r="21" spans="1:8" x14ac:dyDescent="0.25">
      <c r="A21" s="22">
        <v>46031</v>
      </c>
      <c r="B21" s="23" t="s">
        <v>15</v>
      </c>
      <c r="C21" s="24">
        <v>0.93049999999999999</v>
      </c>
      <c r="D21" s="25">
        <v>619</v>
      </c>
      <c r="E21" s="18">
        <f t="shared" si="0"/>
        <v>43.02049999999997</v>
      </c>
      <c r="F21" s="19">
        <f t="shared" si="1"/>
        <v>2366.1274999999982</v>
      </c>
      <c r="G21" s="20">
        <f t="shared" si="2"/>
        <v>30.950000000000045</v>
      </c>
      <c r="H21" s="21">
        <f t="shared" si="3"/>
        <v>-12.070499999999925</v>
      </c>
    </row>
    <row r="22" spans="1:8" x14ac:dyDescent="0.25">
      <c r="A22" s="22">
        <v>46034</v>
      </c>
      <c r="B22" s="23" t="s">
        <v>16</v>
      </c>
      <c r="C22" s="24">
        <v>0.93710000000000004</v>
      </c>
      <c r="D22" s="25">
        <v>620</v>
      </c>
      <c r="E22" s="18">
        <f t="shared" si="0"/>
        <v>38.997999999999934</v>
      </c>
      <c r="F22" s="19">
        <f t="shared" si="1"/>
        <v>2144.8899999999962</v>
      </c>
      <c r="G22" s="20">
        <f t="shared" si="2"/>
        <v>31</v>
      </c>
      <c r="H22" s="21">
        <f t="shared" si="3"/>
        <v>-7.9979999999999336</v>
      </c>
    </row>
    <row r="23" spans="1:8" x14ac:dyDescent="0.25">
      <c r="A23" s="22">
        <v>46035</v>
      </c>
      <c r="B23" s="23" t="s">
        <v>12</v>
      </c>
      <c r="C23" s="24">
        <v>0.95799999999999996</v>
      </c>
      <c r="D23" s="25">
        <v>619</v>
      </c>
      <c r="E23" s="18">
        <f t="shared" si="0"/>
        <v>25.998000000000047</v>
      </c>
      <c r="F23" s="19">
        <f t="shared" si="1"/>
        <v>1429.8900000000026</v>
      </c>
      <c r="G23" s="20">
        <f t="shared" si="2"/>
        <v>30.950000000000045</v>
      </c>
      <c r="H23" s="21">
        <f t="shared" si="3"/>
        <v>4.9519999999999982</v>
      </c>
    </row>
    <row r="24" spans="1:8" x14ac:dyDescent="0.25">
      <c r="A24" s="22">
        <v>46036</v>
      </c>
      <c r="B24" s="23" t="s">
        <v>13</v>
      </c>
      <c r="C24" s="24">
        <v>0.9677</v>
      </c>
      <c r="D24" s="25">
        <v>619</v>
      </c>
      <c r="E24" s="18">
        <f t="shared" si="0"/>
        <v>19.99369999999999</v>
      </c>
      <c r="F24" s="19">
        <f t="shared" si="1"/>
        <v>1099.6534999999994</v>
      </c>
      <c r="G24" s="20">
        <f t="shared" si="2"/>
        <v>30.950000000000045</v>
      </c>
      <c r="H24" s="21">
        <f t="shared" si="3"/>
        <v>10.956300000000056</v>
      </c>
    </row>
  </sheetData>
  <mergeCells count="7">
    <mergeCell ref="A2:D5"/>
    <mergeCell ref="E2:F2"/>
    <mergeCell ref="H2:H6"/>
    <mergeCell ref="E3:F3"/>
    <mergeCell ref="G3:G5"/>
    <mergeCell ref="E4:F4"/>
    <mergeCell ref="E5:F5"/>
  </mergeCells>
  <conditionalFormatting sqref="C6:C24">
    <cfRule type="cellIs" dxfId="33" priority="4" operator="lessThan">
      <formula>"92%"</formula>
    </cfRule>
  </conditionalFormatting>
  <conditionalFormatting sqref="C7:C24">
    <cfRule type="cellIs" dxfId="32" priority="1" operator="lessThan">
      <formula>"90%"</formula>
    </cfRule>
    <cfRule type="cellIs" dxfId="31" priority="2" operator="lessThan">
      <formula>"94%"</formula>
    </cfRule>
  </conditionalFormatting>
  <conditionalFormatting sqref="H1:H24">
    <cfRule type="cellIs" dxfId="30" priority="3" operator="lessThan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5F152-A955-3540-B4B4-F0F9A1342333}">
  <dimension ref="A1:H25"/>
  <sheetViews>
    <sheetView topLeftCell="A6" workbookViewId="0">
      <selection activeCell="A26" sqref="A26:XFD1048576"/>
    </sheetView>
  </sheetViews>
  <sheetFormatPr defaultColWidth="11" defaultRowHeight="15.75" x14ac:dyDescent="0.25"/>
  <cols>
    <col min="4" max="4" width="12.5" bestFit="1" customWidth="1"/>
    <col min="7" max="7" width="12.5" bestFit="1" customWidth="1"/>
  </cols>
  <sheetData>
    <row r="1" spans="1:8" ht="28.5" thickBot="1" x14ac:dyDescent="0.5">
      <c r="A1" s="15"/>
      <c r="B1" s="15"/>
      <c r="C1" s="15"/>
      <c r="D1" s="15"/>
      <c r="E1" s="16"/>
      <c r="F1" s="16"/>
      <c r="G1" s="1"/>
      <c r="H1" s="14" t="e">
        <f>SUM(#REF!)</f>
        <v>#REF!</v>
      </c>
    </row>
    <row r="2" spans="1:8" ht="17.100000000000001" customHeight="1" thickTop="1" x14ac:dyDescent="0.25">
      <c r="A2" s="48" t="s">
        <v>24</v>
      </c>
      <c r="B2" s="49"/>
      <c r="C2" s="49"/>
      <c r="D2" s="49"/>
      <c r="E2" s="50" t="s">
        <v>1</v>
      </c>
      <c r="F2" s="51"/>
      <c r="G2" s="17" t="s">
        <v>2</v>
      </c>
      <c r="H2" s="52" t="s">
        <v>3</v>
      </c>
    </row>
    <row r="3" spans="1:8" ht="24.95" customHeight="1" x14ac:dyDescent="0.4">
      <c r="A3" s="49"/>
      <c r="B3" s="49"/>
      <c r="C3" s="49"/>
      <c r="D3" s="49"/>
      <c r="E3" s="53" t="e">
        <f>SUM(#REF!)</f>
        <v>#REF!</v>
      </c>
      <c r="F3" s="51"/>
      <c r="G3" s="54">
        <v>0.95</v>
      </c>
      <c r="H3" s="51"/>
    </row>
    <row r="4" spans="1:8" x14ac:dyDescent="0.25">
      <c r="A4" s="49"/>
      <c r="B4" s="49"/>
      <c r="C4" s="49"/>
      <c r="D4" s="49"/>
      <c r="E4" s="56" t="s">
        <v>4</v>
      </c>
      <c r="F4" s="49"/>
      <c r="G4" s="55"/>
      <c r="H4" s="51"/>
    </row>
    <row r="5" spans="1:8" ht="19.5" thickBot="1" x14ac:dyDescent="0.5">
      <c r="A5" s="49"/>
      <c r="B5" s="49"/>
      <c r="C5" s="49"/>
      <c r="D5" s="49"/>
      <c r="E5" s="57">
        <v>55</v>
      </c>
      <c r="F5" s="49"/>
      <c r="G5" s="55"/>
      <c r="H5" s="51"/>
    </row>
    <row r="6" spans="1:8" ht="26.25" thickTop="1" thickBot="1" x14ac:dyDescent="0.3">
      <c r="A6" s="3" t="s">
        <v>5</v>
      </c>
      <c r="B6" s="4" t="s">
        <v>6</v>
      </c>
      <c r="C6" s="5" t="s">
        <v>7</v>
      </c>
      <c r="D6" s="4" t="s">
        <v>8</v>
      </c>
      <c r="E6" s="6" t="s">
        <v>9</v>
      </c>
      <c r="F6" s="7" t="s">
        <v>10</v>
      </c>
      <c r="G6" s="8" t="s">
        <v>11</v>
      </c>
      <c r="H6" s="51"/>
    </row>
    <row r="7" spans="1:8" ht="16.5" thickTop="1" x14ac:dyDescent="0.25">
      <c r="A7" s="31">
        <v>46013</v>
      </c>
      <c r="B7" s="32" t="s">
        <v>16</v>
      </c>
      <c r="C7" s="33"/>
      <c r="D7" s="34"/>
      <c r="E7" s="18">
        <f t="shared" ref="E7:E25" si="0">D7-(C7*D7)</f>
        <v>0</v>
      </c>
      <c r="F7" s="19">
        <f t="shared" ref="F7:F25" si="1">E7*$E$5</f>
        <v>0</v>
      </c>
      <c r="G7" s="20">
        <f t="shared" ref="G7:G25" si="2">D7-(D7*G$3)</f>
        <v>0</v>
      </c>
      <c r="H7" s="21">
        <f t="shared" ref="H7:H25" si="3">G7-E7</f>
        <v>0</v>
      </c>
    </row>
    <row r="8" spans="1:8" x14ac:dyDescent="0.25">
      <c r="A8" s="31">
        <v>46014</v>
      </c>
      <c r="B8" s="32" t="s">
        <v>12</v>
      </c>
      <c r="C8" s="33"/>
      <c r="D8" s="34"/>
      <c r="E8" s="18">
        <f t="shared" si="0"/>
        <v>0</v>
      </c>
      <c r="F8" s="19">
        <f t="shared" si="1"/>
        <v>0</v>
      </c>
      <c r="G8" s="20">
        <f t="shared" si="2"/>
        <v>0</v>
      </c>
      <c r="H8" s="21">
        <f t="shared" si="3"/>
        <v>0</v>
      </c>
    </row>
    <row r="9" spans="1:8" x14ac:dyDescent="0.25">
      <c r="A9" s="31">
        <v>46015</v>
      </c>
      <c r="B9" s="32" t="s">
        <v>13</v>
      </c>
      <c r="C9" s="33"/>
      <c r="D9" s="34"/>
      <c r="E9" s="18">
        <f t="shared" si="0"/>
        <v>0</v>
      </c>
      <c r="F9" s="19">
        <f t="shared" si="1"/>
        <v>0</v>
      </c>
      <c r="G9" s="20">
        <f t="shared" si="2"/>
        <v>0</v>
      </c>
      <c r="H9" s="21">
        <f t="shared" si="3"/>
        <v>0</v>
      </c>
    </row>
    <row r="10" spans="1:8" x14ac:dyDescent="0.25">
      <c r="A10" s="31">
        <v>46016</v>
      </c>
      <c r="B10" s="32" t="s">
        <v>14</v>
      </c>
      <c r="C10" s="33"/>
      <c r="D10" s="34"/>
      <c r="E10" s="18">
        <f t="shared" si="0"/>
        <v>0</v>
      </c>
      <c r="F10" s="19">
        <f t="shared" si="1"/>
        <v>0</v>
      </c>
      <c r="G10" s="20">
        <f t="shared" si="2"/>
        <v>0</v>
      </c>
      <c r="H10" s="21">
        <f t="shared" si="3"/>
        <v>0</v>
      </c>
    </row>
    <row r="11" spans="1:8" x14ac:dyDescent="0.25">
      <c r="A11" s="31">
        <v>46017</v>
      </c>
      <c r="B11" s="32" t="s">
        <v>15</v>
      </c>
      <c r="C11" s="33"/>
      <c r="D11" s="34"/>
      <c r="E11" s="18">
        <f t="shared" si="0"/>
        <v>0</v>
      </c>
      <c r="F11" s="19">
        <f t="shared" si="1"/>
        <v>0</v>
      </c>
      <c r="G11" s="20">
        <f t="shared" si="2"/>
        <v>0</v>
      </c>
      <c r="H11" s="21">
        <f t="shared" si="3"/>
        <v>0</v>
      </c>
    </row>
    <row r="12" spans="1:8" x14ac:dyDescent="0.25">
      <c r="A12" s="31">
        <v>46020</v>
      </c>
      <c r="B12" s="32" t="s">
        <v>16</v>
      </c>
      <c r="C12" s="33"/>
      <c r="D12" s="34"/>
      <c r="E12" s="18">
        <f t="shared" si="0"/>
        <v>0</v>
      </c>
      <c r="F12" s="19">
        <f t="shared" si="1"/>
        <v>0</v>
      </c>
      <c r="G12" s="20">
        <f t="shared" si="2"/>
        <v>0</v>
      </c>
      <c r="H12" s="21">
        <f t="shared" si="3"/>
        <v>0</v>
      </c>
    </row>
    <row r="13" spans="1:8" x14ac:dyDescent="0.25">
      <c r="A13" s="31">
        <v>46021</v>
      </c>
      <c r="B13" s="32" t="s">
        <v>12</v>
      </c>
      <c r="C13" s="33"/>
      <c r="D13" s="34"/>
      <c r="E13" s="18">
        <f t="shared" si="0"/>
        <v>0</v>
      </c>
      <c r="F13" s="19">
        <f t="shared" si="1"/>
        <v>0</v>
      </c>
      <c r="G13" s="20">
        <f t="shared" si="2"/>
        <v>0</v>
      </c>
      <c r="H13" s="21">
        <f t="shared" si="3"/>
        <v>0</v>
      </c>
    </row>
    <row r="14" spans="1:8" x14ac:dyDescent="0.25">
      <c r="A14" s="31">
        <v>46022</v>
      </c>
      <c r="B14" s="32" t="s">
        <v>13</v>
      </c>
      <c r="C14" s="33"/>
      <c r="D14" s="34"/>
      <c r="E14" s="18">
        <f t="shared" si="0"/>
        <v>0</v>
      </c>
      <c r="F14" s="19">
        <f t="shared" si="1"/>
        <v>0</v>
      </c>
      <c r="G14" s="20">
        <f t="shared" si="2"/>
        <v>0</v>
      </c>
      <c r="H14" s="21">
        <f t="shared" si="3"/>
        <v>0</v>
      </c>
    </row>
    <row r="15" spans="1:8" x14ac:dyDescent="0.25">
      <c r="A15" s="31">
        <v>46023</v>
      </c>
      <c r="B15" s="32" t="s">
        <v>14</v>
      </c>
      <c r="C15" s="33"/>
      <c r="D15" s="34"/>
      <c r="E15" s="18">
        <f t="shared" si="0"/>
        <v>0</v>
      </c>
      <c r="F15" s="19">
        <f t="shared" si="1"/>
        <v>0</v>
      </c>
      <c r="G15" s="20">
        <f t="shared" si="2"/>
        <v>0</v>
      </c>
      <c r="H15" s="21">
        <f t="shared" si="3"/>
        <v>0</v>
      </c>
    </row>
    <row r="16" spans="1:8" x14ac:dyDescent="0.25">
      <c r="A16" s="31">
        <v>46024</v>
      </c>
      <c r="B16" s="32" t="s">
        <v>15</v>
      </c>
      <c r="C16" s="33"/>
      <c r="D16" s="34"/>
      <c r="E16" s="18">
        <f t="shared" si="0"/>
        <v>0</v>
      </c>
      <c r="F16" s="19">
        <f t="shared" si="1"/>
        <v>0</v>
      </c>
      <c r="G16" s="20">
        <f t="shared" si="2"/>
        <v>0</v>
      </c>
      <c r="H16" s="21">
        <f t="shared" si="3"/>
        <v>0</v>
      </c>
    </row>
    <row r="17" spans="1:8" x14ac:dyDescent="0.25">
      <c r="A17" s="36">
        <v>46027</v>
      </c>
      <c r="B17" s="37" t="s">
        <v>16</v>
      </c>
      <c r="C17" s="38"/>
      <c r="D17" s="39"/>
      <c r="E17" s="18">
        <f t="shared" si="0"/>
        <v>0</v>
      </c>
      <c r="F17" s="19">
        <f t="shared" si="1"/>
        <v>0</v>
      </c>
      <c r="G17" s="20">
        <f t="shared" si="2"/>
        <v>0</v>
      </c>
      <c r="H17" s="21">
        <f t="shared" si="3"/>
        <v>0</v>
      </c>
    </row>
    <row r="18" spans="1:8" x14ac:dyDescent="0.25">
      <c r="A18" s="36">
        <v>46028</v>
      </c>
      <c r="B18" s="37" t="s">
        <v>12</v>
      </c>
      <c r="C18" s="38"/>
      <c r="D18" s="39"/>
      <c r="E18" s="18">
        <f t="shared" si="0"/>
        <v>0</v>
      </c>
      <c r="F18" s="19">
        <f t="shared" si="1"/>
        <v>0</v>
      </c>
      <c r="G18" s="20">
        <f t="shared" si="2"/>
        <v>0</v>
      </c>
      <c r="H18" s="21">
        <f t="shared" si="3"/>
        <v>0</v>
      </c>
    </row>
    <row r="19" spans="1:8" x14ac:dyDescent="0.25">
      <c r="A19" s="22">
        <v>46029</v>
      </c>
      <c r="B19" s="23" t="s">
        <v>13</v>
      </c>
      <c r="C19" s="24">
        <v>0.93810000000000004</v>
      </c>
      <c r="D19" s="25">
        <v>616</v>
      </c>
      <c r="E19" s="18">
        <f t="shared" si="0"/>
        <v>38.130400000000009</v>
      </c>
      <c r="F19" s="19">
        <f t="shared" si="1"/>
        <v>2097.1720000000005</v>
      </c>
      <c r="G19" s="20">
        <f t="shared" si="2"/>
        <v>30.800000000000068</v>
      </c>
      <c r="H19" s="21">
        <f t="shared" si="3"/>
        <v>-7.3303999999999405</v>
      </c>
    </row>
    <row r="20" spans="1:8" x14ac:dyDescent="0.25">
      <c r="A20" s="22">
        <v>46030</v>
      </c>
      <c r="B20" s="23" t="s">
        <v>14</v>
      </c>
      <c r="C20" s="24">
        <v>0.96260000000000001</v>
      </c>
      <c r="D20" s="25">
        <v>615</v>
      </c>
      <c r="E20" s="18">
        <f t="shared" si="0"/>
        <v>23.000999999999976</v>
      </c>
      <c r="F20" s="19">
        <f t="shared" si="1"/>
        <v>1265.0549999999987</v>
      </c>
      <c r="G20" s="20">
        <f t="shared" si="2"/>
        <v>30.75</v>
      </c>
      <c r="H20" s="21">
        <f t="shared" si="3"/>
        <v>7.7490000000000236</v>
      </c>
    </row>
    <row r="21" spans="1:8" x14ac:dyDescent="0.25">
      <c r="A21" s="22">
        <v>46031</v>
      </c>
      <c r="B21" s="23" t="s">
        <v>15</v>
      </c>
      <c r="C21" s="24">
        <v>0.95609999999999995</v>
      </c>
      <c r="D21" s="25">
        <v>615</v>
      </c>
      <c r="E21" s="18">
        <f t="shared" si="0"/>
        <v>26.998500000000035</v>
      </c>
      <c r="F21" s="19">
        <f t="shared" si="1"/>
        <v>1484.9175000000018</v>
      </c>
      <c r="G21" s="20">
        <f t="shared" si="2"/>
        <v>30.75</v>
      </c>
      <c r="H21" s="21">
        <f t="shared" si="3"/>
        <v>3.7514999999999645</v>
      </c>
    </row>
    <row r="22" spans="1:8" x14ac:dyDescent="0.25">
      <c r="A22" s="22">
        <v>46034</v>
      </c>
      <c r="B22" s="23" t="s">
        <v>16</v>
      </c>
      <c r="C22" s="24">
        <v>0.93979999999999997</v>
      </c>
      <c r="D22" s="25">
        <v>615</v>
      </c>
      <c r="E22" s="18">
        <f t="shared" si="0"/>
        <v>37.023000000000025</v>
      </c>
      <c r="F22" s="19">
        <f t="shared" si="1"/>
        <v>2036.2650000000012</v>
      </c>
      <c r="G22" s="20">
        <f t="shared" si="2"/>
        <v>30.75</v>
      </c>
      <c r="H22" s="21">
        <f t="shared" si="3"/>
        <v>-6.2730000000000246</v>
      </c>
    </row>
    <row r="23" spans="1:8" x14ac:dyDescent="0.25">
      <c r="A23" s="22">
        <v>46035</v>
      </c>
      <c r="B23" s="23" t="s">
        <v>12</v>
      </c>
      <c r="C23" s="24">
        <v>0.96909999999999996</v>
      </c>
      <c r="D23" s="25">
        <v>615</v>
      </c>
      <c r="E23" s="18">
        <f t="shared" si="0"/>
        <v>19.003500000000031</v>
      </c>
      <c r="F23" s="19">
        <f t="shared" si="1"/>
        <v>1045.1925000000017</v>
      </c>
      <c r="G23" s="20">
        <f t="shared" si="2"/>
        <v>30.75</v>
      </c>
      <c r="H23" s="21">
        <f t="shared" si="3"/>
        <v>11.746499999999969</v>
      </c>
    </row>
    <row r="24" spans="1:8" x14ac:dyDescent="0.25">
      <c r="A24" s="22">
        <v>46036</v>
      </c>
      <c r="B24" s="23" t="s">
        <v>13</v>
      </c>
      <c r="C24" s="24">
        <v>0.96589999999999998</v>
      </c>
      <c r="D24" s="25">
        <v>615</v>
      </c>
      <c r="E24" s="18">
        <f t="shared" si="0"/>
        <v>20.971499999999992</v>
      </c>
      <c r="F24" s="19">
        <f t="shared" si="1"/>
        <v>1153.4324999999994</v>
      </c>
      <c r="G24" s="20">
        <f t="shared" si="2"/>
        <v>30.75</v>
      </c>
      <c r="H24" s="21">
        <f t="shared" si="3"/>
        <v>9.7785000000000082</v>
      </c>
    </row>
    <row r="25" spans="1:8" x14ac:dyDescent="0.25">
      <c r="A25" s="22">
        <v>46037</v>
      </c>
      <c r="B25" s="23" t="s">
        <v>14</v>
      </c>
      <c r="C25" s="24">
        <v>0.9496</v>
      </c>
      <c r="D25" s="25">
        <v>615</v>
      </c>
      <c r="E25" s="18">
        <f t="shared" si="0"/>
        <v>30.995999999999981</v>
      </c>
      <c r="F25" s="19">
        <f t="shared" si="1"/>
        <v>1704.7799999999988</v>
      </c>
      <c r="G25" s="20">
        <f t="shared" si="2"/>
        <v>30.75</v>
      </c>
      <c r="H25" s="21">
        <f t="shared" si="3"/>
        <v>-0.2459999999999809</v>
      </c>
    </row>
  </sheetData>
  <mergeCells count="7">
    <mergeCell ref="A2:D5"/>
    <mergeCell ref="E2:F2"/>
    <mergeCell ref="H2:H6"/>
    <mergeCell ref="E3:F3"/>
    <mergeCell ref="G3:G5"/>
    <mergeCell ref="E4:F4"/>
    <mergeCell ref="E5:F5"/>
  </mergeCells>
  <conditionalFormatting sqref="C6:C25">
    <cfRule type="cellIs" dxfId="29" priority="4" operator="lessThan">
      <formula>"92%"</formula>
    </cfRule>
  </conditionalFormatting>
  <conditionalFormatting sqref="C7:C25">
    <cfRule type="cellIs" dxfId="28" priority="1" operator="lessThan">
      <formula>"90%"</formula>
    </cfRule>
    <cfRule type="cellIs" dxfId="27" priority="2" operator="lessThan">
      <formula>"94%"</formula>
    </cfRule>
  </conditionalFormatting>
  <conditionalFormatting sqref="H1:H25">
    <cfRule type="cellIs" dxfId="26" priority="3" operator="lessThan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41547-973C-D84D-ABFD-EE93E256AE47}">
  <dimension ref="A1:H24"/>
  <sheetViews>
    <sheetView topLeftCell="A5" workbookViewId="0">
      <selection activeCell="A25" sqref="A25:XFD1048576"/>
    </sheetView>
  </sheetViews>
  <sheetFormatPr defaultColWidth="11" defaultRowHeight="15.75" x14ac:dyDescent="0.25"/>
  <cols>
    <col min="4" max="4" width="12.5" bestFit="1" customWidth="1"/>
  </cols>
  <sheetData>
    <row r="1" spans="1:8" ht="16.5" thickBot="1" x14ac:dyDescent="0.3">
      <c r="A1" s="10" t="s">
        <v>31</v>
      </c>
      <c r="B1" s="10"/>
      <c r="C1" s="11"/>
      <c r="D1" s="11"/>
      <c r="E1" s="12"/>
      <c r="F1" s="12"/>
      <c r="G1" s="13"/>
      <c r="H1" s="14" t="e">
        <f>SUM(#REF!)</f>
        <v>#REF!</v>
      </c>
    </row>
    <row r="2" spans="1:8" ht="16.5" thickTop="1" x14ac:dyDescent="0.25">
      <c r="A2" s="48" t="s">
        <v>25</v>
      </c>
      <c r="B2" s="49"/>
      <c r="C2" s="49"/>
      <c r="D2" s="49"/>
      <c r="E2" s="50" t="s">
        <v>1</v>
      </c>
      <c r="F2" s="51"/>
      <c r="G2" s="17" t="s">
        <v>2</v>
      </c>
      <c r="H2" s="52" t="s">
        <v>3</v>
      </c>
    </row>
    <row r="3" spans="1:8" ht="24.75" x14ac:dyDescent="0.4">
      <c r="A3" s="49"/>
      <c r="B3" s="49"/>
      <c r="C3" s="49"/>
      <c r="D3" s="49"/>
      <c r="E3" s="53" t="e">
        <f>SUM(#REF!)</f>
        <v>#REF!</v>
      </c>
      <c r="F3" s="51"/>
      <c r="G3" s="54">
        <v>0.95</v>
      </c>
      <c r="H3" s="51"/>
    </row>
    <row r="4" spans="1:8" x14ac:dyDescent="0.25">
      <c r="A4" s="49"/>
      <c r="B4" s="49"/>
      <c r="C4" s="49"/>
      <c r="D4" s="49"/>
      <c r="E4" s="56" t="s">
        <v>4</v>
      </c>
      <c r="F4" s="49"/>
      <c r="G4" s="55"/>
      <c r="H4" s="51"/>
    </row>
    <row r="5" spans="1:8" ht="19.5" thickBot="1" x14ac:dyDescent="0.5">
      <c r="A5" s="49"/>
      <c r="B5" s="49"/>
      <c r="C5" s="49"/>
      <c r="D5" s="49"/>
      <c r="E5" s="57">
        <v>55</v>
      </c>
      <c r="F5" s="49"/>
      <c r="G5" s="55"/>
      <c r="H5" s="51"/>
    </row>
    <row r="6" spans="1:8" ht="26.25" thickTop="1" thickBot="1" x14ac:dyDescent="0.3">
      <c r="A6" s="3" t="s">
        <v>5</v>
      </c>
      <c r="B6" s="4" t="s">
        <v>6</v>
      </c>
      <c r="C6" s="5" t="s">
        <v>7</v>
      </c>
      <c r="D6" s="4" t="s">
        <v>8</v>
      </c>
      <c r="E6" s="6" t="s">
        <v>9</v>
      </c>
      <c r="F6" s="7" t="s">
        <v>10</v>
      </c>
      <c r="G6" s="8" t="s">
        <v>11</v>
      </c>
      <c r="H6" s="51"/>
    </row>
    <row r="7" spans="1:8" ht="16.5" thickTop="1" x14ac:dyDescent="0.25">
      <c r="A7" s="31">
        <v>46013</v>
      </c>
      <c r="B7" s="32" t="s">
        <v>16</v>
      </c>
      <c r="C7" s="33"/>
      <c r="D7" s="35"/>
      <c r="E7" s="18">
        <f t="shared" ref="E7:E24" si="0">D7-(C7*D7)</f>
        <v>0</v>
      </c>
      <c r="F7" s="19">
        <f t="shared" ref="F7:F24" si="1">E7*$E$5</f>
        <v>0</v>
      </c>
      <c r="G7" s="20">
        <f t="shared" ref="G7:G24" si="2">D7-(D7*G$3)</f>
        <v>0</v>
      </c>
      <c r="H7" s="30">
        <f t="shared" ref="H7:H24" si="3">G7-E7</f>
        <v>0</v>
      </c>
    </row>
    <row r="8" spans="1:8" x14ac:dyDescent="0.25">
      <c r="A8" s="31">
        <v>46014</v>
      </c>
      <c r="B8" s="32" t="s">
        <v>12</v>
      </c>
      <c r="C8" s="33"/>
      <c r="D8" s="35"/>
      <c r="E8" s="18">
        <f t="shared" si="0"/>
        <v>0</v>
      </c>
      <c r="F8" s="19">
        <f t="shared" si="1"/>
        <v>0</v>
      </c>
      <c r="G8" s="20">
        <f t="shared" si="2"/>
        <v>0</v>
      </c>
      <c r="H8" s="30">
        <f t="shared" si="3"/>
        <v>0</v>
      </c>
    </row>
    <row r="9" spans="1:8" x14ac:dyDescent="0.25">
      <c r="A9" s="31">
        <v>46015</v>
      </c>
      <c r="B9" s="32" t="s">
        <v>13</v>
      </c>
      <c r="C9" s="33"/>
      <c r="D9" s="35"/>
      <c r="E9" s="18">
        <f t="shared" si="0"/>
        <v>0</v>
      </c>
      <c r="F9" s="19">
        <f t="shared" si="1"/>
        <v>0</v>
      </c>
      <c r="G9" s="20">
        <f t="shared" si="2"/>
        <v>0</v>
      </c>
      <c r="H9" s="30">
        <f t="shared" si="3"/>
        <v>0</v>
      </c>
    </row>
    <row r="10" spans="1:8" x14ac:dyDescent="0.25">
      <c r="A10" s="31">
        <v>46016</v>
      </c>
      <c r="B10" s="32" t="s">
        <v>14</v>
      </c>
      <c r="C10" s="33"/>
      <c r="D10" s="35"/>
      <c r="E10" s="18">
        <f t="shared" si="0"/>
        <v>0</v>
      </c>
      <c r="F10" s="19">
        <f t="shared" si="1"/>
        <v>0</v>
      </c>
      <c r="G10" s="20">
        <f t="shared" si="2"/>
        <v>0</v>
      </c>
      <c r="H10" s="30">
        <f t="shared" si="3"/>
        <v>0</v>
      </c>
    </row>
    <row r="11" spans="1:8" x14ac:dyDescent="0.25">
      <c r="A11" s="31">
        <v>46017</v>
      </c>
      <c r="B11" s="32" t="s">
        <v>15</v>
      </c>
      <c r="C11" s="33"/>
      <c r="D11" s="35"/>
      <c r="E11" s="18">
        <f t="shared" si="0"/>
        <v>0</v>
      </c>
      <c r="F11" s="19">
        <f t="shared" si="1"/>
        <v>0</v>
      </c>
      <c r="G11" s="20">
        <f t="shared" si="2"/>
        <v>0</v>
      </c>
      <c r="H11" s="30">
        <f t="shared" si="3"/>
        <v>0</v>
      </c>
    </row>
    <row r="12" spans="1:8" x14ac:dyDescent="0.25">
      <c r="A12" s="31">
        <v>46020</v>
      </c>
      <c r="B12" s="32" t="s">
        <v>16</v>
      </c>
      <c r="C12" s="33"/>
      <c r="D12" s="35"/>
      <c r="E12" s="18">
        <f t="shared" si="0"/>
        <v>0</v>
      </c>
      <c r="F12" s="19">
        <f t="shared" si="1"/>
        <v>0</v>
      </c>
      <c r="G12" s="20">
        <f t="shared" si="2"/>
        <v>0</v>
      </c>
      <c r="H12" s="30">
        <f t="shared" si="3"/>
        <v>0</v>
      </c>
    </row>
    <row r="13" spans="1:8" x14ac:dyDescent="0.25">
      <c r="A13" s="31">
        <v>46021</v>
      </c>
      <c r="B13" s="32" t="s">
        <v>12</v>
      </c>
      <c r="C13" s="33"/>
      <c r="D13" s="35"/>
      <c r="E13" s="18">
        <f t="shared" si="0"/>
        <v>0</v>
      </c>
      <c r="F13" s="19">
        <f t="shared" si="1"/>
        <v>0</v>
      </c>
      <c r="G13" s="20">
        <f t="shared" si="2"/>
        <v>0</v>
      </c>
      <c r="H13" s="30">
        <f t="shared" si="3"/>
        <v>0</v>
      </c>
    </row>
    <row r="14" spans="1:8" x14ac:dyDescent="0.25">
      <c r="A14" s="31">
        <v>46022</v>
      </c>
      <c r="B14" s="32" t="s">
        <v>13</v>
      </c>
      <c r="C14" s="33"/>
      <c r="D14" s="35"/>
      <c r="E14" s="18">
        <f t="shared" si="0"/>
        <v>0</v>
      </c>
      <c r="F14" s="19">
        <f t="shared" si="1"/>
        <v>0</v>
      </c>
      <c r="G14" s="20">
        <f t="shared" si="2"/>
        <v>0</v>
      </c>
      <c r="H14" s="30">
        <f t="shared" si="3"/>
        <v>0</v>
      </c>
    </row>
    <row r="15" spans="1:8" x14ac:dyDescent="0.25">
      <c r="A15" s="31">
        <v>46023</v>
      </c>
      <c r="B15" s="32" t="s">
        <v>14</v>
      </c>
      <c r="C15" s="33"/>
      <c r="D15" s="35"/>
      <c r="E15" s="18">
        <f t="shared" si="0"/>
        <v>0</v>
      </c>
      <c r="F15" s="19">
        <f t="shared" si="1"/>
        <v>0</v>
      </c>
      <c r="G15" s="20">
        <f t="shared" si="2"/>
        <v>0</v>
      </c>
      <c r="H15" s="30">
        <f t="shared" si="3"/>
        <v>0</v>
      </c>
    </row>
    <row r="16" spans="1:8" x14ac:dyDescent="0.25">
      <c r="A16" s="31">
        <v>46024</v>
      </c>
      <c r="B16" s="32" t="s">
        <v>15</v>
      </c>
      <c r="C16" s="33"/>
      <c r="D16" s="35"/>
      <c r="E16" s="18">
        <f t="shared" si="0"/>
        <v>0</v>
      </c>
      <c r="F16" s="19">
        <f t="shared" si="1"/>
        <v>0</v>
      </c>
      <c r="G16" s="20">
        <f t="shared" si="2"/>
        <v>0</v>
      </c>
      <c r="H16" s="30">
        <f t="shared" si="3"/>
        <v>0</v>
      </c>
    </row>
    <row r="17" spans="1:8" x14ac:dyDescent="0.25">
      <c r="A17" s="40">
        <v>46027</v>
      </c>
      <c r="B17" s="41" t="s">
        <v>16</v>
      </c>
      <c r="C17" s="42"/>
      <c r="D17" s="43"/>
      <c r="E17" s="18">
        <f t="shared" si="0"/>
        <v>0</v>
      </c>
      <c r="F17" s="19">
        <f t="shared" si="1"/>
        <v>0</v>
      </c>
      <c r="G17" s="20">
        <f t="shared" si="2"/>
        <v>0</v>
      </c>
      <c r="H17" s="30">
        <f t="shared" si="3"/>
        <v>0</v>
      </c>
    </row>
    <row r="18" spans="1:8" x14ac:dyDescent="0.25">
      <c r="A18" s="40">
        <v>46028</v>
      </c>
      <c r="B18" s="41" t="s">
        <v>12</v>
      </c>
      <c r="C18" s="42"/>
      <c r="D18" s="43"/>
      <c r="E18" s="18">
        <f t="shared" si="0"/>
        <v>0</v>
      </c>
      <c r="F18" s="19">
        <f t="shared" si="1"/>
        <v>0</v>
      </c>
      <c r="G18" s="20">
        <f t="shared" si="2"/>
        <v>0</v>
      </c>
      <c r="H18" s="30">
        <f t="shared" si="3"/>
        <v>0</v>
      </c>
    </row>
    <row r="19" spans="1:8" x14ac:dyDescent="0.25">
      <c r="A19" s="26">
        <v>46029</v>
      </c>
      <c r="B19" s="27" t="s">
        <v>13</v>
      </c>
      <c r="C19" s="28">
        <v>0.94110000000000005</v>
      </c>
      <c r="D19" s="29">
        <v>1325</v>
      </c>
      <c r="E19" s="18">
        <f t="shared" si="0"/>
        <v>78.042500000000018</v>
      </c>
      <c r="F19" s="19">
        <f t="shared" si="1"/>
        <v>4292.3375000000015</v>
      </c>
      <c r="G19" s="20">
        <f t="shared" si="2"/>
        <v>66.25</v>
      </c>
      <c r="H19" s="30">
        <f t="shared" si="3"/>
        <v>-11.792500000000018</v>
      </c>
    </row>
    <row r="20" spans="1:8" x14ac:dyDescent="0.25">
      <c r="A20" s="26">
        <v>46030</v>
      </c>
      <c r="B20" s="27" t="s">
        <v>14</v>
      </c>
      <c r="C20" s="28">
        <v>0.95009999999999994</v>
      </c>
      <c r="D20" s="29">
        <v>1322</v>
      </c>
      <c r="E20" s="18">
        <f t="shared" si="0"/>
        <v>65.967800000000125</v>
      </c>
      <c r="F20" s="19">
        <f t="shared" si="1"/>
        <v>3628.2290000000066</v>
      </c>
      <c r="G20" s="20">
        <f t="shared" si="2"/>
        <v>66.100000000000136</v>
      </c>
      <c r="H20" s="30">
        <f t="shared" si="3"/>
        <v>0.13220000000001164</v>
      </c>
    </row>
    <row r="21" spans="1:8" x14ac:dyDescent="0.25">
      <c r="A21" s="44">
        <v>46031</v>
      </c>
      <c r="B21" s="45" t="s">
        <v>15</v>
      </c>
      <c r="C21" s="46">
        <v>0.93869999999999998</v>
      </c>
      <c r="D21" s="47">
        <v>1322</v>
      </c>
      <c r="E21" s="18">
        <f t="shared" si="0"/>
        <v>81.038600000000088</v>
      </c>
      <c r="F21" s="19">
        <f t="shared" si="1"/>
        <v>4457.123000000005</v>
      </c>
      <c r="G21" s="20">
        <f t="shared" si="2"/>
        <v>66.100000000000136</v>
      </c>
      <c r="H21" s="30">
        <f t="shared" si="3"/>
        <v>-14.938599999999951</v>
      </c>
    </row>
    <row r="22" spans="1:8" x14ac:dyDescent="0.25">
      <c r="A22" s="26">
        <v>46034</v>
      </c>
      <c r="B22" s="27" t="s">
        <v>16</v>
      </c>
      <c r="C22" s="28">
        <v>0.94240000000000002</v>
      </c>
      <c r="D22" s="29">
        <v>1319</v>
      </c>
      <c r="E22" s="18">
        <f t="shared" si="0"/>
        <v>75.97440000000006</v>
      </c>
      <c r="F22" s="19">
        <f t="shared" si="1"/>
        <v>4178.5920000000033</v>
      </c>
      <c r="G22" s="20">
        <f t="shared" si="2"/>
        <v>65.950000000000045</v>
      </c>
      <c r="H22" s="30">
        <f t="shared" si="3"/>
        <v>-10.024400000000014</v>
      </c>
    </row>
    <row r="23" spans="1:8" x14ac:dyDescent="0.25">
      <c r="A23" s="26">
        <v>46035</v>
      </c>
      <c r="B23" s="27" t="s">
        <v>12</v>
      </c>
      <c r="C23" s="28">
        <v>0.95689999999999997</v>
      </c>
      <c r="D23" s="29">
        <v>1321</v>
      </c>
      <c r="E23" s="18">
        <f t="shared" si="0"/>
        <v>56.935100000000148</v>
      </c>
      <c r="F23" s="19">
        <f t="shared" si="1"/>
        <v>3131.4305000000081</v>
      </c>
      <c r="G23" s="20">
        <f t="shared" si="2"/>
        <v>66.049999999999955</v>
      </c>
      <c r="H23" s="30">
        <f t="shared" si="3"/>
        <v>9.1148999999998068</v>
      </c>
    </row>
    <row r="24" spans="1:8" x14ac:dyDescent="0.25">
      <c r="A24" s="26">
        <v>46036</v>
      </c>
      <c r="B24" s="27" t="s">
        <v>13</v>
      </c>
      <c r="C24" s="28">
        <v>0.96060000000000001</v>
      </c>
      <c r="D24" s="29">
        <v>1319</v>
      </c>
      <c r="E24" s="18">
        <f t="shared" si="0"/>
        <v>51.968599999999924</v>
      </c>
      <c r="F24" s="19">
        <f t="shared" si="1"/>
        <v>2858.2729999999956</v>
      </c>
      <c r="G24" s="20">
        <f t="shared" si="2"/>
        <v>65.950000000000045</v>
      </c>
      <c r="H24" s="30">
        <f t="shared" si="3"/>
        <v>13.981400000000122</v>
      </c>
    </row>
  </sheetData>
  <mergeCells count="7">
    <mergeCell ref="A2:D5"/>
    <mergeCell ref="E2:F2"/>
    <mergeCell ref="H2:H6"/>
    <mergeCell ref="E3:F3"/>
    <mergeCell ref="G3:G5"/>
    <mergeCell ref="E4:F4"/>
    <mergeCell ref="E5:F5"/>
  </mergeCells>
  <conditionalFormatting sqref="C6:C24">
    <cfRule type="cellIs" dxfId="25" priority="4" operator="lessThan">
      <formula>"92%"</formula>
    </cfRule>
  </conditionalFormatting>
  <conditionalFormatting sqref="C7:C24">
    <cfRule type="cellIs" dxfId="24" priority="1" operator="lessThan">
      <formula>"90%"</formula>
    </cfRule>
    <cfRule type="cellIs" dxfId="23" priority="2" operator="lessThan">
      <formula>"94%"</formula>
    </cfRule>
  </conditionalFormatting>
  <conditionalFormatting sqref="H1:H24">
    <cfRule type="cellIs" dxfId="22" priority="3" operator="lessThan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32734-2DB6-4147-8A17-3BAF083892FD}">
  <dimension ref="A1:H24"/>
  <sheetViews>
    <sheetView zoomScale="125" workbookViewId="0">
      <selection activeCell="A25" sqref="A25:XFD1048576"/>
    </sheetView>
  </sheetViews>
  <sheetFormatPr defaultColWidth="11" defaultRowHeight="15.75" x14ac:dyDescent="0.25"/>
  <cols>
    <col min="7" max="7" width="12.5" bestFit="1" customWidth="1"/>
  </cols>
  <sheetData>
    <row r="1" spans="1:8" ht="28.5" thickBot="1" x14ac:dyDescent="0.5">
      <c r="A1" s="15" t="s">
        <v>26</v>
      </c>
      <c r="B1" s="15"/>
      <c r="C1" s="15"/>
      <c r="D1" s="15"/>
      <c r="E1" s="16"/>
      <c r="F1" s="16"/>
      <c r="G1" s="1"/>
      <c r="H1" s="14" t="e">
        <f>SUM(#REF!)</f>
        <v>#REF!</v>
      </c>
    </row>
    <row r="2" spans="1:8" ht="16.5" thickTop="1" x14ac:dyDescent="0.25">
      <c r="A2" s="48" t="s">
        <v>27</v>
      </c>
      <c r="B2" s="49"/>
      <c r="C2" s="49"/>
      <c r="D2" s="49"/>
      <c r="E2" s="50" t="s">
        <v>1</v>
      </c>
      <c r="F2" s="51"/>
      <c r="G2" s="17" t="s">
        <v>2</v>
      </c>
      <c r="H2" s="52" t="s">
        <v>3</v>
      </c>
    </row>
    <row r="3" spans="1:8" ht="24.75" x14ac:dyDescent="0.4">
      <c r="A3" s="49"/>
      <c r="B3" s="49"/>
      <c r="C3" s="49"/>
      <c r="D3" s="49"/>
      <c r="E3" s="53" t="e">
        <f>SUM(#REF!)</f>
        <v>#REF!</v>
      </c>
      <c r="F3" s="51"/>
      <c r="G3" s="54">
        <v>0.95</v>
      </c>
      <c r="H3" s="51"/>
    </row>
    <row r="4" spans="1:8" x14ac:dyDescent="0.25">
      <c r="A4" s="49"/>
      <c r="B4" s="49"/>
      <c r="C4" s="49"/>
      <c r="D4" s="49"/>
      <c r="E4" s="56" t="s">
        <v>4</v>
      </c>
      <c r="F4" s="49"/>
      <c r="G4" s="55"/>
      <c r="H4" s="51"/>
    </row>
    <row r="5" spans="1:8" ht="19.5" thickBot="1" x14ac:dyDescent="0.5">
      <c r="A5" s="49"/>
      <c r="B5" s="49"/>
      <c r="C5" s="49"/>
      <c r="D5" s="49"/>
      <c r="E5" s="57">
        <v>55</v>
      </c>
      <c r="F5" s="49"/>
      <c r="G5" s="55"/>
      <c r="H5" s="51"/>
    </row>
    <row r="6" spans="1:8" ht="26.25" thickTop="1" thickBot="1" x14ac:dyDescent="0.3">
      <c r="A6" s="3" t="s">
        <v>5</v>
      </c>
      <c r="B6" s="4" t="s">
        <v>6</v>
      </c>
      <c r="C6" s="5" t="s">
        <v>7</v>
      </c>
      <c r="D6" s="4" t="s">
        <v>8</v>
      </c>
      <c r="E6" s="6" t="s">
        <v>9</v>
      </c>
      <c r="F6" s="7" t="s">
        <v>10</v>
      </c>
      <c r="G6" s="8" t="s">
        <v>11</v>
      </c>
      <c r="H6" s="51"/>
    </row>
    <row r="7" spans="1:8" ht="16.5" thickTop="1" x14ac:dyDescent="0.25">
      <c r="A7" s="31">
        <v>46013</v>
      </c>
      <c r="B7" s="32" t="s">
        <v>16</v>
      </c>
      <c r="C7" s="33"/>
      <c r="D7" s="34"/>
      <c r="E7" s="18">
        <f t="shared" ref="E7:E24" si="0">D7-(C7*D7)</f>
        <v>0</v>
      </c>
      <c r="F7" s="19">
        <f t="shared" ref="F7:F24" si="1">E7*$E$5</f>
        <v>0</v>
      </c>
      <c r="G7" s="20">
        <f t="shared" ref="G7:G24" si="2">D7-(D7*G$3)</f>
        <v>0</v>
      </c>
      <c r="H7" s="21">
        <f t="shared" ref="H7:H24" si="3">G7-E7</f>
        <v>0</v>
      </c>
    </row>
    <row r="8" spans="1:8" x14ac:dyDescent="0.25">
      <c r="A8" s="31">
        <v>46014</v>
      </c>
      <c r="B8" s="32" t="s">
        <v>12</v>
      </c>
      <c r="C8" s="33"/>
      <c r="D8" s="34"/>
      <c r="E8" s="18">
        <f t="shared" si="0"/>
        <v>0</v>
      </c>
      <c r="F8" s="19">
        <f t="shared" si="1"/>
        <v>0</v>
      </c>
      <c r="G8" s="20">
        <f t="shared" si="2"/>
        <v>0</v>
      </c>
      <c r="H8" s="21">
        <f t="shared" si="3"/>
        <v>0</v>
      </c>
    </row>
    <row r="9" spans="1:8" x14ac:dyDescent="0.25">
      <c r="A9" s="31">
        <v>46015</v>
      </c>
      <c r="B9" s="32" t="s">
        <v>13</v>
      </c>
      <c r="C9" s="33"/>
      <c r="D9" s="34"/>
      <c r="E9" s="18">
        <f t="shared" si="0"/>
        <v>0</v>
      </c>
      <c r="F9" s="19">
        <f t="shared" si="1"/>
        <v>0</v>
      </c>
      <c r="G9" s="20">
        <f t="shared" si="2"/>
        <v>0</v>
      </c>
      <c r="H9" s="21">
        <f t="shared" si="3"/>
        <v>0</v>
      </c>
    </row>
    <row r="10" spans="1:8" x14ac:dyDescent="0.25">
      <c r="A10" s="31">
        <v>46016</v>
      </c>
      <c r="B10" s="32" t="s">
        <v>14</v>
      </c>
      <c r="C10" s="33"/>
      <c r="D10" s="34"/>
      <c r="E10" s="18">
        <f t="shared" si="0"/>
        <v>0</v>
      </c>
      <c r="F10" s="19">
        <f t="shared" si="1"/>
        <v>0</v>
      </c>
      <c r="G10" s="20">
        <f t="shared" si="2"/>
        <v>0</v>
      </c>
      <c r="H10" s="21">
        <f t="shared" si="3"/>
        <v>0</v>
      </c>
    </row>
    <row r="11" spans="1:8" x14ac:dyDescent="0.25">
      <c r="A11" s="31">
        <v>46017</v>
      </c>
      <c r="B11" s="32" t="s">
        <v>15</v>
      </c>
      <c r="C11" s="33"/>
      <c r="D11" s="34"/>
      <c r="E11" s="18">
        <f t="shared" si="0"/>
        <v>0</v>
      </c>
      <c r="F11" s="19">
        <f t="shared" si="1"/>
        <v>0</v>
      </c>
      <c r="G11" s="20">
        <f t="shared" si="2"/>
        <v>0</v>
      </c>
      <c r="H11" s="21">
        <f t="shared" si="3"/>
        <v>0</v>
      </c>
    </row>
    <row r="12" spans="1:8" x14ac:dyDescent="0.25">
      <c r="A12" s="31">
        <v>46020</v>
      </c>
      <c r="B12" s="32" t="s">
        <v>16</v>
      </c>
      <c r="C12" s="33"/>
      <c r="D12" s="34"/>
      <c r="E12" s="18">
        <f t="shared" si="0"/>
        <v>0</v>
      </c>
      <c r="F12" s="19">
        <f t="shared" si="1"/>
        <v>0</v>
      </c>
      <c r="G12" s="20">
        <f t="shared" si="2"/>
        <v>0</v>
      </c>
      <c r="H12" s="21">
        <f t="shared" si="3"/>
        <v>0</v>
      </c>
    </row>
    <row r="13" spans="1:8" x14ac:dyDescent="0.25">
      <c r="A13" s="31">
        <v>46021</v>
      </c>
      <c r="B13" s="32" t="s">
        <v>12</v>
      </c>
      <c r="C13" s="33"/>
      <c r="D13" s="34"/>
      <c r="E13" s="18">
        <f t="shared" si="0"/>
        <v>0</v>
      </c>
      <c r="F13" s="19">
        <f t="shared" si="1"/>
        <v>0</v>
      </c>
      <c r="G13" s="20">
        <f t="shared" si="2"/>
        <v>0</v>
      </c>
      <c r="H13" s="21">
        <f t="shared" si="3"/>
        <v>0</v>
      </c>
    </row>
    <row r="14" spans="1:8" x14ac:dyDescent="0.25">
      <c r="A14" s="31">
        <v>46022</v>
      </c>
      <c r="B14" s="32" t="s">
        <v>13</v>
      </c>
      <c r="C14" s="33"/>
      <c r="D14" s="34"/>
      <c r="E14" s="18">
        <f t="shared" si="0"/>
        <v>0</v>
      </c>
      <c r="F14" s="19">
        <f t="shared" si="1"/>
        <v>0</v>
      </c>
      <c r="G14" s="20">
        <f t="shared" si="2"/>
        <v>0</v>
      </c>
      <c r="H14" s="21">
        <f t="shared" si="3"/>
        <v>0</v>
      </c>
    </row>
    <row r="15" spans="1:8" x14ac:dyDescent="0.25">
      <c r="A15" s="31">
        <v>46023</v>
      </c>
      <c r="B15" s="32" t="s">
        <v>14</v>
      </c>
      <c r="C15" s="33"/>
      <c r="D15" s="34"/>
      <c r="E15" s="18">
        <f t="shared" si="0"/>
        <v>0</v>
      </c>
      <c r="F15" s="19">
        <f t="shared" si="1"/>
        <v>0</v>
      </c>
      <c r="G15" s="20">
        <f t="shared" si="2"/>
        <v>0</v>
      </c>
      <c r="H15" s="21">
        <f t="shared" si="3"/>
        <v>0</v>
      </c>
    </row>
    <row r="16" spans="1:8" x14ac:dyDescent="0.25">
      <c r="A16" s="31">
        <v>46024</v>
      </c>
      <c r="B16" s="32" t="s">
        <v>15</v>
      </c>
      <c r="C16" s="33"/>
      <c r="D16" s="34"/>
      <c r="E16" s="18">
        <f t="shared" si="0"/>
        <v>0</v>
      </c>
      <c r="F16" s="19">
        <f t="shared" si="1"/>
        <v>0</v>
      </c>
      <c r="G16" s="20">
        <f t="shared" si="2"/>
        <v>0</v>
      </c>
      <c r="H16" s="21">
        <f t="shared" si="3"/>
        <v>0</v>
      </c>
    </row>
    <row r="17" spans="1:8" x14ac:dyDescent="0.25">
      <c r="A17" s="36">
        <v>46027</v>
      </c>
      <c r="B17" s="37" t="s">
        <v>16</v>
      </c>
      <c r="C17" s="38"/>
      <c r="D17" s="39"/>
      <c r="E17" s="18">
        <f t="shared" si="0"/>
        <v>0</v>
      </c>
      <c r="F17" s="19">
        <f t="shared" si="1"/>
        <v>0</v>
      </c>
      <c r="G17" s="20">
        <f t="shared" si="2"/>
        <v>0</v>
      </c>
      <c r="H17" s="21">
        <f t="shared" si="3"/>
        <v>0</v>
      </c>
    </row>
    <row r="18" spans="1:8" x14ac:dyDescent="0.25">
      <c r="A18" s="36">
        <v>46028</v>
      </c>
      <c r="B18" s="37" t="s">
        <v>12</v>
      </c>
      <c r="C18" s="38"/>
      <c r="D18" s="39"/>
      <c r="E18" s="18">
        <f t="shared" si="0"/>
        <v>0</v>
      </c>
      <c r="F18" s="19">
        <f t="shared" si="1"/>
        <v>0</v>
      </c>
      <c r="G18" s="20">
        <f t="shared" si="2"/>
        <v>0</v>
      </c>
      <c r="H18" s="21">
        <f t="shared" si="3"/>
        <v>0</v>
      </c>
    </row>
    <row r="19" spans="1:8" x14ac:dyDescent="0.25">
      <c r="A19" s="22">
        <v>46029</v>
      </c>
      <c r="B19" s="23" t="s">
        <v>13</v>
      </c>
      <c r="C19" s="24">
        <v>0.93689999999999996</v>
      </c>
      <c r="D19" s="25">
        <v>1031</v>
      </c>
      <c r="E19" s="18">
        <f t="shared" si="0"/>
        <v>65.056100000000015</v>
      </c>
      <c r="F19" s="19">
        <f t="shared" si="1"/>
        <v>3578.085500000001</v>
      </c>
      <c r="G19" s="20">
        <f t="shared" si="2"/>
        <v>51.550000000000068</v>
      </c>
      <c r="H19" s="21">
        <f t="shared" si="3"/>
        <v>-13.506099999999947</v>
      </c>
    </row>
    <row r="20" spans="1:8" x14ac:dyDescent="0.25">
      <c r="A20" s="22">
        <v>46030</v>
      </c>
      <c r="B20" s="23" t="s">
        <v>14</v>
      </c>
      <c r="C20" s="24">
        <v>0.9415</v>
      </c>
      <c r="D20" s="25">
        <v>1026</v>
      </c>
      <c r="E20" s="18">
        <f t="shared" si="0"/>
        <v>60.020999999999958</v>
      </c>
      <c r="F20" s="19">
        <f t="shared" si="1"/>
        <v>3301.1549999999979</v>
      </c>
      <c r="G20" s="20">
        <f t="shared" si="2"/>
        <v>51.300000000000068</v>
      </c>
      <c r="H20" s="21">
        <f t="shared" si="3"/>
        <v>-8.72099999999989</v>
      </c>
    </row>
    <row r="21" spans="1:8" x14ac:dyDescent="0.25">
      <c r="A21" s="22">
        <v>46031</v>
      </c>
      <c r="B21" s="23" t="s">
        <v>15</v>
      </c>
      <c r="C21" s="24">
        <v>0.92</v>
      </c>
      <c r="D21" s="25">
        <v>1026</v>
      </c>
      <c r="E21" s="18">
        <f t="shared" si="0"/>
        <v>82.079999999999927</v>
      </c>
      <c r="F21" s="19">
        <f t="shared" si="1"/>
        <v>4514.399999999996</v>
      </c>
      <c r="G21" s="20">
        <f t="shared" si="2"/>
        <v>51.300000000000068</v>
      </c>
      <c r="H21" s="21">
        <f t="shared" si="3"/>
        <v>-30.779999999999859</v>
      </c>
    </row>
    <row r="22" spans="1:8" x14ac:dyDescent="0.25">
      <c r="A22" s="22">
        <v>46034</v>
      </c>
      <c r="B22" s="23" t="s">
        <v>16</v>
      </c>
      <c r="C22" s="24">
        <v>0.93459999999999999</v>
      </c>
      <c r="D22" s="25">
        <v>1025</v>
      </c>
      <c r="E22" s="18">
        <f t="shared" si="0"/>
        <v>67.034999999999968</v>
      </c>
      <c r="F22" s="19">
        <f t="shared" si="1"/>
        <v>3686.9249999999984</v>
      </c>
      <c r="G22" s="20">
        <f t="shared" si="2"/>
        <v>51.25</v>
      </c>
      <c r="H22" s="21">
        <f t="shared" si="3"/>
        <v>-15.784999999999968</v>
      </c>
    </row>
    <row r="23" spans="1:8" x14ac:dyDescent="0.25">
      <c r="A23" s="22">
        <v>46035</v>
      </c>
      <c r="B23" s="23" t="s">
        <v>12</v>
      </c>
      <c r="C23" s="24">
        <v>0.93459999999999999</v>
      </c>
      <c r="D23" s="25">
        <v>1025</v>
      </c>
      <c r="E23" s="18">
        <f t="shared" si="0"/>
        <v>67.034999999999968</v>
      </c>
      <c r="F23" s="19">
        <f t="shared" si="1"/>
        <v>3686.9249999999984</v>
      </c>
      <c r="G23" s="20">
        <f t="shared" si="2"/>
        <v>51.25</v>
      </c>
      <c r="H23" s="21">
        <f t="shared" si="3"/>
        <v>-15.784999999999968</v>
      </c>
    </row>
    <row r="24" spans="1:8" x14ac:dyDescent="0.25">
      <c r="A24" s="22">
        <v>46036</v>
      </c>
      <c r="B24" s="23" t="s">
        <v>13</v>
      </c>
      <c r="C24" s="24">
        <v>0.95989999999999998</v>
      </c>
      <c r="D24" s="25">
        <v>1024</v>
      </c>
      <c r="E24" s="18">
        <f t="shared" si="0"/>
        <v>41.062400000000025</v>
      </c>
      <c r="F24" s="19">
        <f t="shared" si="1"/>
        <v>2258.4320000000016</v>
      </c>
      <c r="G24" s="20">
        <f t="shared" si="2"/>
        <v>51.200000000000045</v>
      </c>
      <c r="H24" s="21">
        <f t="shared" si="3"/>
        <v>10.13760000000002</v>
      </c>
    </row>
  </sheetData>
  <mergeCells count="7">
    <mergeCell ref="A2:D5"/>
    <mergeCell ref="E2:F2"/>
    <mergeCell ref="H2:H6"/>
    <mergeCell ref="E3:F3"/>
    <mergeCell ref="G3:G5"/>
    <mergeCell ref="E4:F4"/>
    <mergeCell ref="E5:F5"/>
  </mergeCells>
  <conditionalFormatting sqref="C6:C24">
    <cfRule type="cellIs" dxfId="21" priority="4" operator="lessThan">
      <formula>"92%"</formula>
    </cfRule>
  </conditionalFormatting>
  <conditionalFormatting sqref="C7:C24">
    <cfRule type="cellIs" dxfId="20" priority="1" operator="lessThan">
      <formula>"90%"</formula>
    </cfRule>
    <cfRule type="cellIs" dxfId="19" priority="2" operator="lessThan">
      <formula>"94%"</formula>
    </cfRule>
  </conditionalFormatting>
  <conditionalFormatting sqref="H1:H24">
    <cfRule type="cellIs" dxfId="18" priority="3" operator="lessThan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715DB-2592-C246-96BA-FE758BEDE026}">
  <dimension ref="A1:H24"/>
  <sheetViews>
    <sheetView topLeftCell="A11" zoomScale="150" workbookViewId="0">
      <selection activeCell="D30" sqref="D30"/>
    </sheetView>
  </sheetViews>
  <sheetFormatPr defaultColWidth="11" defaultRowHeight="15.75" x14ac:dyDescent="0.25"/>
  <sheetData>
    <row r="1" spans="1:8" ht="28.5" thickBot="1" x14ac:dyDescent="0.5">
      <c r="A1" s="15"/>
      <c r="B1" s="15"/>
      <c r="C1" s="15"/>
      <c r="D1" s="15"/>
      <c r="E1" s="16"/>
      <c r="F1" s="16"/>
      <c r="G1" s="1"/>
      <c r="H1" s="14" t="e">
        <f>SUM(#REF!)</f>
        <v>#REF!</v>
      </c>
    </row>
    <row r="2" spans="1:8" ht="16.5" thickTop="1" x14ac:dyDescent="0.25">
      <c r="A2" s="48" t="s">
        <v>28</v>
      </c>
      <c r="B2" s="49"/>
      <c r="C2" s="49"/>
      <c r="D2" s="49"/>
      <c r="E2" s="50" t="s">
        <v>1</v>
      </c>
      <c r="F2" s="51"/>
      <c r="G2" s="17" t="s">
        <v>2</v>
      </c>
      <c r="H2" s="52" t="s">
        <v>3</v>
      </c>
    </row>
    <row r="3" spans="1:8" ht="24.75" x14ac:dyDescent="0.4">
      <c r="A3" s="49"/>
      <c r="B3" s="49"/>
      <c r="C3" s="49"/>
      <c r="D3" s="49"/>
      <c r="E3" s="53" t="e">
        <f>SUM(#REF!)</f>
        <v>#REF!</v>
      </c>
      <c r="F3" s="51"/>
      <c r="G3" s="54">
        <v>0.95</v>
      </c>
      <c r="H3" s="51"/>
    </row>
    <row r="4" spans="1:8" x14ac:dyDescent="0.25">
      <c r="A4" s="49"/>
      <c r="B4" s="49"/>
      <c r="C4" s="49"/>
      <c r="D4" s="49"/>
      <c r="E4" s="56" t="s">
        <v>4</v>
      </c>
      <c r="F4" s="49"/>
      <c r="G4" s="55"/>
      <c r="H4" s="51"/>
    </row>
    <row r="5" spans="1:8" ht="19.5" thickBot="1" x14ac:dyDescent="0.5">
      <c r="A5" s="49"/>
      <c r="B5" s="49"/>
      <c r="C5" s="49"/>
      <c r="D5" s="49"/>
      <c r="E5" s="57">
        <v>55</v>
      </c>
      <c r="F5" s="49"/>
      <c r="G5" s="55"/>
      <c r="H5" s="51"/>
    </row>
    <row r="6" spans="1:8" ht="26.25" thickTop="1" thickBot="1" x14ac:dyDescent="0.3">
      <c r="A6" s="3" t="s">
        <v>5</v>
      </c>
      <c r="B6" s="4" t="s">
        <v>6</v>
      </c>
      <c r="C6" s="5" t="s">
        <v>7</v>
      </c>
      <c r="D6" s="4" t="s">
        <v>8</v>
      </c>
      <c r="E6" s="6" t="s">
        <v>9</v>
      </c>
      <c r="F6" s="7" t="s">
        <v>10</v>
      </c>
      <c r="G6" s="8" t="s">
        <v>11</v>
      </c>
      <c r="H6" s="51"/>
    </row>
    <row r="7" spans="1:8" ht="16.5" thickTop="1" x14ac:dyDescent="0.25">
      <c r="A7" s="22">
        <v>46010</v>
      </c>
      <c r="B7" s="23" t="s">
        <v>15</v>
      </c>
      <c r="C7" s="24">
        <v>0.90129999999999999</v>
      </c>
      <c r="D7" s="25">
        <v>558</v>
      </c>
      <c r="E7" s="18">
        <f t="shared" ref="E7:E24" si="0">D7-(C7*D7)</f>
        <v>55.074600000000032</v>
      </c>
      <c r="F7" s="19">
        <f t="shared" ref="F7:F24" si="1">E7*$E$5</f>
        <v>3029.1030000000019</v>
      </c>
      <c r="G7" s="20">
        <f t="shared" ref="G7:G24" si="2">D7-(D7*G$3)</f>
        <v>27.899999999999977</v>
      </c>
      <c r="H7" s="21">
        <f t="shared" ref="H7:H24" si="3">G7-E7</f>
        <v>-27.174600000000055</v>
      </c>
    </row>
    <row r="8" spans="1:8" x14ac:dyDescent="0.25">
      <c r="A8" s="31">
        <v>46013</v>
      </c>
      <c r="B8" s="32" t="s">
        <v>16</v>
      </c>
      <c r="C8" s="33"/>
      <c r="D8" s="34"/>
      <c r="E8" s="18">
        <f t="shared" si="0"/>
        <v>0</v>
      </c>
      <c r="F8" s="19">
        <f t="shared" si="1"/>
        <v>0</v>
      </c>
      <c r="G8" s="20">
        <f t="shared" si="2"/>
        <v>0</v>
      </c>
      <c r="H8" s="21">
        <f t="shared" si="3"/>
        <v>0</v>
      </c>
    </row>
    <row r="9" spans="1:8" x14ac:dyDescent="0.25">
      <c r="A9" s="31">
        <v>46014</v>
      </c>
      <c r="B9" s="32" t="s">
        <v>12</v>
      </c>
      <c r="C9" s="33"/>
      <c r="D9" s="34"/>
      <c r="E9" s="18">
        <f t="shared" si="0"/>
        <v>0</v>
      </c>
      <c r="F9" s="19">
        <f t="shared" si="1"/>
        <v>0</v>
      </c>
      <c r="G9" s="20">
        <f t="shared" si="2"/>
        <v>0</v>
      </c>
      <c r="H9" s="21">
        <f t="shared" si="3"/>
        <v>0</v>
      </c>
    </row>
    <row r="10" spans="1:8" x14ac:dyDescent="0.25">
      <c r="A10" s="31">
        <v>46015</v>
      </c>
      <c r="B10" s="32" t="s">
        <v>13</v>
      </c>
      <c r="C10" s="33"/>
      <c r="D10" s="34"/>
      <c r="E10" s="18">
        <f t="shared" si="0"/>
        <v>0</v>
      </c>
      <c r="F10" s="19">
        <f t="shared" si="1"/>
        <v>0</v>
      </c>
      <c r="G10" s="20">
        <f t="shared" si="2"/>
        <v>0</v>
      </c>
      <c r="H10" s="21">
        <f t="shared" si="3"/>
        <v>0</v>
      </c>
    </row>
    <row r="11" spans="1:8" x14ac:dyDescent="0.25">
      <c r="A11" s="31">
        <v>46016</v>
      </c>
      <c r="B11" s="32" t="s">
        <v>14</v>
      </c>
      <c r="C11" s="33"/>
      <c r="D11" s="34"/>
      <c r="E11" s="18">
        <f t="shared" si="0"/>
        <v>0</v>
      </c>
      <c r="F11" s="19">
        <f t="shared" si="1"/>
        <v>0</v>
      </c>
      <c r="G11" s="20">
        <f t="shared" si="2"/>
        <v>0</v>
      </c>
      <c r="H11" s="21">
        <f t="shared" si="3"/>
        <v>0</v>
      </c>
    </row>
    <row r="12" spans="1:8" x14ac:dyDescent="0.25">
      <c r="A12" s="31">
        <v>46017</v>
      </c>
      <c r="B12" s="32" t="s">
        <v>15</v>
      </c>
      <c r="C12" s="33"/>
      <c r="D12" s="34"/>
      <c r="E12" s="18">
        <f t="shared" si="0"/>
        <v>0</v>
      </c>
      <c r="F12" s="19">
        <f t="shared" si="1"/>
        <v>0</v>
      </c>
      <c r="G12" s="20">
        <f t="shared" si="2"/>
        <v>0</v>
      </c>
      <c r="H12" s="21">
        <f t="shared" si="3"/>
        <v>0</v>
      </c>
    </row>
    <row r="13" spans="1:8" x14ac:dyDescent="0.25">
      <c r="A13" s="31">
        <v>46020</v>
      </c>
      <c r="B13" s="32" t="s">
        <v>16</v>
      </c>
      <c r="C13" s="33"/>
      <c r="D13" s="34"/>
      <c r="E13" s="18">
        <f t="shared" si="0"/>
        <v>0</v>
      </c>
      <c r="F13" s="19">
        <f t="shared" si="1"/>
        <v>0</v>
      </c>
      <c r="G13" s="20">
        <f t="shared" si="2"/>
        <v>0</v>
      </c>
      <c r="H13" s="21">
        <f t="shared" si="3"/>
        <v>0</v>
      </c>
    </row>
    <row r="14" spans="1:8" x14ac:dyDescent="0.25">
      <c r="A14" s="31">
        <v>46021</v>
      </c>
      <c r="B14" s="32" t="s">
        <v>12</v>
      </c>
      <c r="C14" s="33"/>
      <c r="D14" s="34"/>
      <c r="E14" s="18">
        <f t="shared" si="0"/>
        <v>0</v>
      </c>
      <c r="F14" s="19">
        <f t="shared" si="1"/>
        <v>0</v>
      </c>
      <c r="G14" s="20">
        <f t="shared" si="2"/>
        <v>0</v>
      </c>
      <c r="H14" s="21">
        <f t="shared" si="3"/>
        <v>0</v>
      </c>
    </row>
    <row r="15" spans="1:8" x14ac:dyDescent="0.25">
      <c r="A15" s="31">
        <v>46022</v>
      </c>
      <c r="B15" s="32" t="s">
        <v>13</v>
      </c>
      <c r="C15" s="33"/>
      <c r="D15" s="34"/>
      <c r="E15" s="18">
        <f t="shared" si="0"/>
        <v>0</v>
      </c>
      <c r="F15" s="19">
        <f t="shared" si="1"/>
        <v>0</v>
      </c>
      <c r="G15" s="20">
        <f t="shared" si="2"/>
        <v>0</v>
      </c>
      <c r="H15" s="21">
        <f t="shared" si="3"/>
        <v>0</v>
      </c>
    </row>
    <row r="16" spans="1:8" x14ac:dyDescent="0.25">
      <c r="A16" s="31">
        <v>46023</v>
      </c>
      <c r="B16" s="32" t="s">
        <v>14</v>
      </c>
      <c r="C16" s="33"/>
      <c r="D16" s="34"/>
      <c r="E16" s="18">
        <f t="shared" si="0"/>
        <v>0</v>
      </c>
      <c r="F16" s="19">
        <f t="shared" si="1"/>
        <v>0</v>
      </c>
      <c r="G16" s="20">
        <f t="shared" si="2"/>
        <v>0</v>
      </c>
      <c r="H16" s="21">
        <f t="shared" si="3"/>
        <v>0</v>
      </c>
    </row>
    <row r="17" spans="1:8" x14ac:dyDescent="0.25">
      <c r="A17" s="31">
        <v>46024</v>
      </c>
      <c r="B17" s="32" t="s">
        <v>15</v>
      </c>
      <c r="C17" s="33"/>
      <c r="D17" s="34"/>
      <c r="E17" s="18">
        <f t="shared" si="0"/>
        <v>0</v>
      </c>
      <c r="F17" s="19">
        <f t="shared" si="1"/>
        <v>0</v>
      </c>
      <c r="G17" s="20">
        <f t="shared" si="2"/>
        <v>0</v>
      </c>
      <c r="H17" s="21">
        <f t="shared" si="3"/>
        <v>0</v>
      </c>
    </row>
    <row r="18" spans="1:8" x14ac:dyDescent="0.25">
      <c r="A18" s="36">
        <v>46027</v>
      </c>
      <c r="B18" s="37" t="s">
        <v>16</v>
      </c>
      <c r="C18" s="38"/>
      <c r="D18" s="39"/>
      <c r="E18" s="18">
        <f t="shared" si="0"/>
        <v>0</v>
      </c>
      <c r="F18" s="19">
        <f t="shared" si="1"/>
        <v>0</v>
      </c>
      <c r="G18" s="20">
        <f t="shared" si="2"/>
        <v>0</v>
      </c>
      <c r="H18" s="21">
        <f t="shared" si="3"/>
        <v>0</v>
      </c>
    </row>
    <row r="19" spans="1:8" x14ac:dyDescent="0.25">
      <c r="A19" s="36">
        <v>46028</v>
      </c>
      <c r="B19" s="37" t="s">
        <v>12</v>
      </c>
      <c r="C19" s="38"/>
      <c r="D19" s="39"/>
      <c r="E19" s="18">
        <f t="shared" si="0"/>
        <v>0</v>
      </c>
      <c r="F19" s="19">
        <f t="shared" si="1"/>
        <v>0</v>
      </c>
      <c r="G19" s="20">
        <f t="shared" si="2"/>
        <v>0</v>
      </c>
      <c r="H19" s="21">
        <f t="shared" si="3"/>
        <v>0</v>
      </c>
    </row>
    <row r="20" spans="1:8" x14ac:dyDescent="0.25">
      <c r="A20" s="22">
        <v>46029</v>
      </c>
      <c r="B20" s="23" t="s">
        <v>13</v>
      </c>
      <c r="C20" s="24">
        <v>0.90310000000000001</v>
      </c>
      <c r="D20" s="25">
        <v>557</v>
      </c>
      <c r="E20" s="18">
        <f t="shared" si="0"/>
        <v>53.973299999999995</v>
      </c>
      <c r="F20" s="19">
        <f t="shared" si="1"/>
        <v>2968.5314999999996</v>
      </c>
      <c r="G20" s="20">
        <f t="shared" si="2"/>
        <v>27.850000000000023</v>
      </c>
      <c r="H20" s="21">
        <f t="shared" si="3"/>
        <v>-26.123299999999972</v>
      </c>
    </row>
    <row r="21" spans="1:8" x14ac:dyDescent="0.25">
      <c r="A21" s="22">
        <v>46030</v>
      </c>
      <c r="B21" s="23" t="s">
        <v>14</v>
      </c>
      <c r="C21" s="24">
        <v>0.92110000000000003</v>
      </c>
      <c r="D21" s="25">
        <v>558</v>
      </c>
      <c r="E21" s="18">
        <f t="shared" si="0"/>
        <v>44.026200000000017</v>
      </c>
      <c r="F21" s="19">
        <f t="shared" si="1"/>
        <v>2421.4410000000007</v>
      </c>
      <c r="G21" s="20">
        <f t="shared" si="2"/>
        <v>27.899999999999977</v>
      </c>
      <c r="H21" s="21">
        <f t="shared" si="3"/>
        <v>-16.12620000000004</v>
      </c>
    </row>
    <row r="22" spans="1:8" x14ac:dyDescent="0.25">
      <c r="A22" s="22">
        <v>46031</v>
      </c>
      <c r="B22" s="23" t="s">
        <v>15</v>
      </c>
      <c r="C22" s="24">
        <v>0.91920000000000002</v>
      </c>
      <c r="D22" s="25">
        <v>557</v>
      </c>
      <c r="E22" s="18">
        <f t="shared" si="0"/>
        <v>45.005600000000015</v>
      </c>
      <c r="F22" s="19">
        <f t="shared" si="1"/>
        <v>2475.3080000000009</v>
      </c>
      <c r="G22" s="20">
        <f t="shared" si="2"/>
        <v>27.850000000000023</v>
      </c>
      <c r="H22" s="21">
        <f t="shared" si="3"/>
        <v>-17.155599999999993</v>
      </c>
    </row>
    <row r="23" spans="1:8" x14ac:dyDescent="0.25">
      <c r="A23" s="22">
        <v>46034</v>
      </c>
      <c r="B23" s="23" t="s">
        <v>16</v>
      </c>
      <c r="C23" s="24">
        <v>0.89749999999999996</v>
      </c>
      <c r="D23" s="25">
        <v>556</v>
      </c>
      <c r="E23" s="18">
        <f t="shared" si="0"/>
        <v>56.990000000000009</v>
      </c>
      <c r="F23" s="19">
        <f t="shared" si="1"/>
        <v>3134.4500000000007</v>
      </c>
      <c r="G23" s="20">
        <f t="shared" si="2"/>
        <v>27.800000000000068</v>
      </c>
      <c r="H23" s="21">
        <f t="shared" si="3"/>
        <v>-29.189999999999941</v>
      </c>
    </row>
    <row r="24" spans="1:8" x14ac:dyDescent="0.25">
      <c r="A24" s="22">
        <v>46035</v>
      </c>
      <c r="B24" s="23" t="s">
        <v>12</v>
      </c>
      <c r="C24" s="24">
        <v>0.94950000000000001</v>
      </c>
      <c r="D24" s="25">
        <v>554</v>
      </c>
      <c r="E24" s="18">
        <f t="shared" si="0"/>
        <v>27.976999999999975</v>
      </c>
      <c r="F24" s="19">
        <f t="shared" si="1"/>
        <v>1538.7349999999988</v>
      </c>
      <c r="G24" s="20">
        <f t="shared" si="2"/>
        <v>27.700000000000045</v>
      </c>
      <c r="H24" s="21">
        <f t="shared" si="3"/>
        <v>-0.27699999999992997</v>
      </c>
    </row>
  </sheetData>
  <mergeCells count="7">
    <mergeCell ref="A2:D5"/>
    <mergeCell ref="E2:F2"/>
    <mergeCell ref="H2:H6"/>
    <mergeCell ref="E3:F3"/>
    <mergeCell ref="G3:G5"/>
    <mergeCell ref="E4:F4"/>
    <mergeCell ref="E5:F5"/>
  </mergeCells>
  <conditionalFormatting sqref="C6:C24">
    <cfRule type="cellIs" dxfId="17" priority="4" operator="lessThan">
      <formula>"92%"</formula>
    </cfRule>
  </conditionalFormatting>
  <conditionalFormatting sqref="C7:C24">
    <cfRule type="cellIs" dxfId="16" priority="1" operator="lessThan">
      <formula>"90%"</formula>
    </cfRule>
    <cfRule type="cellIs" dxfId="15" priority="2" operator="lessThan">
      <formula>"94%"</formula>
    </cfRule>
  </conditionalFormatting>
  <conditionalFormatting sqref="H1:H24">
    <cfRule type="cellIs" dxfId="14" priority="3" operator="lessThan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FBE6C-DF30-C94F-A537-BA0C0F11A0EB}">
  <dimension ref="A1:H26"/>
  <sheetViews>
    <sheetView topLeftCell="A10" zoomScale="125" workbookViewId="0">
      <selection activeCell="A27" sqref="A27:XFD1048576"/>
    </sheetView>
  </sheetViews>
  <sheetFormatPr defaultColWidth="11" defaultRowHeight="15.75" x14ac:dyDescent="0.25"/>
  <cols>
    <col min="7" max="7" width="12.5" bestFit="1" customWidth="1"/>
  </cols>
  <sheetData>
    <row r="1" spans="1:8" ht="15.75" customHeight="1" thickBot="1" x14ac:dyDescent="0.5">
      <c r="A1" s="15"/>
      <c r="B1" s="15"/>
      <c r="C1" s="15"/>
      <c r="D1" s="15"/>
      <c r="E1" s="16"/>
      <c r="F1" s="16"/>
      <c r="G1" s="1"/>
      <c r="H1" s="2" t="e">
        <f>SUM(#REF!)</f>
        <v>#REF!</v>
      </c>
    </row>
    <row r="2" spans="1:8" ht="15.75" customHeight="1" thickTop="1" x14ac:dyDescent="0.25">
      <c r="A2" s="48" t="s">
        <v>30</v>
      </c>
      <c r="B2" s="49"/>
      <c r="C2" s="49"/>
      <c r="D2" s="49"/>
      <c r="E2" s="50" t="s">
        <v>1</v>
      </c>
      <c r="F2" s="51"/>
      <c r="G2" s="17" t="s">
        <v>2</v>
      </c>
      <c r="H2" s="52" t="s">
        <v>3</v>
      </c>
    </row>
    <row r="3" spans="1:8" ht="15.75" customHeight="1" x14ac:dyDescent="0.4">
      <c r="A3" s="49"/>
      <c r="B3" s="49"/>
      <c r="C3" s="49"/>
      <c r="D3" s="49"/>
      <c r="E3" s="53" t="e">
        <f>SUM(#REF!)</f>
        <v>#REF!</v>
      </c>
      <c r="F3" s="51"/>
      <c r="G3" s="54">
        <v>0.95</v>
      </c>
      <c r="H3" s="51"/>
    </row>
    <row r="4" spans="1:8" x14ac:dyDescent="0.25">
      <c r="A4" s="49"/>
      <c r="B4" s="49"/>
      <c r="C4" s="49"/>
      <c r="D4" s="49"/>
      <c r="E4" s="56" t="s">
        <v>4</v>
      </c>
      <c r="F4" s="49"/>
      <c r="G4" s="55"/>
      <c r="H4" s="51"/>
    </row>
    <row r="5" spans="1:8" ht="15.75" customHeight="1" thickBot="1" x14ac:dyDescent="0.5">
      <c r="A5" s="49"/>
      <c r="B5" s="49"/>
      <c r="C5" s="49"/>
      <c r="D5" s="49"/>
      <c r="E5" s="57">
        <v>55</v>
      </c>
      <c r="F5" s="49"/>
      <c r="G5" s="55"/>
      <c r="H5" s="51"/>
    </row>
    <row r="6" spans="1:8" ht="26.25" thickTop="1" thickBot="1" x14ac:dyDescent="0.3">
      <c r="A6" s="3" t="s">
        <v>5</v>
      </c>
      <c r="B6" s="4" t="s">
        <v>6</v>
      </c>
      <c r="C6" s="5" t="s">
        <v>7</v>
      </c>
      <c r="D6" s="4" t="s">
        <v>8</v>
      </c>
      <c r="E6" s="6" t="s">
        <v>9</v>
      </c>
      <c r="F6" s="7" t="s">
        <v>10</v>
      </c>
      <c r="G6" s="8" t="s">
        <v>11</v>
      </c>
      <c r="H6" s="51"/>
    </row>
    <row r="7" spans="1:8" ht="16.5" thickTop="1" x14ac:dyDescent="0.25">
      <c r="A7" s="22">
        <v>46010</v>
      </c>
      <c r="B7" s="23" t="s">
        <v>15</v>
      </c>
      <c r="C7" s="24">
        <v>0.92900000000000005</v>
      </c>
      <c r="D7" s="25">
        <v>465</v>
      </c>
      <c r="E7" s="18">
        <f t="shared" ref="E7:E26" si="0">D7-(C7*D7)</f>
        <v>33.014999999999986</v>
      </c>
      <c r="F7" s="19">
        <f t="shared" ref="F7:F26" si="1">E7*$E$5</f>
        <v>1815.8249999999994</v>
      </c>
      <c r="G7" s="20">
        <f t="shared" ref="G7:G26" si="2">D7-(D7*G$3)</f>
        <v>23.25</v>
      </c>
      <c r="H7" s="21">
        <f t="shared" ref="H7:H26" si="3">G7-E7</f>
        <v>-9.7649999999999864</v>
      </c>
    </row>
    <row r="8" spans="1:8" x14ac:dyDescent="0.25">
      <c r="A8" s="31">
        <v>46013</v>
      </c>
      <c r="B8" s="32" t="s">
        <v>16</v>
      </c>
      <c r="C8" s="33"/>
      <c r="D8" s="34"/>
      <c r="E8" s="18">
        <f t="shared" si="0"/>
        <v>0</v>
      </c>
      <c r="F8" s="19">
        <f t="shared" si="1"/>
        <v>0</v>
      </c>
      <c r="G8" s="20">
        <f t="shared" si="2"/>
        <v>0</v>
      </c>
      <c r="H8" s="21">
        <f t="shared" si="3"/>
        <v>0</v>
      </c>
    </row>
    <row r="9" spans="1:8" x14ac:dyDescent="0.25">
      <c r="A9" s="31">
        <v>46014</v>
      </c>
      <c r="B9" s="32" t="s">
        <v>12</v>
      </c>
      <c r="C9" s="33"/>
      <c r="D9" s="34"/>
      <c r="E9" s="18">
        <f t="shared" si="0"/>
        <v>0</v>
      </c>
      <c r="F9" s="19">
        <f t="shared" si="1"/>
        <v>0</v>
      </c>
      <c r="G9" s="20">
        <f t="shared" si="2"/>
        <v>0</v>
      </c>
      <c r="H9" s="21">
        <f t="shared" si="3"/>
        <v>0</v>
      </c>
    </row>
    <row r="10" spans="1:8" x14ac:dyDescent="0.25">
      <c r="A10" s="31">
        <v>46015</v>
      </c>
      <c r="B10" s="32" t="s">
        <v>13</v>
      </c>
      <c r="C10" s="33"/>
      <c r="D10" s="34"/>
      <c r="E10" s="18">
        <f t="shared" si="0"/>
        <v>0</v>
      </c>
      <c r="F10" s="19">
        <f t="shared" si="1"/>
        <v>0</v>
      </c>
      <c r="G10" s="20">
        <f t="shared" si="2"/>
        <v>0</v>
      </c>
      <c r="H10" s="21">
        <f t="shared" si="3"/>
        <v>0</v>
      </c>
    </row>
    <row r="11" spans="1:8" x14ac:dyDescent="0.25">
      <c r="A11" s="31">
        <v>46016</v>
      </c>
      <c r="B11" s="32" t="s">
        <v>14</v>
      </c>
      <c r="C11" s="33"/>
      <c r="D11" s="34"/>
      <c r="E11" s="18">
        <f t="shared" si="0"/>
        <v>0</v>
      </c>
      <c r="F11" s="19">
        <f t="shared" si="1"/>
        <v>0</v>
      </c>
      <c r="G11" s="20">
        <f t="shared" si="2"/>
        <v>0</v>
      </c>
      <c r="H11" s="21">
        <f t="shared" si="3"/>
        <v>0</v>
      </c>
    </row>
    <row r="12" spans="1:8" x14ac:dyDescent="0.25">
      <c r="A12" s="31">
        <v>46017</v>
      </c>
      <c r="B12" s="32" t="s">
        <v>15</v>
      </c>
      <c r="C12" s="33"/>
      <c r="D12" s="34"/>
      <c r="E12" s="18">
        <f t="shared" si="0"/>
        <v>0</v>
      </c>
      <c r="F12" s="19">
        <f t="shared" si="1"/>
        <v>0</v>
      </c>
      <c r="G12" s="20">
        <f t="shared" si="2"/>
        <v>0</v>
      </c>
      <c r="H12" s="21">
        <f t="shared" si="3"/>
        <v>0</v>
      </c>
    </row>
    <row r="13" spans="1:8" x14ac:dyDescent="0.25">
      <c r="A13" s="31">
        <v>46020</v>
      </c>
      <c r="B13" s="32" t="s">
        <v>16</v>
      </c>
      <c r="C13" s="33"/>
      <c r="D13" s="34"/>
      <c r="E13" s="18">
        <f t="shared" si="0"/>
        <v>0</v>
      </c>
      <c r="F13" s="19">
        <f t="shared" si="1"/>
        <v>0</v>
      </c>
      <c r="G13" s="20">
        <f t="shared" si="2"/>
        <v>0</v>
      </c>
      <c r="H13" s="21">
        <f t="shared" si="3"/>
        <v>0</v>
      </c>
    </row>
    <row r="14" spans="1:8" x14ac:dyDescent="0.25">
      <c r="A14" s="31">
        <v>46021</v>
      </c>
      <c r="B14" s="32" t="s">
        <v>12</v>
      </c>
      <c r="C14" s="33"/>
      <c r="D14" s="34"/>
      <c r="E14" s="18">
        <f t="shared" si="0"/>
        <v>0</v>
      </c>
      <c r="F14" s="19">
        <f t="shared" si="1"/>
        <v>0</v>
      </c>
      <c r="G14" s="20">
        <f t="shared" si="2"/>
        <v>0</v>
      </c>
      <c r="H14" s="21">
        <f t="shared" si="3"/>
        <v>0</v>
      </c>
    </row>
    <row r="15" spans="1:8" x14ac:dyDescent="0.25">
      <c r="A15" s="31">
        <v>46022</v>
      </c>
      <c r="B15" s="32" t="s">
        <v>13</v>
      </c>
      <c r="C15" s="33"/>
      <c r="D15" s="34"/>
      <c r="E15" s="18">
        <f t="shared" si="0"/>
        <v>0</v>
      </c>
      <c r="F15" s="19">
        <f t="shared" si="1"/>
        <v>0</v>
      </c>
      <c r="G15" s="20">
        <f t="shared" si="2"/>
        <v>0</v>
      </c>
      <c r="H15" s="21">
        <f t="shared" si="3"/>
        <v>0</v>
      </c>
    </row>
    <row r="16" spans="1:8" x14ac:dyDescent="0.25">
      <c r="A16" s="31">
        <v>46023</v>
      </c>
      <c r="B16" s="32" t="s">
        <v>14</v>
      </c>
      <c r="C16" s="33"/>
      <c r="D16" s="34"/>
      <c r="E16" s="18">
        <f t="shared" si="0"/>
        <v>0</v>
      </c>
      <c r="F16" s="19">
        <f t="shared" si="1"/>
        <v>0</v>
      </c>
      <c r="G16" s="20">
        <f t="shared" si="2"/>
        <v>0</v>
      </c>
      <c r="H16" s="21">
        <f t="shared" si="3"/>
        <v>0</v>
      </c>
    </row>
    <row r="17" spans="1:8" x14ac:dyDescent="0.25">
      <c r="A17" s="31">
        <v>46024</v>
      </c>
      <c r="B17" s="32" t="s">
        <v>15</v>
      </c>
      <c r="C17" s="33"/>
      <c r="D17" s="34"/>
      <c r="E17" s="18">
        <f t="shared" si="0"/>
        <v>0</v>
      </c>
      <c r="F17" s="19">
        <f t="shared" si="1"/>
        <v>0</v>
      </c>
      <c r="G17" s="20">
        <f t="shared" si="2"/>
        <v>0</v>
      </c>
      <c r="H17" s="21">
        <f t="shared" si="3"/>
        <v>0</v>
      </c>
    </row>
    <row r="18" spans="1:8" x14ac:dyDescent="0.25">
      <c r="A18" s="36">
        <v>46027</v>
      </c>
      <c r="B18" s="37" t="s">
        <v>16</v>
      </c>
      <c r="C18" s="38"/>
      <c r="D18" s="39"/>
      <c r="E18" s="18">
        <f t="shared" si="0"/>
        <v>0</v>
      </c>
      <c r="F18" s="19">
        <f t="shared" si="1"/>
        <v>0</v>
      </c>
      <c r="G18" s="20">
        <f t="shared" si="2"/>
        <v>0</v>
      </c>
      <c r="H18" s="21">
        <f t="shared" si="3"/>
        <v>0</v>
      </c>
    </row>
    <row r="19" spans="1:8" x14ac:dyDescent="0.25">
      <c r="A19" s="36">
        <v>46028</v>
      </c>
      <c r="B19" s="37" t="s">
        <v>12</v>
      </c>
      <c r="C19" s="38"/>
      <c r="D19" s="39"/>
      <c r="E19" s="18">
        <f t="shared" si="0"/>
        <v>0</v>
      </c>
      <c r="F19" s="19">
        <f t="shared" si="1"/>
        <v>0</v>
      </c>
      <c r="G19" s="20">
        <f t="shared" si="2"/>
        <v>0</v>
      </c>
      <c r="H19" s="21">
        <f t="shared" si="3"/>
        <v>0</v>
      </c>
    </row>
    <row r="20" spans="1:8" x14ac:dyDescent="0.25">
      <c r="A20" s="22">
        <v>46029</v>
      </c>
      <c r="B20" s="23" t="s">
        <v>13</v>
      </c>
      <c r="C20" s="24">
        <v>0.93520000000000003</v>
      </c>
      <c r="D20" s="25">
        <v>463</v>
      </c>
      <c r="E20" s="18">
        <f t="shared" si="0"/>
        <v>30.002399999999966</v>
      </c>
      <c r="F20" s="19">
        <f t="shared" si="1"/>
        <v>1650.1319999999982</v>
      </c>
      <c r="G20" s="20">
        <f t="shared" si="2"/>
        <v>23.150000000000034</v>
      </c>
      <c r="H20" s="21">
        <f t="shared" si="3"/>
        <v>-6.8523999999999319</v>
      </c>
    </row>
    <row r="21" spans="1:8" x14ac:dyDescent="0.25">
      <c r="A21" s="22">
        <v>46030</v>
      </c>
      <c r="B21" s="23" t="s">
        <v>14</v>
      </c>
      <c r="C21" s="24">
        <v>0.95689999999999997</v>
      </c>
      <c r="D21" s="25">
        <v>464</v>
      </c>
      <c r="E21" s="18">
        <f t="shared" si="0"/>
        <v>19.998400000000004</v>
      </c>
      <c r="F21" s="19">
        <f t="shared" si="1"/>
        <v>1099.9120000000003</v>
      </c>
      <c r="G21" s="20">
        <f t="shared" si="2"/>
        <v>23.200000000000045</v>
      </c>
      <c r="H21" s="21">
        <f t="shared" si="3"/>
        <v>3.2016000000000417</v>
      </c>
    </row>
    <row r="22" spans="1:8" x14ac:dyDescent="0.25">
      <c r="A22" s="22">
        <v>46031</v>
      </c>
      <c r="B22" s="23" t="s">
        <v>15</v>
      </c>
      <c r="C22" s="24">
        <v>0.94599999999999995</v>
      </c>
      <c r="D22" s="25">
        <v>463</v>
      </c>
      <c r="E22" s="18">
        <f t="shared" si="0"/>
        <v>25.00200000000001</v>
      </c>
      <c r="F22" s="19">
        <f t="shared" si="1"/>
        <v>1375.1100000000006</v>
      </c>
      <c r="G22" s="20">
        <f t="shared" si="2"/>
        <v>23.150000000000034</v>
      </c>
      <c r="H22" s="21">
        <f t="shared" si="3"/>
        <v>-1.8519999999999754</v>
      </c>
    </row>
    <row r="23" spans="1:8" x14ac:dyDescent="0.25">
      <c r="A23" s="22">
        <v>46034</v>
      </c>
      <c r="B23" s="23" t="s">
        <v>16</v>
      </c>
      <c r="C23" s="24">
        <v>0.98699999999999999</v>
      </c>
      <c r="D23" s="25">
        <v>463</v>
      </c>
      <c r="E23" s="18">
        <f t="shared" si="0"/>
        <v>6.0190000000000055</v>
      </c>
      <c r="F23" s="19">
        <f t="shared" si="1"/>
        <v>331.0450000000003</v>
      </c>
      <c r="G23" s="20">
        <f t="shared" si="2"/>
        <v>23.150000000000034</v>
      </c>
      <c r="H23" s="21">
        <f t="shared" si="3"/>
        <v>17.131000000000029</v>
      </c>
    </row>
    <row r="24" spans="1:8" x14ac:dyDescent="0.25">
      <c r="A24" s="22">
        <v>46035</v>
      </c>
      <c r="B24" s="23" t="s">
        <v>12</v>
      </c>
      <c r="C24" s="24">
        <v>0.98060000000000003</v>
      </c>
      <c r="D24" s="25">
        <v>464</v>
      </c>
      <c r="E24" s="18">
        <f t="shared" si="0"/>
        <v>9.0015999999999963</v>
      </c>
      <c r="F24" s="19">
        <f t="shared" si="1"/>
        <v>495.08799999999979</v>
      </c>
      <c r="G24" s="20">
        <f t="shared" si="2"/>
        <v>23.200000000000045</v>
      </c>
      <c r="H24" s="21">
        <f t="shared" si="3"/>
        <v>14.198400000000049</v>
      </c>
    </row>
    <row r="25" spans="1:8" x14ac:dyDescent="0.25">
      <c r="A25" s="22">
        <v>46036</v>
      </c>
      <c r="B25" s="23" t="s">
        <v>13</v>
      </c>
      <c r="C25" s="24">
        <v>0.93969999999999998</v>
      </c>
      <c r="D25" s="25">
        <v>464</v>
      </c>
      <c r="E25" s="18">
        <f t="shared" si="0"/>
        <v>27.979199999999992</v>
      </c>
      <c r="F25" s="19">
        <f t="shared" si="1"/>
        <v>1538.8559999999995</v>
      </c>
      <c r="G25" s="20">
        <f t="shared" si="2"/>
        <v>23.200000000000045</v>
      </c>
      <c r="H25" s="21">
        <f t="shared" si="3"/>
        <v>-4.7791999999999462</v>
      </c>
    </row>
    <row r="26" spans="1:8" x14ac:dyDescent="0.25">
      <c r="A26" s="22">
        <v>46037</v>
      </c>
      <c r="B26" s="23" t="s">
        <v>14</v>
      </c>
      <c r="C26" s="24">
        <v>0.98709999999999998</v>
      </c>
      <c r="D26" s="25">
        <v>464</v>
      </c>
      <c r="E26" s="18">
        <f t="shared" si="0"/>
        <v>5.9856000000000336</v>
      </c>
      <c r="F26" s="19">
        <f t="shared" si="1"/>
        <v>329.20800000000185</v>
      </c>
      <c r="G26" s="20">
        <f t="shared" si="2"/>
        <v>23.200000000000045</v>
      </c>
      <c r="H26" s="21">
        <f t="shared" si="3"/>
        <v>17.214400000000012</v>
      </c>
    </row>
  </sheetData>
  <mergeCells count="7">
    <mergeCell ref="A2:D5"/>
    <mergeCell ref="E2:F2"/>
    <mergeCell ref="H2:H6"/>
    <mergeCell ref="E3:F3"/>
    <mergeCell ref="G3:G5"/>
    <mergeCell ref="E4:F4"/>
    <mergeCell ref="E5:F5"/>
  </mergeCells>
  <conditionalFormatting sqref="C6:C26">
    <cfRule type="cellIs" dxfId="13" priority="4" operator="lessThan">
      <formula>"92%"</formula>
    </cfRule>
  </conditionalFormatting>
  <conditionalFormatting sqref="C7:C26">
    <cfRule type="cellIs" dxfId="12" priority="1" operator="lessThan">
      <formula>"90%"</formula>
    </cfRule>
    <cfRule type="cellIs" dxfId="11" priority="2" operator="lessThan">
      <formula>"94%"</formula>
    </cfRule>
  </conditionalFormatting>
  <conditionalFormatting sqref="H1:H26">
    <cfRule type="cellIs" dxfId="10" priority="3" operator="lessThan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7C76C-0E5B-9E4F-8E98-DDFEF1E0CE2E}">
  <dimension ref="A1:H25"/>
  <sheetViews>
    <sheetView topLeftCell="A14" zoomScale="163" workbookViewId="0">
      <selection activeCell="A26" sqref="A26:XFD1048576"/>
    </sheetView>
  </sheetViews>
  <sheetFormatPr defaultColWidth="11" defaultRowHeight="15.75" x14ac:dyDescent="0.25"/>
  <cols>
    <col min="7" max="7" width="15.125" customWidth="1"/>
  </cols>
  <sheetData>
    <row r="1" spans="1:8" ht="28.5" thickBot="1" x14ac:dyDescent="0.5">
      <c r="A1" s="15"/>
      <c r="B1" s="15"/>
      <c r="C1" s="15"/>
      <c r="D1" s="15"/>
      <c r="E1" s="16"/>
      <c r="F1" s="16"/>
      <c r="G1" s="1"/>
      <c r="H1" s="14" t="e">
        <f>SUM(#REF!)</f>
        <v>#REF!</v>
      </c>
    </row>
    <row r="2" spans="1:8" ht="16.5" thickTop="1" x14ac:dyDescent="0.25">
      <c r="A2" s="48" t="s">
        <v>29</v>
      </c>
      <c r="B2" s="49"/>
      <c r="C2" s="49"/>
      <c r="D2" s="49"/>
      <c r="E2" s="50" t="s">
        <v>1</v>
      </c>
      <c r="F2" s="51"/>
      <c r="G2" s="17" t="s">
        <v>2</v>
      </c>
      <c r="H2" s="52" t="s">
        <v>3</v>
      </c>
    </row>
    <row r="3" spans="1:8" ht="24.75" x14ac:dyDescent="0.4">
      <c r="A3" s="49"/>
      <c r="B3" s="49"/>
      <c r="C3" s="49"/>
      <c r="D3" s="49"/>
      <c r="E3" s="53" t="e">
        <f>SUM(#REF!)</f>
        <v>#REF!</v>
      </c>
      <c r="F3" s="51"/>
      <c r="G3" s="54">
        <v>0.95</v>
      </c>
      <c r="H3" s="51"/>
    </row>
    <row r="4" spans="1:8" x14ac:dyDescent="0.25">
      <c r="A4" s="49"/>
      <c r="B4" s="49"/>
      <c r="C4" s="49"/>
      <c r="D4" s="49"/>
      <c r="E4" s="56" t="s">
        <v>4</v>
      </c>
      <c r="F4" s="49"/>
      <c r="G4" s="55"/>
      <c r="H4" s="51"/>
    </row>
    <row r="5" spans="1:8" ht="19.5" thickBot="1" x14ac:dyDescent="0.5">
      <c r="A5" s="49"/>
      <c r="B5" s="49"/>
      <c r="C5" s="49"/>
      <c r="D5" s="49"/>
      <c r="E5" s="57">
        <v>55</v>
      </c>
      <c r="F5" s="49"/>
      <c r="G5" s="55"/>
      <c r="H5" s="51"/>
    </row>
    <row r="6" spans="1:8" ht="26.25" thickTop="1" thickBot="1" x14ac:dyDescent="0.3">
      <c r="A6" s="3" t="s">
        <v>5</v>
      </c>
      <c r="B6" s="4" t="s">
        <v>6</v>
      </c>
      <c r="C6" s="5" t="s">
        <v>7</v>
      </c>
      <c r="D6" s="4" t="s">
        <v>8</v>
      </c>
      <c r="E6" s="6" t="s">
        <v>9</v>
      </c>
      <c r="F6" s="7" t="s">
        <v>10</v>
      </c>
      <c r="G6" s="8" t="s">
        <v>11</v>
      </c>
      <c r="H6" s="51"/>
    </row>
    <row r="7" spans="1:8" ht="16.5" thickTop="1" x14ac:dyDescent="0.25">
      <c r="A7" s="31">
        <v>46013</v>
      </c>
      <c r="B7" s="32" t="s">
        <v>16</v>
      </c>
      <c r="C7" s="33"/>
      <c r="D7" s="34"/>
      <c r="E7" s="18">
        <f t="shared" ref="E7:E25" si="0">D7-(C7*D7)</f>
        <v>0</v>
      </c>
      <c r="F7" s="19">
        <f t="shared" ref="F7:F25" si="1">E7*$E$5</f>
        <v>0</v>
      </c>
      <c r="G7" s="20">
        <f t="shared" ref="G7:G25" si="2">D7-(D7*G$3)</f>
        <v>0</v>
      </c>
      <c r="H7" s="21">
        <f t="shared" ref="H7:H25" si="3">G7-E7</f>
        <v>0</v>
      </c>
    </row>
    <row r="8" spans="1:8" x14ac:dyDescent="0.25">
      <c r="A8" s="31">
        <v>46014</v>
      </c>
      <c r="B8" s="32" t="s">
        <v>12</v>
      </c>
      <c r="C8" s="33"/>
      <c r="D8" s="34"/>
      <c r="E8" s="18">
        <f t="shared" si="0"/>
        <v>0</v>
      </c>
      <c r="F8" s="19">
        <f t="shared" si="1"/>
        <v>0</v>
      </c>
      <c r="G8" s="20">
        <f t="shared" si="2"/>
        <v>0</v>
      </c>
      <c r="H8" s="21">
        <f t="shared" si="3"/>
        <v>0</v>
      </c>
    </row>
    <row r="9" spans="1:8" x14ac:dyDescent="0.25">
      <c r="A9" s="31">
        <v>46015</v>
      </c>
      <c r="B9" s="32" t="s">
        <v>13</v>
      </c>
      <c r="C9" s="33"/>
      <c r="D9" s="34"/>
      <c r="E9" s="18">
        <f t="shared" si="0"/>
        <v>0</v>
      </c>
      <c r="F9" s="19">
        <f t="shared" si="1"/>
        <v>0</v>
      </c>
      <c r="G9" s="20">
        <f t="shared" si="2"/>
        <v>0</v>
      </c>
      <c r="H9" s="21">
        <f t="shared" si="3"/>
        <v>0</v>
      </c>
    </row>
    <row r="10" spans="1:8" x14ac:dyDescent="0.25">
      <c r="A10" s="31">
        <v>46016</v>
      </c>
      <c r="B10" s="32" t="s">
        <v>14</v>
      </c>
      <c r="C10" s="33"/>
      <c r="D10" s="34"/>
      <c r="E10" s="18">
        <f t="shared" si="0"/>
        <v>0</v>
      </c>
      <c r="F10" s="19">
        <f t="shared" si="1"/>
        <v>0</v>
      </c>
      <c r="G10" s="20">
        <f t="shared" si="2"/>
        <v>0</v>
      </c>
      <c r="H10" s="21">
        <f t="shared" si="3"/>
        <v>0</v>
      </c>
    </row>
    <row r="11" spans="1:8" x14ac:dyDescent="0.25">
      <c r="A11" s="31">
        <v>46017</v>
      </c>
      <c r="B11" s="32" t="s">
        <v>15</v>
      </c>
      <c r="C11" s="33"/>
      <c r="D11" s="34"/>
      <c r="E11" s="18">
        <f t="shared" si="0"/>
        <v>0</v>
      </c>
      <c r="F11" s="19">
        <f t="shared" si="1"/>
        <v>0</v>
      </c>
      <c r="G11" s="20">
        <f t="shared" si="2"/>
        <v>0</v>
      </c>
      <c r="H11" s="21">
        <f t="shared" si="3"/>
        <v>0</v>
      </c>
    </row>
    <row r="12" spans="1:8" x14ac:dyDescent="0.25">
      <c r="A12" s="31">
        <v>46020</v>
      </c>
      <c r="B12" s="32" t="s">
        <v>16</v>
      </c>
      <c r="C12" s="33"/>
      <c r="D12" s="34"/>
      <c r="E12" s="18">
        <f t="shared" si="0"/>
        <v>0</v>
      </c>
      <c r="F12" s="19">
        <f t="shared" si="1"/>
        <v>0</v>
      </c>
      <c r="G12" s="20">
        <f t="shared" si="2"/>
        <v>0</v>
      </c>
      <c r="H12" s="21">
        <f t="shared" si="3"/>
        <v>0</v>
      </c>
    </row>
    <row r="13" spans="1:8" x14ac:dyDescent="0.25">
      <c r="A13" s="31">
        <v>46021</v>
      </c>
      <c r="B13" s="32" t="s">
        <v>12</v>
      </c>
      <c r="C13" s="33"/>
      <c r="D13" s="34"/>
      <c r="E13" s="18">
        <f t="shared" si="0"/>
        <v>0</v>
      </c>
      <c r="F13" s="19">
        <f t="shared" si="1"/>
        <v>0</v>
      </c>
      <c r="G13" s="20">
        <f t="shared" si="2"/>
        <v>0</v>
      </c>
      <c r="H13" s="21">
        <f t="shared" si="3"/>
        <v>0</v>
      </c>
    </row>
    <row r="14" spans="1:8" x14ac:dyDescent="0.25">
      <c r="A14" s="31">
        <v>46022</v>
      </c>
      <c r="B14" s="32" t="s">
        <v>13</v>
      </c>
      <c r="C14" s="33"/>
      <c r="D14" s="34"/>
      <c r="E14" s="18">
        <f t="shared" si="0"/>
        <v>0</v>
      </c>
      <c r="F14" s="19">
        <f t="shared" si="1"/>
        <v>0</v>
      </c>
      <c r="G14" s="20">
        <f t="shared" si="2"/>
        <v>0</v>
      </c>
      <c r="H14" s="21">
        <f t="shared" si="3"/>
        <v>0</v>
      </c>
    </row>
    <row r="15" spans="1:8" x14ac:dyDescent="0.25">
      <c r="A15" s="31">
        <v>46023</v>
      </c>
      <c r="B15" s="32" t="s">
        <v>14</v>
      </c>
      <c r="C15" s="33"/>
      <c r="D15" s="34"/>
      <c r="E15" s="18">
        <f t="shared" si="0"/>
        <v>0</v>
      </c>
      <c r="F15" s="19">
        <f t="shared" si="1"/>
        <v>0</v>
      </c>
      <c r="G15" s="20">
        <f t="shared" si="2"/>
        <v>0</v>
      </c>
      <c r="H15" s="21">
        <f t="shared" si="3"/>
        <v>0</v>
      </c>
    </row>
    <row r="16" spans="1:8" x14ac:dyDescent="0.25">
      <c r="A16" s="31">
        <v>46024</v>
      </c>
      <c r="B16" s="32" t="s">
        <v>15</v>
      </c>
      <c r="C16" s="33"/>
      <c r="D16" s="34"/>
      <c r="E16" s="18">
        <f t="shared" si="0"/>
        <v>0</v>
      </c>
      <c r="F16" s="19">
        <f t="shared" si="1"/>
        <v>0</v>
      </c>
      <c r="G16" s="20">
        <f t="shared" si="2"/>
        <v>0</v>
      </c>
      <c r="H16" s="21">
        <f t="shared" si="3"/>
        <v>0</v>
      </c>
    </row>
    <row r="17" spans="1:8" x14ac:dyDescent="0.25">
      <c r="A17" s="36">
        <v>46027</v>
      </c>
      <c r="B17" s="37" t="s">
        <v>16</v>
      </c>
      <c r="C17" s="38"/>
      <c r="D17" s="39"/>
      <c r="E17" s="18">
        <f t="shared" si="0"/>
        <v>0</v>
      </c>
      <c r="F17" s="19">
        <f t="shared" si="1"/>
        <v>0</v>
      </c>
      <c r="G17" s="20">
        <f t="shared" si="2"/>
        <v>0</v>
      </c>
      <c r="H17" s="21">
        <f t="shared" si="3"/>
        <v>0</v>
      </c>
    </row>
    <row r="18" spans="1:8" x14ac:dyDescent="0.25">
      <c r="A18" s="36">
        <v>46028</v>
      </c>
      <c r="B18" s="37" t="s">
        <v>12</v>
      </c>
      <c r="C18" s="38"/>
      <c r="D18" s="39"/>
      <c r="E18" s="18">
        <f t="shared" si="0"/>
        <v>0</v>
      </c>
      <c r="F18" s="19">
        <f t="shared" si="1"/>
        <v>0</v>
      </c>
      <c r="G18" s="20">
        <f t="shared" si="2"/>
        <v>0</v>
      </c>
      <c r="H18" s="21">
        <f t="shared" si="3"/>
        <v>0</v>
      </c>
    </row>
    <row r="19" spans="1:8" x14ac:dyDescent="0.25">
      <c r="A19" s="22">
        <v>46029</v>
      </c>
      <c r="B19" s="23" t="s">
        <v>13</v>
      </c>
      <c r="C19" s="24">
        <v>0.88449999999999995</v>
      </c>
      <c r="D19" s="25">
        <v>2503</v>
      </c>
      <c r="E19" s="18">
        <f t="shared" si="0"/>
        <v>289.09650000000011</v>
      </c>
      <c r="F19" s="19">
        <f t="shared" si="1"/>
        <v>15900.307500000006</v>
      </c>
      <c r="G19" s="20">
        <f t="shared" si="2"/>
        <v>125.15000000000009</v>
      </c>
      <c r="H19" s="21">
        <f t="shared" si="3"/>
        <v>-163.94650000000001</v>
      </c>
    </row>
    <row r="20" spans="1:8" x14ac:dyDescent="0.25">
      <c r="A20" s="22">
        <v>46030</v>
      </c>
      <c r="B20" s="23" t="s">
        <v>14</v>
      </c>
      <c r="C20" s="24">
        <v>0.90720000000000001</v>
      </c>
      <c r="D20" s="25">
        <v>2498</v>
      </c>
      <c r="E20" s="18">
        <f t="shared" si="0"/>
        <v>231.81440000000021</v>
      </c>
      <c r="F20" s="19">
        <f t="shared" si="1"/>
        <v>12749.792000000012</v>
      </c>
      <c r="G20" s="20">
        <f t="shared" si="2"/>
        <v>124.90000000000009</v>
      </c>
      <c r="H20" s="21">
        <f t="shared" si="3"/>
        <v>-106.91440000000011</v>
      </c>
    </row>
    <row r="21" spans="1:8" x14ac:dyDescent="0.25">
      <c r="A21" s="22">
        <v>46031</v>
      </c>
      <c r="B21" s="23" t="s">
        <v>15</v>
      </c>
      <c r="C21" s="24">
        <v>0.90159999999999996</v>
      </c>
      <c r="D21" s="25">
        <v>2491</v>
      </c>
      <c r="E21" s="18">
        <f t="shared" si="0"/>
        <v>245.11439999999993</v>
      </c>
      <c r="F21" s="19">
        <f t="shared" si="1"/>
        <v>13481.291999999996</v>
      </c>
      <c r="G21" s="20">
        <f t="shared" si="2"/>
        <v>124.55000000000018</v>
      </c>
      <c r="H21" s="21">
        <f t="shared" si="3"/>
        <v>-120.56439999999975</v>
      </c>
    </row>
    <row r="22" spans="1:8" x14ac:dyDescent="0.25">
      <c r="A22" s="22">
        <v>46034</v>
      </c>
      <c r="B22" s="23" t="s">
        <v>16</v>
      </c>
      <c r="C22" s="24">
        <v>0.91449999999999998</v>
      </c>
      <c r="D22" s="25">
        <v>2480</v>
      </c>
      <c r="E22" s="18">
        <f t="shared" si="0"/>
        <v>212.03999999999996</v>
      </c>
      <c r="F22" s="19">
        <f t="shared" si="1"/>
        <v>11662.199999999997</v>
      </c>
      <c r="G22" s="20">
        <f t="shared" si="2"/>
        <v>124</v>
      </c>
      <c r="H22" s="21">
        <f t="shared" si="3"/>
        <v>-88.039999999999964</v>
      </c>
    </row>
    <row r="23" spans="1:8" x14ac:dyDescent="0.25">
      <c r="A23" s="22">
        <v>46035</v>
      </c>
      <c r="B23" s="23" t="s">
        <v>12</v>
      </c>
      <c r="C23" s="24">
        <v>0.92420000000000002</v>
      </c>
      <c r="D23" s="25">
        <v>2480</v>
      </c>
      <c r="E23" s="18">
        <f t="shared" si="0"/>
        <v>187.98399999999992</v>
      </c>
      <c r="F23" s="19">
        <f t="shared" si="1"/>
        <v>10339.119999999995</v>
      </c>
      <c r="G23" s="20">
        <f t="shared" si="2"/>
        <v>124</v>
      </c>
      <c r="H23" s="21">
        <f t="shared" si="3"/>
        <v>-63.983999999999924</v>
      </c>
    </row>
    <row r="24" spans="1:8" x14ac:dyDescent="0.25">
      <c r="A24" s="22">
        <v>46036</v>
      </c>
      <c r="B24" s="23" t="s">
        <v>13</v>
      </c>
      <c r="C24" s="24">
        <v>0.92630000000000001</v>
      </c>
      <c r="D24" s="25">
        <v>2483</v>
      </c>
      <c r="E24" s="18">
        <f t="shared" si="0"/>
        <v>182.99710000000005</v>
      </c>
      <c r="F24" s="19">
        <f t="shared" si="1"/>
        <v>10064.840500000002</v>
      </c>
      <c r="G24" s="20">
        <f t="shared" si="2"/>
        <v>124.15000000000009</v>
      </c>
      <c r="H24" s="21">
        <f t="shared" si="3"/>
        <v>-58.847099999999955</v>
      </c>
    </row>
    <row r="25" spans="1:8" x14ac:dyDescent="0.25">
      <c r="A25" s="22">
        <v>46037</v>
      </c>
      <c r="B25" s="23" t="s">
        <v>14</v>
      </c>
      <c r="C25" s="24">
        <v>0.89700000000000002</v>
      </c>
      <c r="D25" s="25">
        <v>2485</v>
      </c>
      <c r="E25" s="18">
        <f t="shared" si="0"/>
        <v>255.95499999999993</v>
      </c>
      <c r="F25" s="19">
        <f t="shared" si="1"/>
        <v>14077.524999999996</v>
      </c>
      <c r="G25" s="20">
        <f t="shared" si="2"/>
        <v>124.25</v>
      </c>
      <c r="H25" s="21">
        <f t="shared" si="3"/>
        <v>-131.70499999999993</v>
      </c>
    </row>
  </sheetData>
  <mergeCells count="7">
    <mergeCell ref="A2:D5"/>
    <mergeCell ref="E2:F2"/>
    <mergeCell ref="H2:H6"/>
    <mergeCell ref="E3:F3"/>
    <mergeCell ref="G3:G5"/>
    <mergeCell ref="E4:F4"/>
    <mergeCell ref="E5:F5"/>
  </mergeCells>
  <conditionalFormatting sqref="C6:C25">
    <cfRule type="cellIs" dxfId="9" priority="4" operator="lessThan">
      <formula>"92%"</formula>
    </cfRule>
  </conditionalFormatting>
  <conditionalFormatting sqref="C7:C25">
    <cfRule type="cellIs" dxfId="8" priority="1" operator="lessThan">
      <formula>"90%"</formula>
    </cfRule>
    <cfRule type="cellIs" dxfId="7" priority="2" operator="lessThan">
      <formula>"94%"</formula>
    </cfRule>
  </conditionalFormatting>
  <conditionalFormatting sqref="H1:H25">
    <cfRule type="cellIs" dxfId="6" priority="3" operator="lessThan">
      <formula>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31E33-9531-E74C-8A55-AE9AAF106EA2}">
  <dimension ref="A1:H25"/>
  <sheetViews>
    <sheetView tabSelected="1" zoomScale="115" zoomScaleNormal="115" workbookViewId="0">
      <selection activeCell="E9" sqref="E9"/>
    </sheetView>
  </sheetViews>
  <sheetFormatPr defaultColWidth="11" defaultRowHeight="15.75" x14ac:dyDescent="0.25"/>
  <cols>
    <col min="4" max="4" width="16.375" customWidth="1"/>
    <col min="5" max="5" width="12.625" customWidth="1"/>
  </cols>
  <sheetData>
    <row r="1" spans="1:8" ht="28.5" thickBot="1" x14ac:dyDescent="0.5">
      <c r="A1" s="15"/>
      <c r="B1" s="15"/>
      <c r="C1" s="15"/>
      <c r="D1" s="15"/>
      <c r="E1" s="16"/>
      <c r="F1" s="16"/>
      <c r="G1" s="1"/>
      <c r="H1" s="2" t="e">
        <f>SUM(#REF!)</f>
        <v>#REF!</v>
      </c>
    </row>
    <row r="2" spans="1:8" ht="16.5" thickTop="1" x14ac:dyDescent="0.25">
      <c r="A2" s="48" t="s">
        <v>20</v>
      </c>
      <c r="B2" s="49"/>
      <c r="C2" s="49"/>
      <c r="D2" s="49"/>
      <c r="E2" s="50" t="s">
        <v>1</v>
      </c>
      <c r="F2" s="51"/>
      <c r="G2" s="17" t="s">
        <v>2</v>
      </c>
      <c r="H2" s="52" t="s">
        <v>3</v>
      </c>
    </row>
    <row r="3" spans="1:8" ht="24.75" x14ac:dyDescent="0.4">
      <c r="A3" s="49"/>
      <c r="B3" s="49"/>
      <c r="C3" s="49"/>
      <c r="D3" s="49"/>
      <c r="E3" s="53" t="e">
        <f>SUM(#REF!)</f>
        <v>#REF!</v>
      </c>
      <c r="F3" s="51"/>
      <c r="G3" s="54">
        <v>0.95</v>
      </c>
      <c r="H3" s="51"/>
    </row>
    <row r="4" spans="1:8" x14ac:dyDescent="0.25">
      <c r="A4" s="49"/>
      <c r="B4" s="49"/>
      <c r="C4" s="49"/>
      <c r="D4" s="49"/>
      <c r="E4" s="56" t="s">
        <v>4</v>
      </c>
      <c r="F4" s="49"/>
      <c r="G4" s="55"/>
      <c r="H4" s="51"/>
    </row>
    <row r="5" spans="1:8" ht="19.5" thickBot="1" x14ac:dyDescent="0.5">
      <c r="A5" s="49"/>
      <c r="B5" s="49"/>
      <c r="C5" s="49"/>
      <c r="D5" s="49"/>
      <c r="E5" s="57">
        <v>55</v>
      </c>
      <c r="F5" s="49"/>
      <c r="G5" s="55"/>
      <c r="H5" s="51"/>
    </row>
    <row r="6" spans="1:8" ht="26.25" thickTop="1" thickBot="1" x14ac:dyDescent="0.3">
      <c r="A6" s="3" t="s">
        <v>5</v>
      </c>
      <c r="B6" s="4" t="s">
        <v>6</v>
      </c>
      <c r="C6" s="5" t="s">
        <v>7</v>
      </c>
      <c r="D6" s="4" t="s">
        <v>8</v>
      </c>
      <c r="E6" s="6" t="s">
        <v>9</v>
      </c>
      <c r="F6" s="7" t="s">
        <v>10</v>
      </c>
      <c r="G6" s="8" t="s">
        <v>11</v>
      </c>
      <c r="H6" s="51"/>
    </row>
    <row r="7" spans="1:8" ht="16.5" thickTop="1" x14ac:dyDescent="0.25">
      <c r="A7" s="31">
        <v>46013</v>
      </c>
      <c r="B7" s="32" t="s">
        <v>16</v>
      </c>
      <c r="C7" s="33"/>
      <c r="D7" s="34"/>
      <c r="E7" s="18">
        <f t="shared" ref="E7:E25" si="0">D7-(C7*D7)</f>
        <v>0</v>
      </c>
      <c r="F7" s="19">
        <f t="shared" ref="F7:F25" si="1">E7*$E$5</f>
        <v>0</v>
      </c>
      <c r="G7" s="20">
        <f t="shared" ref="G7:G25" si="2">D7-(D7*G$3)</f>
        <v>0</v>
      </c>
      <c r="H7" s="21">
        <f t="shared" ref="H7:H25" si="3">G7-E7</f>
        <v>0</v>
      </c>
    </row>
    <row r="8" spans="1:8" x14ac:dyDescent="0.25">
      <c r="A8" s="31">
        <v>46014</v>
      </c>
      <c r="B8" s="32" t="s">
        <v>12</v>
      </c>
      <c r="C8" s="33"/>
      <c r="D8" s="34"/>
      <c r="E8" s="18">
        <f t="shared" si="0"/>
        <v>0</v>
      </c>
      <c r="F8" s="19">
        <f t="shared" si="1"/>
        <v>0</v>
      </c>
      <c r="G8" s="20">
        <f t="shared" si="2"/>
        <v>0</v>
      </c>
      <c r="H8" s="21">
        <f t="shared" si="3"/>
        <v>0</v>
      </c>
    </row>
    <row r="9" spans="1:8" x14ac:dyDescent="0.25">
      <c r="A9" s="31">
        <v>46015</v>
      </c>
      <c r="B9" s="32" t="s">
        <v>13</v>
      </c>
      <c r="C9" s="33"/>
      <c r="D9" s="34"/>
      <c r="E9" s="18">
        <f t="shared" si="0"/>
        <v>0</v>
      </c>
      <c r="F9" s="19">
        <f t="shared" si="1"/>
        <v>0</v>
      </c>
      <c r="G9" s="20">
        <f t="shared" si="2"/>
        <v>0</v>
      </c>
      <c r="H9" s="21">
        <f t="shared" si="3"/>
        <v>0</v>
      </c>
    </row>
    <row r="10" spans="1:8" x14ac:dyDescent="0.25">
      <c r="A10" s="31">
        <v>46016</v>
      </c>
      <c r="B10" s="32" t="s">
        <v>14</v>
      </c>
      <c r="C10" s="33"/>
      <c r="D10" s="34"/>
      <c r="E10" s="18">
        <f t="shared" si="0"/>
        <v>0</v>
      </c>
      <c r="F10" s="19">
        <f t="shared" si="1"/>
        <v>0</v>
      </c>
      <c r="G10" s="20">
        <f t="shared" si="2"/>
        <v>0</v>
      </c>
      <c r="H10" s="21">
        <f t="shared" si="3"/>
        <v>0</v>
      </c>
    </row>
    <row r="11" spans="1:8" x14ac:dyDescent="0.25">
      <c r="A11" s="31">
        <v>46017</v>
      </c>
      <c r="B11" s="32" t="s">
        <v>15</v>
      </c>
      <c r="C11" s="33"/>
      <c r="D11" s="34"/>
      <c r="E11" s="18">
        <f t="shared" si="0"/>
        <v>0</v>
      </c>
      <c r="F11" s="19">
        <f t="shared" si="1"/>
        <v>0</v>
      </c>
      <c r="G11" s="20">
        <f t="shared" si="2"/>
        <v>0</v>
      </c>
      <c r="H11" s="21">
        <f t="shared" si="3"/>
        <v>0</v>
      </c>
    </row>
    <row r="12" spans="1:8" x14ac:dyDescent="0.25">
      <c r="A12" s="31">
        <v>46020</v>
      </c>
      <c r="B12" s="32" t="s">
        <v>16</v>
      </c>
      <c r="C12" s="33"/>
      <c r="D12" s="34"/>
      <c r="E12" s="18">
        <f t="shared" si="0"/>
        <v>0</v>
      </c>
      <c r="F12" s="19">
        <f t="shared" si="1"/>
        <v>0</v>
      </c>
      <c r="G12" s="20">
        <f t="shared" si="2"/>
        <v>0</v>
      </c>
      <c r="H12" s="21">
        <f t="shared" si="3"/>
        <v>0</v>
      </c>
    </row>
    <row r="13" spans="1:8" x14ac:dyDescent="0.25">
      <c r="A13" s="31">
        <v>46021</v>
      </c>
      <c r="B13" s="32" t="s">
        <v>12</v>
      </c>
      <c r="C13" s="33"/>
      <c r="D13" s="34"/>
      <c r="E13" s="18">
        <f t="shared" si="0"/>
        <v>0</v>
      </c>
      <c r="F13" s="19">
        <f t="shared" si="1"/>
        <v>0</v>
      </c>
      <c r="G13" s="20">
        <f t="shared" si="2"/>
        <v>0</v>
      </c>
      <c r="H13" s="21">
        <f t="shared" si="3"/>
        <v>0</v>
      </c>
    </row>
    <row r="14" spans="1:8" x14ac:dyDescent="0.25">
      <c r="A14" s="31">
        <v>46022</v>
      </c>
      <c r="B14" s="32" t="s">
        <v>13</v>
      </c>
      <c r="C14" s="33"/>
      <c r="D14" s="34"/>
      <c r="E14" s="18">
        <f t="shared" si="0"/>
        <v>0</v>
      </c>
      <c r="F14" s="19">
        <f t="shared" si="1"/>
        <v>0</v>
      </c>
      <c r="G14" s="20">
        <f t="shared" si="2"/>
        <v>0</v>
      </c>
      <c r="H14" s="21">
        <f t="shared" si="3"/>
        <v>0</v>
      </c>
    </row>
    <row r="15" spans="1:8" x14ac:dyDescent="0.25">
      <c r="A15" s="31">
        <v>46023</v>
      </c>
      <c r="B15" s="32" t="s">
        <v>14</v>
      </c>
      <c r="C15" s="33"/>
      <c r="D15" s="34"/>
      <c r="E15" s="18">
        <f t="shared" si="0"/>
        <v>0</v>
      </c>
      <c r="F15" s="19">
        <f t="shared" si="1"/>
        <v>0</v>
      </c>
      <c r="G15" s="20">
        <f t="shared" si="2"/>
        <v>0</v>
      </c>
      <c r="H15" s="21">
        <f t="shared" si="3"/>
        <v>0</v>
      </c>
    </row>
    <row r="16" spans="1:8" x14ac:dyDescent="0.25">
      <c r="A16" s="31">
        <v>46024</v>
      </c>
      <c r="B16" s="32" t="s">
        <v>15</v>
      </c>
      <c r="C16" s="33"/>
      <c r="D16" s="34"/>
      <c r="E16" s="18">
        <f t="shared" si="0"/>
        <v>0</v>
      </c>
      <c r="F16" s="19">
        <f t="shared" si="1"/>
        <v>0</v>
      </c>
      <c r="G16" s="20">
        <f t="shared" si="2"/>
        <v>0</v>
      </c>
      <c r="H16" s="21">
        <f t="shared" si="3"/>
        <v>0</v>
      </c>
    </row>
    <row r="17" spans="1:8" x14ac:dyDescent="0.25">
      <c r="A17" s="36">
        <v>46027</v>
      </c>
      <c r="B17" s="37" t="s">
        <v>16</v>
      </c>
      <c r="C17" s="38"/>
      <c r="D17" s="39"/>
      <c r="E17" s="18">
        <f t="shared" si="0"/>
        <v>0</v>
      </c>
      <c r="F17" s="19">
        <f t="shared" si="1"/>
        <v>0</v>
      </c>
      <c r="G17" s="20">
        <f t="shared" si="2"/>
        <v>0</v>
      </c>
      <c r="H17" s="21">
        <f t="shared" si="3"/>
        <v>0</v>
      </c>
    </row>
    <row r="18" spans="1:8" x14ac:dyDescent="0.25">
      <c r="A18" s="36">
        <v>46028</v>
      </c>
      <c r="B18" s="37" t="s">
        <v>12</v>
      </c>
      <c r="C18" s="38"/>
      <c r="D18" s="39"/>
      <c r="E18" s="18">
        <f t="shared" si="0"/>
        <v>0</v>
      </c>
      <c r="F18" s="19">
        <f t="shared" si="1"/>
        <v>0</v>
      </c>
      <c r="G18" s="20">
        <f t="shared" si="2"/>
        <v>0</v>
      </c>
      <c r="H18" s="21">
        <f t="shared" si="3"/>
        <v>0</v>
      </c>
    </row>
    <row r="19" spans="1:8" x14ac:dyDescent="0.25">
      <c r="A19" s="22">
        <v>46029</v>
      </c>
      <c r="B19" s="23" t="s">
        <v>13</v>
      </c>
      <c r="C19" s="24">
        <v>0.92320000000000002</v>
      </c>
      <c r="D19" s="25">
        <v>612</v>
      </c>
      <c r="E19" s="18">
        <f t="shared" si="0"/>
        <v>47.001599999999939</v>
      </c>
      <c r="F19" s="19">
        <f t="shared" si="1"/>
        <v>2585.0879999999966</v>
      </c>
      <c r="G19" s="20">
        <f t="shared" si="2"/>
        <v>30.600000000000023</v>
      </c>
      <c r="H19" s="21">
        <f t="shared" si="3"/>
        <v>-16.401599999999917</v>
      </c>
    </row>
    <row r="20" spans="1:8" x14ac:dyDescent="0.25">
      <c r="A20" s="22">
        <v>46030</v>
      </c>
      <c r="B20" s="23" t="s">
        <v>14</v>
      </c>
      <c r="C20" s="24">
        <v>0.95920000000000005</v>
      </c>
      <c r="D20" s="25">
        <v>612</v>
      </c>
      <c r="E20" s="18">
        <f t="shared" si="0"/>
        <v>24.969600000000014</v>
      </c>
      <c r="F20" s="19">
        <f t="shared" si="1"/>
        <v>1373.3280000000009</v>
      </c>
      <c r="G20" s="20">
        <f t="shared" si="2"/>
        <v>30.600000000000023</v>
      </c>
      <c r="H20" s="21">
        <f t="shared" si="3"/>
        <v>5.6304000000000087</v>
      </c>
    </row>
    <row r="21" spans="1:8" x14ac:dyDescent="0.25">
      <c r="A21" s="22">
        <v>46031</v>
      </c>
      <c r="B21" s="23" t="s">
        <v>15</v>
      </c>
      <c r="C21" s="24">
        <v>0.94120000000000004</v>
      </c>
      <c r="D21" s="25">
        <v>612</v>
      </c>
      <c r="E21" s="18">
        <f t="shared" si="0"/>
        <v>35.985599999999977</v>
      </c>
      <c r="F21" s="19">
        <f t="shared" si="1"/>
        <v>1979.2079999999987</v>
      </c>
      <c r="G21" s="20">
        <f t="shared" si="2"/>
        <v>30.600000000000023</v>
      </c>
      <c r="H21" s="21">
        <f t="shared" si="3"/>
        <v>-5.385599999999954</v>
      </c>
    </row>
    <row r="22" spans="1:8" x14ac:dyDescent="0.25">
      <c r="A22" s="22">
        <v>46034</v>
      </c>
      <c r="B22" s="23" t="s">
        <v>16</v>
      </c>
      <c r="C22" s="24">
        <v>0.93</v>
      </c>
      <c r="D22" s="25">
        <v>612</v>
      </c>
      <c r="E22" s="18">
        <f t="shared" si="0"/>
        <v>42.839999999999918</v>
      </c>
      <c r="F22" s="19">
        <f t="shared" si="1"/>
        <v>2356.1999999999953</v>
      </c>
      <c r="G22" s="20">
        <f t="shared" si="2"/>
        <v>30.600000000000023</v>
      </c>
      <c r="H22" s="21">
        <f t="shared" si="3"/>
        <v>-12.239999999999895</v>
      </c>
    </row>
    <row r="23" spans="1:8" x14ac:dyDescent="0.25">
      <c r="A23" s="22">
        <v>46035</v>
      </c>
      <c r="B23" s="23" t="s">
        <v>12</v>
      </c>
      <c r="C23" s="24">
        <v>0.94469999999999998</v>
      </c>
      <c r="D23" s="25">
        <v>615</v>
      </c>
      <c r="E23" s="18">
        <f t="shared" si="0"/>
        <v>34.009500000000003</v>
      </c>
      <c r="F23" s="19">
        <f t="shared" si="1"/>
        <v>1870.5225</v>
      </c>
      <c r="G23" s="20">
        <f t="shared" si="2"/>
        <v>30.75</v>
      </c>
      <c r="H23" s="21">
        <f t="shared" si="3"/>
        <v>-3.2595000000000027</v>
      </c>
    </row>
    <row r="24" spans="1:8" x14ac:dyDescent="0.25">
      <c r="A24" s="22">
        <v>46036</v>
      </c>
      <c r="B24" s="23" t="s">
        <v>13</v>
      </c>
      <c r="C24" s="24">
        <v>0.94469999999999998</v>
      </c>
      <c r="D24" s="25">
        <v>615</v>
      </c>
      <c r="E24" s="18">
        <f t="shared" si="0"/>
        <v>34.009500000000003</v>
      </c>
      <c r="F24" s="19">
        <f t="shared" si="1"/>
        <v>1870.5225</v>
      </c>
      <c r="G24" s="20">
        <f t="shared" si="2"/>
        <v>30.75</v>
      </c>
      <c r="H24" s="21">
        <f t="shared" si="3"/>
        <v>-3.2595000000000027</v>
      </c>
    </row>
    <row r="25" spans="1:8" x14ac:dyDescent="0.25">
      <c r="A25" s="22">
        <v>46037</v>
      </c>
      <c r="B25" s="23" t="s">
        <v>14</v>
      </c>
      <c r="C25" s="24">
        <v>0.95789999999999997</v>
      </c>
      <c r="D25" s="25">
        <v>617</v>
      </c>
      <c r="E25" s="18">
        <f t="shared" si="0"/>
        <v>25.975699999999961</v>
      </c>
      <c r="F25" s="19">
        <f t="shared" si="1"/>
        <v>1428.6634999999978</v>
      </c>
      <c r="G25" s="20">
        <f t="shared" si="2"/>
        <v>30.850000000000023</v>
      </c>
      <c r="H25" s="21">
        <f t="shared" si="3"/>
        <v>4.874300000000062</v>
      </c>
    </row>
  </sheetData>
  <mergeCells count="7">
    <mergeCell ref="A2:D5"/>
    <mergeCell ref="E2:F2"/>
    <mergeCell ref="H2:H6"/>
    <mergeCell ref="E3:F3"/>
    <mergeCell ref="G3:G5"/>
    <mergeCell ref="E4:F4"/>
    <mergeCell ref="E5:F5"/>
  </mergeCells>
  <conditionalFormatting sqref="C1">
    <cfRule type="cellIs" dxfId="5" priority="25" operator="lessThan">
      <formula>"90%"</formula>
    </cfRule>
    <cfRule type="cellIs" dxfId="4" priority="26" operator="lessThan">
      <formula>"94%"</formula>
    </cfRule>
  </conditionalFormatting>
  <conditionalFormatting sqref="C6:C25">
    <cfRule type="cellIs" dxfId="3" priority="4" operator="lessThan">
      <formula>"92%"</formula>
    </cfRule>
  </conditionalFormatting>
  <conditionalFormatting sqref="C7:C25">
    <cfRule type="cellIs" dxfId="2" priority="1" operator="lessThan">
      <formula>"90%"</formula>
    </cfRule>
    <cfRule type="cellIs" dxfId="1" priority="2" operator="lessThan">
      <formula>"94%"</formula>
    </cfRule>
  </conditionalFormatting>
  <conditionalFormatting sqref="H1:H25">
    <cfRule type="cellIs" dxfId="0" priority="3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GE</vt:lpstr>
      <vt:lpstr>SECA</vt:lpstr>
      <vt:lpstr>CECA</vt:lpstr>
      <vt:lpstr>SE</vt:lpstr>
      <vt:lpstr>CE</vt:lpstr>
      <vt:lpstr>RE</vt:lpstr>
      <vt:lpstr>LE</vt:lpstr>
      <vt:lpstr>KMS</vt:lpstr>
      <vt:lpstr>NMS</vt:lpstr>
      <vt:lpstr>9K</vt:lpstr>
      <vt:lpstr>ECHS</vt:lpstr>
      <vt:lpstr>KHS</vt:lpstr>
      <vt:lpstr>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Muhammad Ahmad</cp:lastModifiedBy>
  <dcterms:created xsi:type="dcterms:W3CDTF">2025-08-30T15:34:26Z</dcterms:created>
  <dcterms:modified xsi:type="dcterms:W3CDTF">2026-02-06T19:29:11Z</dcterms:modified>
</cp:coreProperties>
</file>